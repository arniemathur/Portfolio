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8253723396d9f3/Desktop/Financial Analysis/"/>
    </mc:Choice>
  </mc:AlternateContent>
  <xr:revisionPtr revIDLastSave="66" documentId="13_ncr:1_{8C17C0B4-2356-4FB1-BD4B-705DA3045F3E}" xr6:coauthVersionLast="47" xr6:coauthVersionMax="47" xr10:uidLastSave="{A03C05D2-4BC1-40F3-B844-D15508A0175B}"/>
  <bookViews>
    <workbookView xWindow="180" yWindow="885" windowWidth="28530" windowHeight="14475" activeTab="1" xr2:uid="{C6E97649-1A78-41A5-A1E7-D08C6C08EDF5}"/>
  </bookViews>
  <sheets>
    <sheet name="Historicals " sheetId="1" r:id="rId1"/>
    <sheet name="FSM" sheetId="2" r:id="rId2"/>
    <sheet name="FCFM" sheetId="3" r:id="rId3"/>
    <sheet name="RIM" sheetId="4" r:id="rId4"/>
    <sheet name="MVAM" sheetId="5" r:id="rId5"/>
    <sheet name="Relative Valuation" sheetId="7" r:id="rId6"/>
    <sheet name="Blended Valuation" sheetId="8" r:id="rId7"/>
    <sheet name="WACC" sheetId="9" r:id="rId8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2" l="1"/>
  <c r="D84" i="2"/>
  <c r="D39" i="2"/>
  <c r="D38" i="2"/>
  <c r="D37" i="2"/>
  <c r="E39" i="2"/>
  <c r="E38" i="2"/>
  <c r="E37" i="2"/>
  <c r="G36" i="2"/>
  <c r="H36" i="2" s="1"/>
  <c r="I36" i="2" s="1"/>
  <c r="J36" i="2" s="1"/>
  <c r="F36" i="2"/>
  <c r="E36" i="2"/>
  <c r="E29" i="2"/>
  <c r="D29" i="2"/>
  <c r="J24" i="2"/>
  <c r="E15" i="2"/>
  <c r="E16" i="2"/>
  <c r="E17" i="2"/>
  <c r="E21" i="2" s="1"/>
  <c r="E25" i="2" s="1"/>
  <c r="E27" i="2" s="1"/>
  <c r="E18" i="2"/>
  <c r="E19" i="2"/>
  <c r="E20" i="2"/>
  <c r="F20" i="2" s="1"/>
  <c r="G20" i="2" s="1"/>
  <c r="H20" i="2" s="1"/>
  <c r="I20" i="2" s="1"/>
  <c r="J20" i="2" s="1"/>
  <c r="E22" i="2"/>
  <c r="E23" i="2"/>
  <c r="D23" i="2"/>
  <c r="D22" i="2"/>
  <c r="D24" i="2"/>
  <c r="D20" i="2"/>
  <c r="D19" i="2"/>
  <c r="D18" i="2"/>
  <c r="F18" i="2"/>
  <c r="G18" i="2" s="1"/>
  <c r="H18" i="2" s="1"/>
  <c r="I18" i="2" s="1"/>
  <c r="J18" i="2" s="1"/>
  <c r="D16" i="2"/>
  <c r="D17" i="2" s="1"/>
  <c r="F15" i="2"/>
  <c r="F15" i="3" s="1"/>
  <c r="D15" i="2"/>
  <c r="E91" i="1"/>
  <c r="E44" i="1"/>
  <c r="H142" i="2"/>
  <c r="C20" i="9"/>
  <c r="G6" i="9" a="1"/>
  <c r="G6" i="9" s="1"/>
  <c r="E3" i="9" a="1"/>
  <c r="E3" i="9" s="1"/>
  <c r="D19" i="7" a="1"/>
  <c r="D19" i="7" s="1"/>
  <c r="I19" i="7" s="1"/>
  <c r="D37" i="7" s="1"/>
  <c r="H3" i="9" a="1"/>
  <c r="H3" i="9" s="1"/>
  <c r="E6" i="9" a="1"/>
  <c r="E6" i="9" s="1"/>
  <c r="J11" i="9" a="1"/>
  <c r="J11" i="9" s="1"/>
  <c r="C17" i="9" s="1"/>
  <c r="C18" i="9" s="1"/>
  <c r="D8" i="7" a="1"/>
  <c r="D8" i="7" s="1"/>
  <c r="J12" i="9" a="1"/>
  <c r="J12" i="9" s="1"/>
  <c r="H4" i="9" a="1"/>
  <c r="H4" i="9" s="1"/>
  <c r="H5" i="9" a="1"/>
  <c r="H5" i="9" s="1"/>
  <c r="D3" i="9" a="1"/>
  <c r="D3" i="9" s="1"/>
  <c r="E15" i="7" a="1"/>
  <c r="E15" i="7" s="1"/>
  <c r="F14" i="7" a="1"/>
  <c r="F14" i="7" s="1"/>
  <c r="E16" i="7" a="1"/>
  <c r="E16" i="7" s="1"/>
  <c r="E18" i="7" a="1"/>
  <c r="E18" i="7" s="1"/>
  <c r="E5" i="9" a="1"/>
  <c r="E5" i="9" s="1"/>
  <c r="E19" i="7" a="1"/>
  <c r="E19" i="7" s="1"/>
  <c r="J15" i="7" a="1"/>
  <c r="J15" i="7" s="1"/>
  <c r="D7" i="9" a="1"/>
  <c r="D7" i="9" s="1"/>
  <c r="J16" i="7" a="1"/>
  <c r="J16" i="7" s="1"/>
  <c r="F15" i="7" a="1"/>
  <c r="F15" i="7" s="1"/>
  <c r="G17" i="7" a="1"/>
  <c r="G17" i="7" s="1"/>
  <c r="E4" i="9" a="1"/>
  <c r="E4" i="9" s="1"/>
  <c r="D5" i="9" a="1"/>
  <c r="D5" i="9" s="1"/>
  <c r="D18" i="7" a="1"/>
  <c r="D18" i="7" s="1"/>
  <c r="I18" i="7" s="1"/>
  <c r="D36" i="7" s="1"/>
  <c r="E36" i="7" s="1"/>
  <c r="D7" i="7" a="1"/>
  <c r="D7" i="7" s="1"/>
  <c r="C10" i="9" a="1"/>
  <c r="C10" i="9" s="1"/>
  <c r="D5" i="7" a="1"/>
  <c r="D5" i="7" s="1"/>
  <c r="G3" i="9" a="1"/>
  <c r="G3" i="9" s="1"/>
  <c r="N18" i="9" a="1"/>
  <c r="N18" i="9" s="1"/>
  <c r="N19" i="9" s="1"/>
  <c r="C21" i="9" s="1"/>
  <c r="J18" i="7" a="1"/>
  <c r="J18" i="7" s="1"/>
  <c r="G18" i="7" a="1"/>
  <c r="G18" i="7" s="1"/>
  <c r="D15" i="7" a="1"/>
  <c r="D15" i="7" s="1"/>
  <c r="I15" i="7" s="1"/>
  <c r="D33" i="7" s="1"/>
  <c r="E33" i="7" s="1"/>
  <c r="E38" i="7" s="1"/>
  <c r="D4" i="9" a="1"/>
  <c r="D4" i="9" s="1"/>
  <c r="D14" i="7" a="1"/>
  <c r="D14" i="7" s="1"/>
  <c r="I14" i="7" s="1"/>
  <c r="D32" i="7" s="1"/>
  <c r="D4" i="7" a="1"/>
  <c r="D4" i="7" s="1"/>
  <c r="N5" i="9" a="1"/>
  <c r="N5" i="9" s="1"/>
  <c r="H7" i="9" a="1"/>
  <c r="H7" i="9" s="1"/>
  <c r="D6" i="9" a="1"/>
  <c r="D6" i="9" s="1"/>
  <c r="G15" i="7" a="1"/>
  <c r="G15" i="7" s="1"/>
  <c r="J19" i="7" a="1"/>
  <c r="J19" i="7" s="1"/>
  <c r="G7" i="9" a="1"/>
  <c r="G7" i="9" s="1"/>
  <c r="D3" i="7" a="1"/>
  <c r="D3" i="7" s="1"/>
  <c r="E40" i="7" s="1"/>
  <c r="E17" i="7" a="1"/>
  <c r="E17" i="7" s="1"/>
  <c r="G19" i="7" a="1"/>
  <c r="G19" i="7" s="1"/>
  <c r="F17" i="7" a="1"/>
  <c r="F17" i="7" s="1"/>
  <c r="D16" i="7" a="1"/>
  <c r="D16" i="7" s="1"/>
  <c r="I16" i="7" s="1"/>
  <c r="D34" i="7" s="1"/>
  <c r="J14" i="7" a="1"/>
  <c r="J14" i="7" s="1"/>
  <c r="D6" i="7" a="1"/>
  <c r="D6" i="7" s="1"/>
  <c r="G6" i="5" a="1"/>
  <c r="G6" i="5" s="1"/>
  <c r="G5" i="9" a="1"/>
  <c r="G5" i="9" s="1"/>
  <c r="G4" i="9" a="1"/>
  <c r="G4" i="9" s="1"/>
  <c r="F18" i="7" a="1"/>
  <c r="F18" i="7" s="1"/>
  <c r="E14" i="7" a="1"/>
  <c r="E14" i="7" s="1"/>
  <c r="G14" i="7" a="1"/>
  <c r="G14" i="7" s="1"/>
  <c r="J17" i="7" a="1"/>
  <c r="J17" i="7" s="1"/>
  <c r="N4" i="9" a="1"/>
  <c r="N4" i="9" s="1"/>
  <c r="G5" i="3" a="1"/>
  <c r="G5" i="3" s="1"/>
  <c r="F19" i="7" a="1"/>
  <c r="F19" i="7" s="1"/>
  <c r="F16" i="7" a="1"/>
  <c r="F16" i="7" s="1"/>
  <c r="G16" i="7" a="1"/>
  <c r="G16" i="7" s="1"/>
  <c r="H6" i="9" a="1"/>
  <c r="H6" i="9" s="1"/>
  <c r="D17" i="7" a="1"/>
  <c r="D17" i="7" s="1"/>
  <c r="I17" i="7" s="1"/>
  <c r="D35" i="7" s="1"/>
  <c r="E7" i="9" a="1"/>
  <c r="E7" i="9" s="1"/>
  <c r="F213" i="2"/>
  <c r="F102" i="2" s="1"/>
  <c r="G213" i="2"/>
  <c r="G102" i="2" s="1"/>
  <c r="H213" i="2"/>
  <c r="H102" i="2" s="1"/>
  <c r="I213" i="2"/>
  <c r="I102" i="2" s="1"/>
  <c r="J213" i="2"/>
  <c r="J102" i="2" s="1"/>
  <c r="F26" i="7" a="1"/>
  <c r="H24" i="7" a="1"/>
  <c r="D26" i="7" a="1"/>
  <c r="G27" i="7" a="1"/>
  <c r="G23" i="7" a="1"/>
  <c r="F25" i="7" a="1"/>
  <c r="E22" i="7" a="1"/>
  <c r="F23" i="7" a="1"/>
  <c r="G28" i="7" a="1"/>
  <c r="E26" i="7" a="1"/>
  <c r="G25" i="7" a="1"/>
  <c r="E23" i="7" a="1"/>
  <c r="D29" i="7" a="1"/>
  <c r="F24" i="7" a="1"/>
  <c r="D22" i="7" a="1"/>
  <c r="D25" i="7" a="1"/>
  <c r="G22" i="7" a="1"/>
  <c r="E27" i="7" a="1"/>
  <c r="E25" i="7" a="1"/>
  <c r="F22" i="7" a="1"/>
  <c r="H27" i="7" a="1"/>
  <c r="D23" i="7" a="1"/>
  <c r="E24" i="7" a="1"/>
  <c r="G29" i="7" a="1"/>
  <c r="H29" i="7" a="1"/>
  <c r="E29" i="7" a="1"/>
  <c r="H23" i="7" a="1"/>
  <c r="D27" i="7" a="1"/>
  <c r="H28" i="7" a="1"/>
  <c r="G24" i="7" a="1"/>
  <c r="H25" i="7" a="1"/>
  <c r="E28" i="7" a="1"/>
  <c r="D28" i="7" a="1"/>
  <c r="F28" i="7" a="1"/>
  <c r="D24" i="7" a="1"/>
  <c r="H26" i="7" a="1"/>
  <c r="H22" i="7" a="1"/>
  <c r="F27" i="7" a="1"/>
  <c r="F29" i="7" a="1"/>
  <c r="G26" i="7" a="1"/>
  <c r="G26" i="7"/>
  <c r="F29" i="7"/>
  <c r="F27" i="7"/>
  <c r="H22" i="7"/>
  <c r="H26" i="7"/>
  <c r="D24" i="7"/>
  <c r="F28" i="7"/>
  <c r="D28" i="7"/>
  <c r="E28" i="7"/>
  <c r="H25" i="7"/>
  <c r="G24" i="7"/>
  <c r="H28" i="7"/>
  <c r="D27" i="7"/>
  <c r="H23" i="7"/>
  <c r="E29" i="7"/>
  <c r="H29" i="7"/>
  <c r="G29" i="7"/>
  <c r="E24" i="7"/>
  <c r="D23" i="7"/>
  <c r="H27" i="7"/>
  <c r="F22" i="7"/>
  <c r="E25" i="7"/>
  <c r="E27" i="7"/>
  <c r="G22" i="7"/>
  <c r="D25" i="7"/>
  <c r="D22" i="7"/>
  <c r="F24" i="7"/>
  <c r="D29" i="7"/>
  <c r="E23" i="7"/>
  <c r="G25" i="7"/>
  <c r="E26" i="7"/>
  <c r="G28" i="7"/>
  <c r="F23" i="7"/>
  <c r="E22" i="7"/>
  <c r="F25" i="7"/>
  <c r="G23" i="7"/>
  <c r="G27" i="7"/>
  <c r="D26" i="7"/>
  <c r="H24" i="7"/>
  <c r="F26" i="7"/>
  <c r="E21" i="7"/>
  <c r="J11" i="7"/>
  <c r="F21" i="7"/>
  <c r="G21" i="7"/>
  <c r="E32" i="7"/>
  <c r="H21" i="7"/>
  <c r="E35" i="7"/>
  <c r="E34" i="7"/>
  <c r="E21" i="8"/>
  <c r="C21" i="8"/>
  <c r="E20" i="8"/>
  <c r="C20" i="8"/>
  <c r="E19" i="8"/>
  <c r="C19" i="8"/>
  <c r="D7" i="8"/>
  <c r="C61" i="5"/>
  <c r="C62" i="5"/>
  <c r="C59" i="5"/>
  <c r="C58" i="5"/>
  <c r="G57" i="5"/>
  <c r="H57" i="5"/>
  <c r="E57" i="5"/>
  <c r="D57" i="5"/>
  <c r="D50" i="5"/>
  <c r="D39" i="5"/>
  <c r="D40" i="5"/>
  <c r="D23" i="5"/>
  <c r="C8" i="5"/>
  <c r="C6" i="5"/>
  <c r="C5" i="5"/>
  <c r="E15" i="5"/>
  <c r="G7" i="5"/>
  <c r="C47" i="4"/>
  <c r="C48" i="4"/>
  <c r="C45" i="4"/>
  <c r="C44" i="4"/>
  <c r="C38" i="4"/>
  <c r="C39" i="4"/>
  <c r="C36" i="4"/>
  <c r="C35" i="4"/>
  <c r="G15" i="4"/>
  <c r="H15" i="4"/>
  <c r="I15" i="4"/>
  <c r="F15" i="4"/>
  <c r="E270" i="2"/>
  <c r="E263" i="2"/>
  <c r="F263" i="2" s="1"/>
  <c r="G263" i="2" s="1"/>
  <c r="H263" i="2" s="1"/>
  <c r="I263" i="2" s="1"/>
  <c r="J263" i="2" s="1"/>
  <c r="E262" i="2"/>
  <c r="F262" i="2"/>
  <c r="G262" i="2"/>
  <c r="H262" i="2"/>
  <c r="I262" i="2" s="1"/>
  <c r="J262" i="2" s="1"/>
  <c r="E81" i="3"/>
  <c r="D81" i="3"/>
  <c r="G81" i="3"/>
  <c r="H81" i="3"/>
  <c r="C85" i="3"/>
  <c r="C86" i="3"/>
  <c r="C83" i="3"/>
  <c r="C82" i="3"/>
  <c r="J45" i="3"/>
  <c r="J42" i="3"/>
  <c r="D22" i="4"/>
  <c r="F12" i="4"/>
  <c r="G12" i="4"/>
  <c r="H12" i="4"/>
  <c r="I12" i="4"/>
  <c r="E12" i="4"/>
  <c r="C8" i="4"/>
  <c r="C7" i="4"/>
  <c r="C6" i="4"/>
  <c r="C5" i="4"/>
  <c r="G43" i="4"/>
  <c r="H43" i="4"/>
  <c r="E43" i="4"/>
  <c r="D43" i="4"/>
  <c r="G34" i="4"/>
  <c r="H34" i="4"/>
  <c r="E34" i="4"/>
  <c r="D34" i="4"/>
  <c r="E15" i="4"/>
  <c r="G7" i="4"/>
  <c r="E33" i="3"/>
  <c r="J46" i="3"/>
  <c r="D61" i="3"/>
  <c r="D63" i="3" s="1"/>
  <c r="D67" i="3" s="1"/>
  <c r="D57" i="3"/>
  <c r="D38" i="5" s="1"/>
  <c r="F28" i="3"/>
  <c r="C88" i="3"/>
  <c r="F37" i="3"/>
  <c r="H36" i="3"/>
  <c r="I36" i="3"/>
  <c r="J36" i="3"/>
  <c r="B35" i="3"/>
  <c r="E12" i="3"/>
  <c r="F12" i="3"/>
  <c r="G12" i="3"/>
  <c r="C8" i="3"/>
  <c r="D38" i="3"/>
  <c r="G6" i="3"/>
  <c r="N13" i="2"/>
  <c r="O13" i="2" s="1"/>
  <c r="P13" i="2" s="1"/>
  <c r="Q13" i="2" s="1"/>
  <c r="F216" i="2"/>
  <c r="F103" i="2" s="1"/>
  <c r="G86" i="2"/>
  <c r="H86" i="2"/>
  <c r="I86" i="2"/>
  <c r="F67" i="2"/>
  <c r="G67" i="2" s="1"/>
  <c r="H67" i="2" s="1"/>
  <c r="I67" i="2" s="1"/>
  <c r="J67" i="2" s="1"/>
  <c r="F57" i="2"/>
  <c r="F53" i="2"/>
  <c r="F89" i="2" s="1"/>
  <c r="F64" i="2"/>
  <c r="G64" i="2" s="1"/>
  <c r="H64" i="2" s="1"/>
  <c r="I64" i="2" s="1"/>
  <c r="J64" i="2" s="1"/>
  <c r="F65" i="2"/>
  <c r="G65" i="2" s="1"/>
  <c r="H65" i="2" s="1"/>
  <c r="I65" i="2" s="1"/>
  <c r="J65" i="2" s="1"/>
  <c r="G98" i="2"/>
  <c r="H98" i="2"/>
  <c r="I98" i="2"/>
  <c r="J98" i="2"/>
  <c r="F98" i="2"/>
  <c r="F254" i="2"/>
  <c r="J244" i="2"/>
  <c r="J243" i="2"/>
  <c r="I243" i="2"/>
  <c r="H242" i="2"/>
  <c r="I242" i="2"/>
  <c r="J242" i="2"/>
  <c r="G241" i="2"/>
  <c r="G238" i="2"/>
  <c r="G250" i="2"/>
  <c r="G97" i="2" s="1"/>
  <c r="G100" i="2" s="1"/>
  <c r="H241" i="2"/>
  <c r="I241" i="2"/>
  <c r="I238" i="2" s="1"/>
  <c r="I250" i="2" s="1"/>
  <c r="I97" i="2" s="1"/>
  <c r="J241" i="2"/>
  <c r="J238" i="2" s="1"/>
  <c r="J250" i="2" s="1"/>
  <c r="J97" i="2" s="1"/>
  <c r="E251" i="2"/>
  <c r="F248" i="2" s="1"/>
  <c r="F134" i="2"/>
  <c r="G134" i="2" s="1"/>
  <c r="H134" i="2" s="1"/>
  <c r="I134" i="2" s="1"/>
  <c r="J134" i="2" s="1"/>
  <c r="E134" i="2"/>
  <c r="E129" i="2"/>
  <c r="F127" i="2" s="1"/>
  <c r="G99" i="2"/>
  <c r="G28" i="3" s="1"/>
  <c r="F99" i="2"/>
  <c r="D69" i="3"/>
  <c r="D265" i="2"/>
  <c r="E265" i="2" s="1"/>
  <c r="F265" i="2" s="1"/>
  <c r="G265" i="2" s="1"/>
  <c r="H265" i="2" s="1"/>
  <c r="I265" i="2" s="1"/>
  <c r="J265" i="2" s="1"/>
  <c r="C49" i="4"/>
  <c r="C40" i="4"/>
  <c r="H12" i="3"/>
  <c r="G37" i="3"/>
  <c r="H238" i="2"/>
  <c r="H250" i="2"/>
  <c r="H97" i="2" s="1"/>
  <c r="J86" i="2"/>
  <c r="F250" i="2"/>
  <c r="F86" i="2"/>
  <c r="G228" i="2"/>
  <c r="G107" i="2" s="1"/>
  <c r="H228" i="2"/>
  <c r="H107" i="2" s="1"/>
  <c r="I228" i="2"/>
  <c r="I107" i="2" s="1"/>
  <c r="J228" i="2"/>
  <c r="J107" i="2" s="1"/>
  <c r="F228" i="2"/>
  <c r="E229" i="2"/>
  <c r="F227" i="2" s="1"/>
  <c r="G215" i="2"/>
  <c r="G104" i="2" s="1"/>
  <c r="H215" i="2"/>
  <c r="H104" i="2" s="1"/>
  <c r="I215" i="2"/>
  <c r="I104" i="2"/>
  <c r="J215" i="2"/>
  <c r="J104" i="2" s="1"/>
  <c r="F215" i="2"/>
  <c r="F104" i="2" s="1"/>
  <c r="E31" i="2"/>
  <c r="D31" i="2"/>
  <c r="E233" i="2"/>
  <c r="F233" i="2" s="1"/>
  <c r="G233" i="2" s="1"/>
  <c r="H233" i="2" s="1"/>
  <c r="I233" i="2" s="1"/>
  <c r="J233" i="2" s="1"/>
  <c r="E232" i="2"/>
  <c r="F232" i="2"/>
  <c r="G232" i="2" s="1"/>
  <c r="H232" i="2" s="1"/>
  <c r="I232" i="2" s="1"/>
  <c r="J232" i="2" s="1"/>
  <c r="E223" i="2"/>
  <c r="F221" i="2"/>
  <c r="E217" i="2"/>
  <c r="F212" i="2"/>
  <c r="E208" i="2"/>
  <c r="F208" i="2" s="1"/>
  <c r="G208" i="2" s="1"/>
  <c r="H208" i="2" s="1"/>
  <c r="I208" i="2" s="1"/>
  <c r="J208" i="2" s="1"/>
  <c r="E207" i="2"/>
  <c r="F207" i="2" s="1"/>
  <c r="G207" i="2" s="1"/>
  <c r="H207" i="2" s="1"/>
  <c r="I207" i="2" s="1"/>
  <c r="J207" i="2" s="1"/>
  <c r="G202" i="2"/>
  <c r="H202" i="2"/>
  <c r="I202" i="2"/>
  <c r="J202" i="2"/>
  <c r="F202" i="2"/>
  <c r="E204" i="2"/>
  <c r="G192" i="2"/>
  <c r="G66" i="2" s="1"/>
  <c r="H192" i="2"/>
  <c r="H66" i="2" s="1"/>
  <c r="I192" i="2"/>
  <c r="I66" i="2"/>
  <c r="J192" i="2"/>
  <c r="J66" i="2" s="1"/>
  <c r="F192" i="2"/>
  <c r="F66" i="2" s="1"/>
  <c r="G189" i="2"/>
  <c r="H189" i="2"/>
  <c r="I189" i="2"/>
  <c r="J189" i="2"/>
  <c r="F189" i="2"/>
  <c r="E190" i="2"/>
  <c r="F186" i="2" s="1"/>
  <c r="E181" i="2"/>
  <c r="F181" i="2" s="1"/>
  <c r="G181" i="2" s="1"/>
  <c r="H181" i="2" s="1"/>
  <c r="I181" i="2" s="1"/>
  <c r="J181" i="2" s="1"/>
  <c r="E180" i="2"/>
  <c r="F180" i="2"/>
  <c r="F184" i="2" s="1"/>
  <c r="G180" i="2"/>
  <c r="G184" i="2" s="1"/>
  <c r="H99" i="2"/>
  <c r="H28" i="3" s="1"/>
  <c r="E175" i="2"/>
  <c r="F172" i="2" s="1"/>
  <c r="F175" i="2" s="1"/>
  <c r="J173" i="2"/>
  <c r="E144" i="2"/>
  <c r="F141" i="2" s="1"/>
  <c r="E156" i="2"/>
  <c r="D161" i="2" s="1"/>
  <c r="E139" i="2"/>
  <c r="F139" i="2" s="1"/>
  <c r="G139" i="2" s="1"/>
  <c r="H139" i="2" s="1"/>
  <c r="I139" i="2" s="1"/>
  <c r="J139" i="2" s="1"/>
  <c r="E138" i="2"/>
  <c r="F138" i="2"/>
  <c r="E124" i="2"/>
  <c r="F123" i="2"/>
  <c r="E123" i="2"/>
  <c r="F122" i="2"/>
  <c r="G122" i="2"/>
  <c r="H122" i="2"/>
  <c r="I122" i="2"/>
  <c r="J122" i="2"/>
  <c r="E118" i="2"/>
  <c r="F116" i="2" s="1"/>
  <c r="E113" i="2"/>
  <c r="F113" i="2"/>
  <c r="G113" i="2" s="1"/>
  <c r="H113" i="2" s="1"/>
  <c r="I113" i="2" s="1"/>
  <c r="J113" i="2" s="1"/>
  <c r="E112" i="2"/>
  <c r="F112" i="2"/>
  <c r="G112" i="2" s="1"/>
  <c r="H112" i="2" s="1"/>
  <c r="I112" i="2" s="1"/>
  <c r="J112" i="2" s="1"/>
  <c r="E82" i="2"/>
  <c r="F82" i="2"/>
  <c r="G82" i="2"/>
  <c r="H82" i="2"/>
  <c r="I82" i="2" s="1"/>
  <c r="J82" i="2" s="1"/>
  <c r="E81" i="2"/>
  <c r="F81" i="2" s="1"/>
  <c r="G81" i="2" s="1"/>
  <c r="H81" i="2" s="1"/>
  <c r="I81" i="2" s="1"/>
  <c r="J81" i="2" s="1"/>
  <c r="F51" i="2"/>
  <c r="G51" i="2" s="1"/>
  <c r="H51" i="2" s="1"/>
  <c r="I51" i="2" s="1"/>
  <c r="J51" i="2" s="1"/>
  <c r="F58" i="2"/>
  <c r="F63" i="2"/>
  <c r="G63" i="2" s="1"/>
  <c r="H63" i="2" s="1"/>
  <c r="I63" i="2" s="1"/>
  <c r="J63" i="2" s="1"/>
  <c r="F62" i="2"/>
  <c r="G62" i="2" s="1"/>
  <c r="H62" i="2" s="1"/>
  <c r="I62" i="2" s="1"/>
  <c r="J62" i="2" s="1"/>
  <c r="F69" i="2"/>
  <c r="F94" i="2" s="1"/>
  <c r="F19" i="2"/>
  <c r="G19" i="2" s="1"/>
  <c r="H19" i="2" s="1"/>
  <c r="I19" i="2" s="1"/>
  <c r="J19" i="2" s="1"/>
  <c r="F55" i="2"/>
  <c r="G55" i="2" s="1"/>
  <c r="H55" i="2" s="1"/>
  <c r="I55" i="2" s="1"/>
  <c r="J55" i="2" s="1"/>
  <c r="F72" i="2"/>
  <c r="G72" i="2" s="1"/>
  <c r="H72" i="2" s="1"/>
  <c r="I72" i="2" s="1"/>
  <c r="J72" i="2" s="1"/>
  <c r="E76" i="2"/>
  <c r="D76" i="2"/>
  <c r="E70" i="2"/>
  <c r="D70" i="2"/>
  <c r="E59" i="2"/>
  <c r="E78" i="2" s="1"/>
  <c r="D59" i="2"/>
  <c r="E44" i="2"/>
  <c r="F44" i="2" s="1"/>
  <c r="G44" i="2" s="1"/>
  <c r="H44" i="2" s="1"/>
  <c r="I44" i="2" s="1"/>
  <c r="J44" i="2" s="1"/>
  <c r="E45" i="2"/>
  <c r="F45" i="2"/>
  <c r="G45" i="2"/>
  <c r="H45" i="2"/>
  <c r="I45" i="2" s="1"/>
  <c r="J45" i="2" s="1"/>
  <c r="F13" i="2"/>
  <c r="G13" i="2"/>
  <c r="H13" i="2" s="1"/>
  <c r="I13" i="2" s="1"/>
  <c r="J13" i="2" s="1"/>
  <c r="C2" i="2"/>
  <c r="F91" i="1"/>
  <c r="G91" i="1" s="1"/>
  <c r="I12" i="3"/>
  <c r="H37" i="3"/>
  <c r="F97" i="2"/>
  <c r="F100" i="2" s="1"/>
  <c r="I37" i="3"/>
  <c r="J12" i="3"/>
  <c r="J37" i="3"/>
  <c r="G4" i="1"/>
  <c r="F44" i="1"/>
  <c r="G44" i="1" s="1"/>
  <c r="G53" i="2" l="1"/>
  <c r="H53" i="2" s="1"/>
  <c r="H89" i="2" s="1"/>
  <c r="G58" i="2"/>
  <c r="H58" i="2" s="1"/>
  <c r="I58" i="2" s="1"/>
  <c r="I93" i="2" s="1"/>
  <c r="G89" i="2"/>
  <c r="I164" i="2"/>
  <c r="G164" i="2"/>
  <c r="J165" i="2"/>
  <c r="I165" i="2"/>
  <c r="F164" i="2"/>
  <c r="D78" i="2"/>
  <c r="F229" i="2"/>
  <c r="G227" i="2" s="1"/>
  <c r="G229" i="2" s="1"/>
  <c r="E159" i="2"/>
  <c r="I166" i="2"/>
  <c r="E35" i="2"/>
  <c r="E122" i="2" s="1"/>
  <c r="F93" i="2"/>
  <c r="F163" i="2"/>
  <c r="F169" i="2" s="1"/>
  <c r="E271" i="2"/>
  <c r="F251" i="2"/>
  <c r="F252" i="2" s="1"/>
  <c r="F48" i="2" s="1"/>
  <c r="F143" i="2"/>
  <c r="G248" i="2"/>
  <c r="G251" i="2" s="1"/>
  <c r="H100" i="2"/>
  <c r="G172" i="2"/>
  <c r="G175" i="2" s="1"/>
  <c r="F56" i="2"/>
  <c r="H197" i="2"/>
  <c r="J197" i="2"/>
  <c r="F201" i="2"/>
  <c r="F197" i="2"/>
  <c r="G197" i="2"/>
  <c r="I197" i="2"/>
  <c r="C164" i="2"/>
  <c r="G138" i="2"/>
  <c r="G163" i="2" s="1"/>
  <c r="G169" i="2" s="1"/>
  <c r="F188" i="2"/>
  <c r="H165" i="2"/>
  <c r="G69" i="2"/>
  <c r="F88" i="2"/>
  <c r="E41" i="2"/>
  <c r="G165" i="2"/>
  <c r="J164" i="2"/>
  <c r="H164" i="2"/>
  <c r="H180" i="2"/>
  <c r="D42" i="5"/>
  <c r="D44" i="5" s="1"/>
  <c r="D48" i="5" s="1"/>
  <c r="I142" i="2"/>
  <c r="G57" i="2"/>
  <c r="G88" i="2" s="1"/>
  <c r="C23" i="9"/>
  <c r="J166" i="2"/>
  <c r="H166" i="2"/>
  <c r="G15" i="2"/>
  <c r="F124" i="2"/>
  <c r="F118" i="2" s="1"/>
  <c r="F14" i="3"/>
  <c r="F29" i="3" s="1"/>
  <c r="F105" i="2"/>
  <c r="G216" i="2"/>
  <c r="D21" i="2"/>
  <c r="D25" i="2" s="1"/>
  <c r="D40" i="2" s="1"/>
  <c r="F31" i="2"/>
  <c r="F26" i="3" s="1"/>
  <c r="F107" i="2"/>
  <c r="D21" i="8"/>
  <c r="F74" i="2"/>
  <c r="D19" i="8"/>
  <c r="G123" i="2"/>
  <c r="D36" i="2"/>
  <c r="E133" i="2"/>
  <c r="E135" i="2"/>
  <c r="I4" i="9"/>
  <c r="F7" i="9"/>
  <c r="F4" i="9"/>
  <c r="N6" i="9"/>
  <c r="J9" i="9" s="1"/>
  <c r="D20" i="8"/>
  <c r="I6" i="9"/>
  <c r="F5" i="9"/>
  <c r="F6" i="9"/>
  <c r="I5" i="9"/>
  <c r="E37" i="7"/>
  <c r="F3" i="9"/>
  <c r="E41" i="7"/>
  <c r="C6" i="8"/>
  <c r="I3" i="9"/>
  <c r="G6" i="4"/>
  <c r="G9" i="8"/>
  <c r="I7" i="9"/>
  <c r="C24" i="9"/>
  <c r="H93" i="2" l="1"/>
  <c r="G93" i="2"/>
  <c r="F255" i="2"/>
  <c r="F259" i="2" s="1"/>
  <c r="F24" i="2" s="1"/>
  <c r="G94" i="2"/>
  <c r="H69" i="2"/>
  <c r="H172" i="2"/>
  <c r="H175" i="2" s="1"/>
  <c r="G56" i="2"/>
  <c r="J58" i="2"/>
  <c r="J93" i="2" s="1"/>
  <c r="I53" i="2"/>
  <c r="I89" i="2"/>
  <c r="G143" i="2"/>
  <c r="G146" i="2" s="1"/>
  <c r="G255" i="2"/>
  <c r="G259" i="2" s="1"/>
  <c r="G24" i="2" s="1"/>
  <c r="H248" i="2"/>
  <c r="H251" i="2" s="1"/>
  <c r="G252" i="2"/>
  <c r="G48" i="2" s="1"/>
  <c r="H184" i="2"/>
  <c r="I180" i="2"/>
  <c r="H138" i="2"/>
  <c r="C165" i="2"/>
  <c r="F146" i="2"/>
  <c r="F144" i="2"/>
  <c r="H57" i="2"/>
  <c r="J142" i="2"/>
  <c r="I99" i="2"/>
  <c r="I167" i="2"/>
  <c r="J167" i="2"/>
  <c r="F198" i="2"/>
  <c r="F199" i="2" s="1"/>
  <c r="F92" i="2"/>
  <c r="F190" i="2"/>
  <c r="D27" i="2"/>
  <c r="H15" i="2"/>
  <c r="G124" i="2"/>
  <c r="G118" i="2" s="1"/>
  <c r="G14" i="3"/>
  <c r="G103" i="2"/>
  <c r="G105" i="2" s="1"/>
  <c r="H216" i="2"/>
  <c r="F87" i="2"/>
  <c r="G31" i="2"/>
  <c r="F214" i="2"/>
  <c r="F217" i="2" s="1"/>
  <c r="H227" i="2"/>
  <c r="H229" i="2" s="1"/>
  <c r="G74" i="2"/>
  <c r="G116" i="2"/>
  <c r="F49" i="2"/>
  <c r="F117" i="2"/>
  <c r="H123" i="2"/>
  <c r="E40" i="2"/>
  <c r="F40" i="2" s="1"/>
  <c r="E267" i="2"/>
  <c r="E268" i="2" s="1"/>
  <c r="J4" i="9"/>
  <c r="J7" i="9"/>
  <c r="J3" i="9"/>
  <c r="J8" i="9" s="1"/>
  <c r="J10" i="9" s="1"/>
  <c r="J13" i="9" s="1"/>
  <c r="C11" i="9" s="1"/>
  <c r="C13" i="9" s="1"/>
  <c r="E29" i="9" s="1"/>
  <c r="J6" i="9"/>
  <c r="J5" i="9"/>
  <c r="E22" i="8"/>
  <c r="C13" i="8"/>
  <c r="C22" i="8"/>
  <c r="F203" i="2" l="1"/>
  <c r="F204" i="2" s="1"/>
  <c r="F177" i="2"/>
  <c r="F29" i="2" s="1"/>
  <c r="I138" i="2"/>
  <c r="H163" i="2"/>
  <c r="H169" i="2" s="1"/>
  <c r="C166" i="2"/>
  <c r="J180" i="2"/>
  <c r="J184" i="2" s="1"/>
  <c r="I184" i="2"/>
  <c r="J53" i="2"/>
  <c r="J89" i="2" s="1"/>
  <c r="I172" i="2"/>
  <c r="I175" i="2" s="1"/>
  <c r="H56" i="2"/>
  <c r="H94" i="2"/>
  <c r="I69" i="2"/>
  <c r="I28" i="3"/>
  <c r="I100" i="2"/>
  <c r="J99" i="2"/>
  <c r="J168" i="2"/>
  <c r="I57" i="2"/>
  <c r="H88" i="2"/>
  <c r="F52" i="2"/>
  <c r="G141" i="2"/>
  <c r="G144" i="2" s="1"/>
  <c r="G186" i="2"/>
  <c r="F193" i="2"/>
  <c r="F68" i="2" s="1"/>
  <c r="H255" i="2"/>
  <c r="H259" i="2" s="1"/>
  <c r="H24" i="2" s="1"/>
  <c r="I248" i="2"/>
  <c r="I251" i="2" s="1"/>
  <c r="H252" i="2"/>
  <c r="H48" i="2" s="1"/>
  <c r="G29" i="3"/>
  <c r="G15" i="3"/>
  <c r="I15" i="2"/>
  <c r="H14" i="3"/>
  <c r="H124" i="2"/>
  <c r="H118" i="2" s="1"/>
  <c r="H103" i="2"/>
  <c r="H105" i="2" s="1"/>
  <c r="I216" i="2"/>
  <c r="G212" i="2"/>
  <c r="F73" i="2"/>
  <c r="G214" i="2"/>
  <c r="G87" i="2"/>
  <c r="G26" i="3"/>
  <c r="H31" i="2"/>
  <c r="I227" i="2"/>
  <c r="I229" i="2" s="1"/>
  <c r="H74" i="2"/>
  <c r="I123" i="2"/>
  <c r="G16" i="2"/>
  <c r="F22" i="3"/>
  <c r="G40" i="2"/>
  <c r="G49" i="2"/>
  <c r="H116" i="2"/>
  <c r="F50" i="2"/>
  <c r="F90" i="2" s="1"/>
  <c r="G117" i="2"/>
  <c r="C26" i="9"/>
  <c r="D22" i="8"/>
  <c r="J28" i="3" l="1"/>
  <c r="J100" i="2"/>
  <c r="J248" i="2"/>
  <c r="J251" i="2" s="1"/>
  <c r="I255" i="2"/>
  <c r="I259" i="2" s="1"/>
  <c r="I24" i="2" s="1"/>
  <c r="I252" i="2"/>
  <c r="I48" i="2" s="1"/>
  <c r="J172" i="2"/>
  <c r="J175" i="2" s="1"/>
  <c r="J56" i="2" s="1"/>
  <c r="I56" i="2"/>
  <c r="H141" i="2"/>
  <c r="G52" i="2"/>
  <c r="J138" i="2"/>
  <c r="C167" i="2"/>
  <c r="I163" i="2"/>
  <c r="I169" i="2" s="1"/>
  <c r="J69" i="2"/>
  <c r="J94" i="2" s="1"/>
  <c r="I94" i="2"/>
  <c r="G188" i="2"/>
  <c r="H143" i="2"/>
  <c r="H146" i="2" s="1"/>
  <c r="J57" i="2"/>
  <c r="J88" i="2" s="1"/>
  <c r="I88" i="2"/>
  <c r="F25" i="3"/>
  <c r="F85" i="2"/>
  <c r="F54" i="2"/>
  <c r="G201" i="2"/>
  <c r="H29" i="3"/>
  <c r="H15" i="3"/>
  <c r="I14" i="3"/>
  <c r="I124" i="2"/>
  <c r="I118" i="2" s="1"/>
  <c r="J15" i="2"/>
  <c r="I103" i="2"/>
  <c r="I105" i="2" s="1"/>
  <c r="J216" i="2"/>
  <c r="J103" i="2" s="1"/>
  <c r="J105" i="2" s="1"/>
  <c r="I31" i="2"/>
  <c r="H214" i="2"/>
  <c r="H26" i="3"/>
  <c r="H87" i="2"/>
  <c r="G217" i="2"/>
  <c r="G50" i="2"/>
  <c r="G90" i="2" s="1"/>
  <c r="J227" i="2"/>
  <c r="J229" i="2" s="1"/>
  <c r="J74" i="2" s="1"/>
  <c r="I74" i="2"/>
  <c r="H117" i="2"/>
  <c r="G17" i="2"/>
  <c r="G135" i="2"/>
  <c r="G129" i="2" s="1"/>
  <c r="H40" i="2"/>
  <c r="G22" i="3"/>
  <c r="H16" i="2"/>
  <c r="J123" i="2"/>
  <c r="I116" i="2"/>
  <c r="H49" i="2"/>
  <c r="H144" i="2" l="1"/>
  <c r="G198" i="2"/>
  <c r="G199" i="2" s="1"/>
  <c r="G92" i="2"/>
  <c r="G190" i="2"/>
  <c r="I143" i="2"/>
  <c r="I146" i="2" s="1"/>
  <c r="C168" i="2"/>
  <c r="J163" i="2"/>
  <c r="J169" i="2" s="1"/>
  <c r="I141" i="2"/>
  <c r="I144" i="2" s="1"/>
  <c r="H52" i="2"/>
  <c r="J252" i="2"/>
  <c r="J48" i="2" s="1"/>
  <c r="J255" i="2"/>
  <c r="J259" i="2" s="1"/>
  <c r="J124" i="2"/>
  <c r="J118" i="2" s="1"/>
  <c r="J49" i="2" s="1"/>
  <c r="J14" i="3"/>
  <c r="I29" i="3"/>
  <c r="I15" i="3"/>
  <c r="G73" i="2"/>
  <c r="H212" i="2"/>
  <c r="H217" i="2" s="1"/>
  <c r="I87" i="2"/>
  <c r="I214" i="2"/>
  <c r="I26" i="3"/>
  <c r="J31" i="2"/>
  <c r="J16" i="2"/>
  <c r="I16" i="2"/>
  <c r="I40" i="2"/>
  <c r="H22" i="3"/>
  <c r="H127" i="2"/>
  <c r="G61" i="2"/>
  <c r="N15" i="2"/>
  <c r="G21" i="2"/>
  <c r="I49" i="2"/>
  <c r="J116" i="2"/>
  <c r="I117" i="2"/>
  <c r="H133" i="2"/>
  <c r="H17" i="2"/>
  <c r="H135" i="2"/>
  <c r="H129" i="2" s="1"/>
  <c r="H50" i="2"/>
  <c r="H90" i="2" s="1"/>
  <c r="J141" i="2" l="1"/>
  <c r="I52" i="2"/>
  <c r="J143" i="2"/>
  <c r="J146" i="2" s="1"/>
  <c r="G193" i="2"/>
  <c r="G68" i="2" s="1"/>
  <c r="G70" i="2" s="1"/>
  <c r="H186" i="2"/>
  <c r="G203" i="2"/>
  <c r="G204" i="2" s="1"/>
  <c r="G177" i="2"/>
  <c r="G29" i="2" s="1"/>
  <c r="J117" i="2"/>
  <c r="J29" i="3"/>
  <c r="J15" i="3"/>
  <c r="J26" i="3"/>
  <c r="J214" i="2"/>
  <c r="J87" i="2"/>
  <c r="I212" i="2"/>
  <c r="I217" i="2" s="1"/>
  <c r="H73" i="2"/>
  <c r="I50" i="2"/>
  <c r="J50" i="2" s="1"/>
  <c r="G33" i="3"/>
  <c r="H61" i="2"/>
  <c r="I127" i="2"/>
  <c r="H128" i="2"/>
  <c r="H21" i="2"/>
  <c r="O15" i="2"/>
  <c r="I22" i="3"/>
  <c r="J40" i="2"/>
  <c r="J22" i="3" s="1"/>
  <c r="G18" i="3"/>
  <c r="N16" i="2"/>
  <c r="G25" i="2"/>
  <c r="I17" i="2"/>
  <c r="I135" i="2"/>
  <c r="I129" i="2" s="1"/>
  <c r="I133" i="2"/>
  <c r="J135" i="2"/>
  <c r="J129" i="2" s="1"/>
  <c r="J17" i="2"/>
  <c r="J133" i="2"/>
  <c r="G25" i="3" l="1"/>
  <c r="G85" i="2"/>
  <c r="G54" i="2"/>
  <c r="H201" i="2"/>
  <c r="H188" i="2"/>
  <c r="H190" i="2"/>
  <c r="G30" i="2"/>
  <c r="G32" i="2" s="1"/>
  <c r="J144" i="2"/>
  <c r="J52" i="2" s="1"/>
  <c r="I90" i="2"/>
  <c r="I73" i="2"/>
  <c r="J212" i="2"/>
  <c r="J217" i="2" s="1"/>
  <c r="J73" i="2" s="1"/>
  <c r="J90" i="2"/>
  <c r="H91" i="2"/>
  <c r="H33" i="3"/>
  <c r="H27" i="3" s="1"/>
  <c r="I21" i="2"/>
  <c r="P15" i="2"/>
  <c r="G26" i="2"/>
  <c r="G27" i="2" s="1"/>
  <c r="G19" i="3"/>
  <c r="G21" i="3"/>
  <c r="G23" i="3" s="1"/>
  <c r="J61" i="2"/>
  <c r="J21" i="2"/>
  <c r="Q15" i="2"/>
  <c r="H18" i="3"/>
  <c r="H25" i="2"/>
  <c r="O16" i="2"/>
  <c r="I128" i="2"/>
  <c r="I61" i="2"/>
  <c r="J127" i="2"/>
  <c r="J128" i="2" s="1"/>
  <c r="G16" i="3" l="1"/>
  <c r="G17" i="3" s="1"/>
  <c r="H193" i="2"/>
  <c r="H68" i="2" s="1"/>
  <c r="H70" i="2" s="1"/>
  <c r="I186" i="2"/>
  <c r="H198" i="2"/>
  <c r="H199" i="2" s="1"/>
  <c r="H92" i="2"/>
  <c r="F16" i="5"/>
  <c r="G267" i="2"/>
  <c r="G268" i="2" s="1"/>
  <c r="F16" i="4" s="1"/>
  <c r="G84" i="2"/>
  <c r="N17" i="2"/>
  <c r="G222" i="2"/>
  <c r="I91" i="2"/>
  <c r="I33" i="3"/>
  <c r="I27" i="3" s="1"/>
  <c r="H21" i="3"/>
  <c r="H23" i="3" s="1"/>
  <c r="H19" i="3"/>
  <c r="H26" i="2"/>
  <c r="H27" i="2" s="1"/>
  <c r="I25" i="2"/>
  <c r="I18" i="3"/>
  <c r="P16" i="2"/>
  <c r="J25" i="2"/>
  <c r="Q16" i="2"/>
  <c r="J18" i="3"/>
  <c r="J91" i="2"/>
  <c r="J33" i="3"/>
  <c r="H203" i="2" l="1"/>
  <c r="H204" i="2" s="1"/>
  <c r="H177" i="2"/>
  <c r="H29" i="2" s="1"/>
  <c r="I188" i="2"/>
  <c r="I190" i="2"/>
  <c r="J27" i="3"/>
  <c r="O17" i="2"/>
  <c r="H267" i="2"/>
  <c r="H268" i="2" s="1"/>
  <c r="G16" i="4" s="1"/>
  <c r="H222" i="2"/>
  <c r="H84" i="2"/>
  <c r="G16" i="5"/>
  <c r="J26" i="2"/>
  <c r="J27" i="2" s="1"/>
  <c r="J19" i="3"/>
  <c r="J21" i="3"/>
  <c r="J23" i="3" s="1"/>
  <c r="I21" i="3"/>
  <c r="I23" i="3" s="1"/>
  <c r="I19" i="3"/>
  <c r="I26" i="2"/>
  <c r="I27" i="2" s="1"/>
  <c r="J186" i="2" l="1"/>
  <c r="I193" i="2"/>
  <c r="I68" i="2" s="1"/>
  <c r="I70" i="2" s="1"/>
  <c r="I198" i="2"/>
  <c r="I199" i="2" s="1"/>
  <c r="I92" i="2"/>
  <c r="H25" i="3"/>
  <c r="H31" i="3" s="1"/>
  <c r="H32" i="3" s="1"/>
  <c r="H85" i="2"/>
  <c r="H95" i="2" s="1"/>
  <c r="H109" i="2" s="1"/>
  <c r="H30" i="2"/>
  <c r="H54" i="2"/>
  <c r="I201" i="2"/>
  <c r="J267" i="2"/>
  <c r="J268" i="2" s="1"/>
  <c r="I16" i="4" s="1"/>
  <c r="Q17" i="2"/>
  <c r="J222" i="2"/>
  <c r="J84" i="2"/>
  <c r="H16" i="5"/>
  <c r="P17" i="2"/>
  <c r="I222" i="2"/>
  <c r="I84" i="2"/>
  <c r="I267" i="2"/>
  <c r="I268" i="2" s="1"/>
  <c r="H16" i="4" s="1"/>
  <c r="I16" i="5"/>
  <c r="H38" i="3" l="1"/>
  <c r="H39" i="3" s="1"/>
  <c r="H32" i="2"/>
  <c r="H16" i="3"/>
  <c r="H17" i="3" s="1"/>
  <c r="I203" i="2"/>
  <c r="I204" i="2" s="1"/>
  <c r="I177" i="2"/>
  <c r="I29" i="2" s="1"/>
  <c r="J188" i="2"/>
  <c r="J190" i="2"/>
  <c r="J193" i="2" s="1"/>
  <c r="J68" i="2" s="1"/>
  <c r="J70" i="2" s="1"/>
  <c r="J16" i="5"/>
  <c r="I54" i="2" l="1"/>
  <c r="J201" i="2"/>
  <c r="J198" i="2"/>
  <c r="J199" i="2" s="1"/>
  <c r="J92" i="2"/>
  <c r="I25" i="3"/>
  <c r="I31" i="3" s="1"/>
  <c r="I85" i="2"/>
  <c r="I95" i="2" s="1"/>
  <c r="I109" i="2" s="1"/>
  <c r="I30" i="2"/>
  <c r="I16" i="3" l="1"/>
  <c r="I17" i="3" s="1"/>
  <c r="I32" i="2"/>
  <c r="I32" i="3"/>
  <c r="I38" i="3"/>
  <c r="I39" i="3" s="1"/>
  <c r="J203" i="2"/>
  <c r="J177" i="2"/>
  <c r="J29" i="2" s="1"/>
  <c r="J204" i="2"/>
  <c r="J54" i="2" s="1"/>
  <c r="J25" i="3" l="1"/>
  <c r="J31" i="3" s="1"/>
  <c r="J85" i="2"/>
  <c r="J95" i="2" s="1"/>
  <c r="J109" i="2" s="1"/>
  <c r="J30" i="2"/>
  <c r="D43" i="3" l="1"/>
  <c r="D44" i="3" s="1"/>
  <c r="J38" i="3"/>
  <c r="J39" i="3" s="1"/>
  <c r="D46" i="3" s="1"/>
  <c r="J32" i="3"/>
  <c r="J16" i="3"/>
  <c r="J17" i="3" s="1"/>
  <c r="J32" i="2"/>
  <c r="D51" i="3" l="1"/>
  <c r="D45" i="3"/>
  <c r="D47" i="3" l="1"/>
  <c r="D49" i="3" s="1"/>
  <c r="D66" i="3" l="1"/>
  <c r="D50" i="3"/>
  <c r="D68" i="3" l="1"/>
  <c r="D70" i="3" s="1"/>
  <c r="D73" i="3"/>
  <c r="C81" i="3" l="1"/>
  <c r="C3" i="8"/>
  <c r="C10" i="8" s="1"/>
  <c r="F16" i="2"/>
  <c r="F135" i="2" s="1"/>
  <c r="F129" i="2" s="1"/>
  <c r="F133" i="2"/>
  <c r="F61" i="2" l="1"/>
  <c r="G127" i="2"/>
  <c r="G128" i="2" s="1"/>
  <c r="F128" i="2"/>
  <c r="G133" i="2"/>
  <c r="F17" i="2"/>
  <c r="F21" i="2" l="1"/>
  <c r="M15" i="2"/>
  <c r="R15" i="2" s="1"/>
  <c r="F70" i="2"/>
  <c r="F91" i="2"/>
  <c r="F33" i="3"/>
  <c r="G91" i="2"/>
  <c r="G95" i="2" s="1"/>
  <c r="G109" i="2" s="1"/>
  <c r="G27" i="3" l="1"/>
  <c r="G31" i="3" s="1"/>
  <c r="F27" i="3"/>
  <c r="M16" i="2"/>
  <c r="R16" i="2" s="1"/>
  <c r="F25" i="2"/>
  <c r="F18" i="3"/>
  <c r="F30" i="2"/>
  <c r="F32" i="2" l="1"/>
  <c r="F16" i="3"/>
  <c r="F26" i="2"/>
  <c r="F27" i="2" s="1"/>
  <c r="F19" i="3"/>
  <c r="D75" i="3"/>
  <c r="F21" i="3"/>
  <c r="F23" i="3" s="1"/>
  <c r="G32" i="3"/>
  <c r="G38" i="3"/>
  <c r="G39" i="3" s="1"/>
  <c r="F31" i="3" l="1"/>
  <c r="F32" i="3" s="1"/>
  <c r="E16" i="5"/>
  <c r="M17" i="2"/>
  <c r="R17" i="2" s="1"/>
  <c r="F84" i="2"/>
  <c r="F95" i="2" s="1"/>
  <c r="F109" i="2" s="1"/>
  <c r="F47" i="2" s="1"/>
  <c r="F222" i="2"/>
  <c r="F223" i="2" s="1"/>
  <c r="F267" i="2"/>
  <c r="F268" i="2" s="1"/>
  <c r="E16" i="4" s="1"/>
  <c r="D74" i="3"/>
  <c r="F17" i="3"/>
  <c r="G221" i="2" l="1"/>
  <c r="G223" i="2" s="1"/>
  <c r="F75" i="2"/>
  <c r="F59" i="2"/>
  <c r="G47" i="2"/>
  <c r="E17" i="5" l="1"/>
  <c r="D28" i="5" s="1"/>
  <c r="F270" i="2"/>
  <c r="F271" i="2" s="1"/>
  <c r="E17" i="4" s="1"/>
  <c r="F17" i="4" s="1"/>
  <c r="F76" i="2"/>
  <c r="F78" i="2" s="1"/>
  <c r="H47" i="2"/>
  <c r="G59" i="2"/>
  <c r="H221" i="2"/>
  <c r="H223" i="2" s="1"/>
  <c r="G75" i="2"/>
  <c r="G270" i="2" l="1"/>
  <c r="G271" i="2" s="1"/>
  <c r="G76" i="2"/>
  <c r="F17" i="5"/>
  <c r="I221" i="2"/>
  <c r="I223" i="2" s="1"/>
  <c r="H75" i="2"/>
  <c r="I47" i="2"/>
  <c r="H59" i="2"/>
  <c r="D27" i="4"/>
  <c r="G17" i="4"/>
  <c r="F18" i="4"/>
  <c r="F19" i="4" s="1"/>
  <c r="G78" i="2"/>
  <c r="I59" i="2" l="1"/>
  <c r="J47" i="2"/>
  <c r="J59" i="2" s="1"/>
  <c r="H76" i="2"/>
  <c r="H78" i="2" s="1"/>
  <c r="G17" i="5"/>
  <c r="H270" i="2"/>
  <c r="H271" i="2" s="1"/>
  <c r="J221" i="2"/>
  <c r="J223" i="2" s="1"/>
  <c r="J75" i="2" s="1"/>
  <c r="I75" i="2"/>
  <c r="G18" i="4"/>
  <c r="G19" i="4" s="1"/>
  <c r="H17" i="4"/>
  <c r="F18" i="5"/>
  <c r="F19" i="5" s="1"/>
  <c r="F20" i="5" s="1"/>
  <c r="J270" i="2" l="1"/>
  <c r="J271" i="2" s="1"/>
  <c r="J76" i="2"/>
  <c r="I17" i="5"/>
  <c r="H18" i="4"/>
  <c r="H19" i="4" s="1"/>
  <c r="I17" i="4"/>
  <c r="I18" i="4" s="1"/>
  <c r="I270" i="2"/>
  <c r="I271" i="2" s="1"/>
  <c r="H17" i="5"/>
  <c r="I76" i="2"/>
  <c r="G18" i="5"/>
  <c r="G19" i="5" s="1"/>
  <c r="G20" i="5" s="1"/>
  <c r="J78" i="2"/>
  <c r="I78" i="2"/>
  <c r="D23" i="4" l="1"/>
  <c r="D24" i="4" s="1"/>
  <c r="D25" i="4" s="1"/>
  <c r="I19" i="4"/>
  <c r="D26" i="4" s="1"/>
  <c r="H18" i="5"/>
  <c r="H19" i="5" s="1"/>
  <c r="H20" i="5" s="1"/>
  <c r="I18" i="5"/>
  <c r="I19" i="5" s="1"/>
  <c r="I20" i="5" s="1"/>
  <c r="D24" i="5" s="1"/>
  <c r="D25" i="5" s="1"/>
  <c r="D26" i="5" s="1"/>
  <c r="D27" i="5" l="1"/>
  <c r="D29" i="5" s="1"/>
  <c r="D47" i="5" s="1"/>
  <c r="D49" i="5" s="1"/>
  <c r="D51" i="5" s="1"/>
  <c r="D28" i="4"/>
  <c r="D31" i="5" l="1"/>
  <c r="C5" i="8"/>
  <c r="C12" i="8" s="1"/>
  <c r="C57" i="5"/>
  <c r="C43" i="4"/>
  <c r="C4" i="8"/>
  <c r="C11" i="8" s="1"/>
  <c r="C34" i="4"/>
  <c r="D32" i="5"/>
  <c r="C14" i="8" l="1"/>
  <c r="G10" i="8" s="1"/>
  <c r="G1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Arnav Mathur</author>
  </authors>
  <commentList>
    <comment ref="B79" authorId="0" shapeId="0" xr:uid="{5850E893-DBF0-4CB2-B633-400228CFFDE2}">
      <text>
        <r>
          <rPr>
            <b/>
            <sz val="9"/>
            <color indexed="81"/>
            <rFont val="Tahoma"/>
            <family val="2"/>
          </rPr>
          <t>Arnav Mathur:</t>
        </r>
        <r>
          <rPr>
            <sz val="9"/>
            <color indexed="81"/>
            <rFont val="Tahoma"/>
            <family val="2"/>
          </rPr>
          <t xml:space="preserve">
Preferred stock, $0.001 par value; 5,000 shares authorized, no shares issued and outstanding as of December 31, 2025 and 2024
</t>
        </r>
      </text>
    </comment>
    <comment ref="B80" authorId="0" shapeId="0" xr:uid="{61963FC7-9EFA-4490-A104-FB492E825730}">
      <text>
        <r>
          <rPr>
            <b/>
            <sz val="9"/>
            <color indexed="81"/>
            <rFont val="Tahoma"/>
            <family val="2"/>
          </rPr>
          <t>Arnav Mathur:</t>
        </r>
        <r>
          <rPr>
            <sz val="9"/>
            <color indexed="81"/>
            <rFont val="Tahoma"/>
            <family val="2"/>
          </rPr>
          <t xml:space="preserve">
Common stock, $0.001 par value; 450,000 shares authorized, 77,194 shares and 75,808 shares issued and outstanding as of December 31, 2025 and2024, respectively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Kian Sumida</author>
    <author>Sumida, Kian (Student)</author>
  </authors>
  <commentList>
    <comment ref="F38" authorId="0" shapeId="0" xr:uid="{47796304-A027-413D-A6A6-F370BB59DBEC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Assumes lower SG&amp;A as they close litigation cases</t>
        </r>
      </text>
    </comment>
    <comment ref="G38" authorId="0" shapeId="0" xr:uid="{D1AC742F-88B4-4F92-B35F-DDC3055B267F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Assumes lower SG&amp;A as they close litigation cases</t>
        </r>
      </text>
    </comment>
    <comment ref="C91" authorId="0" shapeId="0" xr:uid="{B8249BE5-C2E1-442C-9628-9F9D6030F222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Include operating lease liability</t>
        </r>
      </text>
    </comment>
    <comment ref="C142" authorId="1" shapeId="0" xr:uid="{F372B8B6-C156-4D6E-96A6-107F90606831}">
      <text>
        <r>
          <rPr>
            <b/>
            <sz val="9"/>
            <color rgb="FF000000"/>
            <rFont val="Tahoma"/>
            <family val="2"/>
          </rPr>
          <t>Sumida, Kian (Student):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Bloomberg estimate till 27 then grow with rev
</t>
        </r>
      </text>
    </comment>
    <comment ref="F142" authorId="1" shapeId="0" xr:uid="{ED3893D7-2AC2-462B-8DE1-E64B62440109}">
      <text>
        <r>
          <rPr>
            <b/>
            <sz val="9"/>
            <color indexed="81"/>
            <rFont val="Tahoma"/>
            <family val="2"/>
          </rPr>
          <t>Sumida, Kian (Student):</t>
        </r>
        <r>
          <rPr>
            <sz val="9"/>
            <color indexed="81"/>
            <rFont val="Tahoma"/>
            <family val="2"/>
          </rPr>
          <t xml:space="preserve">
average of analyst consensus
</t>
        </r>
      </text>
    </comment>
    <comment ref="C215" authorId="1" shapeId="0" xr:uid="{37A6FAD9-68DA-42A7-A876-C02055F29D68}">
      <text>
        <r>
          <rPr>
            <b/>
            <sz val="9"/>
            <color indexed="81"/>
            <rFont val="Tahoma"/>
            <family val="2"/>
          </rPr>
          <t>Sumida, Kian (Student):</t>
        </r>
        <r>
          <rPr>
            <sz val="9"/>
            <color indexed="81"/>
            <rFont val="Tahoma"/>
            <family val="2"/>
          </rPr>
          <t xml:space="preserve">
flows right into CF statement item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Kian Sumida</author>
    <author>Sumida, Kian (Student)</author>
  </authors>
  <commentList>
    <comment ref="C8" authorId="0" shapeId="0" xr:uid="{8B3531E8-4C6C-6A4E-9CF9-6714B93F4A5E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do yearfrac, once 2025 financials come out </t>
        </r>
      </text>
    </comment>
    <comment ref="E11" authorId="1" shapeId="0" xr:uid="{68767539-0975-034F-B602-6B2986048973}">
      <text>
        <r>
          <rPr>
            <b/>
            <sz val="9"/>
            <color rgb="FF000000"/>
            <rFont val="Tahoma"/>
            <family val="2"/>
          </rPr>
          <t>Sumida, Kian (Student):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actual might not come out until mid Feb, so using mean analyst estimates from Bloomberg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Kian Sumida</author>
  </authors>
  <commentList>
    <comment ref="B17" authorId="0" shapeId="0" xr:uid="{B540B63A-39DC-C446-8B95-C4A20C144F33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since RIM is meant to get rid of forecast error, not inluding effect of share buyback in BVPS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<sst xmlns="http://schemas.openxmlformats.org/spreadsheetml/2006/main" count="726" uniqueCount="500">
  <si>
    <t>Net income</t>
  </si>
  <si>
    <t>Depreciation and amortization</t>
  </si>
  <si>
    <t>Accretion of discount on short-term investments</t>
  </si>
  <si>
    <t>Stock-based compensation</t>
  </si>
  <si>
    <t>Deferred income taxes</t>
  </si>
  <si>
    <t>Changes in operating assets and liabilities:</t>
  </si>
  <si>
    <t>Research and development</t>
  </si>
  <si>
    <t>Accounts receivable</t>
  </si>
  <si>
    <t>Sales and marketing</t>
  </si>
  <si>
    <t>Unbilled accounts receivable</t>
  </si>
  <si>
    <t>General and administrative</t>
  </si>
  <si>
    <t>Total operating expenses</t>
  </si>
  <si>
    <t>Accounts payable</t>
  </si>
  <si>
    <t>Accrued expenses and other current liabilities</t>
  </si>
  <si>
    <t>Income tax payable</t>
  </si>
  <si>
    <t>Deferred revenue</t>
  </si>
  <si>
    <t>Lease liabilities</t>
  </si>
  <si>
    <t>Other long-term liabilities</t>
  </si>
  <si>
    <t>Basic</t>
  </si>
  <si>
    <t>Net cash provided by operating activities</t>
  </si>
  <si>
    <t>Diluted</t>
  </si>
  <si>
    <t>Proceeds from exercise of common stock options</t>
  </si>
  <si>
    <t>Repurchases of common stock</t>
  </si>
  <si>
    <t>Taxes paid related to net share settlement of equity awards</t>
  </si>
  <si>
    <t>Net cash (used in) provided by financing activities</t>
  </si>
  <si>
    <t>Cash and cash equivalents</t>
  </si>
  <si>
    <t>BALANCE SHEET</t>
  </si>
  <si>
    <t>Fiscal year</t>
  </si>
  <si>
    <t>Fiscal year end date</t>
  </si>
  <si>
    <t>Short-term investments</t>
  </si>
  <si>
    <t>Prepaid expenses and other current assets</t>
  </si>
  <si>
    <t>Property and equipment, net</t>
  </si>
  <si>
    <t>Deferred costs, net</t>
  </si>
  <si>
    <t>Lease right-of-use assets</t>
  </si>
  <si>
    <t>Goodwill</t>
  </si>
  <si>
    <t>Intangible assets, net</t>
  </si>
  <si>
    <t>Other long-term assets</t>
  </si>
  <si>
    <t>Total assets</t>
  </si>
  <si>
    <t>Current liabilities:</t>
  </si>
  <si>
    <t>Accrued compensation and benefits</t>
  </si>
  <si>
    <t>Total current liabilities</t>
  </si>
  <si>
    <t>Long-term lease liabilities</t>
  </si>
  <si>
    <t>Total liabilities</t>
  </si>
  <si>
    <t>Stockholders’ equity:</t>
  </si>
  <si>
    <t>Common stock</t>
  </si>
  <si>
    <t>Additional paid-in capital</t>
  </si>
  <si>
    <t>Accumulated other comprehensive income (loss)</t>
  </si>
  <si>
    <t>Retained earnings</t>
  </si>
  <si>
    <t>Total stockholders’ equity</t>
  </si>
  <si>
    <t>CASH FLOW STATEMENT</t>
  </si>
  <si>
    <t>3 yr average</t>
  </si>
  <si>
    <t>—</t>
  </si>
  <si>
    <t xml:space="preserve">Interest Income </t>
  </si>
  <si>
    <t>X</t>
  </si>
  <si>
    <t>$ thousands, except XX</t>
  </si>
  <si>
    <t>Company name</t>
  </si>
  <si>
    <t>Operating lease discount rate</t>
  </si>
  <si>
    <t>Ticker</t>
  </si>
  <si>
    <t xml:space="preserve">Weighted avg. lease life </t>
  </si>
  <si>
    <t>Circuit breaker (1=off)</t>
  </si>
  <si>
    <t xml:space="preserve">Last closing share price </t>
  </si>
  <si>
    <t xml:space="preserve">Last fiscal year end date </t>
  </si>
  <si>
    <t>INCOME STATEMENT</t>
  </si>
  <si>
    <t xml:space="preserve">Fiscal Year </t>
  </si>
  <si>
    <t xml:space="preserve">%Change </t>
  </si>
  <si>
    <t xml:space="preserve">Revenue </t>
  </si>
  <si>
    <t xml:space="preserve">Gross Profit Margin </t>
  </si>
  <si>
    <t>COGS</t>
  </si>
  <si>
    <t xml:space="preserve">Operating Margin </t>
  </si>
  <si>
    <t>Gross Profit</t>
  </si>
  <si>
    <t xml:space="preserve">Profit Margin </t>
  </si>
  <si>
    <t>Operating Profit</t>
  </si>
  <si>
    <t xml:space="preserve">Interest Expense </t>
  </si>
  <si>
    <t>Pretax Profit</t>
  </si>
  <si>
    <t>Tax</t>
  </si>
  <si>
    <t xml:space="preserve">Net Income </t>
  </si>
  <si>
    <t xml:space="preserve">Depreciation &amp; Amortization </t>
  </si>
  <si>
    <t>EBITDA</t>
  </si>
  <si>
    <t xml:space="preserve">Stock based compensation </t>
  </si>
  <si>
    <t>Adjusted EBITDA</t>
  </si>
  <si>
    <t>Growth rates &amp; margins</t>
  </si>
  <si>
    <t>Revenue growth</t>
  </si>
  <si>
    <t>Gross profit margin</t>
  </si>
  <si>
    <t>Tax rate</t>
  </si>
  <si>
    <t>Stock based compensation growth</t>
  </si>
  <si>
    <t>Balance Check</t>
  </si>
  <si>
    <t xml:space="preserve">Deferred cost adjustment </t>
  </si>
  <si>
    <t>Change in working capital assets</t>
  </si>
  <si>
    <t>Change in working capital liabilities</t>
  </si>
  <si>
    <t>Operating Lease liability</t>
  </si>
  <si>
    <t>other noncurrent assets</t>
  </si>
  <si>
    <t>other noncurrent liabilities</t>
  </si>
  <si>
    <t>Cash from operating activities</t>
  </si>
  <si>
    <t xml:space="preserve">Maturity of short term investments </t>
  </si>
  <si>
    <t xml:space="preserve">Purchase of short term investments </t>
  </si>
  <si>
    <t>Capital expenditures</t>
  </si>
  <si>
    <t>Cash from investing activities</t>
  </si>
  <si>
    <t>Issuance of common stock upon exercise</t>
  </si>
  <si>
    <t>Net cash provided by financing activities</t>
  </si>
  <si>
    <t>Effect of exchange rate changes on cash, cash equivalents</t>
  </si>
  <si>
    <t xml:space="preserve">Net change in cash during period </t>
  </si>
  <si>
    <t>WORKING CAPITAL</t>
  </si>
  <si>
    <t>ACCOUNTS RECEIVABLE</t>
  </si>
  <si>
    <t xml:space="preserve">Beginning of period </t>
  </si>
  <si>
    <t>Increases / (decreases)</t>
  </si>
  <si>
    <t xml:space="preserve">End of period </t>
  </si>
  <si>
    <t>A/R forecasting approach</t>
  </si>
  <si>
    <t xml:space="preserve">Approach 1: Grow with revenue </t>
  </si>
  <si>
    <t xml:space="preserve">Step down </t>
  </si>
  <si>
    <t>Approach 2: DSO assumption</t>
  </si>
  <si>
    <t>ACCOUNT PAYABLE</t>
  </si>
  <si>
    <t>Approach 1: Grow with COGS</t>
  </si>
  <si>
    <t>Approach 2: DPO assumption</t>
  </si>
  <si>
    <t xml:space="preserve">3 yr average </t>
  </si>
  <si>
    <t>PROPERTY, PLANT, EQUIPMENT</t>
  </si>
  <si>
    <t xml:space="preserve">Assumption, may change </t>
  </si>
  <si>
    <t>Depreciation</t>
  </si>
  <si>
    <t>End of period</t>
  </si>
  <si>
    <t>D&amp;A related to PP&amp;E as a % of capex</t>
  </si>
  <si>
    <t xml:space="preserve">Depreciation waterfall </t>
  </si>
  <si>
    <t>Useful Life</t>
  </si>
  <si>
    <t xml:space="preserve">Building </t>
  </si>
  <si>
    <t xml:space="preserve">Land improvements and buildings improvements </t>
  </si>
  <si>
    <t xml:space="preserve">Equipment and computers </t>
  </si>
  <si>
    <t xml:space="preserve">furniture and fixtures </t>
  </si>
  <si>
    <t xml:space="preserve">leasehold improvements </t>
  </si>
  <si>
    <t>construction in progress</t>
  </si>
  <si>
    <t>Gross PP&amp;E excluding land</t>
  </si>
  <si>
    <t xml:space="preserve">Non-depreciable PP&amp;E </t>
  </si>
  <si>
    <t>Accumulated depreciation</t>
  </si>
  <si>
    <t xml:space="preserve">Net PP&amp;E </t>
  </si>
  <si>
    <t xml:space="preserve">Average useful life </t>
  </si>
  <si>
    <t xml:space="preserve">Depreciation form existing PP&amp;E </t>
  </si>
  <si>
    <t>Midyear adj.</t>
  </si>
  <si>
    <t xml:space="preserve">Total depreciation </t>
  </si>
  <si>
    <t xml:space="preserve">INTANGIBLE ASSETS </t>
  </si>
  <si>
    <t>Beginning of period</t>
  </si>
  <si>
    <t xml:space="preserve">Amortization of intangible assets </t>
  </si>
  <si>
    <t>pulled from 10-K</t>
  </si>
  <si>
    <t>Additions</t>
  </si>
  <si>
    <t>Total Depreciation &amp; Amortization</t>
  </si>
  <si>
    <t>OPERATING LEASE</t>
  </si>
  <si>
    <t xml:space="preserve">Payments Due </t>
  </si>
  <si>
    <t>PV @ 4.8% discount rate</t>
  </si>
  <si>
    <t xml:space="preserve">Additions </t>
  </si>
  <si>
    <t xml:space="preserve">Assumption may change </t>
  </si>
  <si>
    <t xml:space="preserve">Interest </t>
  </si>
  <si>
    <t xml:space="preserve">Cash payment </t>
  </si>
  <si>
    <t xml:space="preserve">End of Period </t>
  </si>
  <si>
    <t xml:space="preserve">Short term lease liability </t>
  </si>
  <si>
    <t xml:space="preserve">Long term lease liability </t>
  </si>
  <si>
    <t>RIGHT-OF-USE ASSETS</t>
  </si>
  <si>
    <t xml:space="preserve">Annual lease expense </t>
  </si>
  <si>
    <t>Amortization</t>
  </si>
  <si>
    <t>EQUITY ITEMS</t>
  </si>
  <si>
    <t>ADDITIONAL PAID IN CAPITAL</t>
  </si>
  <si>
    <t xml:space="preserve">issuance of common stock </t>
  </si>
  <si>
    <t xml:space="preserve">stock based compensation </t>
  </si>
  <si>
    <t>Shares withheld related to net share settlement</t>
  </si>
  <si>
    <t>Shares repurchased</t>
  </si>
  <si>
    <t xml:space="preserve">Straight lines, but can change </t>
  </si>
  <si>
    <t xml:space="preserve">RETAINED EARNINGS </t>
  </si>
  <si>
    <t>ACCUMULATED OTHER COMPREHENSIVE INCOME / LOSS</t>
  </si>
  <si>
    <t>other compressive loss</t>
  </si>
  <si>
    <t xml:space="preserve">OTHER INCOME </t>
  </si>
  <si>
    <t xml:space="preserve">SHORT TERM INVESTMENTS </t>
  </si>
  <si>
    <t xml:space="preserve">Years until maturity </t>
  </si>
  <si>
    <t xml:space="preserve">Due this year </t>
  </si>
  <si>
    <t xml:space="preserve">Due in greater than one year </t>
  </si>
  <si>
    <t xml:space="preserve">Maturity of existing Short-term investments </t>
  </si>
  <si>
    <t>Maturity of Short-term investments from 2027</t>
  </si>
  <si>
    <t>Maturity of Short-term investments from 2028</t>
  </si>
  <si>
    <t>Maturity of Short-term investments from 2029</t>
  </si>
  <si>
    <t>Purchases</t>
  </si>
  <si>
    <t>Principal payment received</t>
  </si>
  <si>
    <t xml:space="preserve">End of Period prior to accretion </t>
  </si>
  <si>
    <t xml:space="preserve">Interest rate </t>
  </si>
  <si>
    <t xml:space="preserve">Interest income </t>
  </si>
  <si>
    <t xml:space="preserve">Accretion on investments </t>
  </si>
  <si>
    <t xml:space="preserve">Total Other Income </t>
  </si>
  <si>
    <t>PER SHARE METRICS</t>
  </si>
  <si>
    <t>Step Up</t>
  </si>
  <si>
    <t xml:space="preserve">Diluted shares outstanding </t>
  </si>
  <si>
    <t xml:space="preserve">Net income </t>
  </si>
  <si>
    <t>Diliuted EPS</t>
  </si>
  <si>
    <t xml:space="preserve">Book Value </t>
  </si>
  <si>
    <t>BVPS</t>
  </si>
  <si>
    <t>Discounted Cash Flow Valuation</t>
  </si>
  <si>
    <t>$ and shares in thousands, except per share metrics</t>
  </si>
  <si>
    <t xml:space="preserve">Most recent fiscal year end </t>
  </si>
  <si>
    <t xml:space="preserve">Discount rate </t>
  </si>
  <si>
    <t xml:space="preserve">end of first fiscal year </t>
  </si>
  <si>
    <t xml:space="preserve">Share price </t>
  </si>
  <si>
    <t xml:space="preserve">most recent quarter end date </t>
  </si>
  <si>
    <t>Share price date</t>
  </si>
  <si>
    <t xml:space="preserve">Valuation date </t>
  </si>
  <si>
    <t>Midyear adjustment (1= off)</t>
  </si>
  <si>
    <t xml:space="preserve">Portion of first year cash flows </t>
  </si>
  <si>
    <t xml:space="preserve">Unlevered free cash flows </t>
  </si>
  <si>
    <t>2025E</t>
  </si>
  <si>
    <t>2026E</t>
  </si>
  <si>
    <t>2027E</t>
  </si>
  <si>
    <t>2028E</t>
  </si>
  <si>
    <t>2029E</t>
  </si>
  <si>
    <t>2030E</t>
  </si>
  <si>
    <t xml:space="preserve">  % growth</t>
  </si>
  <si>
    <t xml:space="preserve">EBITDA </t>
  </si>
  <si>
    <t xml:space="preserve">  % margin</t>
  </si>
  <si>
    <t xml:space="preserve">EBIT </t>
  </si>
  <si>
    <t xml:space="preserve">Tax on EBIT </t>
  </si>
  <si>
    <t xml:space="preserve">  Tax rate </t>
  </si>
  <si>
    <t xml:space="preserve">NOPAT </t>
  </si>
  <si>
    <t xml:space="preserve">Stock Based Compensation </t>
  </si>
  <si>
    <t xml:space="preserve">Change in net working capital </t>
  </si>
  <si>
    <t xml:space="preserve">Capital expenditures </t>
  </si>
  <si>
    <t xml:space="preserve"> as a % of revenue </t>
  </si>
  <si>
    <t xml:space="preserve">Net working capital </t>
  </si>
  <si>
    <t>1 Yr- Target</t>
  </si>
  <si>
    <t xml:space="preserve">Date for discounting cash flows </t>
  </si>
  <si>
    <t>Stub adj.</t>
  </si>
  <si>
    <t>Unlevered free cash flows stub adjusted</t>
  </si>
  <si>
    <t>Present value of unlevered free cash flows</t>
  </si>
  <si>
    <t>Terminal value- growth to perpetuity</t>
  </si>
  <si>
    <t xml:space="preserve">Shares outstanding </t>
  </si>
  <si>
    <t xml:space="preserve">Long term growth rate </t>
  </si>
  <si>
    <t>Update</t>
  </si>
  <si>
    <t>2031 FCF</t>
  </si>
  <si>
    <t>RSUs</t>
  </si>
  <si>
    <t>Terminal value in 2030</t>
  </si>
  <si>
    <t>PSUs</t>
  </si>
  <si>
    <t xml:space="preserve">Present value of terminal value </t>
  </si>
  <si>
    <t>Stock options</t>
  </si>
  <si>
    <t xml:space="preserve">Present value of stage 1 cash flows </t>
  </si>
  <si>
    <t>Dilutive shares outstanding</t>
  </si>
  <si>
    <t>Total enterprise value (TEV)</t>
  </si>
  <si>
    <t>Terminal value as % of TEV</t>
  </si>
  <si>
    <t>Stage 1 cash flows as % of TEV</t>
  </si>
  <si>
    <t xml:space="preserve">Implied TV exit EBITDA multiple </t>
  </si>
  <si>
    <t xml:space="preserve">Net debt </t>
  </si>
  <si>
    <t xml:space="preserve">Source document </t>
  </si>
  <si>
    <t>10-K</t>
  </si>
  <si>
    <t xml:space="preserve">Source date </t>
  </si>
  <si>
    <t xml:space="preserve">Gross debt and equivalents </t>
  </si>
  <si>
    <t xml:space="preserve">Debt </t>
  </si>
  <si>
    <t>Minority Interest</t>
  </si>
  <si>
    <t xml:space="preserve">Preferred stock </t>
  </si>
  <si>
    <t xml:space="preserve">Nonoperating assets </t>
  </si>
  <si>
    <t>Cash, cash equivalents, short-term investments</t>
  </si>
  <si>
    <t>Valuation- growth to perpetuity</t>
  </si>
  <si>
    <t xml:space="preserve">Enterprise value </t>
  </si>
  <si>
    <t xml:space="preserve">Equity value </t>
  </si>
  <si>
    <t xml:space="preserve">Equity price per share </t>
  </si>
  <si>
    <t>Year 1 multiples- growth to perpetuity</t>
  </si>
  <si>
    <t xml:space="preserve">EV / revenue </t>
  </si>
  <si>
    <t>EV / EBITDA</t>
  </si>
  <si>
    <t xml:space="preserve">EV / EBIT </t>
  </si>
  <si>
    <t>Sensitvity Analysis</t>
  </si>
  <si>
    <t>Equity value per share</t>
  </si>
  <si>
    <t>Long term growth rate (g):</t>
  </si>
  <si>
    <t>Discount rate</t>
  </si>
  <si>
    <t>Check</t>
  </si>
  <si>
    <t>Residual Income Valuation</t>
  </si>
  <si>
    <t xml:space="preserve">$ and shares in thousands, except per share </t>
  </si>
  <si>
    <t>Cost of Equity</t>
  </si>
  <si>
    <t>Residual Income</t>
  </si>
  <si>
    <t>Earnings per share</t>
  </si>
  <si>
    <t>ω:</t>
  </si>
  <si>
    <t>Book value per share</t>
  </si>
  <si>
    <t>Present Value of Residual Incomes</t>
  </si>
  <si>
    <t xml:space="preserve">If time adjust for foreign currency translation gains / losss, hedginnig gain / loss </t>
  </si>
  <si>
    <t>Terminal growth rate</t>
  </si>
  <si>
    <t xml:space="preserve">2031 Residual income </t>
  </si>
  <si>
    <t xml:space="preserve">Terminal value </t>
  </si>
  <si>
    <t xml:space="preserve">Present Value of terminal value </t>
  </si>
  <si>
    <t xml:space="preserve">Present value of term 1 Residual Income </t>
  </si>
  <si>
    <t>2026 BVPS</t>
  </si>
  <si>
    <t>12-month price target</t>
  </si>
  <si>
    <t>ω</t>
  </si>
  <si>
    <t>Market Value Added Valuation</t>
  </si>
  <si>
    <t>WACC</t>
  </si>
  <si>
    <t>CAPITAL</t>
  </si>
  <si>
    <t xml:space="preserve">EROIC </t>
  </si>
  <si>
    <t>Market Value Added</t>
  </si>
  <si>
    <t>Present value of Market Value Added</t>
  </si>
  <si>
    <t>2031 MVA</t>
  </si>
  <si>
    <t>Capital 2026</t>
  </si>
  <si>
    <t xml:space="preserve">Cash </t>
  </si>
  <si>
    <t>Sensitivity Analysis</t>
  </si>
  <si>
    <t>VEEV US EQUITY</t>
  </si>
  <si>
    <t xml:space="preserve">last closing price </t>
  </si>
  <si>
    <t xml:space="preserve">PX_Last </t>
  </si>
  <si>
    <t>52 week high</t>
  </si>
  <si>
    <t>HIGH_52WEEK</t>
  </si>
  <si>
    <t>52 week low</t>
  </si>
  <si>
    <t>LOW_52WEEK</t>
  </si>
  <si>
    <t>Market cap</t>
  </si>
  <si>
    <t>CUR_MKT_CAP</t>
  </si>
  <si>
    <t>EQY_SH_OUT</t>
  </si>
  <si>
    <t>YTD return</t>
  </si>
  <si>
    <t>CHG_PCT_YTD</t>
  </si>
  <si>
    <t xml:space="preserve">Equity 1 </t>
  </si>
  <si>
    <t xml:space="preserve">Equity 2 </t>
  </si>
  <si>
    <t xml:space="preserve">Equity 3 </t>
  </si>
  <si>
    <t xml:space="preserve">Equity 4 </t>
  </si>
  <si>
    <t xml:space="preserve">Equity 5 </t>
  </si>
  <si>
    <t xml:space="preserve">Peer group average </t>
  </si>
  <si>
    <t>My company</t>
  </si>
  <si>
    <t>IQV US EQUITY</t>
  </si>
  <si>
    <t>CRM US EQUITY</t>
  </si>
  <si>
    <t>DOCS US EQUITY</t>
  </si>
  <si>
    <t>MEDP US EQUITY</t>
  </si>
  <si>
    <t xml:space="preserve">Multiples </t>
  </si>
  <si>
    <t>Include?</t>
  </si>
  <si>
    <t>Price to sales ratio</t>
  </si>
  <si>
    <t>PX_TO_SALES_RATIO</t>
  </si>
  <si>
    <t/>
  </si>
  <si>
    <t>No</t>
  </si>
  <si>
    <t>Price to book ratio</t>
  </si>
  <si>
    <t>PX_TO_BOOK_RATIO</t>
  </si>
  <si>
    <t>Yes</t>
  </si>
  <si>
    <t>Price to EBITDA</t>
  </si>
  <si>
    <t>PX_TO_EBITDA</t>
  </si>
  <si>
    <t>Price to FCF</t>
  </si>
  <si>
    <t>PX_TO_FREE_CASH_FLOW</t>
  </si>
  <si>
    <t>Price to EPS</t>
  </si>
  <si>
    <t>PX_TO_EPS_BEFORE_ABNORMAL_ITEMS</t>
  </si>
  <si>
    <t>EV to trailing 12M sales</t>
  </si>
  <si>
    <t>EV_TO_T12M_SALES</t>
  </si>
  <si>
    <t xml:space="preserve">Data pull </t>
  </si>
  <si>
    <t>Trailing 12M sales per share</t>
  </si>
  <si>
    <t>TRAIL_12M_SALES_PER_SH</t>
  </si>
  <si>
    <t>Trailing 12M net sales</t>
  </si>
  <si>
    <t>TRAIL_12M_NET_SALES</t>
  </si>
  <si>
    <t>Short and long term debt</t>
  </si>
  <si>
    <t>SHORT_AND_LONG_TERM_DEBT</t>
  </si>
  <si>
    <t>BS_CASH_NEAR_CASH_ITEM</t>
  </si>
  <si>
    <t>BOOK_VAL_PER_SH</t>
  </si>
  <si>
    <t>EPS from Continuing Operations</t>
  </si>
  <si>
    <t>T12_EPS_CONT_OPS</t>
  </si>
  <si>
    <t>Trailing 12M FCF per share</t>
  </si>
  <si>
    <t>TRAIL_12M_FREE_CASH_FLOW_PER_SH</t>
  </si>
  <si>
    <t>Trailing 12M EBITDA per share</t>
  </si>
  <si>
    <t>TRAIL_12M_EBITDA_PER_SHARE</t>
  </si>
  <si>
    <t>Multiple</t>
  </si>
  <si>
    <t>Competitors' averages</t>
  </si>
  <si>
    <t>Price</t>
  </si>
  <si>
    <t>Final target price</t>
  </si>
  <si>
    <t>Last Price</t>
  </si>
  <si>
    <t>Potential Upside</t>
  </si>
  <si>
    <t>Models</t>
  </si>
  <si>
    <t>12-month Price Target</t>
  </si>
  <si>
    <t>Weight</t>
  </si>
  <si>
    <t>FCFM</t>
  </si>
  <si>
    <t>RIM</t>
  </si>
  <si>
    <t>MVAM</t>
  </si>
  <si>
    <t>COMPS</t>
  </si>
  <si>
    <t>12 Month Target Price</t>
  </si>
  <si>
    <t xml:space="preserve">Weighted Valuation </t>
  </si>
  <si>
    <t xml:space="preserve">Current Price </t>
  </si>
  <si>
    <t xml:space="preserve">12-Month Target </t>
  </si>
  <si>
    <t>Return</t>
  </si>
  <si>
    <t>Blended 12-month price target</t>
  </si>
  <si>
    <t>Football Field</t>
  </si>
  <si>
    <t xml:space="preserve">Low </t>
  </si>
  <si>
    <t xml:space="preserve">Difference </t>
  </si>
  <si>
    <t>High</t>
  </si>
  <si>
    <t xml:space="preserve">Ticker </t>
  </si>
  <si>
    <t xml:space="preserve">Levered Beta </t>
  </si>
  <si>
    <t>Tax Rate</t>
  </si>
  <si>
    <t>Debt/Equity</t>
  </si>
  <si>
    <t xml:space="preserve">Unlevered Beta </t>
  </si>
  <si>
    <t>Cash</t>
  </si>
  <si>
    <t xml:space="preserve">Firm Value </t>
  </si>
  <si>
    <t xml:space="preserve">Cash/ firm value </t>
  </si>
  <si>
    <t>Cash adj. unl beta</t>
  </si>
  <si>
    <t>ORCL US EQUITY</t>
  </si>
  <si>
    <t>Average</t>
  </si>
  <si>
    <t xml:space="preserve">Cost of Equity </t>
  </si>
  <si>
    <t xml:space="preserve">VEEV cash/firm value </t>
  </si>
  <si>
    <t>EFF_TAX_RATE</t>
  </si>
  <si>
    <t>Rrf</t>
  </si>
  <si>
    <t xml:space="preserve">VEEV  unlevered beta </t>
  </si>
  <si>
    <t>TOT_DEBT_TO_TOT_EQY</t>
  </si>
  <si>
    <t>B</t>
  </si>
  <si>
    <t xml:space="preserve">VEEV tax rate </t>
  </si>
  <si>
    <t>CASH_AND_MARKETABLE_SECURITIES</t>
  </si>
  <si>
    <t>ERP</t>
  </si>
  <si>
    <t>D/E Ratio</t>
  </si>
  <si>
    <t>CURR_ENTP_VAL</t>
  </si>
  <si>
    <t>Cost of E</t>
  </si>
  <si>
    <t>VEEV levered beta</t>
  </si>
  <si>
    <t>USGG10YR Index</t>
  </si>
  <si>
    <t xml:space="preserve">Cost of Debt </t>
  </si>
  <si>
    <t xml:space="preserve">pre-tax cost </t>
  </si>
  <si>
    <t xml:space="preserve">tax rate </t>
  </si>
  <si>
    <t xml:space="preserve">post-tax cost </t>
  </si>
  <si>
    <t xml:space="preserve">Equity </t>
  </si>
  <si>
    <t>Wd</t>
  </si>
  <si>
    <t>We</t>
  </si>
  <si>
    <t>Rs</t>
  </si>
  <si>
    <t>x</t>
  </si>
  <si>
    <t>Revenue</t>
  </si>
  <si>
    <t>Operating expenses:</t>
  </si>
  <si>
    <t>Income (loss) from operations</t>
  </si>
  <si>
    <t>Other income (expense), net:</t>
  </si>
  <si>
    <t>Interest expense</t>
  </si>
  <si>
    <t>Gain on early extinguishment of debt</t>
  </si>
  <si>
    <t>Interest income and other</t>
  </si>
  <si>
    <t>Total other income (expense), net</t>
  </si>
  <si>
    <t>Income (loss) before income taxes</t>
  </si>
  <si>
    <t>Provision for income taxes</t>
  </si>
  <si>
    <t>Net income (loss)</t>
  </si>
  <si>
    <t>Net income (loss) per share:</t>
  </si>
  <si>
    <t>Shares used in computing net income (loss) per share:</t>
  </si>
  <si>
    <t>Comprehensive Income (Loss):</t>
  </si>
  <si>
    <t>Other comprehensive income</t>
  </si>
  <si>
    <t>Comprehensive income (loss)</t>
  </si>
  <si>
    <t>Cost of Revenue</t>
  </si>
  <si>
    <t>ASSETS</t>
  </si>
  <si>
    <t>Current assets:</t>
  </si>
  <si>
    <t>Marketable investments</t>
  </si>
  <si>
    <t>Accounts receivable, net</t>
  </si>
  <si>
    <t>Deferred contract acquisition costs, net</t>
  </si>
  <si>
    <t>Total current assets</t>
  </si>
  <si>
    <t>Operating lease right-of-use assets</t>
  </si>
  <si>
    <t>Finance lease right-of-use assets</t>
  </si>
  <si>
    <t>Other assets</t>
  </si>
  <si>
    <t>Deferred contract acquisition costs, net — less current portion</t>
  </si>
  <si>
    <t>LIABILITIES AND STOCKHOLDERS’ EQUITY</t>
  </si>
  <si>
    <t>Accrued and other current liabilities</t>
  </si>
  <si>
    <t>Operating lease liabilities</t>
  </si>
  <si>
    <t>Finance lease liabilities</t>
  </si>
  <si>
    <t>Convertible senior notes</t>
  </si>
  <si>
    <t>Convertible senior notes — less current portion</t>
  </si>
  <si>
    <t>Operating lease liabilities — less current portion</t>
  </si>
  <si>
    <t>Finance lease liabilities — less current portion</t>
  </si>
  <si>
    <t>Commitments and contingencies (Note 10)</t>
  </si>
  <si>
    <t>Accumulated other comprehensive income</t>
  </si>
  <si>
    <t>Accumulated deficit</t>
  </si>
  <si>
    <t>Total liabilities and stockholders’ equity</t>
  </si>
  <si>
    <t>Preferred Stock</t>
  </si>
  <si>
    <t xml:space="preserve">Common Stock </t>
  </si>
  <si>
    <t>Cash flows from operating activities:</t>
  </si>
  <si>
    <t>Reduction in the carrying amount of right-of-use assets</t>
  </si>
  <si>
    <t>Amortization of deferred contract acquisition costs</t>
  </si>
  <si>
    <t>Accretion of discount on marketable investments</t>
  </si>
  <si>
    <t>Provision for credit losses</t>
  </si>
  <si>
    <t>Amortization of discount and issuance costs on convertible senior notes</t>
  </si>
  <si>
    <t>Impairment charge of an equity investment</t>
  </si>
  <si>
    <t>Impairment charge related to closure of operating lease facilities</t>
  </si>
  <si>
    <t>Interest on finance lease obligations</t>
  </si>
  <si>
    <t>Deferred taxes - excluding tax benefit from acquisition</t>
  </si>
  <si>
    <t>Deferred taxes - tax benefit from acquisition</t>
  </si>
  <si>
    <t>Other</t>
  </si>
  <si>
    <t>Deferred contract acquisition costs</t>
  </si>
  <si>
    <t>Cash flows from investing activities:</t>
  </si>
  <si>
    <t>Purchases of marketable investments</t>
  </si>
  <si>
    <t>Proceeds from sales of marketable investments</t>
  </si>
  <si>
    <t>Proceeds from maturities of marketable investments</t>
  </si>
  <si>
    <t>Purchases of property and equipment</t>
  </si>
  <si>
    <t>Capitalization of internal-use software development costs</t>
  </si>
  <si>
    <t>Payments of initial direct lease costs</t>
  </si>
  <si>
    <t>Cash paid to acquire Acqueon Inc.</t>
  </si>
  <si>
    <t>Cash settlement to acquire Aceyus, Inc.</t>
  </si>
  <si>
    <t>Net cash provided by (used in) investing activities</t>
  </si>
  <si>
    <t>Cash flows from financing activities:</t>
  </si>
  <si>
    <t>Proceeds from issuance of 2029 convertible senior notes</t>
  </si>
  <si>
    <t>Payment of debt issuance costs</t>
  </si>
  <si>
    <t>Repurchase of a portion of 2025 convertible senior notes</t>
  </si>
  <si>
    <t>Repayment of outstanding 2023 convertible senior notes at maturity</t>
  </si>
  <si>
    <t>Repayment of outstanding 2025 convertible senior notes at maturity</t>
  </si>
  <si>
    <t>Proceeds from sale of common stock under ESPP</t>
  </si>
  <si>
    <t>Payment of employee taxes related to vested RSUs</t>
  </si>
  <si>
    <t>Cash paid for repurchase of the Company's common stock</t>
  </si>
  <si>
    <t>Payment of holdbacks related to acquisitions</t>
  </si>
  <si>
    <t>Payments of finance leases</t>
  </si>
  <si>
    <t>Net (decrease) increase in cash, cash equivalents and restricted cash</t>
  </si>
  <si>
    <t>Cash, cash equivalents and restricted cash:</t>
  </si>
  <si>
    <t>Supplemental disclosures of cash flow data:</t>
  </si>
  <si>
    <t>Cash paid for interest</t>
  </si>
  <si>
    <t>Cash paid for income taxes</t>
  </si>
  <si>
    <t>Non-cash investing and financing activities:</t>
  </si>
  <si>
    <t>Equipment purchased and unpaid at period-end</t>
  </si>
  <si>
    <t>Capitalization of leasehold improvement through non-cash lease incentive</t>
  </si>
  <si>
    <t>Acquisition and related transaction costs accrued at period-end</t>
  </si>
  <si>
    <t>Stock-based compensation included in capitalized software development costs</t>
  </si>
  <si>
    <t>Restricted cash in other assets</t>
  </si>
  <si>
    <t>Total cash, cash equivalents and restricted cash</t>
  </si>
  <si>
    <t xml:space="preserve">Adjustments: </t>
  </si>
  <si>
    <t xml:space="preserve">Other long-term liabilities </t>
  </si>
  <si>
    <t>Cash received from the settlement at maturity of 23 convertible senior notes</t>
  </si>
  <si>
    <t>Cash received from partial termination 2025 convertible senior notes</t>
  </si>
  <si>
    <t>Reconciliation of Cash, BOP</t>
  </si>
  <si>
    <t>Reconciliation of Cash, EOP</t>
  </si>
  <si>
    <t>Payments for capped call  2029 convertible senior notes</t>
  </si>
  <si>
    <t>FIVE 9</t>
  </si>
  <si>
    <t>FIVN</t>
  </si>
  <si>
    <t>R&amp;D as a % of Revenue</t>
  </si>
  <si>
    <t>S&amp;M as a % of Revenue</t>
  </si>
  <si>
    <t>G&amp;A as a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</si>
</sst>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#,##0.0_);\(#,##0.0\)"/>
    <numFmt numFmtId="165" formatCode="0.0%"/>
    <numFmt numFmtId="166" formatCode="0.0&quot;   &quot;"/>
    <numFmt numFmtId="167" formatCode="0.0%_);\(0.0%\);@_)"/>
    <numFmt numFmtId="168" formatCode="0\A;[Red]0\A"/>
    <numFmt numFmtId="169" formatCode="0\E;[Red]0\E"/>
    <numFmt numFmtId="170" formatCode="0.00000000%"/>
    <numFmt numFmtId="171" formatCode="0.0\ &quot;Days&quot;"/>
    <numFmt numFmtId="172" formatCode="&quot;$&quot;#,##0.00"/>
    <numFmt numFmtId="173" formatCode="&quot;Year &quot;0"/>
    <numFmt numFmtId="174" formatCode="0.0\x_);\(0.0\x\);@_)"/>
    <numFmt numFmtId="175" formatCode="0.0&quot;x&quot;"/>
    <numFmt numFmtId="176" formatCode="0.00\x_);\(0.00\x\);@_)"/>
    <numFmt numFmtId="177" formatCode="#,##0.0"/>
    <numFmt numFmtId="178" formatCode="0.0"/>
    <numFmt numFmtId="179" formatCode="0.0000000000000000%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11"/>
      <color rgb="FF008000"/>
      <name val="Calibri"/>
      <family val="2"/>
    </font>
    <font>
      <sz val="11"/>
      <color rgb="FF0D0EFF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u val="singleAccounting"/>
      <sz val="11"/>
      <color rgb="FF000000"/>
      <name val="Aptos Narrow"/>
      <family val="2"/>
      <scheme val="minor"/>
    </font>
    <font>
      <sz val="11"/>
      <color rgb="FF3232FF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C08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8043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2">
    <xf numFmtId="0" fontId="0" fillId="0" borderId="0" xfId="0"/>
    <xf numFmtId="9" fontId="0" fillId="0" borderId="0" xfId="1" applyFont="1"/>
    <xf numFmtId="0" fontId="3" fillId="0" borderId="0" xfId="0" applyFont="1"/>
    <xf numFmtId="9" fontId="0" fillId="0" borderId="0" xfId="1" applyFont="1" applyBorder="1"/>
    <xf numFmtId="3" fontId="0" fillId="0" borderId="0" xfId="0" applyNumberFormat="1"/>
    <xf numFmtId="164" fontId="5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0" fontId="7" fillId="0" borderId="1" xfId="0" applyFont="1" applyBorder="1"/>
    <xf numFmtId="0" fontId="6" fillId="0" borderId="0" xfId="0" applyFont="1"/>
    <xf numFmtId="0" fontId="6" fillId="0" borderId="1" xfId="0" applyFont="1" applyBorder="1"/>
    <xf numFmtId="9" fontId="0" fillId="0" borderId="2" xfId="1" applyFont="1" applyBorder="1"/>
    <xf numFmtId="0" fontId="0" fillId="0" borderId="2" xfId="0" applyBorder="1"/>
    <xf numFmtId="9" fontId="0" fillId="0" borderId="1" xfId="1" applyFont="1" applyBorder="1"/>
    <xf numFmtId="14" fontId="0" fillId="0" borderId="1" xfId="0" applyNumberFormat="1" applyBorder="1"/>
    <xf numFmtId="0" fontId="8" fillId="2" borderId="3" xfId="0" applyFont="1" applyFill="1" applyBorder="1"/>
    <xf numFmtId="0" fontId="4" fillId="2" borderId="3" xfId="0" applyFont="1" applyFill="1" applyBorder="1"/>
    <xf numFmtId="164" fontId="9" fillId="0" borderId="0" xfId="0" applyNumberFormat="1" applyFont="1" applyAlignment="1">
      <alignment horizontal="center"/>
    </xf>
    <xf numFmtId="165" fontId="0" fillId="0" borderId="0" xfId="1" applyNumberFormat="1" applyFont="1"/>
    <xf numFmtId="166" fontId="0" fillId="0" borderId="0" xfId="0" applyNumberFormat="1"/>
    <xf numFmtId="0" fontId="9" fillId="0" borderId="0" xfId="0" applyFont="1" applyAlignment="1">
      <alignment horizontal="center"/>
    </xf>
    <xf numFmtId="167" fontId="10" fillId="0" borderId="0" xfId="0" applyNumberFormat="1" applyFont="1"/>
    <xf numFmtId="14" fontId="9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0" fillId="2" borderId="1" xfId="0" applyFill="1" applyBorder="1"/>
    <xf numFmtId="168" fontId="3" fillId="0" borderId="2" xfId="0" applyNumberFormat="1" applyFont="1" applyBorder="1" applyAlignment="1">
      <alignment horizontal="right"/>
    </xf>
    <xf numFmtId="169" fontId="3" fillId="0" borderId="2" xfId="0" applyNumberFormat="1" applyFont="1" applyBorder="1" applyAlignment="1">
      <alignment horizontal="right"/>
    </xf>
    <xf numFmtId="0" fontId="0" fillId="0" borderId="1" xfId="0" applyBorder="1"/>
    <xf numFmtId="0" fontId="4" fillId="0" borderId="0" xfId="0" applyFont="1"/>
    <xf numFmtId="0" fontId="11" fillId="0" borderId="0" xfId="0" applyFont="1"/>
    <xf numFmtId="170" fontId="0" fillId="0" borderId="0" xfId="0" applyNumberFormat="1"/>
    <xf numFmtId="167" fontId="0" fillId="0" borderId="0" xfId="1" applyNumberFormat="1" applyFont="1"/>
    <xf numFmtId="167" fontId="10" fillId="0" borderId="0" xfId="1" applyNumberFormat="1" applyFont="1"/>
    <xf numFmtId="167" fontId="9" fillId="0" borderId="0" xfId="1" applyNumberFormat="1" applyFont="1" applyFill="1"/>
    <xf numFmtId="0" fontId="0" fillId="2" borderId="0" xfId="0" applyFill="1"/>
    <xf numFmtId="167" fontId="9" fillId="0" borderId="0" xfId="1" applyNumberFormat="1" applyFont="1" applyFill="1" applyBorder="1"/>
    <xf numFmtId="167" fontId="10" fillId="0" borderId="0" xfId="1" applyNumberFormat="1" applyFont="1" applyFill="1" applyBorder="1"/>
    <xf numFmtId="167" fontId="0" fillId="0" borderId="0" xfId="1" applyNumberFormat="1" applyFont="1" applyFill="1" applyBorder="1"/>
    <xf numFmtId="168" fontId="3" fillId="0" borderId="0" xfId="0" applyNumberFormat="1" applyFont="1" applyAlignment="1">
      <alignment horizontal="right"/>
    </xf>
    <xf numFmtId="1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37" fontId="5" fillId="0" borderId="0" xfId="0" applyNumberFormat="1" applyFont="1"/>
    <xf numFmtId="167" fontId="0" fillId="0" borderId="0" xfId="0" applyNumberFormat="1"/>
    <xf numFmtId="171" fontId="10" fillId="0" borderId="0" xfId="0" applyNumberFormat="1" applyFont="1"/>
    <xf numFmtId="164" fontId="0" fillId="0" borderId="1" xfId="0" applyNumberFormat="1" applyBorder="1"/>
    <xf numFmtId="0" fontId="3" fillId="0" borderId="1" xfId="0" applyFont="1" applyBorder="1"/>
    <xf numFmtId="0" fontId="11" fillId="0" borderId="0" xfId="0" applyFont="1" applyAlignment="1">
      <alignment horizontal="right"/>
    </xf>
    <xf numFmtId="164" fontId="1" fillId="0" borderId="0" xfId="0" applyNumberFormat="1" applyFont="1"/>
    <xf numFmtId="6" fontId="0" fillId="0" borderId="0" xfId="0" applyNumberFormat="1"/>
    <xf numFmtId="164" fontId="5" fillId="0" borderId="1" xfId="0" applyNumberFormat="1" applyFont="1" applyBorder="1"/>
    <xf numFmtId="164" fontId="18" fillId="0" borderId="0" xfId="0" applyNumberFormat="1" applyFont="1"/>
    <xf numFmtId="164" fontId="18" fillId="0" borderId="1" xfId="0" applyNumberFormat="1" applyFont="1" applyBorder="1"/>
    <xf numFmtId="164" fontId="10" fillId="0" borderId="0" xfId="0" applyNumberFormat="1" applyFont="1"/>
    <xf numFmtId="168" fontId="0" fillId="0" borderId="0" xfId="0" applyNumberFormat="1"/>
    <xf numFmtId="165" fontId="10" fillId="0" borderId="0" xfId="0" applyNumberFormat="1" applyFont="1"/>
    <xf numFmtId="165" fontId="19" fillId="0" borderId="0" xfId="0" applyNumberFormat="1" applyFont="1"/>
    <xf numFmtId="171" fontId="0" fillId="0" borderId="0" xfId="0" applyNumberFormat="1"/>
    <xf numFmtId="14" fontId="5" fillId="0" borderId="0" xfId="0" applyNumberFormat="1" applyFont="1"/>
    <xf numFmtId="165" fontId="7" fillId="0" borderId="0" xfId="1" applyNumberFormat="1" applyFont="1"/>
    <xf numFmtId="167" fontId="19" fillId="0" borderId="0" xfId="1" applyNumberFormat="1" applyFont="1" applyAlignment="1">
      <alignment horizontal="left"/>
    </xf>
    <xf numFmtId="0" fontId="20" fillId="0" borderId="0" xfId="0" applyFont="1"/>
    <xf numFmtId="165" fontId="10" fillId="0" borderId="0" xfId="1" applyNumberFormat="1" applyFont="1"/>
    <xf numFmtId="172" fontId="0" fillId="0" borderId="0" xfId="0" applyNumberFormat="1"/>
    <xf numFmtId="14" fontId="0" fillId="0" borderId="0" xfId="0" applyNumberFormat="1" applyAlignment="1">
      <alignment horizontal="right"/>
    </xf>
    <xf numFmtId="0" fontId="2" fillId="2" borderId="0" xfId="0" applyFont="1" applyFill="1"/>
    <xf numFmtId="0" fontId="4" fillId="2" borderId="0" xfId="0" applyFont="1" applyFill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164" fontId="10" fillId="0" borderId="0" xfId="0" applyNumberFormat="1" applyFont="1" applyAlignment="1">
      <alignment horizontal="right"/>
    </xf>
    <xf numFmtId="0" fontId="4" fillId="2" borderId="1" xfId="0" applyFont="1" applyFill="1" applyBorder="1"/>
    <xf numFmtId="0" fontId="21" fillId="0" borderId="4" xfId="0" applyFont="1" applyBorder="1" applyAlignment="1">
      <alignment horizontal="center"/>
    </xf>
    <xf numFmtId="173" fontId="21" fillId="0" borderId="4" xfId="0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/>
    <xf numFmtId="165" fontId="9" fillId="0" borderId="0" xfId="1" applyNumberFormat="1" applyFont="1"/>
    <xf numFmtId="164" fontId="9" fillId="0" borderId="0" xfId="0" applyNumberFormat="1" applyFont="1"/>
    <xf numFmtId="174" fontId="0" fillId="0" borderId="0" xfId="0" applyNumberFormat="1"/>
    <xf numFmtId="0" fontId="9" fillId="0" borderId="0" xfId="0" applyFont="1" applyAlignment="1">
      <alignment horizontal="right"/>
    </xf>
    <xf numFmtId="14" fontId="9" fillId="0" borderId="0" xfId="0" applyNumberFormat="1" applyFont="1"/>
    <xf numFmtId="7" fontId="3" fillId="0" borderId="0" xfId="0" applyNumberFormat="1" applyFont="1"/>
    <xf numFmtId="175" fontId="0" fillId="0" borderId="0" xfId="0" applyNumberFormat="1"/>
    <xf numFmtId="7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7" fontId="4" fillId="0" borderId="0" xfId="0" applyNumberFormat="1" applyFont="1"/>
    <xf numFmtId="10" fontId="3" fillId="0" borderId="0" xfId="0" applyNumberFormat="1" applyFont="1"/>
    <xf numFmtId="165" fontId="3" fillId="0" borderId="0" xfId="0" applyNumberFormat="1" applyFont="1"/>
    <xf numFmtId="2" fontId="0" fillId="0" borderId="5" xfId="0" applyNumberFormat="1" applyBorder="1"/>
    <xf numFmtId="2" fontId="0" fillId="0" borderId="2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0" xfId="0" applyNumberFormat="1"/>
    <xf numFmtId="2" fontId="0" fillId="0" borderId="8" xfId="0" applyNumberFormat="1" applyBorder="1"/>
    <xf numFmtId="2" fontId="0" fillId="3" borderId="0" xfId="0" applyNumberFormat="1" applyFill="1"/>
    <xf numFmtId="2" fontId="0" fillId="0" borderId="9" xfId="0" applyNumberFormat="1" applyBorder="1"/>
    <xf numFmtId="2" fontId="0" fillId="0" borderId="1" xfId="0" applyNumberFormat="1" applyBorder="1"/>
    <xf numFmtId="2" fontId="0" fillId="0" borderId="10" xfId="0" applyNumberFormat="1" applyBorder="1"/>
    <xf numFmtId="167" fontId="10" fillId="0" borderId="0" xfId="1" applyNumberFormat="1" applyFont="1" applyFill="1"/>
    <xf numFmtId="172" fontId="10" fillId="0" borderId="0" xfId="0" applyNumberFormat="1" applyFont="1" applyAlignment="1">
      <alignment horizontal="right"/>
    </xf>
    <xf numFmtId="172" fontId="0" fillId="0" borderId="1" xfId="0" applyNumberFormat="1" applyBorder="1"/>
    <xf numFmtId="39" fontId="0" fillId="0" borderId="0" xfId="0" applyNumberFormat="1"/>
    <xf numFmtId="172" fontId="3" fillId="0" borderId="0" xfId="0" applyNumberFormat="1" applyFont="1"/>
    <xf numFmtId="0" fontId="0" fillId="0" borderId="0" xfId="0" applyAlignment="1">
      <alignment horizontal="right"/>
    </xf>
    <xf numFmtId="0" fontId="22" fillId="0" borderId="0" xfId="0" applyFont="1" applyAlignment="1">
      <alignment horizontal="left"/>
    </xf>
    <xf numFmtId="0" fontId="23" fillId="0" borderId="0" xfId="0" applyFont="1"/>
    <xf numFmtId="172" fontId="23" fillId="0" borderId="0" xfId="0" applyNumberFormat="1" applyFont="1"/>
    <xf numFmtId="165" fontId="23" fillId="0" borderId="0" xfId="1" applyNumberFormat="1" applyFont="1"/>
    <xf numFmtId="9" fontId="23" fillId="0" borderId="0" xfId="1" applyFont="1"/>
    <xf numFmtId="0" fontId="24" fillId="0" borderId="0" xfId="0" applyFont="1"/>
    <xf numFmtId="165" fontId="24" fillId="0" borderId="0" xfId="0" applyNumberFormat="1" applyFont="1"/>
    <xf numFmtId="0" fontId="23" fillId="0" borderId="1" xfId="0" applyFont="1" applyBorder="1"/>
    <xf numFmtId="172" fontId="23" fillId="0" borderId="1" xfId="0" applyNumberFormat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right"/>
    </xf>
    <xf numFmtId="0" fontId="0" fillId="0" borderId="5" xfId="0" applyBorder="1"/>
    <xf numFmtId="44" fontId="0" fillId="0" borderId="6" xfId="2" applyFont="1" applyBorder="1"/>
    <xf numFmtId="0" fontId="0" fillId="0" borderId="7" xfId="0" applyBorder="1"/>
    <xf numFmtId="2" fontId="0" fillId="0" borderId="8" xfId="2" applyNumberFormat="1" applyFont="1" applyBorder="1"/>
    <xf numFmtId="4" fontId="0" fillId="0" borderId="8" xfId="2" applyNumberFormat="1" applyFont="1" applyBorder="1"/>
    <xf numFmtId="0" fontId="0" fillId="0" borderId="9" xfId="0" applyBorder="1"/>
    <xf numFmtId="2" fontId="0" fillId="0" borderId="10" xfId="1" applyNumberFormat="1" applyFont="1" applyBorder="1"/>
    <xf numFmtId="0" fontId="4" fillId="4" borderId="0" xfId="0" applyFont="1" applyFill="1"/>
    <xf numFmtId="0" fontId="2" fillId="4" borderId="0" xfId="0" applyFont="1" applyFill="1" applyAlignment="1">
      <alignment horizontal="center"/>
    </xf>
    <xf numFmtId="0" fontId="0" fillId="0" borderId="14" xfId="0" applyBorder="1"/>
    <xf numFmtId="0" fontId="3" fillId="0" borderId="14" xfId="0" applyFont="1" applyBorder="1" applyAlignment="1">
      <alignment horizontal="center"/>
    </xf>
    <xf numFmtId="176" fontId="0" fillId="0" borderId="0" xfId="0" applyNumberFormat="1"/>
    <xf numFmtId="176" fontId="3" fillId="0" borderId="0" xfId="0" applyNumberFormat="1" applyFont="1"/>
    <xf numFmtId="14" fontId="2" fillId="4" borderId="0" xfId="0" applyNumberFormat="1" applyFont="1" applyFill="1" applyAlignment="1">
      <alignment horizontal="center"/>
    </xf>
    <xf numFmtId="177" fontId="0" fillId="0" borderId="0" xfId="0" applyNumberFormat="1"/>
    <xf numFmtId="0" fontId="3" fillId="0" borderId="14" xfId="0" applyFont="1" applyBorder="1"/>
    <xf numFmtId="172" fontId="3" fillId="0" borderId="14" xfId="0" applyNumberFormat="1" applyFont="1" applyBorder="1"/>
    <xf numFmtId="44" fontId="0" fillId="0" borderId="0" xfId="0" applyNumberFormat="1"/>
    <xf numFmtId="0" fontId="0" fillId="5" borderId="0" xfId="0" applyFill="1"/>
    <xf numFmtId="165" fontId="0" fillId="5" borderId="0" xfId="1" applyNumberFormat="1" applyFont="1" applyFill="1"/>
    <xf numFmtId="178" fontId="0" fillId="0" borderId="0" xfId="0" applyNumberFormat="1"/>
    <xf numFmtId="2" fontId="3" fillId="0" borderId="0" xfId="0" applyNumberFormat="1" applyFont="1"/>
    <xf numFmtId="179" fontId="0" fillId="0" borderId="0" xfId="0" applyNumberFormat="1"/>
    <xf numFmtId="0" fontId="1" fillId="0" borderId="0" xfId="0" applyFont="1"/>
    <xf numFmtId="0" fontId="3" fillId="0" borderId="0" xfId="0" applyFont="1" applyAlignment="1">
      <alignment horizontal="right"/>
    </xf>
    <xf numFmtId="172" fontId="24" fillId="0" borderId="0" xfId="0" applyNumberFormat="1" applyFont="1"/>
    <xf numFmtId="39" fontId="5" fillId="0" borderId="0" xfId="0" applyNumberFormat="1" applyFont="1"/>
    <xf numFmtId="37" fontId="6" fillId="0" borderId="0" xfId="0" applyNumberFormat="1" applyFont="1"/>
    <xf numFmtId="37" fontId="7" fillId="0" borderId="0" xfId="0" applyNumberFormat="1" applyFont="1"/>
    <xf numFmtId="37" fontId="3" fillId="0" borderId="0" xfId="0" applyNumberFormat="1" applyFont="1"/>
    <xf numFmtId="37" fontId="0" fillId="0" borderId="0" xfId="0" applyNumberForma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3" fillId="0" borderId="0" xfId="0" applyNumberFormat="1" applyFont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8000"/>
      <color rgb="FF0D0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2B7694-2E5C-48E8-A5AC-29C69376E49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d93a993-83df-4907-8d14-3395d9472b1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DC60-728F-4578-BB27-0B8B76739E47}">
  <dimension ref="A2:M165"/>
  <sheetViews>
    <sheetView showGridLines="0" topLeftCell="A77" workbookViewId="0">
      <selection activeCell="C95" sqref="C95"/>
    </sheetView>
  </sheetViews>
  <sheetFormatPr defaultColWidth="8.85546875" defaultRowHeight="15" x14ac:dyDescent="0.25"/>
  <cols>
    <col min="2" max="2" width="3.5703125" customWidth="1"/>
    <col min="3" max="3" width="64.140625" style="1" bestFit="1" customWidth="1"/>
    <col min="4" max="4" width="3.5703125" style="1" customWidth="1"/>
    <col min="5" max="5" width="11.42578125" bestFit="1" customWidth="1"/>
    <col min="6" max="6" width="12.42578125" bestFit="1" customWidth="1"/>
    <col min="7" max="7" width="11.42578125" bestFit="1" customWidth="1"/>
  </cols>
  <sheetData>
    <row r="2" spans="1:13" x14ac:dyDescent="0.25">
      <c r="E2" s="5"/>
      <c r="F2" s="5"/>
      <c r="G2" s="5"/>
    </row>
    <row r="3" spans="1:13" x14ac:dyDescent="0.25">
      <c r="A3" t="s">
        <v>400</v>
      </c>
      <c r="B3" s="2" t="s">
        <v>62</v>
      </c>
      <c r="E3" s="5"/>
      <c r="F3" s="5"/>
      <c r="G3" s="5"/>
    </row>
    <row r="4" spans="1:13" x14ac:dyDescent="0.25">
      <c r="E4" s="58">
        <v>45291</v>
      </c>
      <c r="F4" s="58">
        <v>45657</v>
      </c>
      <c r="G4" s="58">
        <f>EOMONTH(F4,12)</f>
        <v>46022</v>
      </c>
      <c r="M4" s="2">
        <v>2026</v>
      </c>
    </row>
    <row r="5" spans="1:13" x14ac:dyDescent="0.25">
      <c r="B5" s="2" t="s">
        <v>401</v>
      </c>
      <c r="E5" s="42">
        <v>910488</v>
      </c>
      <c r="F5" s="42">
        <v>1041938</v>
      </c>
      <c r="G5" s="42">
        <v>1149088</v>
      </c>
      <c r="I5" s="4"/>
      <c r="M5" s="4"/>
    </row>
    <row r="6" spans="1:13" x14ac:dyDescent="0.25">
      <c r="B6" t="s">
        <v>417</v>
      </c>
      <c r="C6"/>
      <c r="E6" s="42">
        <v>432690</v>
      </c>
      <c r="F6" s="42">
        <v>477540</v>
      </c>
      <c r="G6" s="42">
        <v>516234</v>
      </c>
      <c r="I6" s="4"/>
      <c r="K6" s="4"/>
      <c r="M6" s="4"/>
    </row>
    <row r="7" spans="1:13" x14ac:dyDescent="0.25">
      <c r="B7" s="2" t="s">
        <v>69</v>
      </c>
      <c r="C7"/>
      <c r="E7" s="42">
        <v>477798</v>
      </c>
      <c r="F7" s="42">
        <v>564398</v>
      </c>
      <c r="G7" s="42">
        <v>632854</v>
      </c>
      <c r="I7" s="4"/>
      <c r="K7" s="4"/>
      <c r="M7" s="4"/>
    </row>
    <row r="8" spans="1:13" x14ac:dyDescent="0.25">
      <c r="B8" s="2" t="s">
        <v>402</v>
      </c>
      <c r="E8" s="42"/>
      <c r="F8" s="42"/>
      <c r="G8" s="42"/>
      <c r="I8" s="4"/>
      <c r="K8" s="4"/>
      <c r="M8" s="4"/>
    </row>
    <row r="9" spans="1:13" x14ac:dyDescent="0.25">
      <c r="C9" t="s">
        <v>6</v>
      </c>
      <c r="E9" s="42">
        <v>156582</v>
      </c>
      <c r="F9" s="42">
        <v>166197</v>
      </c>
      <c r="G9" s="42">
        <v>152334</v>
      </c>
      <c r="I9" s="4"/>
      <c r="K9" s="4"/>
      <c r="M9" s="4"/>
    </row>
    <row r="10" spans="1:13" x14ac:dyDescent="0.25">
      <c r="C10" t="s">
        <v>8</v>
      </c>
      <c r="E10" s="42">
        <v>296713</v>
      </c>
      <c r="F10" s="42">
        <v>311954</v>
      </c>
      <c r="G10" s="42">
        <v>311816</v>
      </c>
      <c r="I10" s="4"/>
      <c r="K10" s="4"/>
      <c r="M10" s="4"/>
    </row>
    <row r="11" spans="1:13" x14ac:dyDescent="0.25">
      <c r="C11" t="s">
        <v>10</v>
      </c>
      <c r="E11" s="42">
        <v>123079</v>
      </c>
      <c r="F11" s="42">
        <v>137550</v>
      </c>
      <c r="G11" s="42">
        <v>139854</v>
      </c>
      <c r="I11" s="4"/>
      <c r="K11" s="4"/>
      <c r="M11" s="4"/>
    </row>
    <row r="12" spans="1:13" x14ac:dyDescent="0.25">
      <c r="B12" s="2" t="s">
        <v>11</v>
      </c>
      <c r="E12" s="42">
        <v>576374</v>
      </c>
      <c r="F12" s="42">
        <v>615701</v>
      </c>
      <c r="G12" s="42">
        <v>604004</v>
      </c>
      <c r="I12" s="4"/>
      <c r="K12" s="4"/>
      <c r="M12" s="4"/>
    </row>
    <row r="13" spans="1:13" x14ac:dyDescent="0.25">
      <c r="B13" t="s">
        <v>403</v>
      </c>
      <c r="C13" s="2"/>
      <c r="E13" s="42">
        <v>-98576</v>
      </c>
      <c r="F13" s="42">
        <v>-51303</v>
      </c>
      <c r="G13" s="42">
        <v>28850</v>
      </c>
      <c r="I13" s="4"/>
      <c r="K13" s="4"/>
    </row>
    <row r="14" spans="1:13" x14ac:dyDescent="0.25">
      <c r="B14" t="s">
        <v>404</v>
      </c>
      <c r="C14"/>
      <c r="E14" s="42"/>
      <c r="F14" s="42"/>
      <c r="G14" s="42"/>
      <c r="I14" s="4"/>
      <c r="K14" s="4"/>
      <c r="M14" s="4"/>
    </row>
    <row r="15" spans="1:13" x14ac:dyDescent="0.25">
      <c r="C15" t="s">
        <v>405</v>
      </c>
      <c r="E15" s="42">
        <v>-7646</v>
      </c>
      <c r="F15" s="42">
        <v>-14812</v>
      </c>
      <c r="G15" s="42">
        <v>-14076</v>
      </c>
      <c r="I15" s="4"/>
      <c r="M15" s="4"/>
    </row>
    <row r="16" spans="1:13" x14ac:dyDescent="0.25">
      <c r="C16" t="s">
        <v>406</v>
      </c>
      <c r="E16" s="42">
        <v>0</v>
      </c>
      <c r="F16" s="42">
        <v>6615</v>
      </c>
      <c r="G16" s="42" t="s">
        <v>51</v>
      </c>
      <c r="I16" s="4"/>
      <c r="K16" s="4"/>
      <c r="M16" s="4"/>
    </row>
    <row r="17" spans="2:13" x14ac:dyDescent="0.25">
      <c r="C17" t="s">
        <v>407</v>
      </c>
      <c r="E17" s="42">
        <v>26799</v>
      </c>
      <c r="F17" s="42">
        <v>46745</v>
      </c>
      <c r="G17" s="42">
        <v>30168</v>
      </c>
      <c r="I17" s="4"/>
      <c r="K17" s="4"/>
      <c r="M17" s="4"/>
    </row>
    <row r="18" spans="2:13" x14ac:dyDescent="0.25">
      <c r="B18" s="2" t="s">
        <v>408</v>
      </c>
      <c r="E18" s="42">
        <v>19153</v>
      </c>
      <c r="F18" s="42">
        <v>38548</v>
      </c>
      <c r="G18" s="42">
        <v>16092</v>
      </c>
      <c r="K18" s="4"/>
      <c r="M18" s="4"/>
    </row>
    <row r="19" spans="2:13" x14ac:dyDescent="0.25">
      <c r="B19" t="s">
        <v>409</v>
      </c>
      <c r="E19" s="42">
        <v>-79423</v>
      </c>
      <c r="F19" s="42">
        <v>-12755</v>
      </c>
      <c r="G19" s="42">
        <v>44942</v>
      </c>
      <c r="I19" s="4"/>
      <c r="K19" s="4"/>
      <c r="M19" s="4"/>
    </row>
    <row r="20" spans="2:13" x14ac:dyDescent="0.25">
      <c r="B20" t="s">
        <v>410</v>
      </c>
      <c r="C20"/>
      <c r="E20" s="42">
        <v>2341</v>
      </c>
      <c r="F20" s="42">
        <v>40</v>
      </c>
      <c r="G20" s="42">
        <v>5526</v>
      </c>
      <c r="K20" s="4"/>
      <c r="M20" s="4"/>
    </row>
    <row r="21" spans="2:13" x14ac:dyDescent="0.25">
      <c r="B21" s="2" t="s">
        <v>411</v>
      </c>
      <c r="E21" s="42">
        <v>-81764</v>
      </c>
      <c r="F21" s="42">
        <v>-12795</v>
      </c>
      <c r="G21" s="42">
        <v>39416</v>
      </c>
      <c r="M21" s="4"/>
    </row>
    <row r="22" spans="2:13" x14ac:dyDescent="0.25">
      <c r="B22" t="s">
        <v>412</v>
      </c>
      <c r="C22"/>
      <c r="E22" s="5"/>
      <c r="F22" s="42"/>
      <c r="G22" s="5"/>
      <c r="I22" s="4"/>
      <c r="M22" s="4"/>
    </row>
    <row r="23" spans="2:13" x14ac:dyDescent="0.25">
      <c r="C23" t="s">
        <v>18</v>
      </c>
      <c r="E23" s="143">
        <v>-1.1299999999999999</v>
      </c>
      <c r="F23" s="143">
        <v>-0.17</v>
      </c>
      <c r="G23" s="143">
        <v>0.51</v>
      </c>
      <c r="I23" s="4"/>
      <c r="K23" s="4"/>
      <c r="M23" s="4"/>
    </row>
    <row r="24" spans="2:13" x14ac:dyDescent="0.25">
      <c r="C24" t="s">
        <v>20</v>
      </c>
      <c r="E24" s="143">
        <v>-1.1299999999999999</v>
      </c>
      <c r="F24" s="143">
        <v>-0.17</v>
      </c>
      <c r="G24" s="143">
        <v>0.45</v>
      </c>
      <c r="I24" s="4"/>
      <c r="K24" s="4"/>
    </row>
    <row r="25" spans="2:13" x14ac:dyDescent="0.25">
      <c r="B25" t="s">
        <v>413</v>
      </c>
      <c r="C25"/>
      <c r="E25" s="5"/>
      <c r="F25" s="42"/>
      <c r="G25" s="5"/>
      <c r="K25" s="4"/>
      <c r="M25" s="4"/>
    </row>
    <row r="26" spans="2:13" x14ac:dyDescent="0.25">
      <c r="C26" t="s">
        <v>18</v>
      </c>
      <c r="E26" s="42">
        <v>72048</v>
      </c>
      <c r="F26" s="42">
        <v>74503</v>
      </c>
      <c r="G26" s="42">
        <v>76916</v>
      </c>
      <c r="I26" s="4"/>
      <c r="M26" s="4"/>
    </row>
    <row r="27" spans="2:13" x14ac:dyDescent="0.25">
      <c r="C27" t="s">
        <v>20</v>
      </c>
      <c r="E27" s="42">
        <v>72048</v>
      </c>
      <c r="F27" s="42">
        <v>74503</v>
      </c>
      <c r="G27" s="42">
        <v>88002</v>
      </c>
      <c r="K27" s="4"/>
    </row>
    <row r="28" spans="2:13" x14ac:dyDescent="0.25">
      <c r="B28" s="2" t="s">
        <v>414</v>
      </c>
      <c r="C28"/>
      <c r="E28" s="42"/>
      <c r="F28" s="42"/>
      <c r="G28" s="42"/>
      <c r="M28" s="4"/>
    </row>
    <row r="29" spans="2:13" x14ac:dyDescent="0.25">
      <c r="B29" t="s">
        <v>411</v>
      </c>
      <c r="C29"/>
      <c r="E29" s="42">
        <v>-81764</v>
      </c>
      <c r="F29" s="42">
        <v>-12795</v>
      </c>
      <c r="G29" s="42">
        <v>39416</v>
      </c>
    </row>
    <row r="30" spans="2:13" x14ac:dyDescent="0.25">
      <c r="B30" s="2" t="s">
        <v>415</v>
      </c>
      <c r="E30" s="42">
        <v>3270</v>
      </c>
      <c r="F30" s="42">
        <v>54</v>
      </c>
      <c r="G30" s="42">
        <v>261</v>
      </c>
      <c r="M30" s="4"/>
    </row>
    <row r="31" spans="2:13" x14ac:dyDescent="0.25">
      <c r="B31" t="s">
        <v>416</v>
      </c>
      <c r="C31"/>
      <c r="E31" s="42">
        <v>-78494</v>
      </c>
      <c r="F31" s="42">
        <v>-12741</v>
      </c>
      <c r="G31" s="42">
        <v>39677</v>
      </c>
      <c r="M31" s="4"/>
    </row>
    <row r="32" spans="2:13" x14ac:dyDescent="0.25">
      <c r="C32"/>
      <c r="E32" s="5"/>
      <c r="F32" s="5"/>
      <c r="G32" s="5"/>
    </row>
    <row r="33" spans="1:13" x14ac:dyDescent="0.25">
      <c r="B33" s="2"/>
      <c r="E33" s="5"/>
      <c r="F33" s="5"/>
      <c r="G33" s="5"/>
      <c r="M33" s="4"/>
    </row>
    <row r="34" spans="1:13" x14ac:dyDescent="0.25">
      <c r="E34" s="5"/>
      <c r="F34" s="5"/>
      <c r="G34" s="5"/>
      <c r="M34" s="4"/>
    </row>
    <row r="35" spans="1:13" x14ac:dyDescent="0.25">
      <c r="C35"/>
      <c r="E35" s="5"/>
      <c r="F35" s="5"/>
      <c r="G35" s="5"/>
      <c r="M35" s="4"/>
    </row>
    <row r="36" spans="1:13" x14ac:dyDescent="0.25">
      <c r="C36"/>
      <c r="E36" s="5"/>
      <c r="F36" s="5"/>
      <c r="G36" s="5"/>
      <c r="M36" s="4"/>
    </row>
    <row r="37" spans="1:13" x14ac:dyDescent="0.25">
      <c r="C37"/>
      <c r="E37" s="5"/>
      <c r="F37" s="5"/>
      <c r="G37" s="5"/>
      <c r="M37" s="4"/>
    </row>
    <row r="38" spans="1:13" x14ac:dyDescent="0.25">
      <c r="C38"/>
      <c r="E38" s="5"/>
      <c r="F38" s="5"/>
      <c r="G38" s="5"/>
      <c r="M38" s="4"/>
    </row>
    <row r="39" spans="1:13" x14ac:dyDescent="0.25">
      <c r="C39"/>
      <c r="E39" s="5"/>
      <c r="F39" s="5"/>
      <c r="G39" s="5"/>
      <c r="M39" s="4"/>
    </row>
    <row r="40" spans="1:13" x14ac:dyDescent="0.25">
      <c r="C40"/>
      <c r="E40" s="5"/>
      <c r="F40" s="5"/>
      <c r="G40" s="5"/>
      <c r="M40" s="4"/>
    </row>
    <row r="42" spans="1:13" x14ac:dyDescent="0.25">
      <c r="A42" t="s">
        <v>400</v>
      </c>
      <c r="B42" s="8" t="s">
        <v>26</v>
      </c>
    </row>
    <row r="43" spans="1:13" x14ac:dyDescent="0.25">
      <c r="B43" s="9" t="s">
        <v>27</v>
      </c>
      <c r="C43" s="11"/>
      <c r="D43" s="11"/>
      <c r="E43" s="12"/>
      <c r="F43" s="12"/>
      <c r="G43" s="12"/>
    </row>
    <row r="44" spans="1:13" x14ac:dyDescent="0.25">
      <c r="B44" s="10" t="s">
        <v>28</v>
      </c>
      <c r="C44" s="13"/>
      <c r="D44" s="13"/>
      <c r="E44" s="14">
        <f>E4</f>
        <v>45291</v>
      </c>
      <c r="F44" s="14">
        <f>EOMONTH(E44,12)</f>
        <v>45657</v>
      </c>
      <c r="G44" s="14">
        <f>EOMONTH(F44,12)</f>
        <v>46022</v>
      </c>
    </row>
    <row r="45" spans="1:13" x14ac:dyDescent="0.25">
      <c r="D45" s="3"/>
    </row>
    <row r="46" spans="1:13" x14ac:dyDescent="0.25">
      <c r="B46" s="2" t="s">
        <v>418</v>
      </c>
      <c r="C46" s="3"/>
      <c r="D46" s="3"/>
    </row>
    <row r="47" spans="1:13" x14ac:dyDescent="0.25">
      <c r="B47" s="2" t="s">
        <v>419</v>
      </c>
      <c r="C47"/>
      <c r="D47"/>
      <c r="E47" s="5"/>
      <c r="F47" s="5"/>
      <c r="G47" s="5"/>
    </row>
    <row r="48" spans="1:13" x14ac:dyDescent="0.25">
      <c r="C48" t="s">
        <v>25</v>
      </c>
      <c r="D48"/>
      <c r="E48" s="5"/>
      <c r="F48" s="42">
        <v>362546</v>
      </c>
      <c r="G48" s="42">
        <v>232084</v>
      </c>
    </row>
    <row r="49" spans="2:10" x14ac:dyDescent="0.25">
      <c r="C49" t="s">
        <v>420</v>
      </c>
      <c r="D49"/>
      <c r="E49" s="5"/>
      <c r="F49" s="42">
        <v>643410</v>
      </c>
      <c r="G49" s="42">
        <v>464835</v>
      </c>
    </row>
    <row r="50" spans="2:10" x14ac:dyDescent="0.25">
      <c r="C50" t="s">
        <v>421</v>
      </c>
      <c r="D50"/>
      <c r="E50" s="5"/>
      <c r="F50" s="42">
        <v>115172</v>
      </c>
      <c r="G50" s="42">
        <v>130984</v>
      </c>
    </row>
    <row r="51" spans="2:10" x14ac:dyDescent="0.25">
      <c r="C51" t="s">
        <v>30</v>
      </c>
      <c r="D51"/>
      <c r="E51" s="5"/>
      <c r="F51" s="42">
        <v>50840</v>
      </c>
      <c r="G51" s="42">
        <v>43107</v>
      </c>
    </row>
    <row r="52" spans="2:10" x14ac:dyDescent="0.25">
      <c r="B52" s="2"/>
      <c r="C52" t="s">
        <v>422</v>
      </c>
      <c r="D52" s="3"/>
      <c r="E52" s="5"/>
      <c r="F52" s="42">
        <v>76600</v>
      </c>
      <c r="G52" s="42">
        <v>88714</v>
      </c>
    </row>
    <row r="53" spans="2:10" x14ac:dyDescent="0.25">
      <c r="B53" s="2" t="s">
        <v>423</v>
      </c>
      <c r="C53"/>
      <c r="D53"/>
      <c r="E53" s="5"/>
      <c r="F53" s="42">
        <v>1248568</v>
      </c>
      <c r="G53" s="42">
        <v>959724</v>
      </c>
    </row>
    <row r="54" spans="2:10" x14ac:dyDescent="0.25">
      <c r="B54" t="s">
        <v>31</v>
      </c>
      <c r="C54"/>
      <c r="D54"/>
      <c r="E54" s="5"/>
      <c r="F54" s="42">
        <v>144888</v>
      </c>
      <c r="G54" s="42">
        <v>164635</v>
      </c>
    </row>
    <row r="55" spans="2:10" x14ac:dyDescent="0.25">
      <c r="B55" t="s">
        <v>424</v>
      </c>
      <c r="C55"/>
      <c r="D55"/>
      <c r="E55" s="5"/>
      <c r="F55" s="42">
        <v>38880</v>
      </c>
      <c r="G55" s="42">
        <v>46375</v>
      </c>
    </row>
    <row r="56" spans="2:10" x14ac:dyDescent="0.25">
      <c r="B56" t="s">
        <v>425</v>
      </c>
      <c r="C56"/>
      <c r="D56"/>
      <c r="E56" s="5"/>
      <c r="F56" s="42">
        <v>19269</v>
      </c>
      <c r="G56" s="42">
        <v>14216</v>
      </c>
    </row>
    <row r="57" spans="2:10" x14ac:dyDescent="0.25">
      <c r="B57" t="s">
        <v>35</v>
      </c>
      <c r="C57"/>
      <c r="D57"/>
      <c r="E57" s="5"/>
      <c r="F57" s="42">
        <v>65632</v>
      </c>
      <c r="G57" s="42">
        <v>51166</v>
      </c>
    </row>
    <row r="58" spans="2:10" x14ac:dyDescent="0.25">
      <c r="B58" t="s">
        <v>34</v>
      </c>
      <c r="C58"/>
      <c r="D58"/>
      <c r="E58" s="5"/>
      <c r="F58" s="42">
        <v>365436</v>
      </c>
      <c r="G58" s="42">
        <v>366253</v>
      </c>
    </row>
    <row r="59" spans="2:10" x14ac:dyDescent="0.25">
      <c r="B59" t="s">
        <v>426</v>
      </c>
      <c r="C59"/>
      <c r="D59"/>
      <c r="E59" s="5"/>
      <c r="F59" s="42">
        <v>13384</v>
      </c>
      <c r="G59" s="42">
        <v>10725</v>
      </c>
    </row>
    <row r="60" spans="2:10" x14ac:dyDescent="0.25">
      <c r="B60" t="s">
        <v>427</v>
      </c>
      <c r="C60" s="3"/>
      <c r="D60" s="3"/>
      <c r="E60" s="7"/>
      <c r="F60" s="42">
        <v>155157</v>
      </c>
      <c r="G60" s="42">
        <v>176976</v>
      </c>
    </row>
    <row r="61" spans="2:10" x14ac:dyDescent="0.25">
      <c r="B61" s="2" t="s">
        <v>37</v>
      </c>
      <c r="C61" s="3"/>
      <c r="D61" s="3"/>
      <c r="F61" s="42">
        <v>2051214</v>
      </c>
      <c r="G61" s="42">
        <v>1790070</v>
      </c>
    </row>
    <row r="62" spans="2:10" x14ac:dyDescent="0.25">
      <c r="B62" s="2"/>
      <c r="C62" s="3"/>
      <c r="D62" s="3"/>
      <c r="G62" s="42"/>
    </row>
    <row r="63" spans="2:10" x14ac:dyDescent="0.25">
      <c r="B63" s="2" t="s">
        <v>428</v>
      </c>
      <c r="C63"/>
      <c r="D63"/>
      <c r="E63" s="5"/>
      <c r="F63" s="5"/>
      <c r="G63" s="42"/>
      <c r="I63" s="1"/>
      <c r="J63" s="1"/>
    </row>
    <row r="64" spans="2:10" x14ac:dyDescent="0.25">
      <c r="B64" s="2" t="s">
        <v>38</v>
      </c>
      <c r="C64"/>
      <c r="D64"/>
      <c r="E64" s="5"/>
      <c r="F64" s="5"/>
      <c r="G64" s="42"/>
    </row>
    <row r="65" spans="2:7" x14ac:dyDescent="0.25">
      <c r="C65" t="s">
        <v>12</v>
      </c>
      <c r="D65"/>
      <c r="E65" s="5"/>
      <c r="F65" s="42">
        <v>26282</v>
      </c>
      <c r="G65" s="42">
        <v>29973</v>
      </c>
    </row>
    <row r="66" spans="2:7" x14ac:dyDescent="0.25">
      <c r="C66" t="s">
        <v>429</v>
      </c>
      <c r="D66"/>
      <c r="E66" s="5"/>
      <c r="F66" s="42">
        <v>83720</v>
      </c>
      <c r="G66" s="42">
        <v>84120</v>
      </c>
    </row>
    <row r="67" spans="2:7" x14ac:dyDescent="0.25">
      <c r="C67" t="s">
        <v>430</v>
      </c>
      <c r="D67"/>
      <c r="E67" s="5"/>
      <c r="F67" s="42">
        <v>11258</v>
      </c>
      <c r="G67" s="42">
        <v>12922</v>
      </c>
    </row>
    <row r="68" spans="2:7" x14ac:dyDescent="0.25">
      <c r="C68" t="s">
        <v>431</v>
      </c>
      <c r="D68"/>
      <c r="E68" s="5"/>
      <c r="F68" s="42">
        <v>7768</v>
      </c>
      <c r="G68" s="42">
        <v>8480</v>
      </c>
    </row>
    <row r="69" spans="2:7" x14ac:dyDescent="0.25">
      <c r="C69" t="s">
        <v>15</v>
      </c>
      <c r="D69" s="3"/>
      <c r="E69" s="5"/>
      <c r="F69" s="42">
        <v>79173</v>
      </c>
      <c r="G69" s="42">
        <v>77515</v>
      </c>
    </row>
    <row r="70" spans="2:7" x14ac:dyDescent="0.25">
      <c r="B70" t="s">
        <v>432</v>
      </c>
      <c r="C70"/>
      <c r="D70"/>
      <c r="E70" s="5"/>
      <c r="F70" s="42">
        <v>433490</v>
      </c>
      <c r="G70" s="42">
        <v>0</v>
      </c>
    </row>
    <row r="71" spans="2:7" x14ac:dyDescent="0.25">
      <c r="B71" s="2" t="s">
        <v>40</v>
      </c>
      <c r="C71"/>
      <c r="D71"/>
      <c r="E71" s="5"/>
      <c r="F71" s="42">
        <v>641691</v>
      </c>
      <c r="G71" s="42">
        <v>213010</v>
      </c>
    </row>
    <row r="72" spans="2:7" x14ac:dyDescent="0.25">
      <c r="B72" t="s">
        <v>433</v>
      </c>
      <c r="C72"/>
      <c r="D72"/>
      <c r="E72" s="5"/>
      <c r="F72" s="42">
        <v>731855</v>
      </c>
      <c r="G72" s="42">
        <v>735490</v>
      </c>
    </row>
    <row r="73" spans="2:7" x14ac:dyDescent="0.25">
      <c r="B73" t="s">
        <v>434</v>
      </c>
      <c r="C73" s="3"/>
      <c r="D73" s="3"/>
      <c r="E73" s="7"/>
      <c r="F73" s="42">
        <v>37071</v>
      </c>
      <c r="G73" s="42">
        <v>42116</v>
      </c>
    </row>
    <row r="74" spans="2:7" x14ac:dyDescent="0.25">
      <c r="B74" t="s">
        <v>435</v>
      </c>
      <c r="C74"/>
      <c r="D74"/>
      <c r="E74" s="5"/>
      <c r="F74" s="42">
        <v>11688</v>
      </c>
      <c r="G74" s="42">
        <v>6090</v>
      </c>
    </row>
    <row r="75" spans="2:7" x14ac:dyDescent="0.25">
      <c r="B75" t="s">
        <v>17</v>
      </c>
      <c r="E75" s="5"/>
      <c r="F75" s="42">
        <v>6717</v>
      </c>
      <c r="G75" s="42">
        <v>7547</v>
      </c>
    </row>
    <row r="76" spans="2:7" x14ac:dyDescent="0.25">
      <c r="B76" s="2" t="s">
        <v>42</v>
      </c>
      <c r="C76"/>
      <c r="D76"/>
      <c r="E76" s="5"/>
      <c r="F76" s="42">
        <v>1429022</v>
      </c>
      <c r="G76" s="42">
        <v>1004253</v>
      </c>
    </row>
    <row r="77" spans="2:7" x14ac:dyDescent="0.25">
      <c r="B77" t="s">
        <v>436</v>
      </c>
      <c r="C77"/>
      <c r="D77"/>
      <c r="E77" s="5"/>
      <c r="F77" s="42"/>
      <c r="G77" s="42"/>
    </row>
    <row r="78" spans="2:7" x14ac:dyDescent="0.25">
      <c r="B78" s="2" t="s">
        <v>43</v>
      </c>
      <c r="C78"/>
      <c r="D78"/>
      <c r="E78" s="5"/>
      <c r="F78" s="42"/>
      <c r="G78" s="42"/>
    </row>
    <row r="79" spans="2:7" x14ac:dyDescent="0.25">
      <c r="B79" t="s">
        <v>440</v>
      </c>
      <c r="C79"/>
      <c r="D79"/>
      <c r="E79" s="5"/>
      <c r="F79" s="42">
        <v>0</v>
      </c>
      <c r="G79" s="42">
        <v>0</v>
      </c>
    </row>
    <row r="80" spans="2:7" x14ac:dyDescent="0.25">
      <c r="B80" t="s">
        <v>441</v>
      </c>
      <c r="C80" s="3"/>
      <c r="D80"/>
      <c r="E80" s="7"/>
      <c r="F80" s="42">
        <v>76</v>
      </c>
      <c r="G80" s="42">
        <v>77</v>
      </c>
    </row>
    <row r="81" spans="1:9" x14ac:dyDescent="0.25">
      <c r="B81" t="s">
        <v>45</v>
      </c>
      <c r="E81" s="49"/>
      <c r="F81" s="42">
        <v>1039125</v>
      </c>
      <c r="G81" s="42">
        <v>1163072</v>
      </c>
    </row>
    <row r="82" spans="1:9" x14ac:dyDescent="0.25">
      <c r="B82" t="s">
        <v>437</v>
      </c>
      <c r="F82" s="42">
        <v>636</v>
      </c>
      <c r="G82" s="42">
        <v>897</v>
      </c>
    </row>
    <row r="83" spans="1:9" x14ac:dyDescent="0.25">
      <c r="B83" t="s">
        <v>438</v>
      </c>
      <c r="F83" s="42">
        <v>-417645</v>
      </c>
      <c r="G83" s="42">
        <v>-378229</v>
      </c>
    </row>
    <row r="84" spans="1:9" x14ac:dyDescent="0.25">
      <c r="B84" s="2" t="s">
        <v>48</v>
      </c>
      <c r="F84" s="42">
        <v>622192</v>
      </c>
      <c r="G84" s="42">
        <v>785817</v>
      </c>
    </row>
    <row r="85" spans="1:9" x14ac:dyDescent="0.25">
      <c r="B85" s="2" t="s">
        <v>439</v>
      </c>
      <c r="F85" s="42">
        <v>2051214</v>
      </c>
      <c r="G85" s="42">
        <v>1790070</v>
      </c>
    </row>
    <row r="89" spans="1:9" x14ac:dyDescent="0.25">
      <c r="A89" t="s">
        <v>400</v>
      </c>
      <c r="B89" s="8" t="s">
        <v>49</v>
      </c>
    </row>
    <row r="90" spans="1:9" x14ac:dyDescent="0.25">
      <c r="B90" s="9" t="s">
        <v>27</v>
      </c>
      <c r="C90" s="11"/>
      <c r="D90" s="11"/>
      <c r="E90" s="12"/>
      <c r="F90" s="12"/>
      <c r="G90" s="12"/>
    </row>
    <row r="91" spans="1:9" x14ac:dyDescent="0.25">
      <c r="B91" s="10" t="s">
        <v>28</v>
      </c>
      <c r="C91" s="13"/>
      <c r="D91" s="13"/>
      <c r="E91" s="14">
        <f>E44</f>
        <v>45291</v>
      </c>
      <c r="F91" s="14">
        <f>EOMONTH(E91,12)</f>
        <v>45657</v>
      </c>
      <c r="G91" s="14">
        <f>EOMONTH(F91,12)</f>
        <v>46022</v>
      </c>
    </row>
    <row r="92" spans="1:9" x14ac:dyDescent="0.25">
      <c r="C92"/>
      <c r="E92" s="4"/>
      <c r="F92" s="4"/>
      <c r="G92" s="4"/>
    </row>
    <row r="93" spans="1:9" x14ac:dyDescent="0.25">
      <c r="B93" s="2" t="s">
        <v>442</v>
      </c>
      <c r="C93"/>
      <c r="E93" s="4"/>
      <c r="F93" s="4"/>
      <c r="G93" s="4"/>
    </row>
    <row r="94" spans="1:9" x14ac:dyDescent="0.25">
      <c r="B94" t="s">
        <v>411</v>
      </c>
      <c r="C94"/>
      <c r="E94" s="42">
        <v>-81764</v>
      </c>
      <c r="F94" s="42">
        <v>-12795</v>
      </c>
      <c r="G94" s="42">
        <v>39416</v>
      </c>
    </row>
    <row r="95" spans="1:9" x14ac:dyDescent="0.25">
      <c r="B95" s="2" t="s">
        <v>488</v>
      </c>
      <c r="C95"/>
      <c r="E95" s="42"/>
      <c r="F95" s="42"/>
      <c r="G95" s="42"/>
    </row>
    <row r="96" spans="1:9" x14ac:dyDescent="0.25">
      <c r="C96" t="s">
        <v>1</v>
      </c>
      <c r="E96" s="42">
        <v>48515</v>
      </c>
      <c r="F96" s="42">
        <v>52905</v>
      </c>
      <c r="G96" s="42">
        <v>61764</v>
      </c>
      <c r="I96" s="4"/>
    </row>
    <row r="97" spans="2:7" x14ac:dyDescent="0.25">
      <c r="C97" t="s">
        <v>443</v>
      </c>
      <c r="E97" s="42">
        <v>12642</v>
      </c>
      <c r="F97" s="42">
        <v>15358</v>
      </c>
      <c r="G97" s="42">
        <v>20277</v>
      </c>
    </row>
    <row r="98" spans="2:7" x14ac:dyDescent="0.25">
      <c r="C98" t="s">
        <v>444</v>
      </c>
      <c r="E98" s="42">
        <v>55384</v>
      </c>
      <c r="F98" s="42">
        <v>71483</v>
      </c>
      <c r="G98" s="42">
        <v>86006</v>
      </c>
    </row>
    <row r="99" spans="2:7" x14ac:dyDescent="0.25">
      <c r="C99" t="s">
        <v>445</v>
      </c>
      <c r="E99" s="42">
        <v>-11351</v>
      </c>
      <c r="F99" s="42">
        <v>-20818</v>
      </c>
      <c r="G99" s="42">
        <v>-7892</v>
      </c>
    </row>
    <row r="100" spans="2:7" x14ac:dyDescent="0.25">
      <c r="C100" t="s">
        <v>446</v>
      </c>
      <c r="E100" s="42">
        <v>989</v>
      </c>
      <c r="F100" s="42">
        <v>1150</v>
      </c>
      <c r="G100" s="42">
        <v>1617</v>
      </c>
    </row>
    <row r="101" spans="2:7" x14ac:dyDescent="0.25">
      <c r="C101" t="s">
        <v>3</v>
      </c>
      <c r="E101" s="42">
        <v>206292</v>
      </c>
      <c r="F101" s="42">
        <v>166315</v>
      </c>
      <c r="G101" s="42">
        <v>148068</v>
      </c>
    </row>
    <row r="102" spans="2:7" x14ac:dyDescent="0.25">
      <c r="C102" t="s">
        <v>447</v>
      </c>
      <c r="E102" s="42">
        <v>3749</v>
      </c>
      <c r="F102" s="42">
        <v>5478</v>
      </c>
      <c r="G102" s="42">
        <v>4550</v>
      </c>
    </row>
    <row r="103" spans="2:7" x14ac:dyDescent="0.25">
      <c r="C103" t="s">
        <v>406</v>
      </c>
      <c r="E103" s="42">
        <v>0</v>
      </c>
      <c r="F103" s="42">
        <v>-6615</v>
      </c>
      <c r="G103" s="42" t="s">
        <v>51</v>
      </c>
    </row>
    <row r="104" spans="2:7" x14ac:dyDescent="0.25">
      <c r="C104" t="s">
        <v>448</v>
      </c>
      <c r="E104" s="42">
        <v>0</v>
      </c>
      <c r="F104" s="42">
        <v>1250</v>
      </c>
      <c r="G104" s="42" t="s">
        <v>51</v>
      </c>
    </row>
    <row r="105" spans="2:7" x14ac:dyDescent="0.25">
      <c r="C105" t="s">
        <v>449</v>
      </c>
      <c r="E105" s="42">
        <v>0</v>
      </c>
      <c r="F105" s="42">
        <v>2202</v>
      </c>
      <c r="G105" s="42">
        <v>835</v>
      </c>
    </row>
    <row r="106" spans="2:7" x14ac:dyDescent="0.25">
      <c r="C106" t="s">
        <v>450</v>
      </c>
      <c r="E106" s="42">
        <v>150</v>
      </c>
      <c r="F106" s="42">
        <v>264</v>
      </c>
      <c r="G106" s="42">
        <v>1033</v>
      </c>
    </row>
    <row r="107" spans="2:7" x14ac:dyDescent="0.25">
      <c r="C107" t="s">
        <v>451</v>
      </c>
      <c r="E107" s="42">
        <v>53</v>
      </c>
      <c r="F107" s="42">
        <v>647</v>
      </c>
      <c r="G107" s="42">
        <v>446</v>
      </c>
    </row>
    <row r="108" spans="2:7" x14ac:dyDescent="0.25">
      <c r="C108" t="s">
        <v>452</v>
      </c>
      <c r="E108" s="42">
        <v>0</v>
      </c>
      <c r="F108" s="42">
        <v>-5482</v>
      </c>
      <c r="G108" s="42">
        <v>524</v>
      </c>
    </row>
    <row r="109" spans="2:7" x14ac:dyDescent="0.25">
      <c r="C109" t="s">
        <v>453</v>
      </c>
      <c r="E109" s="42">
        <v>657</v>
      </c>
      <c r="F109" s="42">
        <v>-1051</v>
      </c>
      <c r="G109" s="42">
        <v>45</v>
      </c>
    </row>
    <row r="110" spans="2:7" x14ac:dyDescent="0.25">
      <c r="B110" s="2" t="s">
        <v>5</v>
      </c>
      <c r="E110" s="42"/>
      <c r="F110" s="42"/>
      <c r="G110" s="42"/>
    </row>
    <row r="111" spans="2:7" x14ac:dyDescent="0.25">
      <c r="B111" s="2"/>
      <c r="C111" t="s">
        <v>7</v>
      </c>
      <c r="E111" s="42">
        <v>-9844</v>
      </c>
      <c r="F111" s="42">
        <v>-14645</v>
      </c>
      <c r="G111" s="42">
        <v>-17430</v>
      </c>
    </row>
    <row r="112" spans="2:7" x14ac:dyDescent="0.25">
      <c r="C112" t="s">
        <v>30</v>
      </c>
      <c r="E112" s="42">
        <v>-3532</v>
      </c>
      <c r="F112" s="42">
        <v>-12148</v>
      </c>
      <c r="G112" s="42">
        <v>7774</v>
      </c>
    </row>
    <row r="113" spans="2:9" x14ac:dyDescent="0.25">
      <c r="C113" t="s">
        <v>454</v>
      </c>
      <c r="E113" s="42">
        <v>-91544</v>
      </c>
      <c r="F113" s="42">
        <v>-104957</v>
      </c>
      <c r="G113" s="42">
        <v>-119940</v>
      </c>
    </row>
    <row r="114" spans="2:9" x14ac:dyDescent="0.25">
      <c r="C114" t="s">
        <v>426</v>
      </c>
      <c r="E114" s="42">
        <v>-3988</v>
      </c>
      <c r="F114" s="42">
        <v>3115</v>
      </c>
      <c r="G114" s="42">
        <v>2630</v>
      </c>
    </row>
    <row r="115" spans="2:9" x14ac:dyDescent="0.25">
      <c r="B115" s="2"/>
      <c r="C115" t="s">
        <v>12</v>
      </c>
      <c r="E115" s="42">
        <v>2932</v>
      </c>
      <c r="F115" s="42">
        <v>1057</v>
      </c>
      <c r="G115" s="42">
        <v>3190</v>
      </c>
    </row>
    <row r="116" spans="2:9" x14ac:dyDescent="0.25">
      <c r="B116" s="2"/>
      <c r="C116" t="s">
        <v>429</v>
      </c>
      <c r="E116" s="42">
        <v>-9274</v>
      </c>
      <c r="F116" s="42">
        <v>2839</v>
      </c>
      <c r="G116" s="42">
        <v>-5700</v>
      </c>
    </row>
    <row r="117" spans="2:9" x14ac:dyDescent="0.25">
      <c r="C117" t="s">
        <v>15</v>
      </c>
      <c r="E117" s="42">
        <v>4958</v>
      </c>
      <c r="F117" s="42">
        <v>-425</v>
      </c>
      <c r="G117" s="42">
        <v>-958</v>
      </c>
      <c r="I117" s="4"/>
    </row>
    <row r="118" spans="2:9" x14ac:dyDescent="0.25">
      <c r="C118" t="s">
        <v>489</v>
      </c>
      <c r="E118" s="42">
        <v>3814</v>
      </c>
      <c r="F118" s="42">
        <v>-1959</v>
      </c>
      <c r="G118" s="42">
        <v>-48</v>
      </c>
    </row>
    <row r="119" spans="2:9" x14ac:dyDescent="0.25">
      <c r="B119" t="s">
        <v>19</v>
      </c>
      <c r="C119"/>
      <c r="E119" s="42">
        <v>128838</v>
      </c>
      <c r="F119" s="42">
        <v>143168</v>
      </c>
      <c r="G119" s="42">
        <v>226207</v>
      </c>
      <c r="I119" s="4"/>
    </row>
    <row r="120" spans="2:9" x14ac:dyDescent="0.25">
      <c r="B120" s="2" t="s">
        <v>455</v>
      </c>
      <c r="E120" s="42"/>
      <c r="F120" s="42"/>
      <c r="G120" s="42"/>
    </row>
    <row r="121" spans="2:9" x14ac:dyDescent="0.25">
      <c r="B121" t="s">
        <v>456</v>
      </c>
      <c r="C121"/>
      <c r="E121" s="42">
        <v>-795002</v>
      </c>
      <c r="F121" s="42">
        <v>-1289357</v>
      </c>
      <c r="G121" s="42">
        <v>-745378</v>
      </c>
      <c r="I121" s="4"/>
    </row>
    <row r="122" spans="2:9" x14ac:dyDescent="0.25">
      <c r="B122" t="s">
        <v>457</v>
      </c>
      <c r="E122" s="42">
        <v>1211</v>
      </c>
      <c r="F122" s="42">
        <v>122138</v>
      </c>
      <c r="G122" s="42">
        <v>127976</v>
      </c>
    </row>
    <row r="123" spans="2:9" x14ac:dyDescent="0.25">
      <c r="B123" t="s">
        <v>458</v>
      </c>
      <c r="C123"/>
      <c r="E123" s="42">
        <v>655588</v>
      </c>
      <c r="F123" s="42">
        <v>1132332</v>
      </c>
      <c r="G123" s="42">
        <v>804091</v>
      </c>
    </row>
    <row r="124" spans="2:9" x14ac:dyDescent="0.25">
      <c r="B124" t="s">
        <v>459</v>
      </c>
      <c r="C124"/>
      <c r="E124" s="42">
        <v>-31234</v>
      </c>
      <c r="F124" s="42">
        <v>-42388</v>
      </c>
      <c r="G124" s="42">
        <v>-24963</v>
      </c>
    </row>
    <row r="125" spans="2:9" x14ac:dyDescent="0.25">
      <c r="B125" t="s">
        <v>460</v>
      </c>
      <c r="E125" s="42">
        <v>-9537</v>
      </c>
      <c r="F125" s="42">
        <v>-22223</v>
      </c>
      <c r="G125" s="42">
        <v>-39135</v>
      </c>
    </row>
    <row r="126" spans="2:9" x14ac:dyDescent="0.25">
      <c r="B126" t="s">
        <v>461</v>
      </c>
      <c r="E126" s="42">
        <v>0</v>
      </c>
      <c r="F126" s="42">
        <v>0</v>
      </c>
      <c r="G126" s="42">
        <v>-286</v>
      </c>
    </row>
    <row r="127" spans="2:9" x14ac:dyDescent="0.25">
      <c r="B127" t="s">
        <v>462</v>
      </c>
      <c r="C127"/>
      <c r="E127" s="42">
        <v>0</v>
      </c>
      <c r="F127" s="42">
        <v>-167151</v>
      </c>
      <c r="G127" s="42" t="s">
        <v>51</v>
      </c>
    </row>
    <row r="128" spans="2:9" x14ac:dyDescent="0.25">
      <c r="B128" t="s">
        <v>463</v>
      </c>
      <c r="E128" s="42">
        <v>-80588</v>
      </c>
      <c r="F128" s="42">
        <v>99</v>
      </c>
      <c r="G128" s="42" t="s">
        <v>51</v>
      </c>
    </row>
    <row r="129" spans="2:7" x14ac:dyDescent="0.25">
      <c r="B129" t="s">
        <v>464</v>
      </c>
      <c r="E129" s="42">
        <v>-259562</v>
      </c>
      <c r="F129" s="42">
        <v>-266550</v>
      </c>
      <c r="G129" s="42">
        <v>122305</v>
      </c>
    </row>
    <row r="130" spans="2:7" x14ac:dyDescent="0.25">
      <c r="B130" s="2" t="s">
        <v>465</v>
      </c>
      <c r="E130" s="42"/>
      <c r="F130" s="42"/>
      <c r="G130" s="42"/>
    </row>
    <row r="131" spans="2:7" x14ac:dyDescent="0.25">
      <c r="B131" t="s">
        <v>466</v>
      </c>
      <c r="E131" s="42">
        <v>0</v>
      </c>
      <c r="F131" s="42">
        <v>731055</v>
      </c>
      <c r="G131" s="42">
        <v>0</v>
      </c>
    </row>
    <row r="132" spans="2:7" x14ac:dyDescent="0.25">
      <c r="B132" t="s">
        <v>467</v>
      </c>
      <c r="E132" s="42">
        <v>0</v>
      </c>
      <c r="F132" s="42">
        <v>-2212</v>
      </c>
      <c r="G132" s="42">
        <v>0</v>
      </c>
    </row>
    <row r="133" spans="2:7" x14ac:dyDescent="0.25">
      <c r="B133" t="s">
        <v>494</v>
      </c>
      <c r="E133" s="42">
        <v>0</v>
      </c>
      <c r="F133" s="42">
        <v>-93438</v>
      </c>
      <c r="G133" s="42">
        <v>0</v>
      </c>
    </row>
    <row r="134" spans="2:7" x14ac:dyDescent="0.25">
      <c r="B134" t="s">
        <v>468</v>
      </c>
      <c r="E134" s="42">
        <v>0</v>
      </c>
      <c r="F134" s="42">
        <v>-304485</v>
      </c>
      <c r="G134" s="42">
        <v>0</v>
      </c>
    </row>
    <row r="135" spans="2:7" x14ac:dyDescent="0.25">
      <c r="B135" t="s">
        <v>469</v>
      </c>
      <c r="E135" s="42">
        <v>-169</v>
      </c>
      <c r="F135" s="42">
        <v>0</v>
      </c>
      <c r="G135" s="42">
        <v>0</v>
      </c>
    </row>
    <row r="136" spans="2:7" x14ac:dyDescent="0.25">
      <c r="B136" t="s">
        <v>490</v>
      </c>
      <c r="E136" s="42">
        <v>74453</v>
      </c>
      <c r="F136" s="42">
        <v>0</v>
      </c>
      <c r="G136" s="42">
        <v>0</v>
      </c>
    </row>
    <row r="137" spans="2:7" x14ac:dyDescent="0.25">
      <c r="B137" t="s">
        <v>491</v>
      </c>
      <c r="E137" s="42">
        <v>0</v>
      </c>
      <c r="F137" s="42">
        <v>539</v>
      </c>
      <c r="G137" s="42">
        <v>0</v>
      </c>
    </row>
    <row r="138" spans="2:7" x14ac:dyDescent="0.25">
      <c r="B138" t="s">
        <v>470</v>
      </c>
      <c r="E138" s="42">
        <v>0</v>
      </c>
      <c r="F138" s="42">
        <v>0</v>
      </c>
      <c r="G138" s="42">
        <v>-434405</v>
      </c>
    </row>
    <row r="139" spans="2:7" x14ac:dyDescent="0.25">
      <c r="B139" t="s">
        <v>21</v>
      </c>
      <c r="E139" s="42">
        <v>9127</v>
      </c>
      <c r="F139" s="42">
        <v>481</v>
      </c>
      <c r="G139" s="42">
        <v>3137</v>
      </c>
    </row>
    <row r="140" spans="2:7" x14ac:dyDescent="0.25">
      <c r="B140" t="s">
        <v>471</v>
      </c>
      <c r="E140" s="42">
        <v>15927</v>
      </c>
      <c r="F140" s="42">
        <v>14797</v>
      </c>
      <c r="G140" s="42">
        <v>12472</v>
      </c>
    </row>
    <row r="141" spans="2:7" x14ac:dyDescent="0.25">
      <c r="B141" t="s">
        <v>472</v>
      </c>
      <c r="E141" s="42">
        <v>-3270</v>
      </c>
      <c r="F141" s="42">
        <v>0</v>
      </c>
      <c r="G141" s="42">
        <v>0</v>
      </c>
    </row>
    <row r="142" spans="2:7" x14ac:dyDescent="0.25">
      <c r="B142" t="s">
        <v>473</v>
      </c>
      <c r="E142" s="42">
        <v>0</v>
      </c>
      <c r="F142" s="42">
        <v>0</v>
      </c>
      <c r="G142" s="42">
        <v>-50000</v>
      </c>
    </row>
    <row r="143" spans="2:7" x14ac:dyDescent="0.25">
      <c r="B143" t="s">
        <v>474</v>
      </c>
      <c r="E143" s="42">
        <v>-500</v>
      </c>
      <c r="F143" s="42">
        <v>0</v>
      </c>
      <c r="G143" s="42">
        <v>0</v>
      </c>
    </row>
    <row r="144" spans="2:7" x14ac:dyDescent="0.25">
      <c r="B144" t="s">
        <v>475</v>
      </c>
      <c r="E144" s="42">
        <v>-989</v>
      </c>
      <c r="F144" s="42">
        <v>-4012</v>
      </c>
      <c r="G144" s="42">
        <v>-9770</v>
      </c>
    </row>
    <row r="145" spans="2:7" x14ac:dyDescent="0.25">
      <c r="B145" t="s">
        <v>24</v>
      </c>
      <c r="E145" s="42">
        <v>94579</v>
      </c>
      <c r="F145" s="42">
        <v>342725</v>
      </c>
      <c r="G145" s="42">
        <v>-478566</v>
      </c>
    </row>
    <row r="146" spans="2:7" x14ac:dyDescent="0.25">
      <c r="B146" t="s">
        <v>476</v>
      </c>
      <c r="E146" s="42">
        <v>-36145</v>
      </c>
      <c r="F146" s="42">
        <v>219343</v>
      </c>
      <c r="G146" s="42">
        <v>-130054</v>
      </c>
    </row>
    <row r="147" spans="2:7" x14ac:dyDescent="0.25">
      <c r="B147" s="2" t="s">
        <v>477</v>
      </c>
      <c r="E147" s="42"/>
      <c r="F147" s="42"/>
      <c r="G147" s="42"/>
    </row>
    <row r="148" spans="2:7" x14ac:dyDescent="0.25">
      <c r="B148" t="s">
        <v>136</v>
      </c>
      <c r="E148" s="42">
        <v>180987</v>
      </c>
      <c r="F148" s="42">
        <v>144842</v>
      </c>
      <c r="G148" s="42">
        <v>364185</v>
      </c>
    </row>
    <row r="149" spans="2:7" x14ac:dyDescent="0.25">
      <c r="B149" t="s">
        <v>117</v>
      </c>
      <c r="E149" s="42">
        <v>144842</v>
      </c>
      <c r="F149" s="42">
        <v>364185</v>
      </c>
      <c r="G149" s="42">
        <v>234131</v>
      </c>
    </row>
    <row r="150" spans="2:7" x14ac:dyDescent="0.25">
      <c r="B150" s="2" t="s">
        <v>478</v>
      </c>
      <c r="E150" s="42"/>
      <c r="F150" s="42"/>
      <c r="G150" s="42"/>
    </row>
    <row r="151" spans="2:7" x14ac:dyDescent="0.25">
      <c r="B151" t="s">
        <v>479</v>
      </c>
      <c r="E151" s="42">
        <v>3897</v>
      </c>
      <c r="F151" s="42">
        <v>6593</v>
      </c>
      <c r="G151" s="42">
        <v>9698</v>
      </c>
    </row>
    <row r="152" spans="2:7" x14ac:dyDescent="0.25">
      <c r="B152" t="s">
        <v>480</v>
      </c>
      <c r="E152" s="42">
        <v>1589</v>
      </c>
      <c r="F152" s="42">
        <v>3751</v>
      </c>
      <c r="G152" s="42">
        <v>4843</v>
      </c>
    </row>
    <row r="153" spans="2:7" x14ac:dyDescent="0.25">
      <c r="B153" s="2" t="s">
        <v>481</v>
      </c>
      <c r="E153" s="42"/>
      <c r="F153" s="42"/>
      <c r="G153" s="42"/>
    </row>
    <row r="154" spans="2:7" x14ac:dyDescent="0.25">
      <c r="B154" t="s">
        <v>482</v>
      </c>
      <c r="E154" s="42">
        <v>11243</v>
      </c>
      <c r="F154" s="42">
        <v>11890</v>
      </c>
      <c r="G154" s="42">
        <v>6428</v>
      </c>
    </row>
    <row r="155" spans="2:7" x14ac:dyDescent="0.25">
      <c r="B155" t="s">
        <v>483</v>
      </c>
      <c r="E155" s="42">
        <v>0</v>
      </c>
      <c r="F155" s="42">
        <v>37</v>
      </c>
      <c r="G155" s="42">
        <v>0</v>
      </c>
    </row>
    <row r="156" spans="2:7" x14ac:dyDescent="0.25">
      <c r="B156" t="s">
        <v>484</v>
      </c>
      <c r="E156" s="42">
        <v>0</v>
      </c>
      <c r="F156" s="42">
        <v>594</v>
      </c>
      <c r="G156" s="42">
        <v>0</v>
      </c>
    </row>
    <row r="157" spans="2:7" x14ac:dyDescent="0.25">
      <c r="B157" t="s">
        <v>485</v>
      </c>
      <c r="E157" s="42">
        <v>4085</v>
      </c>
      <c r="F157" s="42">
        <v>8153</v>
      </c>
      <c r="G157" s="42">
        <v>10272</v>
      </c>
    </row>
    <row r="158" spans="2:7" x14ac:dyDescent="0.25">
      <c r="B158" s="2" t="s">
        <v>492</v>
      </c>
      <c r="E158" s="42"/>
      <c r="F158" s="42"/>
      <c r="G158" s="42"/>
    </row>
    <row r="159" spans="2:7" x14ac:dyDescent="0.25">
      <c r="B159" t="s">
        <v>25</v>
      </c>
      <c r="E159" s="42">
        <v>180520</v>
      </c>
      <c r="F159" s="42">
        <v>143201</v>
      </c>
      <c r="G159" s="42">
        <v>362546</v>
      </c>
    </row>
    <row r="160" spans="2:7" x14ac:dyDescent="0.25">
      <c r="B160" t="s">
        <v>486</v>
      </c>
      <c r="E160" s="42">
        <v>467</v>
      </c>
      <c r="F160" s="42">
        <v>1641</v>
      </c>
      <c r="G160" s="42">
        <v>1639</v>
      </c>
    </row>
    <row r="161" spans="2:7" x14ac:dyDescent="0.25">
      <c r="B161" t="s">
        <v>487</v>
      </c>
      <c r="E161" s="42">
        <v>180987</v>
      </c>
      <c r="F161" s="42">
        <v>144842</v>
      </c>
      <c r="G161" s="42">
        <v>364185</v>
      </c>
    </row>
    <row r="162" spans="2:7" x14ac:dyDescent="0.25">
      <c r="B162" s="2" t="s">
        <v>493</v>
      </c>
      <c r="E162" s="42"/>
      <c r="F162" s="42"/>
      <c r="G162" s="42"/>
    </row>
    <row r="163" spans="2:7" x14ac:dyDescent="0.25">
      <c r="B163" t="s">
        <v>25</v>
      </c>
      <c r="E163" s="42">
        <v>143201</v>
      </c>
      <c r="F163" s="42">
        <v>362546</v>
      </c>
      <c r="G163" s="42">
        <v>232084</v>
      </c>
    </row>
    <row r="164" spans="2:7" x14ac:dyDescent="0.25">
      <c r="B164" t="s">
        <v>486</v>
      </c>
      <c r="E164" s="42">
        <v>1641</v>
      </c>
      <c r="F164" s="42">
        <v>1639</v>
      </c>
      <c r="G164" s="42">
        <v>2047</v>
      </c>
    </row>
    <row r="165" spans="2:7" x14ac:dyDescent="0.25">
      <c r="B165" t="s">
        <v>487</v>
      </c>
      <c r="E165" s="42">
        <v>144842</v>
      </c>
      <c r="F165" s="42">
        <v>364185</v>
      </c>
      <c r="G165" s="42">
        <v>234131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5B37-0C81-4477-B1D0-A8792C27DB56}">
  <dimension ref="B2:R271"/>
  <sheetViews>
    <sheetView showGridLines="0" tabSelected="1" topLeftCell="A81" zoomScaleNormal="100" workbookViewId="0">
      <selection activeCell="D85" sqref="D85"/>
    </sheetView>
  </sheetViews>
  <sheetFormatPr defaultColWidth="8.85546875" defaultRowHeight="15" x14ac:dyDescent="0.25"/>
  <cols>
    <col min="1" max="2" width="2.28515625" customWidth="1"/>
    <col min="3" max="3" width="53.42578125" bestFit="1" customWidth="1"/>
    <col min="4" max="5" width="13.28515625" customWidth="1"/>
    <col min="6" max="6" width="19.7109375" customWidth="1"/>
    <col min="7" max="10" width="16.7109375" bestFit="1" customWidth="1"/>
    <col min="11" max="11" width="13.28515625" customWidth="1"/>
    <col min="12" max="12" width="15.42578125" bestFit="1" customWidth="1"/>
    <col min="13" max="17" width="9.7109375" bestFit="1" customWidth="1"/>
    <col min="18" max="18" width="9" bestFit="1" customWidth="1"/>
  </cols>
  <sheetData>
    <row r="2" spans="2:18" ht="21.75" thickBot="1" x14ac:dyDescent="0.4">
      <c r="B2" t="s">
        <v>53</v>
      </c>
      <c r="C2" s="15" t="str">
        <f>"Financial Statement Model for "&amp;D5</f>
        <v>Financial Statement Model for FIVE 9</v>
      </c>
      <c r="D2" s="16"/>
      <c r="E2" s="16"/>
      <c r="F2" s="16"/>
      <c r="G2" s="16"/>
      <c r="H2" s="16"/>
      <c r="I2" s="16"/>
      <c r="J2" s="16"/>
      <c r="K2" s="28"/>
    </row>
    <row r="3" spans="2:18" x14ac:dyDescent="0.25">
      <c r="C3" t="s">
        <v>54</v>
      </c>
    </row>
    <row r="5" spans="2:18" x14ac:dyDescent="0.25">
      <c r="C5" t="s">
        <v>55</v>
      </c>
      <c r="D5" s="17" t="s">
        <v>495</v>
      </c>
      <c r="F5" t="s">
        <v>56</v>
      </c>
      <c r="H5" s="18">
        <v>4.8000000000000001E-2</v>
      </c>
    </row>
    <row r="6" spans="2:18" x14ac:dyDescent="0.25">
      <c r="C6" t="s">
        <v>57</v>
      </c>
      <c r="D6" s="17" t="s">
        <v>496</v>
      </c>
      <c r="F6" t="s">
        <v>58</v>
      </c>
      <c r="H6" s="19">
        <v>7.8</v>
      </c>
    </row>
    <row r="7" spans="2:18" x14ac:dyDescent="0.25">
      <c r="C7" t="s">
        <v>59</v>
      </c>
      <c r="D7" s="20">
        <v>1</v>
      </c>
    </row>
    <row r="8" spans="2:18" x14ac:dyDescent="0.25">
      <c r="C8" t="s">
        <v>60</v>
      </c>
      <c r="D8" s="20">
        <v>22.09</v>
      </c>
      <c r="F8" s="21"/>
    </row>
    <row r="9" spans="2:18" x14ac:dyDescent="0.25">
      <c r="C9" t="s">
        <v>61</v>
      </c>
      <c r="D9" s="22">
        <v>46022</v>
      </c>
    </row>
    <row r="11" spans="2:18" x14ac:dyDescent="0.25">
      <c r="B11" t="s">
        <v>53</v>
      </c>
      <c r="C11" s="23" t="s">
        <v>62</v>
      </c>
      <c r="D11" s="24"/>
      <c r="E11" s="24"/>
      <c r="F11" s="24"/>
      <c r="G11" s="24"/>
      <c r="H11" s="24"/>
      <c r="I11" s="24"/>
      <c r="J11" s="24"/>
      <c r="L11" s="24"/>
      <c r="M11" s="24"/>
      <c r="N11" s="24"/>
      <c r="O11" s="24"/>
      <c r="P11" s="24"/>
      <c r="Q11" s="24"/>
    </row>
    <row r="12" spans="2:18" x14ac:dyDescent="0.25">
      <c r="C12" t="s">
        <v>27</v>
      </c>
      <c r="D12" s="25">
        <v>2024</v>
      </c>
      <c r="E12" s="25">
        <v>2025</v>
      </c>
      <c r="F12" s="26">
        <v>2026</v>
      </c>
      <c r="G12" s="26">
        <v>2027</v>
      </c>
      <c r="H12" s="26">
        <v>2028</v>
      </c>
      <c r="I12" s="26">
        <v>2029</v>
      </c>
      <c r="J12" s="26">
        <v>2030</v>
      </c>
      <c r="L12" s="26" t="s">
        <v>63</v>
      </c>
      <c r="M12" s="26">
        <v>2026</v>
      </c>
      <c r="N12" s="26">
        <v>2027</v>
      </c>
      <c r="O12" s="26">
        <v>2028</v>
      </c>
      <c r="P12" s="26">
        <v>2029</v>
      </c>
      <c r="Q12" s="26">
        <v>2030</v>
      </c>
    </row>
    <row r="13" spans="2:18" x14ac:dyDescent="0.25">
      <c r="C13" s="27" t="s">
        <v>28</v>
      </c>
      <c r="D13" s="14">
        <v>45688</v>
      </c>
      <c r="E13" s="14">
        <v>46053</v>
      </c>
      <c r="F13" s="14">
        <f>EOMONTH(E13,12)</f>
        <v>46418</v>
      </c>
      <c r="G13" s="14">
        <f>EOMONTH(F13,12)</f>
        <v>46783</v>
      </c>
      <c r="H13" s="14">
        <f>EOMONTH(G13,12)</f>
        <v>47149</v>
      </c>
      <c r="I13" s="14">
        <f>EOMONTH(H13,12)</f>
        <v>47514</v>
      </c>
      <c r="J13" s="14">
        <f>EOMONTH(I13,12)</f>
        <v>47879</v>
      </c>
      <c r="L13" s="14" t="s">
        <v>28</v>
      </c>
      <c r="M13" s="14">
        <v>46418</v>
      </c>
      <c r="N13" s="14">
        <f>EOMONTH(M13,12)</f>
        <v>46783</v>
      </c>
      <c r="O13" s="14">
        <f>EOMONTH(N13,12)</f>
        <v>47149</v>
      </c>
      <c r="P13" s="14">
        <f>EOMONTH(O13,12)</f>
        <v>47514</v>
      </c>
      <c r="Q13" s="14">
        <f>EOMONTH(P13,12)</f>
        <v>47879</v>
      </c>
    </row>
    <row r="14" spans="2:18" x14ac:dyDescent="0.25">
      <c r="R14" t="s">
        <v>64</v>
      </c>
    </row>
    <row r="15" spans="2:18" x14ac:dyDescent="0.25">
      <c r="C15" t="s">
        <v>65</v>
      </c>
      <c r="D15" s="42">
        <f>'Historicals '!F5</f>
        <v>1041938</v>
      </c>
      <c r="E15" s="42">
        <f>'Historicals '!G5</f>
        <v>1149088</v>
      </c>
      <c r="F15" s="144">
        <f>E15*(1+F35)</f>
        <v>1286978.5600000001</v>
      </c>
      <c r="G15" s="144">
        <f>F15*(1+G35)</f>
        <v>1434981.0944000001</v>
      </c>
      <c r="H15" s="144">
        <f>G15*(1+H35)</f>
        <v>1592829.0147840001</v>
      </c>
      <c r="I15" s="144">
        <f>H15*(1+I35)</f>
        <v>1760076.0613363201</v>
      </c>
      <c r="J15" s="144">
        <f>I15*(1+J35)</f>
        <v>1936083.6674699523</v>
      </c>
      <c r="L15" t="s">
        <v>66</v>
      </c>
      <c r="M15" s="31">
        <f>F17/F15</f>
        <v>0.55980819804770388</v>
      </c>
      <c r="N15" s="31">
        <f t="shared" ref="N15:Q15" si="0">G17/G15</f>
        <v>0.56887180560277362</v>
      </c>
      <c r="O15" s="31">
        <f t="shared" si="0"/>
        <v>0.57793541315784336</v>
      </c>
      <c r="P15" s="31">
        <f t="shared" si="0"/>
        <v>0.5869990207129131</v>
      </c>
      <c r="Q15" s="31">
        <f t="shared" si="0"/>
        <v>0.59606262826798284</v>
      </c>
      <c r="R15" s="74">
        <f>Q15-M15</f>
        <v>3.6254430220278966E-2</v>
      </c>
    </row>
    <row r="16" spans="2:18" x14ac:dyDescent="0.25">
      <c r="C16" t="s">
        <v>67</v>
      </c>
      <c r="D16" s="42">
        <f>-'Historicals '!F6</f>
        <v>-477540</v>
      </c>
      <c r="E16" s="42">
        <f>-'Historicals '!G6</f>
        <v>-516234</v>
      </c>
      <c r="F16" s="144">
        <f>-F15*(1-F36)</f>
        <v>-566517.41140037123</v>
      </c>
      <c r="G16" s="144">
        <f>-G15*(1-G36)</f>
        <v>-618660.80822282785</v>
      </c>
      <c r="H16" s="144">
        <f>-H15*(1-H36)</f>
        <v>-672276.72003500839</v>
      </c>
      <c r="I16" s="144">
        <f>-I15*(1-I36)</f>
        <v>-726913.13695165899</v>
      </c>
      <c r="J16" s="144">
        <f>-J15*(1-J36)</f>
        <v>-782056.54809109715</v>
      </c>
      <c r="L16" t="s">
        <v>68</v>
      </c>
      <c r="M16" s="31">
        <f>F21/F15</f>
        <v>2.8293624875638072E-2</v>
      </c>
      <c r="N16" s="31">
        <f t="shared" ref="N16:Q16" si="1">G21/G15</f>
        <v>2.863355807091824E-2</v>
      </c>
      <c r="O16" s="31">
        <f t="shared" si="1"/>
        <v>2.584464694009498E-2</v>
      </c>
      <c r="P16" s="31">
        <f t="shared" si="1"/>
        <v>2.0089140928508331E-2</v>
      </c>
      <c r="Q16" s="31">
        <f t="shared" si="1"/>
        <v>1.1126597443681557E-2</v>
      </c>
      <c r="R16" s="74">
        <f t="shared" ref="R16:R17" si="2">Q16-M16</f>
        <v>-1.7167027431956514E-2</v>
      </c>
    </row>
    <row r="17" spans="3:18" x14ac:dyDescent="0.25">
      <c r="C17" s="2" t="s">
        <v>69</v>
      </c>
      <c r="D17" s="145">
        <f>SUM(D15:D16)</f>
        <v>564398</v>
      </c>
      <c r="E17" s="145">
        <f>SUM(E15:E16)</f>
        <v>632854</v>
      </c>
      <c r="F17" s="145">
        <f t="shared" ref="F17:J17" si="3">SUM(F15:F16)</f>
        <v>720461.14859962882</v>
      </c>
      <c r="G17" s="145">
        <f t="shared" si="3"/>
        <v>816320.28617717221</v>
      </c>
      <c r="H17" s="145">
        <f t="shared" si="3"/>
        <v>920552.29474899173</v>
      </c>
      <c r="I17" s="145">
        <f t="shared" si="3"/>
        <v>1033162.9243846611</v>
      </c>
      <c r="J17" s="145">
        <f t="shared" si="3"/>
        <v>1154027.119378855</v>
      </c>
      <c r="L17" t="s">
        <v>70</v>
      </c>
      <c r="M17" s="31">
        <f>F27/F15</f>
        <v>14888.884325465859</v>
      </c>
      <c r="N17" s="31">
        <f>G27/G15</f>
        <v>0.27981265263266603</v>
      </c>
      <c r="O17" s="31">
        <f>H27/H15</f>
        <v>0.35824338521100207</v>
      </c>
      <c r="P17" s="31">
        <f>I27/I15</f>
        <v>0.37476534612010509</v>
      </c>
      <c r="Q17" s="31">
        <f>J27/J15</f>
        <v>0.34419452385603</v>
      </c>
      <c r="R17" s="74">
        <f t="shared" si="2"/>
        <v>-14888.540130942003</v>
      </c>
    </row>
    <row r="18" spans="3:18" x14ac:dyDescent="0.25">
      <c r="C18" t="s">
        <v>6</v>
      </c>
      <c r="D18" s="42">
        <f>-'Historicals '!F9</f>
        <v>-166197</v>
      </c>
      <c r="E18" s="42">
        <f>-'Historicals '!G9</f>
        <v>-152334</v>
      </c>
      <c r="F18" s="144">
        <f t="shared" ref="F18:J20" si="4">E18*(1+F37)</f>
        <v>-173660.76</v>
      </c>
      <c r="G18" s="144">
        <f t="shared" si="4"/>
        <v>-198494.24868000002</v>
      </c>
      <c r="H18" s="144">
        <f t="shared" si="4"/>
        <v>-227672.90323596002</v>
      </c>
      <c r="I18" s="144">
        <f t="shared" si="4"/>
        <v>-261368.49291488208</v>
      </c>
      <c r="J18" s="144">
        <f t="shared" si="4"/>
        <v>-300312.39835919952</v>
      </c>
    </row>
    <row r="19" spans="3:18" x14ac:dyDescent="0.25">
      <c r="C19" t="s">
        <v>8</v>
      </c>
      <c r="D19" s="42">
        <f>-'Historicals '!F10</f>
        <v>-311954</v>
      </c>
      <c r="E19" s="42">
        <f>-'Historicals '!G10</f>
        <v>-311816</v>
      </c>
      <c r="F19" s="144">
        <f t="shared" si="4"/>
        <v>-352352.07999999996</v>
      </c>
      <c r="G19" s="144">
        <f t="shared" si="4"/>
        <v>-398157.85039999994</v>
      </c>
      <c r="H19" s="144">
        <f t="shared" si="4"/>
        <v>-449918.37095199991</v>
      </c>
      <c r="I19" s="144">
        <f t="shared" si="4"/>
        <v>-508407.75917575986</v>
      </c>
      <c r="J19" s="144">
        <f t="shared" si="4"/>
        <v>-574500.76786860859</v>
      </c>
    </row>
    <row r="20" spans="3:18" x14ac:dyDescent="0.25">
      <c r="C20" t="s">
        <v>10</v>
      </c>
      <c r="D20" s="42">
        <f>-'Historicals '!F11</f>
        <v>-137550</v>
      </c>
      <c r="E20" s="42">
        <f>-'Historicals '!G11</f>
        <v>-139854</v>
      </c>
      <c r="F20" s="144">
        <f t="shared" si="4"/>
        <v>-158035.01999999999</v>
      </c>
      <c r="G20" s="144">
        <f t="shared" si="4"/>
        <v>-178579.57259999998</v>
      </c>
      <c r="H20" s="144">
        <f t="shared" si="4"/>
        <v>-201794.91703799996</v>
      </c>
      <c r="I20" s="144">
        <f t="shared" si="4"/>
        <v>-228028.25625293993</v>
      </c>
      <c r="J20" s="144">
        <f t="shared" si="4"/>
        <v>-257671.92956582209</v>
      </c>
    </row>
    <row r="21" spans="3:18" x14ac:dyDescent="0.25">
      <c r="C21" s="2" t="s">
        <v>71</v>
      </c>
      <c r="D21" s="145">
        <f>SUM(D17:D20)</f>
        <v>-51303</v>
      </c>
      <c r="E21" s="145">
        <f>SUM(E17:E20)</f>
        <v>28850</v>
      </c>
      <c r="F21" s="145">
        <f t="shared" ref="F21:J21" si="5">SUM(F17:F20)</f>
        <v>36413.288599628868</v>
      </c>
      <c r="G21" s="145">
        <f t="shared" si="5"/>
        <v>41088.61449717221</v>
      </c>
      <c r="H21" s="145">
        <f t="shared" si="5"/>
        <v>41166.103523031808</v>
      </c>
      <c r="I21" s="145">
        <f t="shared" si="5"/>
        <v>35358.41604107921</v>
      </c>
      <c r="J21" s="145">
        <f t="shared" si="5"/>
        <v>21542.023585224786</v>
      </c>
      <c r="L21" s="59"/>
      <c r="M21" s="59"/>
      <c r="N21" s="59"/>
      <c r="O21" s="59"/>
      <c r="P21" s="59"/>
      <c r="Q21" s="59"/>
      <c r="R21" s="59"/>
    </row>
    <row r="22" spans="3:18" x14ac:dyDescent="0.25">
      <c r="C22" t="s">
        <v>52</v>
      </c>
      <c r="D22" s="42">
        <f>'Historicals '!F17</f>
        <v>46745</v>
      </c>
      <c r="E22" s="42">
        <f>'Historicals '!G17</f>
        <v>30168</v>
      </c>
      <c r="F22" s="144">
        <v>0</v>
      </c>
      <c r="G22" s="144">
        <v>0</v>
      </c>
      <c r="H22" s="144">
        <v>0</v>
      </c>
      <c r="I22" s="144">
        <v>0</v>
      </c>
      <c r="J22" s="144">
        <v>0</v>
      </c>
    </row>
    <row r="23" spans="3:18" x14ac:dyDescent="0.25">
      <c r="C23" t="s">
        <v>72</v>
      </c>
      <c r="D23" s="42">
        <f>'Historicals '!F15</f>
        <v>-14812</v>
      </c>
      <c r="E23" s="42">
        <f>'Historicals '!G15</f>
        <v>-14076</v>
      </c>
      <c r="F23" s="144">
        <v>0</v>
      </c>
      <c r="G23" s="144">
        <v>0</v>
      </c>
      <c r="H23" s="144">
        <v>0</v>
      </c>
      <c r="I23" s="144">
        <v>0</v>
      </c>
      <c r="J23" s="144">
        <v>0</v>
      </c>
    </row>
    <row r="24" spans="3:18" x14ac:dyDescent="0.25">
      <c r="C24" t="s">
        <v>406</v>
      </c>
      <c r="D24" s="42">
        <f>'Historicals '!F16</f>
        <v>6615</v>
      </c>
      <c r="E24" s="42">
        <v>0</v>
      </c>
      <c r="F24" s="144">
        <f>F259</f>
        <v>19178708270</v>
      </c>
      <c r="G24" s="144">
        <f>G259</f>
        <v>360794.94285714283</v>
      </c>
      <c r="H24" s="144">
        <f>H259</f>
        <v>529962.67999999993</v>
      </c>
      <c r="I24" s="144">
        <f>I259</f>
        <v>624844.70285714278</v>
      </c>
      <c r="J24" s="144">
        <f>J259</f>
        <v>645441.01142857119</v>
      </c>
    </row>
    <row r="25" spans="3:18" x14ac:dyDescent="0.25">
      <c r="C25" s="2" t="s">
        <v>73</v>
      </c>
      <c r="D25" s="146">
        <f t="shared" ref="D25:J25" si="6">SUM(D21:D24)</f>
        <v>-12755</v>
      </c>
      <c r="E25" s="146">
        <f t="shared" si="6"/>
        <v>44942</v>
      </c>
      <c r="F25" s="146">
        <f t="shared" si="6"/>
        <v>19178744683.288601</v>
      </c>
      <c r="G25" s="146">
        <f t="shared" si="6"/>
        <v>401883.55735431507</v>
      </c>
      <c r="H25" s="146">
        <f t="shared" si="6"/>
        <v>571128.78352303174</v>
      </c>
      <c r="I25" s="146">
        <f t="shared" si="6"/>
        <v>660203.11889822199</v>
      </c>
      <c r="J25" s="146">
        <f t="shared" si="6"/>
        <v>666983.03501379595</v>
      </c>
    </row>
    <row r="26" spans="3:18" x14ac:dyDescent="0.25">
      <c r="C26" t="s">
        <v>74</v>
      </c>
      <c r="D26" s="42">
        <v>-40</v>
      </c>
      <c r="E26" s="42">
        <v>-40</v>
      </c>
      <c r="F26" s="144">
        <f>-F25*F40</f>
        <v>-17069774.09397766</v>
      </c>
      <c r="G26" s="144">
        <f t="shared" ref="G26:J26" si="7">-G25*G40</f>
        <v>-357.69085252486764</v>
      </c>
      <c r="H26" s="144">
        <f t="shared" si="7"/>
        <v>-508.32520450628073</v>
      </c>
      <c r="I26" s="144">
        <f t="shared" si="7"/>
        <v>-587.60457380465664</v>
      </c>
      <c r="J26" s="144">
        <f t="shared" si="7"/>
        <v>-593.63894353949172</v>
      </c>
    </row>
    <row r="27" spans="3:18" x14ac:dyDescent="0.25">
      <c r="C27" s="2" t="s">
        <v>75</v>
      </c>
      <c r="D27" s="146">
        <f>SUM(D25:D26)</f>
        <v>-12795</v>
      </c>
      <c r="E27" s="146">
        <f>SUM(E25:E26)</f>
        <v>44902</v>
      </c>
      <c r="F27" s="146">
        <f t="shared" ref="F27:J27" si="8">SUM(F25:F26)</f>
        <v>19161674909.194622</v>
      </c>
      <c r="G27" s="146">
        <f t="shared" si="8"/>
        <v>401525.86650179018</v>
      </c>
      <c r="H27" s="146">
        <f t="shared" si="8"/>
        <v>570620.45831852546</v>
      </c>
      <c r="I27" s="146">
        <f t="shared" si="8"/>
        <v>659615.51432441734</v>
      </c>
      <c r="J27" s="146">
        <f t="shared" si="8"/>
        <v>666389.39607025648</v>
      </c>
    </row>
    <row r="28" spans="3:18" x14ac:dyDescent="0.25">
      <c r="C28" s="2"/>
    </row>
    <row r="29" spans="3:18" x14ac:dyDescent="0.25">
      <c r="C29" t="s">
        <v>76</v>
      </c>
      <c r="D29" s="147">
        <f>'Historicals '!F96+'Historicals '!F98</f>
        <v>124388</v>
      </c>
      <c r="E29" s="147">
        <f>'Historicals '!G96+'Historicals '!G98</f>
        <v>147770</v>
      </c>
      <c r="F29" s="40">
        <f>F177</f>
        <v>28358.241729545902</v>
      </c>
      <c r="G29" s="40">
        <f>G177</f>
        <v>27417.509547339323</v>
      </c>
      <c r="H29" s="40">
        <f>H177</f>
        <v>28540.786256838615</v>
      </c>
      <c r="I29" s="40">
        <f>I177</f>
        <v>27985.952085985671</v>
      </c>
      <c r="J29" s="40">
        <f>J177</f>
        <v>29692.863041912366</v>
      </c>
    </row>
    <row r="30" spans="3:18" x14ac:dyDescent="0.25">
      <c r="C30" s="2" t="s">
        <v>77</v>
      </c>
      <c r="F30" s="41">
        <f>F21+F29</f>
        <v>64771.53032917477</v>
      </c>
      <c r="G30" s="41">
        <f>G21+G29</f>
        <v>68506.124044511525</v>
      </c>
      <c r="H30" s="41">
        <f>H21+H29</f>
        <v>69706.889779870427</v>
      </c>
      <c r="I30" s="41">
        <f>I21+I29</f>
        <v>63344.368127064881</v>
      </c>
      <c r="J30" s="41">
        <f>J21+J29</f>
        <v>51234.886627137152</v>
      </c>
    </row>
    <row r="31" spans="3:18" x14ac:dyDescent="0.25">
      <c r="C31" t="s">
        <v>78</v>
      </c>
      <c r="D31" s="40">
        <f>'Historicals '!F95</f>
        <v>0</v>
      </c>
      <c r="E31" s="40">
        <f>'Historicals '!G95</f>
        <v>0</v>
      </c>
      <c r="F31" s="40">
        <f>E31*(1+F41)</f>
        <v>0</v>
      </c>
      <c r="G31" s="40">
        <f t="shared" ref="G31:J31" si="9">F31*(1+G41)</f>
        <v>0</v>
      </c>
      <c r="H31" s="40">
        <f t="shared" si="9"/>
        <v>0</v>
      </c>
      <c r="I31" s="40">
        <f t="shared" si="9"/>
        <v>0</v>
      </c>
      <c r="J31" s="40">
        <f t="shared" si="9"/>
        <v>0</v>
      </c>
    </row>
    <row r="32" spans="3:18" x14ac:dyDescent="0.25">
      <c r="C32" s="2" t="s">
        <v>79</v>
      </c>
      <c r="F32" s="41">
        <f>SUM(F30:F31)</f>
        <v>64771.53032917477</v>
      </c>
      <c r="G32" s="41">
        <f t="shared" ref="G32:J32" si="10">SUM(G30:G31)</f>
        <v>68506.124044511525</v>
      </c>
      <c r="H32" s="41">
        <f t="shared" si="10"/>
        <v>69706.889779870427</v>
      </c>
      <c r="I32" s="41">
        <f t="shared" si="10"/>
        <v>63344.368127064881</v>
      </c>
      <c r="J32" s="41">
        <f t="shared" si="10"/>
        <v>51234.886627137152</v>
      </c>
    </row>
    <row r="34" spans="2:13" x14ac:dyDescent="0.25">
      <c r="C34" s="29" t="s">
        <v>80</v>
      </c>
      <c r="G34" s="30"/>
    </row>
    <row r="35" spans="2:13" x14ac:dyDescent="0.25">
      <c r="C35" t="s">
        <v>81</v>
      </c>
      <c r="D35" s="31"/>
      <c r="E35" s="31">
        <f>E15/D15-1</f>
        <v>0.10283721296276749</v>
      </c>
      <c r="F35" s="33">
        <v>0.12</v>
      </c>
      <c r="G35" s="33">
        <v>0.115</v>
      </c>
      <c r="H35" s="33">
        <v>0.11</v>
      </c>
      <c r="I35" s="33">
        <v>0.105</v>
      </c>
      <c r="J35" s="33">
        <v>0.1</v>
      </c>
      <c r="K35" s="36"/>
      <c r="L35" s="32"/>
      <c r="M35" s="32"/>
    </row>
    <row r="36" spans="2:13" x14ac:dyDescent="0.25">
      <c r="C36" t="s">
        <v>82</v>
      </c>
      <c r="D36" s="31">
        <f>D17/D15</f>
        <v>0.54168098293756439</v>
      </c>
      <c r="E36" s="31">
        <f>E17/E15</f>
        <v>0.55074459049263413</v>
      </c>
      <c r="F36" s="33">
        <f>E36+(E36-D36)</f>
        <v>0.55980819804770388</v>
      </c>
      <c r="G36" s="33">
        <f t="shared" ref="G36:J36" si="11">F36+(F36-E36)</f>
        <v>0.56887180560277362</v>
      </c>
      <c r="H36" s="33">
        <f t="shared" si="11"/>
        <v>0.57793541315784336</v>
      </c>
      <c r="I36" s="33">
        <f t="shared" si="11"/>
        <v>0.5869990207129131</v>
      </c>
      <c r="J36" s="33">
        <f t="shared" si="11"/>
        <v>0.59606262826798284</v>
      </c>
      <c r="K36" s="35"/>
    </row>
    <row r="37" spans="2:13" x14ac:dyDescent="0.25">
      <c r="C37" t="s">
        <v>497</v>
      </c>
      <c r="D37" s="31">
        <f>-D18/D15</f>
        <v>0.15950757146778408</v>
      </c>
      <c r="E37" s="31">
        <f>-E18/E15</f>
        <v>0.13256948118855996</v>
      </c>
      <c r="F37" s="33">
        <v>0.14000000000000001</v>
      </c>
      <c r="G37" s="33">
        <v>0.14299999999999999</v>
      </c>
      <c r="H37" s="33">
        <v>0.14699999999999999</v>
      </c>
      <c r="I37" s="33">
        <v>0.14799999999999999</v>
      </c>
      <c r="J37" s="33">
        <v>0.14899999999999999</v>
      </c>
      <c r="K37" s="35"/>
    </row>
    <row r="38" spans="2:13" x14ac:dyDescent="0.25">
      <c r="C38" t="s">
        <v>498</v>
      </c>
      <c r="D38" s="31">
        <f>-D19/D15</f>
        <v>0.29939785284729031</v>
      </c>
      <c r="E38" s="31">
        <f>-E19/E15</f>
        <v>0.27135954774569049</v>
      </c>
      <c r="F38" s="33">
        <v>0.13</v>
      </c>
      <c r="G38" s="33">
        <v>0.13</v>
      </c>
      <c r="H38" s="33">
        <v>0.13</v>
      </c>
      <c r="I38" s="33">
        <v>0.13</v>
      </c>
      <c r="J38" s="33">
        <v>0.13</v>
      </c>
      <c r="K38" s="35"/>
    </row>
    <row r="39" spans="2:13" x14ac:dyDescent="0.25">
      <c r="C39" t="s">
        <v>499</v>
      </c>
      <c r="D39" s="31">
        <f>-D20/D15</f>
        <v>0.13201361309406126</v>
      </c>
      <c r="E39" s="31">
        <f>-E20/E15</f>
        <v>0.12170869419922582</v>
      </c>
      <c r="F39" s="33">
        <v>0.13</v>
      </c>
      <c r="G39" s="33">
        <v>0.13</v>
      </c>
      <c r="H39" s="33">
        <v>0.13</v>
      </c>
      <c r="I39" s="33">
        <v>0.13</v>
      </c>
      <c r="J39" s="33">
        <v>0.13</v>
      </c>
      <c r="K39" s="37"/>
    </row>
    <row r="40" spans="2:13" x14ac:dyDescent="0.25">
      <c r="C40" t="s">
        <v>83</v>
      </c>
      <c r="D40" s="31">
        <f>IF(AND(D25&lt;0,D26&lt;0),D26/D25,-D26/D25)</f>
        <v>3.1360250882007056E-3</v>
      </c>
      <c r="E40" s="31">
        <f>IF(AND(E25&lt;0,E26&lt;0),E26/E25,-E26/E25)</f>
        <v>8.900360464598816E-4</v>
      </c>
      <c r="F40" s="33">
        <f>E40</f>
        <v>8.900360464598816E-4</v>
      </c>
      <c r="G40" s="33">
        <f t="shared" ref="G40:J40" si="12">F40</f>
        <v>8.900360464598816E-4</v>
      </c>
      <c r="H40" s="33">
        <f t="shared" si="12"/>
        <v>8.900360464598816E-4</v>
      </c>
      <c r="I40" s="33">
        <f t="shared" si="12"/>
        <v>8.900360464598816E-4</v>
      </c>
      <c r="J40" s="33">
        <f t="shared" si="12"/>
        <v>8.900360464598816E-4</v>
      </c>
      <c r="K40" s="37"/>
    </row>
    <row r="41" spans="2:13" x14ac:dyDescent="0.25">
      <c r="C41" t="s">
        <v>84</v>
      </c>
      <c r="E41" s="31" t="e">
        <f>E31/D31-1</f>
        <v>#DIV/0!</v>
      </c>
      <c r="F41" s="33">
        <v>0.02</v>
      </c>
      <c r="G41" s="33">
        <v>0.02</v>
      </c>
      <c r="H41" s="33">
        <v>0.02</v>
      </c>
      <c r="I41" s="33">
        <v>0.02</v>
      </c>
      <c r="J41" s="33">
        <v>0.02</v>
      </c>
    </row>
    <row r="43" spans="2:13" x14ac:dyDescent="0.25">
      <c r="B43" t="s">
        <v>53</v>
      </c>
      <c r="C43" s="23" t="s">
        <v>26</v>
      </c>
      <c r="D43" s="24"/>
      <c r="E43" s="24"/>
      <c r="F43" s="34"/>
      <c r="G43" s="34"/>
      <c r="H43" s="34"/>
      <c r="I43" s="34"/>
      <c r="J43" s="34"/>
      <c r="K43" s="38"/>
    </row>
    <row r="44" spans="2:13" x14ac:dyDescent="0.25">
      <c r="C44" t="s">
        <v>27</v>
      </c>
      <c r="D44" s="25">
        <v>2024</v>
      </c>
      <c r="E44" s="25">
        <f t="shared" ref="E44:J44" si="13">D44+1</f>
        <v>2025</v>
      </c>
      <c r="F44" s="25">
        <f t="shared" si="13"/>
        <v>2026</v>
      </c>
      <c r="G44" s="25">
        <f t="shared" si="13"/>
        <v>2027</v>
      </c>
      <c r="H44" s="25">
        <f t="shared" si="13"/>
        <v>2028</v>
      </c>
      <c r="I44" s="25">
        <f t="shared" si="13"/>
        <v>2029</v>
      </c>
      <c r="J44" s="25">
        <f t="shared" si="13"/>
        <v>2030</v>
      </c>
      <c r="K44" s="39"/>
    </row>
    <row r="45" spans="2:13" x14ac:dyDescent="0.25">
      <c r="C45" s="27" t="s">
        <v>28</v>
      </c>
      <c r="D45" s="14">
        <v>45688</v>
      </c>
      <c r="E45" s="14">
        <f t="shared" ref="E45:J45" si="14">EOMONTH(D45,12)</f>
        <v>46053</v>
      </c>
      <c r="F45" s="14">
        <f t="shared" si="14"/>
        <v>46418</v>
      </c>
      <c r="G45" s="14">
        <f t="shared" si="14"/>
        <v>46783</v>
      </c>
      <c r="H45" s="14">
        <f t="shared" si="14"/>
        <v>47149</v>
      </c>
      <c r="I45" s="14">
        <f t="shared" si="14"/>
        <v>47514</v>
      </c>
      <c r="J45" s="14">
        <f t="shared" si="14"/>
        <v>47879</v>
      </c>
    </row>
    <row r="47" spans="2:13" x14ac:dyDescent="0.25">
      <c r="C47" t="s">
        <v>25</v>
      </c>
      <c r="D47" s="42">
        <v>1118785</v>
      </c>
      <c r="E47" s="42">
        <v>1421233</v>
      </c>
      <c r="F47" s="147">
        <f>E47+F109</f>
        <v>18543069330.148808</v>
      </c>
      <c r="G47" s="147">
        <f>F47+G109</f>
        <v>18485602066.320507</v>
      </c>
      <c r="H47" s="147">
        <f>G47+H109</f>
        <v>18424262302.706993</v>
      </c>
      <c r="I47" s="147">
        <f>H47+I109</f>
        <v>18363316256.166668</v>
      </c>
      <c r="J47" s="147">
        <f>I47+J109</f>
        <v>18303246432.108685</v>
      </c>
    </row>
    <row r="48" spans="2:13" x14ac:dyDescent="0.25">
      <c r="C48" t="s">
        <v>29</v>
      </c>
      <c r="D48" s="42">
        <v>4031442</v>
      </c>
      <c r="E48" s="42">
        <v>5139581</v>
      </c>
      <c r="F48" s="147">
        <f>F252</f>
        <v>6113710</v>
      </c>
      <c r="G48" s="147">
        <f>G252</f>
        <v>6938364.2857142854</v>
      </c>
      <c r="H48" s="147">
        <f>H252</f>
        <v>10191590</v>
      </c>
      <c r="I48" s="147">
        <f>I252</f>
        <v>12016244.285714285</v>
      </c>
      <c r="J48" s="147">
        <f>J252</f>
        <v>12412327.14285714</v>
      </c>
    </row>
    <row r="49" spans="3:12" x14ac:dyDescent="0.25">
      <c r="C49" t="s">
        <v>7</v>
      </c>
      <c r="D49" s="42">
        <v>1016356</v>
      </c>
      <c r="E49" s="42">
        <v>1259737</v>
      </c>
      <c r="F49" s="147">
        <f>F118</f>
        <v>2702654.9760000003</v>
      </c>
      <c r="G49" s="147">
        <f>G118</f>
        <v>3013460.2982399999</v>
      </c>
      <c r="H49" s="147">
        <f>H118</f>
        <v>3344940.9310464002</v>
      </c>
      <c r="I49" s="147">
        <f>I118</f>
        <v>3696159.7288062721</v>
      </c>
      <c r="J49" s="147">
        <f>J118</f>
        <v>4065775.7016868996</v>
      </c>
      <c r="L49" s="40"/>
    </row>
    <row r="50" spans="3:12" x14ac:dyDescent="0.25">
      <c r="C50" t="s">
        <v>9</v>
      </c>
      <c r="D50" s="42">
        <v>40761</v>
      </c>
      <c r="E50" s="42">
        <v>50609</v>
      </c>
      <c r="F50" s="147">
        <f>E50*(F49/E49)</f>
        <v>108577.15989955363</v>
      </c>
      <c r="G50" s="147">
        <f t="shared" ref="G50:J50" si="15">F50*(G49/F49)</f>
        <v>121063.53328800228</v>
      </c>
      <c r="H50" s="147">
        <f t="shared" si="15"/>
        <v>134380.52194968253</v>
      </c>
      <c r="I50" s="147">
        <f t="shared" si="15"/>
        <v>148490.47675439919</v>
      </c>
      <c r="J50" s="147">
        <f t="shared" si="15"/>
        <v>163339.52442983913</v>
      </c>
      <c r="L50" s="40"/>
    </row>
    <row r="51" spans="3:12" x14ac:dyDescent="0.25">
      <c r="C51" t="s">
        <v>30</v>
      </c>
      <c r="D51" s="42">
        <v>101458</v>
      </c>
      <c r="E51" s="42">
        <v>126470</v>
      </c>
      <c r="F51" s="147">
        <f>E51*(1+F35)</f>
        <v>141646.40000000002</v>
      </c>
      <c r="G51" s="147">
        <f>F51*(1+G35)</f>
        <v>157935.73600000003</v>
      </c>
      <c r="H51" s="147">
        <f>G51*(1+H35)</f>
        <v>175308.66696000006</v>
      </c>
      <c r="I51" s="147">
        <f>H51*(1+I35)</f>
        <v>193716.07699080007</v>
      </c>
      <c r="J51" s="147">
        <f>I51*(1+J35)</f>
        <v>213087.68468988009</v>
      </c>
    </row>
    <row r="52" spans="3:12" x14ac:dyDescent="0.25">
      <c r="C52" t="s">
        <v>31</v>
      </c>
      <c r="D52" s="42">
        <v>55912</v>
      </c>
      <c r="E52" s="42">
        <v>70261</v>
      </c>
      <c r="F52" s="147">
        <f>F144</f>
        <v>78799.167296095125</v>
      </c>
      <c r="G52" s="147">
        <f>G144</f>
        <v>91500.295638396827</v>
      </c>
      <c r="H52" s="147">
        <f>H144</f>
        <v>103642.93112067124</v>
      </c>
      <c r="I52" s="147">
        <f>I144</f>
        <v>114807.51024804526</v>
      </c>
      <c r="J52" s="147">
        <f>J144</f>
        <v>124657.62114850307</v>
      </c>
    </row>
    <row r="53" spans="3:12" x14ac:dyDescent="0.25">
      <c r="C53" t="s">
        <v>32</v>
      </c>
      <c r="D53" s="42">
        <v>26383</v>
      </c>
      <c r="E53" s="42">
        <v>29961</v>
      </c>
      <c r="F53" s="147">
        <f>E53*(1+F35)</f>
        <v>33556.32</v>
      </c>
      <c r="G53" s="147">
        <f t="shared" ref="G53:J53" si="16">F53*(1+G35)</f>
        <v>37415.296799999996</v>
      </c>
      <c r="H53" s="147">
        <f t="shared" si="16"/>
        <v>41530.979447999998</v>
      </c>
      <c r="I53" s="147">
        <f t="shared" si="16"/>
        <v>45891.732290039996</v>
      </c>
      <c r="J53" s="147">
        <f t="shared" si="16"/>
        <v>50480.905519043998</v>
      </c>
      <c r="L53" s="40"/>
    </row>
    <row r="54" spans="3:12" x14ac:dyDescent="0.25">
      <c r="C54" t="s">
        <v>33</v>
      </c>
      <c r="D54" s="42">
        <v>63863</v>
      </c>
      <c r="E54" s="42">
        <v>75626</v>
      </c>
      <c r="F54" s="147">
        <f>F204</f>
        <v>73151.590974358973</v>
      </c>
      <c r="G54" s="147">
        <f>G204</f>
        <v>70310.953084717941</v>
      </c>
      <c r="H54" s="147">
        <f>H204</f>
        <v>66909.531345604919</v>
      </c>
      <c r="I54" s="147">
        <f>I204</f>
        <v>63091.000132245237</v>
      </c>
      <c r="J54" s="147">
        <f>J204</f>
        <v>58880.026189875069</v>
      </c>
    </row>
    <row r="55" spans="3:12" x14ac:dyDescent="0.25">
      <c r="C55" t="s">
        <v>34</v>
      </c>
      <c r="D55" s="42">
        <v>439877</v>
      </c>
      <c r="E55" s="42">
        <v>439877</v>
      </c>
      <c r="F55" s="147">
        <f>E55</f>
        <v>439877</v>
      </c>
      <c r="G55" s="147">
        <f t="shared" ref="G55:J55" si="17">F55</f>
        <v>439877</v>
      </c>
      <c r="H55" s="147">
        <f t="shared" si="17"/>
        <v>439877</v>
      </c>
      <c r="I55" s="147">
        <f t="shared" si="17"/>
        <v>439877</v>
      </c>
      <c r="J55" s="147">
        <f t="shared" si="17"/>
        <v>439877</v>
      </c>
    </row>
    <row r="56" spans="3:12" x14ac:dyDescent="0.25">
      <c r="C56" t="s">
        <v>35</v>
      </c>
      <c r="D56" s="42">
        <v>44460</v>
      </c>
      <c r="E56" s="42">
        <v>30314</v>
      </c>
      <c r="F56" s="147">
        <f>F175</f>
        <v>28392</v>
      </c>
      <c r="G56" s="147">
        <f>G175</f>
        <v>25614</v>
      </c>
      <c r="H56" s="147">
        <f>H175</f>
        <v>22832</v>
      </c>
      <c r="I56" s="147">
        <f>I175</f>
        <v>22000</v>
      </c>
      <c r="J56" s="147">
        <f>J175</f>
        <v>21168</v>
      </c>
    </row>
    <row r="57" spans="3:12" x14ac:dyDescent="0.25">
      <c r="C57" t="s">
        <v>4</v>
      </c>
      <c r="D57" s="42">
        <v>343919</v>
      </c>
      <c r="E57" s="42">
        <v>273417</v>
      </c>
      <c r="F57" s="147">
        <f>E57*(1+F35)</f>
        <v>306227.04000000004</v>
      </c>
      <c r="G57" s="147">
        <f t="shared" ref="G57:J57" si="18">F57*(1+G35)</f>
        <v>341443.14960000006</v>
      </c>
      <c r="H57" s="147">
        <f t="shared" si="18"/>
        <v>379001.89605600009</v>
      </c>
      <c r="I57" s="147">
        <f t="shared" si="18"/>
        <v>418797.0951418801</v>
      </c>
      <c r="J57" s="147">
        <f t="shared" si="18"/>
        <v>460676.80465606815</v>
      </c>
    </row>
    <row r="58" spans="3:12" x14ac:dyDescent="0.25">
      <c r="C58" t="s">
        <v>36</v>
      </c>
      <c r="D58" s="42">
        <v>56540</v>
      </c>
      <c r="E58" s="42">
        <v>62257</v>
      </c>
      <c r="F58" s="147">
        <f>E58*(1+F35)</f>
        <v>69727.840000000011</v>
      </c>
      <c r="G58" s="147">
        <f>F58*(1+G35)</f>
        <v>77746.541600000011</v>
      </c>
      <c r="H58" s="147">
        <f>G58*(1+H35)</f>
        <v>86298.661176000023</v>
      </c>
      <c r="I58" s="147">
        <f>H58*(1+I35)</f>
        <v>95360.02059948002</v>
      </c>
      <c r="J58" s="147">
        <f>I58*(1+J35)</f>
        <v>104896.02265942802</v>
      </c>
    </row>
    <row r="59" spans="3:12" x14ac:dyDescent="0.25">
      <c r="C59" s="2" t="s">
        <v>37</v>
      </c>
      <c r="D59" s="146">
        <f>SUM(D47:D58)</f>
        <v>7339756</v>
      </c>
      <c r="E59" s="146">
        <f>SUM(E47:E58)</f>
        <v>8979343</v>
      </c>
      <c r="F59" s="146">
        <f t="shared" ref="F59:J59" si="19">SUM(F47:F58)</f>
        <v>18553165649.642982</v>
      </c>
      <c r="G59" s="146">
        <f t="shared" si="19"/>
        <v>18496916797.410469</v>
      </c>
      <c r="H59" s="146">
        <f t="shared" si="19"/>
        <v>18439248615.826096</v>
      </c>
      <c r="I59" s="146">
        <f t="shared" si="19"/>
        <v>18380570691.093342</v>
      </c>
      <c r="J59" s="146">
        <f t="shared" si="19"/>
        <v>18321361598.542519</v>
      </c>
      <c r="L59" s="40"/>
    </row>
    <row r="60" spans="3:12" x14ac:dyDescent="0.25">
      <c r="D60" s="147"/>
      <c r="E60" s="147"/>
      <c r="F60" s="147"/>
      <c r="G60" s="147"/>
      <c r="H60" s="147"/>
      <c r="I60" s="147"/>
      <c r="J60" s="147"/>
    </row>
    <row r="61" spans="3:12" x14ac:dyDescent="0.25">
      <c r="C61" t="s">
        <v>12</v>
      </c>
      <c r="D61" s="42">
        <v>30447</v>
      </c>
      <c r="E61" s="42">
        <v>37644</v>
      </c>
      <c r="F61" s="147">
        <f>F129</f>
        <v>-617639011.34364259</v>
      </c>
      <c r="G61" s="147">
        <f>G129</f>
        <v>-674487742.58018482</v>
      </c>
      <c r="H61" s="147">
        <f>H129</f>
        <v>-732941866.13855112</v>
      </c>
      <c r="I61" s="147">
        <f>I129</f>
        <v>-792508583.50447214</v>
      </c>
      <c r="J61" s="147">
        <f>J129</f>
        <v>-852628045.41842997</v>
      </c>
    </row>
    <row r="62" spans="3:12" x14ac:dyDescent="0.25">
      <c r="C62" t="s">
        <v>39</v>
      </c>
      <c r="D62" s="42">
        <v>39429</v>
      </c>
      <c r="E62" s="42">
        <v>45857</v>
      </c>
      <c r="F62" s="147">
        <f>E62*(1+F35)</f>
        <v>51359.840000000004</v>
      </c>
      <c r="G62" s="147">
        <f>F62*(1+G35)</f>
        <v>57266.221600000004</v>
      </c>
      <c r="H62" s="147">
        <f>G62*(1+H35)</f>
        <v>63565.505976000008</v>
      </c>
      <c r="I62" s="147">
        <f>H62*(1+I35)</f>
        <v>70239.884103480013</v>
      </c>
      <c r="J62" s="147">
        <f>I62*(1+J35)</f>
        <v>77263.872513828028</v>
      </c>
    </row>
    <row r="63" spans="3:12" x14ac:dyDescent="0.25">
      <c r="C63" t="s">
        <v>13</v>
      </c>
      <c r="D63" s="42">
        <v>35557</v>
      </c>
      <c r="E63" s="42">
        <v>45885</v>
      </c>
      <c r="F63" s="147">
        <f>E63*(1+F35)</f>
        <v>51391.200000000004</v>
      </c>
      <c r="G63" s="147">
        <f>F63*(1+G35)</f>
        <v>57301.188000000002</v>
      </c>
      <c r="H63" s="147">
        <f>G63*(1+H35)</f>
        <v>63604.318680000011</v>
      </c>
      <c r="I63" s="147">
        <f>H63*(1+I35)</f>
        <v>70282.772141400012</v>
      </c>
      <c r="J63" s="147">
        <f>I63*(1+J35)</f>
        <v>77311.049355540017</v>
      </c>
    </row>
    <row r="64" spans="3:12" x14ac:dyDescent="0.25">
      <c r="C64" t="s">
        <v>14</v>
      </c>
      <c r="D64" s="42">
        <v>9024</v>
      </c>
      <c r="E64" s="42">
        <v>6698</v>
      </c>
      <c r="F64" s="147">
        <f>E64*(1+F35)</f>
        <v>7501.7600000000011</v>
      </c>
      <c r="G64" s="147">
        <f t="shared" ref="G64:J64" si="20">F64*(1+G35)</f>
        <v>8364.4624000000003</v>
      </c>
      <c r="H64" s="147">
        <f t="shared" si="20"/>
        <v>9284.5532640000019</v>
      </c>
      <c r="I64" s="147">
        <f t="shared" si="20"/>
        <v>10259.431356720002</v>
      </c>
      <c r="J64" s="147">
        <f t="shared" si="20"/>
        <v>11285.374492392004</v>
      </c>
      <c r="L64" s="40"/>
    </row>
    <row r="65" spans="2:17" x14ac:dyDescent="0.25">
      <c r="C65" t="s">
        <v>15</v>
      </c>
      <c r="D65" s="42">
        <v>1273978</v>
      </c>
      <c r="E65" s="42">
        <v>1488819</v>
      </c>
      <c r="F65" s="147">
        <f>E65*(1+F35)</f>
        <v>1667477.2800000003</v>
      </c>
      <c r="G65" s="147">
        <f t="shared" ref="G65:J65" si="21">F65*(1+G35)</f>
        <v>1859237.1672000003</v>
      </c>
      <c r="H65" s="147">
        <f t="shared" si="21"/>
        <v>2063753.2555920004</v>
      </c>
      <c r="I65" s="147">
        <f t="shared" si="21"/>
        <v>2280447.3474291605</v>
      </c>
      <c r="J65" s="147">
        <f t="shared" si="21"/>
        <v>2508492.0821720767</v>
      </c>
    </row>
    <row r="66" spans="2:17" x14ac:dyDescent="0.25">
      <c r="C66" t="s">
        <v>16</v>
      </c>
      <c r="D66" s="42">
        <v>9969</v>
      </c>
      <c r="E66" s="42">
        <v>12153</v>
      </c>
      <c r="F66" s="147">
        <f>F192</f>
        <v>14851</v>
      </c>
      <c r="G66" s="147">
        <f>G192</f>
        <v>18538</v>
      </c>
      <c r="H66" s="147">
        <f>H192</f>
        <v>14984</v>
      </c>
      <c r="I66" s="147">
        <f>I192</f>
        <v>14053</v>
      </c>
      <c r="J66" s="147">
        <f>J192</f>
        <v>11293</v>
      </c>
    </row>
    <row r="67" spans="2:17" x14ac:dyDescent="0.25">
      <c r="C67" t="s">
        <v>4</v>
      </c>
      <c r="D67" s="42">
        <v>587</v>
      </c>
      <c r="E67" s="42">
        <v>558</v>
      </c>
      <c r="F67" s="147">
        <f>E67*(1+F35)</f>
        <v>624.96</v>
      </c>
      <c r="G67" s="147">
        <f t="shared" ref="G67:J67" si="22">F67*(1+G35)</f>
        <v>696.83040000000005</v>
      </c>
      <c r="H67" s="147">
        <f t="shared" si="22"/>
        <v>773.48174400000016</v>
      </c>
      <c r="I67" s="147">
        <f t="shared" si="22"/>
        <v>854.69732712000018</v>
      </c>
      <c r="J67" s="147">
        <f t="shared" si="22"/>
        <v>940.16705983200029</v>
      </c>
    </row>
    <row r="68" spans="2:17" x14ac:dyDescent="0.25">
      <c r="C68" t="s">
        <v>41</v>
      </c>
      <c r="D68" s="42">
        <v>65806</v>
      </c>
      <c r="E68" s="42">
        <v>83706</v>
      </c>
      <c r="F68" s="147">
        <f>F193</f>
        <v>73378.232000000004</v>
      </c>
      <c r="G68" s="147">
        <f>G193</f>
        <v>58008.235136000003</v>
      </c>
      <c r="H68" s="147">
        <f>H193</f>
        <v>52872.454422527997</v>
      </c>
      <c r="I68" s="147">
        <f>I193</f>
        <v>45627.564234809339</v>
      </c>
      <c r="J68" s="147">
        <f>J193</f>
        <v>42579.231318080187</v>
      </c>
      <c r="L68" s="40"/>
      <c r="M68" s="40"/>
      <c r="N68" s="40"/>
      <c r="O68" s="40"/>
      <c r="P68" s="40"/>
      <c r="Q68" s="40"/>
    </row>
    <row r="69" spans="2:17" x14ac:dyDescent="0.25">
      <c r="C69" t="s">
        <v>17</v>
      </c>
      <c r="D69" s="42">
        <v>42586</v>
      </c>
      <c r="E69" s="42">
        <v>43271</v>
      </c>
      <c r="F69" s="147">
        <f>E69*(1+F35)</f>
        <v>48463.520000000004</v>
      </c>
      <c r="G69" s="147">
        <f>F69*(1+G35)</f>
        <v>54036.824800000002</v>
      </c>
      <c r="H69" s="147">
        <f>G69*(1+H35)</f>
        <v>59980.875528000004</v>
      </c>
      <c r="I69" s="147">
        <f>H69*(1+I35)</f>
        <v>66278.86745844</v>
      </c>
      <c r="J69" s="147">
        <f>I69*(1+J35)</f>
        <v>72906.754204284007</v>
      </c>
    </row>
    <row r="70" spans="2:17" x14ac:dyDescent="0.25">
      <c r="C70" s="2" t="s">
        <v>42</v>
      </c>
      <c r="D70" s="145">
        <f>SUM(D61:D69)</f>
        <v>1507383</v>
      </c>
      <c r="E70" s="145">
        <f>SUM(E61:E69)</f>
        <v>1764591</v>
      </c>
      <c r="F70" s="145">
        <f t="shared" ref="F70:J70" si="23">SUM(F61:F69)</f>
        <v>-615723963.55164254</v>
      </c>
      <c r="G70" s="145">
        <f t="shared" si="23"/>
        <v>-672374293.65064883</v>
      </c>
      <c r="H70" s="145">
        <f t="shared" si="23"/>
        <v>-730613047.69334459</v>
      </c>
      <c r="I70" s="145">
        <f t="shared" si="23"/>
        <v>-789950539.94042087</v>
      </c>
      <c r="J70" s="145">
        <f t="shared" si="23"/>
        <v>-849825973.88731408</v>
      </c>
    </row>
    <row r="71" spans="2:17" x14ac:dyDescent="0.25">
      <c r="D71" s="147"/>
      <c r="E71" s="147"/>
      <c r="F71" s="147"/>
      <c r="G71" s="147"/>
      <c r="H71" s="147"/>
      <c r="I71" s="147"/>
      <c r="J71" s="147"/>
    </row>
    <row r="72" spans="2:17" x14ac:dyDescent="0.25">
      <c r="C72" t="s">
        <v>44</v>
      </c>
      <c r="D72" s="42">
        <v>2</v>
      </c>
      <c r="E72" s="42">
        <v>2</v>
      </c>
      <c r="F72" s="147">
        <f>E72</f>
        <v>2</v>
      </c>
      <c r="G72" s="147">
        <f t="shared" ref="G72:J72" si="24">F72</f>
        <v>2</v>
      </c>
      <c r="H72" s="147">
        <f t="shared" si="24"/>
        <v>2</v>
      </c>
      <c r="I72" s="147">
        <f t="shared" si="24"/>
        <v>2</v>
      </c>
      <c r="J72" s="147">
        <f t="shared" si="24"/>
        <v>2</v>
      </c>
    </row>
    <row r="73" spans="2:17" x14ac:dyDescent="0.25">
      <c r="C73" t="s">
        <v>45</v>
      </c>
      <c r="D73" s="42">
        <v>2386192</v>
      </c>
      <c r="E73" s="42">
        <v>2843089</v>
      </c>
      <c r="F73" s="147">
        <f>F217</f>
        <v>2843041</v>
      </c>
      <c r="G73" s="147">
        <f>G217</f>
        <v>2842993</v>
      </c>
      <c r="H73" s="147">
        <f>H217</f>
        <v>2842945</v>
      </c>
      <c r="I73" s="147">
        <f>I217</f>
        <v>2842897</v>
      </c>
      <c r="J73" s="147">
        <f>J217</f>
        <v>2842849</v>
      </c>
    </row>
    <row r="74" spans="2:17" x14ac:dyDescent="0.25">
      <c r="C74" t="s">
        <v>46</v>
      </c>
      <c r="D74" s="42">
        <v>-8416</v>
      </c>
      <c r="E74" s="42">
        <v>8160</v>
      </c>
      <c r="F74" s="147">
        <f>F229</f>
        <v>8160</v>
      </c>
      <c r="G74" s="147">
        <f>G229</f>
        <v>8160</v>
      </c>
      <c r="H74" s="147">
        <f>H229</f>
        <v>8160</v>
      </c>
      <c r="I74" s="147">
        <f>I229</f>
        <v>8160</v>
      </c>
      <c r="J74" s="147">
        <f>J229</f>
        <v>8160</v>
      </c>
    </row>
    <row r="75" spans="2:17" x14ac:dyDescent="0.25">
      <c r="C75" t="s">
        <v>47</v>
      </c>
      <c r="D75" s="42">
        <v>3454595</v>
      </c>
      <c r="E75" s="42">
        <v>4363501</v>
      </c>
      <c r="F75" s="147">
        <f>F223</f>
        <v>19166038410.194622</v>
      </c>
      <c r="G75" s="147">
        <f>G223</f>
        <v>19166439936.061123</v>
      </c>
      <c r="H75" s="147">
        <f>H223</f>
        <v>19167010556.51944</v>
      </c>
      <c r="I75" s="147">
        <f>I223</f>
        <v>19167670172.033764</v>
      </c>
      <c r="J75" s="147">
        <f>J223</f>
        <v>19168336561.429832</v>
      </c>
    </row>
    <row r="76" spans="2:17" x14ac:dyDescent="0.25">
      <c r="C76" s="2" t="s">
        <v>48</v>
      </c>
      <c r="D76" s="145">
        <f>SUM(D72:D75)</f>
        <v>5832373</v>
      </c>
      <c r="E76" s="145">
        <f>SUM(E72:E75)</f>
        <v>7214752</v>
      </c>
      <c r="F76" s="145">
        <f t="shared" ref="F76:J76" si="25">SUM(F72:F75)</f>
        <v>19168889613.194622</v>
      </c>
      <c r="G76" s="145">
        <f t="shared" si="25"/>
        <v>19169291091.061123</v>
      </c>
      <c r="H76" s="145">
        <f t="shared" si="25"/>
        <v>19169861663.51944</v>
      </c>
      <c r="I76" s="145">
        <f t="shared" si="25"/>
        <v>19170521231.033764</v>
      </c>
      <c r="J76" s="145">
        <f t="shared" si="25"/>
        <v>19171187572.429832</v>
      </c>
    </row>
    <row r="77" spans="2:17" x14ac:dyDescent="0.25">
      <c r="D77" s="147"/>
      <c r="E77" s="147"/>
      <c r="F77" s="147"/>
      <c r="G77" s="147"/>
      <c r="H77" s="147"/>
      <c r="I77" s="147"/>
      <c r="J77" s="147"/>
    </row>
    <row r="78" spans="2:17" x14ac:dyDescent="0.25">
      <c r="C78" t="s">
        <v>85</v>
      </c>
      <c r="D78" s="147">
        <f>D59-D70-D76</f>
        <v>0</v>
      </c>
      <c r="E78" s="147">
        <f t="shared" ref="E78:J78" si="26">E59-E70-E76</f>
        <v>0</v>
      </c>
      <c r="F78" s="147">
        <f t="shared" si="26"/>
        <v>0</v>
      </c>
      <c r="G78" s="147">
        <f t="shared" si="26"/>
        <v>0</v>
      </c>
      <c r="H78" s="147">
        <f t="shared" si="26"/>
        <v>0</v>
      </c>
      <c r="I78" s="147">
        <f t="shared" si="26"/>
        <v>0</v>
      </c>
      <c r="J78" s="147">
        <f t="shared" si="26"/>
        <v>0</v>
      </c>
      <c r="L78" s="40"/>
      <c r="M78" s="40"/>
      <c r="N78" s="40"/>
      <c r="O78" s="40"/>
      <c r="P78" s="40"/>
    </row>
    <row r="79" spans="2:17" x14ac:dyDescent="0.25">
      <c r="M79" s="40"/>
      <c r="N79" s="40"/>
      <c r="O79" s="40"/>
    </row>
    <row r="80" spans="2:17" x14ac:dyDescent="0.25">
      <c r="B80" t="s">
        <v>53</v>
      </c>
      <c r="C80" s="23" t="s">
        <v>49</v>
      </c>
      <c r="D80" s="24"/>
      <c r="E80" s="24"/>
      <c r="F80" s="34"/>
      <c r="G80" s="34"/>
      <c r="H80" s="34"/>
      <c r="I80" s="34"/>
      <c r="J80" s="34"/>
    </row>
    <row r="81" spans="3:10" x14ac:dyDescent="0.25">
      <c r="C81" t="s">
        <v>27</v>
      </c>
      <c r="D81" s="25">
        <v>2024</v>
      </c>
      <c r="E81" s="25">
        <f>D81+1</f>
        <v>2025</v>
      </c>
      <c r="F81" s="25">
        <f t="shared" ref="F81:J81" si="27">E81+1</f>
        <v>2026</v>
      </c>
      <c r="G81" s="25">
        <f t="shared" si="27"/>
        <v>2027</v>
      </c>
      <c r="H81" s="25">
        <f t="shared" si="27"/>
        <v>2028</v>
      </c>
      <c r="I81" s="25">
        <f t="shared" si="27"/>
        <v>2029</v>
      </c>
      <c r="J81" s="25">
        <f t="shared" si="27"/>
        <v>2030</v>
      </c>
    </row>
    <row r="82" spans="3:10" x14ac:dyDescent="0.25">
      <c r="C82" s="27" t="s">
        <v>28</v>
      </c>
      <c r="D82" s="14">
        <v>45688</v>
      </c>
      <c r="E82" s="14">
        <f t="shared" ref="E82" si="28">EOMONTH(D82,12)</f>
        <v>46053</v>
      </c>
      <c r="F82" s="14">
        <f t="shared" ref="F82" si="29">EOMONTH(E82,12)</f>
        <v>46418</v>
      </c>
      <c r="G82" s="14">
        <f t="shared" ref="G82" si="30">EOMONTH(F82,12)</f>
        <v>46783</v>
      </c>
      <c r="H82" s="14">
        <f t="shared" ref="H82" si="31">EOMONTH(G82,12)</f>
        <v>47149</v>
      </c>
      <c r="I82" s="14">
        <f t="shared" ref="I82" si="32">EOMONTH(H82,12)</f>
        <v>47514</v>
      </c>
      <c r="J82" s="14">
        <f t="shared" ref="J82" si="33">EOMONTH(I82,12)</f>
        <v>47879</v>
      </c>
    </row>
    <row r="84" spans="3:10" x14ac:dyDescent="0.25">
      <c r="C84" t="s">
        <v>0</v>
      </c>
      <c r="D84" s="147">
        <f>'Historicals '!F94</f>
        <v>-12795</v>
      </c>
      <c r="E84" s="147">
        <f>'Historicals '!G94</f>
        <v>39416</v>
      </c>
      <c r="F84" s="40">
        <f>F27</f>
        <v>19161674909.194622</v>
      </c>
      <c r="G84" s="40">
        <f t="shared" ref="G84:J84" si="34">G27</f>
        <v>401525.86650179018</v>
      </c>
      <c r="H84" s="40">
        <f t="shared" si="34"/>
        <v>570620.45831852546</v>
      </c>
      <c r="I84" s="40">
        <f t="shared" si="34"/>
        <v>659615.51432441734</v>
      </c>
      <c r="J84" s="40">
        <f t="shared" si="34"/>
        <v>666389.39607025648</v>
      </c>
    </row>
    <row r="85" spans="3:10" x14ac:dyDescent="0.25">
      <c r="C85" t="s">
        <v>1</v>
      </c>
      <c r="F85" s="40">
        <f>F29</f>
        <v>28358.241729545902</v>
      </c>
      <c r="G85" s="40">
        <f t="shared" ref="G85:J85" si="35">G29</f>
        <v>27417.509547339323</v>
      </c>
      <c r="H85" s="40">
        <f t="shared" si="35"/>
        <v>28540.786256838615</v>
      </c>
      <c r="I85" s="40">
        <f t="shared" si="35"/>
        <v>27985.952085985671</v>
      </c>
      <c r="J85" s="40">
        <f t="shared" si="35"/>
        <v>29692.863041912366</v>
      </c>
    </row>
    <row r="86" spans="3:10" x14ac:dyDescent="0.25">
      <c r="C86" t="s">
        <v>2</v>
      </c>
      <c r="F86" s="40">
        <f>F257</f>
        <v>0</v>
      </c>
      <c r="G86" s="40">
        <f>G257</f>
        <v>0</v>
      </c>
      <c r="H86" s="40">
        <f>H257</f>
        <v>0</v>
      </c>
      <c r="I86" s="40">
        <f>I257</f>
        <v>0</v>
      </c>
      <c r="J86" s="40">
        <f>J257</f>
        <v>0</v>
      </c>
    </row>
    <row r="87" spans="3:10" x14ac:dyDescent="0.25">
      <c r="C87" t="s">
        <v>3</v>
      </c>
      <c r="F87" s="40">
        <f>F31</f>
        <v>0</v>
      </c>
      <c r="G87" s="40">
        <f t="shared" ref="G87:J87" si="36">G31</f>
        <v>0</v>
      </c>
      <c r="H87" s="40">
        <f t="shared" si="36"/>
        <v>0</v>
      </c>
      <c r="I87" s="40">
        <f t="shared" si="36"/>
        <v>0</v>
      </c>
      <c r="J87" s="40">
        <f t="shared" si="36"/>
        <v>0</v>
      </c>
    </row>
    <row r="88" spans="3:10" x14ac:dyDescent="0.25">
      <c r="C88" t="s">
        <v>4</v>
      </c>
      <c r="F88" s="40">
        <f>E57-F57+F67-E67</f>
        <v>-32743.080000000038</v>
      </c>
      <c r="G88" s="40">
        <f>F57-G57+G67-F67</f>
        <v>-35144.239200000025</v>
      </c>
      <c r="H88" s="40">
        <f>G57-H57+H67-G67</f>
        <v>-37482.095112000025</v>
      </c>
      <c r="I88" s="40">
        <f>H57-I57+I67-H67</f>
        <v>-39713.983502760013</v>
      </c>
      <c r="J88" s="40">
        <f>I57-J57+J67-I67</f>
        <v>-41794.239781476055</v>
      </c>
    </row>
    <row r="89" spans="3:10" x14ac:dyDescent="0.25">
      <c r="C89" t="s">
        <v>86</v>
      </c>
      <c r="F89" s="40">
        <f>E53-F53</f>
        <v>-3595.3199999999997</v>
      </c>
      <c r="G89" s="40">
        <f>F53-G53</f>
        <v>-3858.9767999999967</v>
      </c>
      <c r="H89" s="40">
        <f>G53-H53</f>
        <v>-4115.6826480000018</v>
      </c>
      <c r="I89" s="40">
        <f>H53-I53</f>
        <v>-4360.7528420399976</v>
      </c>
      <c r="J89" s="40">
        <f>I53-J53</f>
        <v>-4589.1732290040018</v>
      </c>
    </row>
    <row r="90" spans="3:10" x14ac:dyDescent="0.25">
      <c r="C90" t="s">
        <v>87</v>
      </c>
      <c r="F90" s="40">
        <f>SUM(E49:E51)-SUM(F49:F51)</f>
        <v>-1516062.5358995539</v>
      </c>
      <c r="G90" s="40">
        <f>SUM(F49:F51)-SUM(G49:G51)</f>
        <v>-339581.03162844852</v>
      </c>
      <c r="H90" s="40">
        <f>SUM(G49:G51)-SUM(H49:H51)</f>
        <v>-362170.55242808023</v>
      </c>
      <c r="I90" s="40">
        <f>SUM(H49:H51)-SUM(I49:I51)</f>
        <v>-383736.16259538848</v>
      </c>
      <c r="J90" s="40">
        <f>SUM(I49:I51)-SUM(J49:J51)</f>
        <v>-403836.62825514842</v>
      </c>
    </row>
    <row r="91" spans="3:10" x14ac:dyDescent="0.25">
      <c r="C91" t="s">
        <v>88</v>
      </c>
      <c r="F91" s="40">
        <f>SUM(F61:F65)-SUM(E61:E65)</f>
        <v>-617486184.26364255</v>
      </c>
      <c r="G91" s="40">
        <f>SUM(G61:G65)-SUM(F61:F65)</f>
        <v>-56644292.277342319</v>
      </c>
      <c r="H91" s="40">
        <f>SUM(H61:H65)-SUM(G61:G65)</f>
        <v>-58236084.964054227</v>
      </c>
      <c r="I91" s="40">
        <f>SUM(I61:I65)-SUM(H61:H65)</f>
        <v>-59335695.564402223</v>
      </c>
      <c r="J91" s="40">
        <f>SUM(J61:J65)-SUM(I61:I65)</f>
        <v>-59876338.970454931</v>
      </c>
    </row>
    <row r="92" spans="3:10" x14ac:dyDescent="0.25">
      <c r="C92" t="s">
        <v>89</v>
      </c>
      <c r="F92" s="40">
        <f>-F183+F188</f>
        <v>-10129.768</v>
      </c>
      <c r="G92" s="40">
        <f>-G183+G188</f>
        <v>-14182.996864000001</v>
      </c>
      <c r="H92" s="40">
        <f>-H183+H188</f>
        <v>-11189.780713471999</v>
      </c>
      <c r="I92" s="40">
        <f>-I183+I188</f>
        <v>-10675.890187718656</v>
      </c>
      <c r="J92" s="40">
        <f>-J183+J188</f>
        <v>-8308.3329167291522</v>
      </c>
    </row>
    <row r="93" spans="3:10" x14ac:dyDescent="0.25">
      <c r="C93" t="s">
        <v>90</v>
      </c>
      <c r="F93" s="40">
        <f>E58-F58</f>
        <v>-7470.8400000000111</v>
      </c>
      <c r="G93" s="40">
        <f>F58-G58</f>
        <v>-8018.7016000000003</v>
      </c>
      <c r="H93" s="40">
        <f>G58-H58</f>
        <v>-8552.1195760000119</v>
      </c>
      <c r="I93" s="40">
        <f>H58-I58</f>
        <v>-9061.3594234799966</v>
      </c>
      <c r="J93" s="40">
        <f>I58-J58</f>
        <v>-9536.0020599480049</v>
      </c>
    </row>
    <row r="94" spans="3:10" x14ac:dyDescent="0.25">
      <c r="C94" t="s">
        <v>91</v>
      </c>
      <c r="F94" s="40">
        <f>F69-E69</f>
        <v>5192.5200000000041</v>
      </c>
      <c r="G94" s="40">
        <f>G69-F69</f>
        <v>5573.3047999999981</v>
      </c>
      <c r="H94" s="40">
        <f>H69-G69</f>
        <v>5944.050728000002</v>
      </c>
      <c r="I94" s="40">
        <f>I69-H69</f>
        <v>6297.9919304399955</v>
      </c>
      <c r="J94" s="40">
        <f>J69-I69</f>
        <v>6627.8867458440072</v>
      </c>
    </row>
    <row r="95" spans="3:10" x14ac:dyDescent="0.25">
      <c r="C95" s="2" t="s">
        <v>92</v>
      </c>
      <c r="F95" s="41">
        <f>SUM(F84:F94)</f>
        <v>18542652274.148808</v>
      </c>
      <c r="G95" s="41">
        <f>SUM(G84:G94)</f>
        <v>-56610561.542585641</v>
      </c>
      <c r="H95" s="41">
        <f>SUM(H84:H94)</f>
        <v>-58054489.899228409</v>
      </c>
      <c r="I95" s="41">
        <f>SUM(I84:I94)</f>
        <v>-59089344.254612766</v>
      </c>
      <c r="J95" s="41">
        <f>SUM(J84:J94)</f>
        <v>-59641693.200839229</v>
      </c>
    </row>
    <row r="97" spans="2:10" x14ac:dyDescent="0.25">
      <c r="C97" t="s">
        <v>93</v>
      </c>
      <c r="F97" s="40">
        <f>-F250</f>
        <v>1025871</v>
      </c>
      <c r="G97" s="40">
        <f t="shared" ref="G97:J97" si="37">-G250</f>
        <v>1175345.7142857143</v>
      </c>
      <c r="H97" s="40">
        <f t="shared" si="37"/>
        <v>1746774.2857142859</v>
      </c>
      <c r="I97" s="40">
        <f t="shared" si="37"/>
        <v>3175345.7142857146</v>
      </c>
      <c r="J97" s="40">
        <f t="shared" si="37"/>
        <v>4603917.1428571437</v>
      </c>
    </row>
    <row r="98" spans="2:10" x14ac:dyDescent="0.25">
      <c r="C98" t="s">
        <v>94</v>
      </c>
      <c r="F98" s="40">
        <f>-F249</f>
        <v>-2000000</v>
      </c>
      <c r="G98" s="40">
        <f t="shared" ref="G98:J98" si="38">-G249</f>
        <v>-2000000</v>
      </c>
      <c r="H98" s="40">
        <f t="shared" si="38"/>
        <v>-5000000</v>
      </c>
      <c r="I98" s="40">
        <f t="shared" si="38"/>
        <v>-5000000</v>
      </c>
      <c r="J98" s="40">
        <f t="shared" si="38"/>
        <v>-5000000</v>
      </c>
    </row>
    <row r="99" spans="2:10" x14ac:dyDescent="0.25">
      <c r="C99" t="s">
        <v>95</v>
      </c>
      <c r="F99" s="40">
        <f>-(F142+F174)</f>
        <v>-30000</v>
      </c>
      <c r="G99" s="40">
        <f>-(G142+G174)</f>
        <v>-32000</v>
      </c>
      <c r="H99" s="40">
        <f>-(H142+H174)</f>
        <v>-32000</v>
      </c>
      <c r="I99" s="40">
        <f>-(I142+I174)</f>
        <v>-32000</v>
      </c>
      <c r="J99" s="40">
        <f>-(J142+J174)</f>
        <v>-32000</v>
      </c>
    </row>
    <row r="100" spans="2:10" x14ac:dyDescent="0.25">
      <c r="C100" s="2" t="s">
        <v>96</v>
      </c>
      <c r="F100" s="41">
        <f>SUM(F97:F99)</f>
        <v>-1004129</v>
      </c>
      <c r="G100" s="41">
        <f t="shared" ref="G100:J100" si="39">SUM(G97:G99)</f>
        <v>-856654.28571428568</v>
      </c>
      <c r="H100" s="41">
        <f t="shared" si="39"/>
        <v>-3285225.7142857141</v>
      </c>
      <c r="I100" s="41">
        <f t="shared" si="39"/>
        <v>-1856654.2857142854</v>
      </c>
      <c r="J100" s="41">
        <f t="shared" si="39"/>
        <v>-428082.85714285634</v>
      </c>
    </row>
    <row r="102" spans="2:10" x14ac:dyDescent="0.25">
      <c r="C102" t="s">
        <v>97</v>
      </c>
      <c r="F102" s="40">
        <f>F213</f>
        <v>0</v>
      </c>
      <c r="G102" s="40">
        <f>G213</f>
        <v>0</v>
      </c>
      <c r="H102" s="40">
        <f>H213</f>
        <v>0</v>
      </c>
      <c r="I102" s="40">
        <f>I213</f>
        <v>0</v>
      </c>
      <c r="J102" s="40">
        <f>J213</f>
        <v>0</v>
      </c>
    </row>
    <row r="103" spans="2:10" x14ac:dyDescent="0.25">
      <c r="C103" t="s">
        <v>22</v>
      </c>
      <c r="F103" s="40">
        <f>F216</f>
        <v>-48</v>
      </c>
      <c r="G103" s="40">
        <f>G216</f>
        <v>-48</v>
      </c>
      <c r="H103" s="40">
        <f>H216</f>
        <v>-48</v>
      </c>
      <c r="I103" s="40">
        <f>I216</f>
        <v>-48</v>
      </c>
      <c r="J103" s="40">
        <f>J216</f>
        <v>-48</v>
      </c>
    </row>
    <row r="104" spans="2:10" x14ac:dyDescent="0.25">
      <c r="C104" t="s">
        <v>23</v>
      </c>
      <c r="F104" s="40">
        <f>F215</f>
        <v>0</v>
      </c>
      <c r="G104" s="40">
        <f>G215</f>
        <v>0</v>
      </c>
      <c r="H104" s="40">
        <f>H215</f>
        <v>0</v>
      </c>
      <c r="I104" s="40">
        <f>I215</f>
        <v>0</v>
      </c>
      <c r="J104" s="40">
        <f>J215</f>
        <v>0</v>
      </c>
    </row>
    <row r="105" spans="2:10" x14ac:dyDescent="0.25">
      <c r="C105" s="2" t="s">
        <v>98</v>
      </c>
      <c r="F105" s="41">
        <f>SUM(F102:F104)</f>
        <v>-48</v>
      </c>
      <c r="G105" s="41">
        <f t="shared" ref="G105:J105" si="40">SUM(G102:G104)</f>
        <v>-48</v>
      </c>
      <c r="H105" s="41">
        <f t="shared" si="40"/>
        <v>-48</v>
      </c>
      <c r="I105" s="41">
        <f t="shared" si="40"/>
        <v>-48</v>
      </c>
      <c r="J105" s="41">
        <f t="shared" si="40"/>
        <v>-48</v>
      </c>
    </row>
    <row r="107" spans="2:10" x14ac:dyDescent="0.25">
      <c r="C107" t="s">
        <v>99</v>
      </c>
      <c r="F107" s="6">
        <f>F228</f>
        <v>0</v>
      </c>
      <c r="G107" s="6">
        <f>G228</f>
        <v>0</v>
      </c>
      <c r="H107" s="6">
        <f>H228</f>
        <v>0</v>
      </c>
      <c r="I107" s="6">
        <f>I228</f>
        <v>0</v>
      </c>
      <c r="J107" s="6">
        <f>J228</f>
        <v>0</v>
      </c>
    </row>
    <row r="109" spans="2:10" x14ac:dyDescent="0.25">
      <c r="C109" s="2" t="s">
        <v>100</v>
      </c>
      <c r="F109" s="41">
        <f>F95+F100+F105+F107</f>
        <v>18541648097.148808</v>
      </c>
      <c r="G109" s="41">
        <f t="shared" ref="G109:J109" si="41">G95+G100+G105+G107</f>
        <v>-57467263.828299925</v>
      </c>
      <c r="H109" s="41">
        <f t="shared" si="41"/>
        <v>-61339763.613514125</v>
      </c>
      <c r="I109" s="41">
        <f t="shared" si="41"/>
        <v>-60946046.54032705</v>
      </c>
      <c r="J109" s="41">
        <f t="shared" si="41"/>
        <v>-60069824.057982087</v>
      </c>
    </row>
    <row r="111" spans="2:10" x14ac:dyDescent="0.25">
      <c r="C111" s="23" t="s">
        <v>101</v>
      </c>
      <c r="D111" s="24"/>
      <c r="E111" s="24"/>
      <c r="F111" s="34"/>
      <c r="G111" s="34"/>
      <c r="H111" s="34"/>
      <c r="I111" s="34"/>
      <c r="J111" s="34"/>
    </row>
    <row r="112" spans="2:10" x14ac:dyDescent="0.25">
      <c r="B112" t="s">
        <v>53</v>
      </c>
      <c r="C112" t="s">
        <v>27</v>
      </c>
      <c r="D112" s="25">
        <v>2024</v>
      </c>
      <c r="E112" s="25">
        <f>D112+1</f>
        <v>2025</v>
      </c>
      <c r="F112" s="25">
        <f t="shared" ref="F112:J112" si="42">E112+1</f>
        <v>2026</v>
      </c>
      <c r="G112" s="25">
        <f t="shared" si="42"/>
        <v>2027</v>
      </c>
      <c r="H112" s="25">
        <f t="shared" si="42"/>
        <v>2028</v>
      </c>
      <c r="I112" s="25">
        <f t="shared" si="42"/>
        <v>2029</v>
      </c>
      <c r="J112" s="25">
        <f t="shared" si="42"/>
        <v>2030</v>
      </c>
    </row>
    <row r="113" spans="3:12" x14ac:dyDescent="0.25">
      <c r="C113" s="27" t="s">
        <v>28</v>
      </c>
      <c r="D113" s="14">
        <v>45688</v>
      </c>
      <c r="E113" s="14">
        <f t="shared" ref="E113" si="43">EOMONTH(D113,12)</f>
        <v>46053</v>
      </c>
      <c r="F113" s="14">
        <f t="shared" ref="F113" si="44">EOMONTH(E113,12)</f>
        <v>46418</v>
      </c>
      <c r="G113" s="14">
        <f t="shared" ref="G113" si="45">EOMONTH(F113,12)</f>
        <v>46783</v>
      </c>
      <c r="H113" s="14">
        <f t="shared" ref="H113" si="46">EOMONTH(G113,12)</f>
        <v>47149</v>
      </c>
      <c r="I113" s="14">
        <f t="shared" ref="I113" si="47">EOMONTH(H113,12)</f>
        <v>47514</v>
      </c>
      <c r="J113" s="14">
        <f t="shared" ref="J113" si="48">EOMONTH(I113,12)</f>
        <v>47879</v>
      </c>
    </row>
    <row r="115" spans="3:12" x14ac:dyDescent="0.25">
      <c r="C115" s="2" t="s">
        <v>102</v>
      </c>
    </row>
    <row r="116" spans="3:12" x14ac:dyDescent="0.25">
      <c r="C116" t="s">
        <v>103</v>
      </c>
      <c r="F116" s="40">
        <f>E118</f>
        <v>1259737</v>
      </c>
      <c r="G116" s="40">
        <f t="shared" ref="G116:J116" si="49">F118</f>
        <v>2702654.9760000003</v>
      </c>
      <c r="H116" s="40">
        <f t="shared" si="49"/>
        <v>3013460.2982399999</v>
      </c>
      <c r="I116" s="40">
        <f t="shared" si="49"/>
        <v>3344940.9310464002</v>
      </c>
      <c r="J116" s="40">
        <f t="shared" si="49"/>
        <v>3696159.7288062721</v>
      </c>
    </row>
    <row r="117" spans="3:12" x14ac:dyDescent="0.25">
      <c r="C117" s="27" t="s">
        <v>104</v>
      </c>
      <c r="D117" s="27"/>
      <c r="E117" s="27"/>
      <c r="F117" s="45">
        <f>F116-F118</f>
        <v>-1442917.9760000003</v>
      </c>
      <c r="G117" s="45">
        <f t="shared" ref="G117:J117" si="50">G116-G118</f>
        <v>-310805.32223999966</v>
      </c>
      <c r="H117" s="45">
        <f t="shared" si="50"/>
        <v>-331480.6328064003</v>
      </c>
      <c r="I117" s="45">
        <f t="shared" si="50"/>
        <v>-351218.79775987193</v>
      </c>
      <c r="J117" s="45">
        <f t="shared" si="50"/>
        <v>-369615.97288062749</v>
      </c>
    </row>
    <row r="118" spans="3:12" x14ac:dyDescent="0.25">
      <c r="C118" s="2" t="s">
        <v>105</v>
      </c>
      <c r="E118" s="41">
        <f>E49</f>
        <v>1259737</v>
      </c>
      <c r="F118" s="41">
        <f>IF($D$120=1,E118*(1+F35),F124*F123/365)</f>
        <v>2702654.9760000003</v>
      </c>
      <c r="G118" s="41">
        <f>IF($D$120=1,F118*(1+G35),G124*G123/365)</f>
        <v>3013460.2982399999</v>
      </c>
      <c r="H118" s="41">
        <f>IF($D$120=1,G118*(1+H35),H124*H123/365)</f>
        <v>3344940.9310464002</v>
      </c>
      <c r="I118" s="41">
        <f>IF($D$120=1,H118*(1+I35),I124*I123/365)</f>
        <v>3696159.7288062721</v>
      </c>
      <c r="J118" s="41">
        <f>IF($D$120=1,I118*(1+J35),J124*J123/365)</f>
        <v>4065775.7016868996</v>
      </c>
    </row>
    <row r="120" spans="3:12" x14ac:dyDescent="0.25">
      <c r="C120" t="s">
        <v>106</v>
      </c>
      <c r="D120" s="42">
        <v>2</v>
      </c>
    </row>
    <row r="122" spans="3:12" x14ac:dyDescent="0.25">
      <c r="C122" t="s">
        <v>107</v>
      </c>
      <c r="E122" s="43">
        <f t="shared" ref="E122:J122" si="51">E35</f>
        <v>0.10283721296276749</v>
      </c>
      <c r="F122" s="43">
        <f t="shared" si="51"/>
        <v>0.12</v>
      </c>
      <c r="G122" s="43">
        <f t="shared" si="51"/>
        <v>0.115</v>
      </c>
      <c r="H122" s="43">
        <f t="shared" si="51"/>
        <v>0.11</v>
      </c>
      <c r="I122" s="43">
        <f t="shared" si="51"/>
        <v>0.105</v>
      </c>
      <c r="J122" s="43">
        <f t="shared" si="51"/>
        <v>0.1</v>
      </c>
      <c r="L122" s="29" t="s">
        <v>108</v>
      </c>
    </row>
    <row r="123" spans="3:12" x14ac:dyDescent="0.25">
      <c r="C123" t="s">
        <v>109</v>
      </c>
      <c r="E123" s="44">
        <f>'Historicals '!G82</f>
        <v>897</v>
      </c>
      <c r="F123" s="44">
        <f>AVERAGE('Historicals '!$E$82:$G$82)</f>
        <v>766.5</v>
      </c>
      <c r="G123" s="57">
        <f>F123*(1+$L$123)</f>
        <v>766.5</v>
      </c>
      <c r="H123" s="57">
        <f>G123*(1+$L$123)</f>
        <v>766.5</v>
      </c>
      <c r="I123" s="57">
        <f>H123*(1+$L$123)</f>
        <v>766.5</v>
      </c>
      <c r="J123" s="57">
        <f>I123*(1+$L$123)</f>
        <v>766.5</v>
      </c>
      <c r="K123" t="s">
        <v>50</v>
      </c>
      <c r="L123" s="60">
        <v>0</v>
      </c>
    </row>
    <row r="124" spans="3:12" x14ac:dyDescent="0.25">
      <c r="C124" t="s">
        <v>65</v>
      </c>
      <c r="E124" s="40">
        <f t="shared" ref="E124:J124" si="52">E15</f>
        <v>1149088</v>
      </c>
      <c r="F124" s="40">
        <f t="shared" si="52"/>
        <v>1286978.5600000001</v>
      </c>
      <c r="G124" s="40">
        <f t="shared" si="52"/>
        <v>1434981.0944000001</v>
      </c>
      <c r="H124" s="40">
        <f t="shared" si="52"/>
        <v>1592829.0147840001</v>
      </c>
      <c r="I124" s="40">
        <f t="shared" si="52"/>
        <v>1760076.0613363201</v>
      </c>
      <c r="J124" s="40">
        <f t="shared" si="52"/>
        <v>1936083.6674699523</v>
      </c>
    </row>
    <row r="126" spans="3:12" x14ac:dyDescent="0.25">
      <c r="C126" s="2" t="s">
        <v>110</v>
      </c>
    </row>
    <row r="127" spans="3:12" x14ac:dyDescent="0.25">
      <c r="C127" t="s">
        <v>103</v>
      </c>
      <c r="F127" s="40">
        <f>E129</f>
        <v>37644</v>
      </c>
      <c r="G127" s="40">
        <f t="shared" ref="G127:J127" si="53">F129</f>
        <v>-617639011.34364259</v>
      </c>
      <c r="H127" s="40">
        <f t="shared" si="53"/>
        <v>-674487742.58018482</v>
      </c>
      <c r="I127" s="40">
        <f t="shared" si="53"/>
        <v>-732941866.13855112</v>
      </c>
      <c r="J127" s="40">
        <f t="shared" si="53"/>
        <v>-792508583.50447214</v>
      </c>
    </row>
    <row r="128" spans="3:12" x14ac:dyDescent="0.25">
      <c r="C128" s="27" t="s">
        <v>104</v>
      </c>
      <c r="D128" s="27"/>
      <c r="E128" s="27"/>
      <c r="F128" s="45">
        <f>F129-F127</f>
        <v>-617676655.34364259</v>
      </c>
      <c r="G128" s="45">
        <f t="shared" ref="G128:J128" si="54">G129-G127</f>
        <v>-56848731.236542225</v>
      </c>
      <c r="H128" s="45">
        <f t="shared" si="54"/>
        <v>-58454123.558366299</v>
      </c>
      <c r="I128" s="45">
        <f t="shared" si="54"/>
        <v>-59566717.365921021</v>
      </c>
      <c r="J128" s="45">
        <f t="shared" si="54"/>
        <v>-60119461.913957834</v>
      </c>
    </row>
    <row r="129" spans="2:12" x14ac:dyDescent="0.25">
      <c r="C129" s="2" t="s">
        <v>105</v>
      </c>
      <c r="E129" s="41">
        <f>E61</f>
        <v>37644</v>
      </c>
      <c r="F129" s="41">
        <f>IF($D$131=1,E129*(1+F133),F135*F134/-365)</f>
        <v>-617639011.34364259</v>
      </c>
      <c r="G129" s="41">
        <f>IF($D$131=1,F129*(1+G133),G135*G134/-365)</f>
        <v>-674487742.58018482</v>
      </c>
      <c r="H129" s="41">
        <f>IF($D$131=1,G129*(1+H133),H135*H134/-365)</f>
        <v>-732941866.13855112</v>
      </c>
      <c r="I129" s="41">
        <f>IF($D$131=1,H129*(1+I133),I135*I134/-365)</f>
        <v>-792508583.50447214</v>
      </c>
      <c r="J129" s="41">
        <f>IF($D$131=1,I129*(1+J133),J135*J134/-365)</f>
        <v>-852628045.41842997</v>
      </c>
    </row>
    <row r="131" spans="2:12" x14ac:dyDescent="0.25">
      <c r="C131" t="s">
        <v>106</v>
      </c>
      <c r="D131" s="42">
        <v>2</v>
      </c>
    </row>
    <row r="133" spans="2:12" x14ac:dyDescent="0.25">
      <c r="C133" t="s">
        <v>111</v>
      </c>
      <c r="E133" s="43">
        <f t="shared" ref="E133:J133" si="55">E16/D16-1</f>
        <v>8.1027767307450649E-2</v>
      </c>
      <c r="F133" s="43">
        <f t="shared" si="55"/>
        <v>9.7404299988709031E-2</v>
      </c>
      <c r="G133" s="43">
        <f t="shared" si="55"/>
        <v>9.2042002192948669E-2</v>
      </c>
      <c r="H133" s="43">
        <f t="shared" si="55"/>
        <v>8.6664471224867423E-2</v>
      </c>
      <c r="I133" s="43">
        <f t="shared" si="55"/>
        <v>8.1270725712182079E-2</v>
      </c>
      <c r="J133" s="43">
        <f t="shared" si="55"/>
        <v>7.5859698134889131E-2</v>
      </c>
      <c r="L133" s="29" t="s">
        <v>108</v>
      </c>
    </row>
    <row r="134" spans="2:12" x14ac:dyDescent="0.25">
      <c r="C134" t="s">
        <v>112</v>
      </c>
      <c r="E134" s="44">
        <f>'Historicals '!G83</f>
        <v>-378229</v>
      </c>
      <c r="F134" s="44">
        <f>AVERAGE('Historicals '!$E$83:$G$83)</f>
        <v>-397937</v>
      </c>
      <c r="G134" s="57">
        <f>F134*(1+$L$134)</f>
        <v>-397937</v>
      </c>
      <c r="H134" s="57">
        <f>G134*(1+$L$134)</f>
        <v>-397937</v>
      </c>
      <c r="I134" s="57">
        <f>H134*(1+$L$134)</f>
        <v>-397937</v>
      </c>
      <c r="J134" s="57">
        <f>I134*(1+$L$134)</f>
        <v>-397937</v>
      </c>
      <c r="K134" t="s">
        <v>113</v>
      </c>
      <c r="L134" s="60">
        <v>0</v>
      </c>
    </row>
    <row r="135" spans="2:12" x14ac:dyDescent="0.25">
      <c r="C135" t="s">
        <v>67</v>
      </c>
      <c r="E135" s="40">
        <f t="shared" ref="E135:J135" si="56">E16</f>
        <v>-516234</v>
      </c>
      <c r="F135" s="40">
        <f t="shared" si="56"/>
        <v>-566517.41140037123</v>
      </c>
      <c r="G135" s="40">
        <f t="shared" si="56"/>
        <v>-618660.80822282785</v>
      </c>
      <c r="H135" s="40">
        <f t="shared" si="56"/>
        <v>-672276.72003500839</v>
      </c>
      <c r="I135" s="40">
        <f t="shared" si="56"/>
        <v>-726913.13695165899</v>
      </c>
      <c r="J135" s="40">
        <f t="shared" si="56"/>
        <v>-782056.54809109715</v>
      </c>
    </row>
    <row r="137" spans="2:12" x14ac:dyDescent="0.25">
      <c r="C137" s="23" t="s">
        <v>114</v>
      </c>
      <c r="D137" s="24"/>
      <c r="E137" s="24"/>
      <c r="F137" s="34"/>
      <c r="G137" s="34"/>
      <c r="H137" s="34"/>
      <c r="I137" s="34"/>
      <c r="J137" s="34"/>
    </row>
    <row r="138" spans="2:12" x14ac:dyDescent="0.25">
      <c r="B138" t="s">
        <v>53</v>
      </c>
      <c r="C138" t="s">
        <v>27</v>
      </c>
      <c r="D138" s="25">
        <v>2024</v>
      </c>
      <c r="E138" s="25">
        <f>D138+1</f>
        <v>2025</v>
      </c>
      <c r="F138" s="25">
        <f t="shared" ref="F138:J138" si="57">E138+1</f>
        <v>2026</v>
      </c>
      <c r="G138" s="25">
        <f t="shared" si="57"/>
        <v>2027</v>
      </c>
      <c r="H138" s="25">
        <f t="shared" si="57"/>
        <v>2028</v>
      </c>
      <c r="I138" s="25">
        <f t="shared" si="57"/>
        <v>2029</v>
      </c>
      <c r="J138" s="25">
        <f t="shared" si="57"/>
        <v>2030</v>
      </c>
    </row>
    <row r="139" spans="2:12" x14ac:dyDescent="0.25">
      <c r="C139" s="27" t="s">
        <v>28</v>
      </c>
      <c r="D139" s="14">
        <v>45688</v>
      </c>
      <c r="E139" s="14">
        <f t="shared" ref="E139" si="58">EOMONTH(D139,12)</f>
        <v>46053</v>
      </c>
      <c r="F139" s="14">
        <f t="shared" ref="F139" si="59">EOMONTH(E139,12)</f>
        <v>46418</v>
      </c>
      <c r="G139" s="14">
        <f t="shared" ref="G139" si="60">EOMONTH(F139,12)</f>
        <v>46783</v>
      </c>
      <c r="H139" s="14">
        <f t="shared" ref="H139" si="61">EOMONTH(G139,12)</f>
        <v>47149</v>
      </c>
      <c r="I139" s="14">
        <f t="shared" ref="I139" si="62">EOMONTH(H139,12)</f>
        <v>47514</v>
      </c>
      <c r="J139" s="14">
        <f t="shared" ref="J139" si="63">EOMONTH(I139,12)</f>
        <v>47879</v>
      </c>
    </row>
    <row r="140" spans="2:12" x14ac:dyDescent="0.25">
      <c r="C140" s="2"/>
    </row>
    <row r="141" spans="2:12" x14ac:dyDescent="0.25">
      <c r="C141" t="s">
        <v>103</v>
      </c>
      <c r="F141" s="40">
        <f>E144</f>
        <v>70261</v>
      </c>
      <c r="G141" s="40">
        <f t="shared" ref="G141:J141" si="64">F144</f>
        <v>78799.167296095125</v>
      </c>
      <c r="H141" s="40">
        <f t="shared" si="64"/>
        <v>91500.295638396827</v>
      </c>
      <c r="I141" s="40">
        <f t="shared" si="64"/>
        <v>103642.93112067124</v>
      </c>
      <c r="J141" s="40">
        <f t="shared" si="64"/>
        <v>114807.51024804526</v>
      </c>
    </row>
    <row r="142" spans="2:12" x14ac:dyDescent="0.25">
      <c r="C142" t="s">
        <v>95</v>
      </c>
      <c r="D142" s="42"/>
      <c r="F142" s="5">
        <v>23000</v>
      </c>
      <c r="G142" s="5">
        <v>27000</v>
      </c>
      <c r="H142" s="40">
        <f>G142</f>
        <v>27000</v>
      </c>
      <c r="I142" s="40">
        <f t="shared" ref="I142:J142" si="65">H142</f>
        <v>27000</v>
      </c>
      <c r="J142" s="40">
        <f t="shared" si="65"/>
        <v>27000</v>
      </c>
      <c r="K142" t="s">
        <v>115</v>
      </c>
    </row>
    <row r="143" spans="2:12" x14ac:dyDescent="0.25">
      <c r="C143" s="27" t="s">
        <v>116</v>
      </c>
      <c r="D143" s="27"/>
      <c r="E143" s="27"/>
      <c r="F143" s="45">
        <f>-F169</f>
        <v>-14461.832703904878</v>
      </c>
      <c r="G143" s="45">
        <f t="shared" ref="G143:J143" si="66">-G169</f>
        <v>-14298.871657698297</v>
      </c>
      <c r="H143" s="45">
        <f t="shared" si="66"/>
        <v>-14857.364517725589</v>
      </c>
      <c r="I143" s="45">
        <f t="shared" si="66"/>
        <v>-15835.420872625989</v>
      </c>
      <c r="J143" s="45">
        <f t="shared" si="66"/>
        <v>-17149.88909954219</v>
      </c>
    </row>
    <row r="144" spans="2:12" x14ac:dyDescent="0.25">
      <c r="C144" s="2" t="s">
        <v>117</v>
      </c>
      <c r="E144" s="41">
        <f>E52</f>
        <v>70261</v>
      </c>
      <c r="F144" s="41">
        <f>SUM(F141:F143)</f>
        <v>78799.167296095125</v>
      </c>
      <c r="G144" s="41">
        <f t="shared" ref="G144:J144" si="67">SUM(G141:G143)</f>
        <v>91500.295638396827</v>
      </c>
      <c r="H144" s="41">
        <f t="shared" si="67"/>
        <v>103642.93112067124</v>
      </c>
      <c r="I144" s="41">
        <f t="shared" si="67"/>
        <v>114807.51024804526</v>
      </c>
      <c r="J144" s="41">
        <f t="shared" si="67"/>
        <v>124657.62114850307</v>
      </c>
    </row>
    <row r="146" spans="3:10" x14ac:dyDescent="0.25">
      <c r="C146" t="s">
        <v>118</v>
      </c>
      <c r="F146">
        <f>F143/-F142</f>
        <v>0.62877533495238602</v>
      </c>
      <c r="G146">
        <f t="shared" ref="G146:J146" si="68">G143/-G142</f>
        <v>0.52958783917401098</v>
      </c>
      <c r="H146">
        <f t="shared" si="68"/>
        <v>0.55027275991576252</v>
      </c>
      <c r="I146">
        <f t="shared" si="68"/>
        <v>0.58649706935651813</v>
      </c>
      <c r="J146">
        <f t="shared" si="68"/>
        <v>0.63518107776082189</v>
      </c>
    </row>
    <row r="148" spans="3:10" x14ac:dyDescent="0.25">
      <c r="C148" s="46" t="s">
        <v>119</v>
      </c>
      <c r="D148" s="27"/>
      <c r="E148" s="27"/>
      <c r="F148" s="27"/>
      <c r="G148" s="27"/>
      <c r="H148" s="27"/>
      <c r="I148" s="27"/>
      <c r="J148" s="27"/>
    </row>
    <row r="149" spans="3:10" x14ac:dyDescent="0.25">
      <c r="D149" s="47" t="s">
        <v>120</v>
      </c>
    </row>
    <row r="150" spans="3:10" x14ac:dyDescent="0.25">
      <c r="C150" t="s">
        <v>121</v>
      </c>
      <c r="D150" s="5">
        <v>30</v>
      </c>
      <c r="E150" s="5">
        <v>20984</v>
      </c>
    </row>
    <row r="151" spans="3:10" x14ac:dyDescent="0.25">
      <c r="C151" t="s">
        <v>122</v>
      </c>
      <c r="D151" s="5">
        <v>10</v>
      </c>
      <c r="E151" s="5">
        <v>22392</v>
      </c>
    </row>
    <row r="152" spans="3:10" x14ac:dyDescent="0.25">
      <c r="C152" t="s">
        <v>123</v>
      </c>
      <c r="D152" s="5">
        <v>3</v>
      </c>
      <c r="E152" s="5">
        <v>2293</v>
      </c>
    </row>
    <row r="153" spans="3:10" x14ac:dyDescent="0.25">
      <c r="C153" t="s">
        <v>124</v>
      </c>
      <c r="D153" s="5">
        <v>5</v>
      </c>
      <c r="E153" s="5">
        <v>8060</v>
      </c>
    </row>
    <row r="154" spans="3:10" x14ac:dyDescent="0.25">
      <c r="C154" t="s">
        <v>125</v>
      </c>
      <c r="D154" s="5">
        <v>2.5</v>
      </c>
      <c r="E154" s="5">
        <v>45153</v>
      </c>
    </row>
    <row r="155" spans="3:10" x14ac:dyDescent="0.25">
      <c r="C155" t="s">
        <v>126</v>
      </c>
      <c r="D155" s="5">
        <v>2.5</v>
      </c>
      <c r="E155" s="5">
        <v>2059</v>
      </c>
    </row>
    <row r="156" spans="3:10" x14ac:dyDescent="0.25">
      <c r="C156" s="2" t="s">
        <v>127</v>
      </c>
      <c r="E156" s="41">
        <f>SUM(E150:E155)</f>
        <v>100941</v>
      </c>
    </row>
    <row r="157" spans="3:10" x14ac:dyDescent="0.25">
      <c r="C157" t="s">
        <v>128</v>
      </c>
      <c r="E157" s="5">
        <v>3040</v>
      </c>
    </row>
    <row r="158" spans="3:10" x14ac:dyDescent="0.25">
      <c r="C158" t="s">
        <v>129</v>
      </c>
      <c r="E158" s="5">
        <v>-33720</v>
      </c>
    </row>
    <row r="159" spans="3:10" x14ac:dyDescent="0.25">
      <c r="C159" s="2" t="s">
        <v>130</v>
      </c>
      <c r="E159" s="41">
        <f>SUM(E156:E158)</f>
        <v>70261</v>
      </c>
    </row>
    <row r="161" spans="3:11" x14ac:dyDescent="0.25">
      <c r="C161" t="s">
        <v>131</v>
      </c>
      <c r="D161" s="48">
        <f>(E150/E156)*D150+(E151/E156)*D151+(E152/E156)*D152+(E153/E156)*D153+(E154/E156)*D154+(E155/E156)*D155</f>
        <v>10.091528714793791</v>
      </c>
    </row>
    <row r="163" spans="3:11" x14ac:dyDescent="0.25">
      <c r="C163" t="s">
        <v>132</v>
      </c>
      <c r="D163" s="47" t="s">
        <v>133</v>
      </c>
      <c r="F163" s="40">
        <f>DDB($E$156+$E$158,0,$D$161,F138-$E$138)</f>
        <v>13322.263038593273</v>
      </c>
      <c r="G163" s="40">
        <f>DDB($E$156+$E$158,0,$D$161,G138-$E$138)</f>
        <v>10681.976633013641</v>
      </c>
      <c r="H163" s="40">
        <f>DDB($E$156+$E$158,0,$D$161,H138-$E$138)</f>
        <v>8564.958104918036</v>
      </c>
      <c r="I163" s="40">
        <f>DDB($E$156+$E$158,0,$D$161,I138-$E$138)</f>
        <v>6867.5030716955389</v>
      </c>
      <c r="J163" s="40">
        <f>DDB($E$156+$E$158,0,$D$161,J138-$E$138)</f>
        <v>5506.4599104888448</v>
      </c>
    </row>
    <row r="164" spans="3:11" x14ac:dyDescent="0.25">
      <c r="C164" t="str">
        <f>"Depreciation from Capex purchased in "&amp;F138</f>
        <v>Depreciation from Capex purchased in 2026</v>
      </c>
      <c r="D164">
        <v>0.5</v>
      </c>
      <c r="F164" s="40">
        <f>D164*F142/D161</f>
        <v>1139.5696653116038</v>
      </c>
      <c r="G164" s="40">
        <f>$F$142/$D$161</f>
        <v>2279.1393306232076</v>
      </c>
      <c r="H164" s="40">
        <f>$F$142/$D$161</f>
        <v>2279.1393306232076</v>
      </c>
      <c r="I164" s="40">
        <f>$F$142/$D$161</f>
        <v>2279.1393306232076</v>
      </c>
      <c r="J164" s="40">
        <f>$F$142/$D$161</f>
        <v>2279.1393306232076</v>
      </c>
    </row>
    <row r="165" spans="3:11" x14ac:dyDescent="0.25">
      <c r="C165" t="str">
        <f>"Depreciation from Capex purchased in "&amp;G138</f>
        <v>Depreciation from Capex purchased in 2027</v>
      </c>
      <c r="F165" s="40"/>
      <c r="G165" s="40">
        <f>D164*G142/D161</f>
        <v>1337.7556940614481</v>
      </c>
      <c r="H165" s="40">
        <f>$G$142/$D$161</f>
        <v>2675.5113881228963</v>
      </c>
      <c r="I165" s="40">
        <f>$G$142/$D$161</f>
        <v>2675.5113881228963</v>
      </c>
      <c r="J165" s="40">
        <f>$G$142/$D$161</f>
        <v>2675.5113881228963</v>
      </c>
    </row>
    <row r="166" spans="3:11" x14ac:dyDescent="0.25">
      <c r="C166" t="str">
        <f>"Depreciation from Capex purchased in "&amp;H138</f>
        <v>Depreciation from Capex purchased in 2028</v>
      </c>
      <c r="F166" s="40"/>
      <c r="G166" s="40"/>
      <c r="H166" s="40">
        <f>H142*D164/D161</f>
        <v>1337.7556940614481</v>
      </c>
      <c r="I166" s="40">
        <f>$H$142/$D$161</f>
        <v>2675.5113881228963</v>
      </c>
      <c r="J166" s="40">
        <f>$H$142/$D$161</f>
        <v>2675.5113881228963</v>
      </c>
    </row>
    <row r="167" spans="3:11" x14ac:dyDescent="0.25">
      <c r="C167" t="str">
        <f>"Depreciation from Capex purchased in "&amp;I138</f>
        <v>Depreciation from Capex purchased in 2029</v>
      </c>
      <c r="F167" s="40"/>
      <c r="G167" s="40"/>
      <c r="H167" s="40"/>
      <c r="I167" s="40">
        <f>I142*D164/D161</f>
        <v>1337.7556940614481</v>
      </c>
      <c r="J167" s="40">
        <f>I142/D161</f>
        <v>2675.5113881228963</v>
      </c>
    </row>
    <row r="168" spans="3:11" x14ac:dyDescent="0.25">
      <c r="C168" t="str">
        <f>"Depreciation from Capex purchased in "&amp;J138</f>
        <v>Depreciation from Capex purchased in 2030</v>
      </c>
      <c r="F168" s="40"/>
      <c r="G168" s="40"/>
      <c r="H168" s="40"/>
      <c r="I168" s="40"/>
      <c r="J168" s="40">
        <f>J142*D164/D161</f>
        <v>1337.7556940614481</v>
      </c>
    </row>
    <row r="169" spans="3:11" x14ac:dyDescent="0.25">
      <c r="C169" s="2" t="s">
        <v>134</v>
      </c>
      <c r="F169" s="41">
        <f>SUM(F163:F168)</f>
        <v>14461.832703904878</v>
      </c>
      <c r="G169" s="41">
        <f t="shared" ref="G169:J169" si="69">SUM(G163:G168)</f>
        <v>14298.871657698297</v>
      </c>
      <c r="H169" s="41">
        <f t="shared" si="69"/>
        <v>14857.364517725589</v>
      </c>
      <c r="I169" s="41">
        <f t="shared" si="69"/>
        <v>15835.420872625989</v>
      </c>
      <c r="J169" s="41">
        <f t="shared" si="69"/>
        <v>17149.88909954219</v>
      </c>
    </row>
    <row r="171" spans="3:11" x14ac:dyDescent="0.25">
      <c r="C171" s="46" t="s">
        <v>135</v>
      </c>
      <c r="D171" s="27"/>
      <c r="E171" s="27"/>
      <c r="F171" s="27"/>
      <c r="G171" s="27"/>
      <c r="H171" s="27"/>
      <c r="I171" s="27"/>
      <c r="J171" s="27"/>
    </row>
    <row r="172" spans="3:11" x14ac:dyDescent="0.25">
      <c r="C172" t="s">
        <v>136</v>
      </c>
      <c r="F172" s="40">
        <f>E175</f>
        <v>30314</v>
      </c>
      <c r="G172" s="40">
        <f t="shared" ref="G172:J172" si="70">F175</f>
        <v>28392</v>
      </c>
      <c r="H172" s="40">
        <f t="shared" si="70"/>
        <v>25614</v>
      </c>
      <c r="I172" s="40">
        <f t="shared" si="70"/>
        <v>22832</v>
      </c>
      <c r="J172" s="40">
        <f t="shared" si="70"/>
        <v>22000</v>
      </c>
    </row>
    <row r="173" spans="3:11" x14ac:dyDescent="0.25">
      <c r="C173" t="s">
        <v>137</v>
      </c>
      <c r="F173" s="5">
        <v>-8922</v>
      </c>
      <c r="G173" s="5">
        <v>-7778</v>
      </c>
      <c r="H173" s="5">
        <v>-7782</v>
      </c>
      <c r="I173" s="5">
        <v>-5832</v>
      </c>
      <c r="J173" s="5">
        <f>I173</f>
        <v>-5832</v>
      </c>
      <c r="K173" t="s">
        <v>138</v>
      </c>
    </row>
    <row r="174" spans="3:11" x14ac:dyDescent="0.25">
      <c r="C174" s="27" t="s">
        <v>139</v>
      </c>
      <c r="D174" s="27"/>
      <c r="E174" s="27"/>
      <c r="F174" s="50">
        <v>7000</v>
      </c>
      <c r="G174" s="50">
        <v>5000</v>
      </c>
      <c r="H174" s="50">
        <v>5000</v>
      </c>
      <c r="I174" s="50">
        <v>5000</v>
      </c>
      <c r="J174" s="50">
        <v>5000</v>
      </c>
      <c r="K174" t="s">
        <v>115</v>
      </c>
    </row>
    <row r="175" spans="3:11" x14ac:dyDescent="0.25">
      <c r="C175" s="2" t="s">
        <v>117</v>
      </c>
      <c r="E175" s="41">
        <f>E56</f>
        <v>30314</v>
      </c>
      <c r="F175" s="41">
        <f>SUM(F172:F174)</f>
        <v>28392</v>
      </c>
      <c r="G175" s="41">
        <f t="shared" ref="G175:J175" si="71">SUM(G172:G174)</f>
        <v>25614</v>
      </c>
      <c r="H175" s="41">
        <f t="shared" si="71"/>
        <v>22832</v>
      </c>
      <c r="I175" s="41">
        <f t="shared" si="71"/>
        <v>22000</v>
      </c>
      <c r="J175" s="41">
        <f t="shared" si="71"/>
        <v>21168</v>
      </c>
    </row>
    <row r="177" spans="2:11" x14ac:dyDescent="0.25">
      <c r="C177" s="2" t="s">
        <v>140</v>
      </c>
      <c r="F177" s="41">
        <f>F169-F173-F199</f>
        <v>28358.241729545902</v>
      </c>
      <c r="G177" s="41">
        <f t="shared" ref="G177:J177" si="72">G169-G173-G199</f>
        <v>27417.509547339323</v>
      </c>
      <c r="H177" s="41">
        <f t="shared" si="72"/>
        <v>28540.786256838615</v>
      </c>
      <c r="I177" s="41">
        <f t="shared" si="72"/>
        <v>27985.952085985671</v>
      </c>
      <c r="J177" s="41">
        <f t="shared" si="72"/>
        <v>29692.863041912366</v>
      </c>
    </row>
    <row r="179" spans="2:11" x14ac:dyDescent="0.25">
      <c r="C179" s="23" t="s">
        <v>141</v>
      </c>
      <c r="D179" s="24"/>
      <c r="E179" s="24"/>
      <c r="F179" s="34"/>
      <c r="G179" s="34"/>
      <c r="H179" s="34"/>
      <c r="I179" s="34"/>
      <c r="J179" s="34"/>
    </row>
    <row r="180" spans="2:11" x14ac:dyDescent="0.25">
      <c r="B180" t="s">
        <v>53</v>
      </c>
      <c r="C180" t="s">
        <v>27</v>
      </c>
      <c r="D180" s="25">
        <v>2024</v>
      </c>
      <c r="E180" s="25">
        <f>D180+1</f>
        <v>2025</v>
      </c>
      <c r="F180" s="25">
        <f t="shared" ref="F180:J180" si="73">E180+1</f>
        <v>2026</v>
      </c>
      <c r="G180" s="25">
        <f t="shared" si="73"/>
        <v>2027</v>
      </c>
      <c r="H180" s="25">
        <f t="shared" si="73"/>
        <v>2028</v>
      </c>
      <c r="I180" s="25">
        <f t="shared" si="73"/>
        <v>2029</v>
      </c>
      <c r="J180" s="25">
        <f t="shared" si="73"/>
        <v>2030</v>
      </c>
    </row>
    <row r="181" spans="2:11" x14ac:dyDescent="0.25">
      <c r="C181" s="27" t="s">
        <v>28</v>
      </c>
      <c r="D181" s="14">
        <v>45688</v>
      </c>
      <c r="E181" s="14">
        <f t="shared" ref="E181" si="74">EOMONTH(D181,12)</f>
        <v>46053</v>
      </c>
      <c r="F181" s="14">
        <f t="shared" ref="F181" si="75">EOMONTH(E181,12)</f>
        <v>46418</v>
      </c>
      <c r="G181" s="14">
        <f t="shared" ref="G181" si="76">EOMONTH(F181,12)</f>
        <v>46783</v>
      </c>
      <c r="H181" s="14">
        <f t="shared" ref="H181" si="77">EOMONTH(G181,12)</f>
        <v>47149</v>
      </c>
      <c r="I181" s="14">
        <f t="shared" ref="I181" si="78">EOMONTH(H181,12)</f>
        <v>47514</v>
      </c>
      <c r="J181" s="14">
        <f t="shared" ref="J181" si="79">EOMONTH(I181,12)</f>
        <v>47879</v>
      </c>
    </row>
    <row r="183" spans="2:11" x14ac:dyDescent="0.25">
      <c r="C183" t="s">
        <v>142</v>
      </c>
      <c r="F183" s="40">
        <v>14851</v>
      </c>
      <c r="G183" s="40">
        <v>18538</v>
      </c>
      <c r="H183" s="40">
        <v>14984</v>
      </c>
      <c r="I183" s="40">
        <v>14053</v>
      </c>
      <c r="J183" s="40">
        <v>11293</v>
      </c>
    </row>
    <row r="184" spans="2:11" x14ac:dyDescent="0.25">
      <c r="C184" t="s">
        <v>143</v>
      </c>
      <c r="F184" s="40">
        <f>F183/(1+$H$5)^(F180-$E$180)</f>
        <v>14170.801526717556</v>
      </c>
      <c r="G184" s="40">
        <f>G183/(1+$H$5)^(G180-$E$180)</f>
        <v>16878.751238272824</v>
      </c>
      <c r="H184" s="40">
        <f>H183/(1+$H$5)^(H180-$E$180)</f>
        <v>13017.989485301083</v>
      </c>
      <c r="I184" s="40">
        <f>I183/(1+$H$5)^(I180-$E$180)</f>
        <v>11649.946089883668</v>
      </c>
      <c r="J184" s="40">
        <f>J183/(1+$H$5)^(J180-$E$180)</f>
        <v>8933.1147945004432</v>
      </c>
    </row>
    <row r="186" spans="2:11" x14ac:dyDescent="0.25">
      <c r="C186" t="s">
        <v>103</v>
      </c>
      <c r="F186" s="40">
        <f>E190</f>
        <v>95859</v>
      </c>
      <c r="G186" s="40">
        <f t="shared" ref="G186:J186" si="80">F190</f>
        <v>88229.232000000004</v>
      </c>
      <c r="H186" s="40">
        <f t="shared" si="80"/>
        <v>76546.235136000003</v>
      </c>
      <c r="I186" s="40">
        <f t="shared" si="80"/>
        <v>67856.454422527997</v>
      </c>
      <c r="J186" s="40">
        <f t="shared" si="80"/>
        <v>59680.564234809339</v>
      </c>
    </row>
    <row r="187" spans="2:11" x14ac:dyDescent="0.25">
      <c r="C187" t="s">
        <v>144</v>
      </c>
      <c r="F187" s="5">
        <v>2500</v>
      </c>
      <c r="G187" s="5">
        <v>2500</v>
      </c>
      <c r="H187" s="5">
        <v>2500</v>
      </c>
      <c r="I187" s="5">
        <v>2500</v>
      </c>
      <c r="J187" s="5">
        <v>2500</v>
      </c>
      <c r="K187" t="s">
        <v>145</v>
      </c>
    </row>
    <row r="188" spans="2:11" x14ac:dyDescent="0.25">
      <c r="C188" t="s">
        <v>146</v>
      </c>
      <c r="F188" s="40">
        <f>SUM(F186:F187)*$H$5</f>
        <v>4721.232</v>
      </c>
      <c r="G188" s="40">
        <f t="shared" ref="G188:J188" si="81">SUM(G186:G187)*$H$5</f>
        <v>4355.0031360000003</v>
      </c>
      <c r="H188" s="40">
        <f t="shared" si="81"/>
        <v>3794.2192865280003</v>
      </c>
      <c r="I188" s="40">
        <f t="shared" si="81"/>
        <v>3377.1098122813441</v>
      </c>
      <c r="J188" s="40">
        <f t="shared" si="81"/>
        <v>2984.6670832708483</v>
      </c>
    </row>
    <row r="189" spans="2:11" x14ac:dyDescent="0.25">
      <c r="C189" s="27" t="s">
        <v>147</v>
      </c>
      <c r="D189" s="27"/>
      <c r="E189" s="27"/>
      <c r="F189" s="45">
        <f>-F183</f>
        <v>-14851</v>
      </c>
      <c r="G189" s="45">
        <f t="shared" ref="G189:J189" si="82">-G183</f>
        <v>-18538</v>
      </c>
      <c r="H189" s="45">
        <f t="shared" si="82"/>
        <v>-14984</v>
      </c>
      <c r="I189" s="45">
        <f t="shared" si="82"/>
        <v>-14053</v>
      </c>
      <c r="J189" s="45">
        <f t="shared" si="82"/>
        <v>-11293</v>
      </c>
    </row>
    <row r="190" spans="2:11" x14ac:dyDescent="0.25">
      <c r="C190" s="2" t="s">
        <v>148</v>
      </c>
      <c r="E190" s="41">
        <f>E66+E68</f>
        <v>95859</v>
      </c>
      <c r="F190" s="41">
        <f>SUM(F186:F189)</f>
        <v>88229.232000000004</v>
      </c>
      <c r="G190" s="41">
        <f t="shared" ref="G190:J190" si="83">SUM(G186:G189)</f>
        <v>76546.235136000003</v>
      </c>
      <c r="H190" s="41">
        <f t="shared" si="83"/>
        <v>67856.454422527997</v>
      </c>
      <c r="I190" s="41">
        <f t="shared" si="83"/>
        <v>59680.564234809339</v>
      </c>
      <c r="J190" s="41">
        <f t="shared" si="83"/>
        <v>53872.231318080187</v>
      </c>
    </row>
    <row r="192" spans="2:11" x14ac:dyDescent="0.25">
      <c r="C192" t="s">
        <v>149</v>
      </c>
      <c r="F192" s="40">
        <f>F183</f>
        <v>14851</v>
      </c>
      <c r="G192" s="40">
        <f t="shared" ref="G192:J192" si="84">G183</f>
        <v>18538</v>
      </c>
      <c r="H192" s="40">
        <f t="shared" si="84"/>
        <v>14984</v>
      </c>
      <c r="I192" s="40">
        <f t="shared" si="84"/>
        <v>14053</v>
      </c>
      <c r="J192" s="40">
        <f t="shared" si="84"/>
        <v>11293</v>
      </c>
    </row>
    <row r="193" spans="2:10" x14ac:dyDescent="0.25">
      <c r="C193" t="s">
        <v>150</v>
      </c>
      <c r="F193" s="40">
        <f>F190-F192</f>
        <v>73378.232000000004</v>
      </c>
      <c r="G193" s="40">
        <f t="shared" ref="G193:J193" si="85">G190-G192</f>
        <v>58008.235136000003</v>
      </c>
      <c r="H193" s="40">
        <f t="shared" si="85"/>
        <v>52872.454422527997</v>
      </c>
      <c r="I193" s="40">
        <f t="shared" si="85"/>
        <v>45627.564234809339</v>
      </c>
      <c r="J193" s="40">
        <f t="shared" si="85"/>
        <v>42579.231318080187</v>
      </c>
    </row>
    <row r="195" spans="2:10" x14ac:dyDescent="0.25">
      <c r="C195" s="46" t="s">
        <v>151</v>
      </c>
      <c r="D195" s="27"/>
      <c r="E195" s="27"/>
      <c r="F195" s="27"/>
      <c r="G195" s="27"/>
      <c r="H195" s="27"/>
      <c r="I195" s="27"/>
      <c r="J195" s="27"/>
    </row>
    <row r="197" spans="2:10" x14ac:dyDescent="0.25">
      <c r="C197" t="s">
        <v>152</v>
      </c>
      <c r="F197" s="40">
        <f>-$E$204/$H$6</f>
        <v>-9695.6410256410254</v>
      </c>
      <c r="G197" s="40">
        <f>-$E$204/$H$6</f>
        <v>-9695.6410256410254</v>
      </c>
      <c r="H197" s="40">
        <f>-$E$204/$H$6</f>
        <v>-9695.6410256410254</v>
      </c>
      <c r="I197" s="40">
        <f>-$E$204/$H$6</f>
        <v>-9695.6410256410254</v>
      </c>
      <c r="J197" s="40">
        <f>-$E$204/$H$6</f>
        <v>-9695.6410256410254</v>
      </c>
    </row>
    <row r="198" spans="2:10" x14ac:dyDescent="0.25">
      <c r="C198" t="s">
        <v>146</v>
      </c>
      <c r="F198" s="40">
        <f>F188</f>
        <v>4721.232</v>
      </c>
      <c r="G198" s="40">
        <f t="shared" ref="G198:J198" si="86">G188</f>
        <v>4355.0031360000003</v>
      </c>
      <c r="H198" s="40">
        <f t="shared" si="86"/>
        <v>3794.2192865280003</v>
      </c>
      <c r="I198" s="40">
        <f t="shared" si="86"/>
        <v>3377.1098122813441</v>
      </c>
      <c r="J198" s="40">
        <f t="shared" si="86"/>
        <v>2984.6670832708483</v>
      </c>
    </row>
    <row r="199" spans="2:10" x14ac:dyDescent="0.25">
      <c r="C199" t="s">
        <v>153</v>
      </c>
      <c r="F199" s="40">
        <f>SUM(F197:F198)</f>
        <v>-4974.4090256410254</v>
      </c>
      <c r="G199" s="40">
        <f t="shared" ref="G199:J199" si="87">SUM(G197:G198)</f>
        <v>-5340.6378896410251</v>
      </c>
      <c r="H199" s="40">
        <f t="shared" si="87"/>
        <v>-5901.4217391130251</v>
      </c>
      <c r="I199" s="40">
        <f t="shared" si="87"/>
        <v>-6318.5312133596817</v>
      </c>
      <c r="J199" s="40">
        <f t="shared" si="87"/>
        <v>-6710.9739423701776</v>
      </c>
    </row>
    <row r="201" spans="2:10" x14ac:dyDescent="0.25">
      <c r="C201" t="s">
        <v>103</v>
      </c>
      <c r="F201" s="40">
        <f>E204</f>
        <v>75626</v>
      </c>
      <c r="G201" s="40">
        <f t="shared" ref="G201:J201" si="88">F204</f>
        <v>73151.590974358973</v>
      </c>
      <c r="H201" s="40">
        <f t="shared" si="88"/>
        <v>70310.953084717941</v>
      </c>
      <c r="I201" s="40">
        <f t="shared" si="88"/>
        <v>66909.531345604919</v>
      </c>
      <c r="J201" s="40">
        <f t="shared" si="88"/>
        <v>63091.000132245237</v>
      </c>
    </row>
    <row r="202" spans="2:10" x14ac:dyDescent="0.25">
      <c r="C202" t="s">
        <v>139</v>
      </c>
      <c r="F202" s="40">
        <f>F187</f>
        <v>2500</v>
      </c>
      <c r="G202" s="40">
        <f t="shared" ref="G202:J202" si="89">G187</f>
        <v>2500</v>
      </c>
      <c r="H202" s="40">
        <f t="shared" si="89"/>
        <v>2500</v>
      </c>
      <c r="I202" s="40">
        <f t="shared" si="89"/>
        <v>2500</v>
      </c>
      <c r="J202" s="40">
        <f t="shared" si="89"/>
        <v>2500</v>
      </c>
    </row>
    <row r="203" spans="2:10" x14ac:dyDescent="0.25">
      <c r="C203" s="27" t="s">
        <v>153</v>
      </c>
      <c r="D203" s="27"/>
      <c r="E203" s="27"/>
      <c r="F203" s="45">
        <f>F199</f>
        <v>-4974.4090256410254</v>
      </c>
      <c r="G203" s="45">
        <f t="shared" ref="G203:J203" si="90">G199</f>
        <v>-5340.6378896410251</v>
      </c>
      <c r="H203" s="45">
        <f t="shared" si="90"/>
        <v>-5901.4217391130251</v>
      </c>
      <c r="I203" s="45">
        <f t="shared" si="90"/>
        <v>-6318.5312133596817</v>
      </c>
      <c r="J203" s="45">
        <f t="shared" si="90"/>
        <v>-6710.9739423701776</v>
      </c>
    </row>
    <row r="204" spans="2:10" x14ac:dyDescent="0.25">
      <c r="C204" s="2" t="s">
        <v>117</v>
      </c>
      <c r="E204" s="41">
        <f>E54</f>
        <v>75626</v>
      </c>
      <c r="F204" s="41">
        <f>SUM(F201:F203)</f>
        <v>73151.590974358973</v>
      </c>
      <c r="G204" s="41">
        <f t="shared" ref="G204:J204" si="91">SUM(G201:G203)</f>
        <v>70310.953084717941</v>
      </c>
      <c r="H204" s="41">
        <f t="shared" si="91"/>
        <v>66909.531345604919</v>
      </c>
      <c r="I204" s="41">
        <f t="shared" si="91"/>
        <v>63091.000132245237</v>
      </c>
      <c r="J204" s="41">
        <f t="shared" si="91"/>
        <v>58880.026189875069</v>
      </c>
    </row>
    <row r="206" spans="2:10" x14ac:dyDescent="0.25">
      <c r="C206" s="23" t="s">
        <v>154</v>
      </c>
      <c r="D206" s="24"/>
      <c r="E206" s="24"/>
      <c r="F206" s="34"/>
      <c r="G206" s="34"/>
      <c r="H206" s="34"/>
      <c r="I206" s="34"/>
      <c r="J206" s="34"/>
    </row>
    <row r="207" spans="2:10" x14ac:dyDescent="0.25">
      <c r="B207" t="s">
        <v>53</v>
      </c>
      <c r="C207" t="s">
        <v>27</v>
      </c>
      <c r="D207" s="25">
        <v>2024</v>
      </c>
      <c r="E207" s="25">
        <f>D207+1</f>
        <v>2025</v>
      </c>
      <c r="F207" s="25">
        <f t="shared" ref="F207:J207" si="92">E207+1</f>
        <v>2026</v>
      </c>
      <c r="G207" s="25">
        <f t="shared" si="92"/>
        <v>2027</v>
      </c>
      <c r="H207" s="25">
        <f t="shared" si="92"/>
        <v>2028</v>
      </c>
      <c r="I207" s="25">
        <f t="shared" si="92"/>
        <v>2029</v>
      </c>
      <c r="J207" s="25">
        <f t="shared" si="92"/>
        <v>2030</v>
      </c>
    </row>
    <row r="208" spans="2:10" x14ac:dyDescent="0.25">
      <c r="C208" s="27" t="s">
        <v>28</v>
      </c>
      <c r="D208" s="14">
        <v>45688</v>
      </c>
      <c r="E208" s="14">
        <f t="shared" ref="E208" si="93">EOMONTH(D208,12)</f>
        <v>46053</v>
      </c>
      <c r="F208" s="14">
        <f t="shared" ref="F208" si="94">EOMONTH(E208,12)</f>
        <v>46418</v>
      </c>
      <c r="G208" s="14">
        <f t="shared" ref="G208" si="95">EOMONTH(F208,12)</f>
        <v>46783</v>
      </c>
      <c r="H208" s="14">
        <f t="shared" ref="H208" si="96">EOMONTH(G208,12)</f>
        <v>47149</v>
      </c>
      <c r="I208" s="14">
        <f t="shared" ref="I208" si="97">EOMONTH(H208,12)</f>
        <v>47514</v>
      </c>
      <c r="J208" s="14">
        <f t="shared" ref="J208" si="98">EOMONTH(I208,12)</f>
        <v>47879</v>
      </c>
    </row>
    <row r="210" spans="3:11" x14ac:dyDescent="0.25">
      <c r="C210" s="46" t="s">
        <v>155</v>
      </c>
      <c r="D210" s="46"/>
      <c r="E210" s="46"/>
      <c r="F210" s="46"/>
      <c r="G210" s="46"/>
      <c r="H210" s="46"/>
      <c r="I210" s="46"/>
      <c r="J210" s="46"/>
    </row>
    <row r="212" spans="3:11" x14ac:dyDescent="0.25">
      <c r="C212" t="s">
        <v>103</v>
      </c>
      <c r="F212" s="40">
        <f>E217</f>
        <v>2843089</v>
      </c>
      <c r="G212" s="40">
        <f t="shared" ref="G212:J212" si="99">F217</f>
        <v>2843041</v>
      </c>
      <c r="H212" s="40">
        <f t="shared" si="99"/>
        <v>2842993</v>
      </c>
      <c r="I212" s="40">
        <f t="shared" si="99"/>
        <v>2842945</v>
      </c>
      <c r="J212" s="40">
        <f t="shared" si="99"/>
        <v>2842897</v>
      </c>
    </row>
    <row r="213" spans="3:11" x14ac:dyDescent="0.25">
      <c r="C213" t="s">
        <v>156</v>
      </c>
      <c r="F213" s="51">
        <f>'Historicals '!$I$117</f>
        <v>0</v>
      </c>
      <c r="G213" s="51">
        <f>'Historicals '!$I$117</f>
        <v>0</v>
      </c>
      <c r="H213" s="51">
        <f>'Historicals '!$I$117</f>
        <v>0</v>
      </c>
      <c r="I213" s="51">
        <f>'Historicals '!$I$117</f>
        <v>0</v>
      </c>
      <c r="J213" s="51">
        <f>'Historicals '!$I$117</f>
        <v>0</v>
      </c>
    </row>
    <row r="214" spans="3:11" x14ac:dyDescent="0.25">
      <c r="C214" t="s">
        <v>157</v>
      </c>
      <c r="F214" s="40">
        <f>F31</f>
        <v>0</v>
      </c>
      <c r="G214" s="40">
        <f>G31</f>
        <v>0</v>
      </c>
      <c r="H214" s="40">
        <f>H31</f>
        <v>0</v>
      </c>
      <c r="I214" s="40">
        <f>I31</f>
        <v>0</v>
      </c>
      <c r="J214" s="40">
        <f>J31</f>
        <v>0</v>
      </c>
    </row>
    <row r="215" spans="3:11" x14ac:dyDescent="0.25">
      <c r="C215" t="s">
        <v>158</v>
      </c>
      <c r="F215" s="51">
        <f>'Historicals '!$I$119</f>
        <v>0</v>
      </c>
      <c r="G215" s="51">
        <f>'Historicals '!$I$119</f>
        <v>0</v>
      </c>
      <c r="H215" s="51">
        <f>'Historicals '!$I$119</f>
        <v>0</v>
      </c>
      <c r="I215" s="51">
        <f>'Historicals '!$I$119</f>
        <v>0</v>
      </c>
      <c r="J215" s="51">
        <f>'Historicals '!$I$119</f>
        <v>0</v>
      </c>
      <c r="K215" t="s">
        <v>50</v>
      </c>
    </row>
    <row r="216" spans="3:11" x14ac:dyDescent="0.25">
      <c r="C216" s="27" t="s">
        <v>159</v>
      </c>
      <c r="D216" s="27"/>
      <c r="E216" s="27"/>
      <c r="F216" s="50">
        <f>'Historicals '!G118</f>
        <v>-48</v>
      </c>
      <c r="G216" s="50">
        <f>F216</f>
        <v>-48</v>
      </c>
      <c r="H216" s="50">
        <f t="shared" ref="H216:J216" si="100">G216</f>
        <v>-48</v>
      </c>
      <c r="I216" s="50">
        <f t="shared" si="100"/>
        <v>-48</v>
      </c>
      <c r="J216" s="50">
        <f t="shared" si="100"/>
        <v>-48</v>
      </c>
      <c r="K216" t="s">
        <v>160</v>
      </c>
    </row>
    <row r="217" spans="3:11" x14ac:dyDescent="0.25">
      <c r="C217" s="2" t="s">
        <v>105</v>
      </c>
      <c r="E217" s="41">
        <f>E73</f>
        <v>2843089</v>
      </c>
      <c r="F217" s="41">
        <f>SUM(F212:F216)</f>
        <v>2843041</v>
      </c>
      <c r="G217" s="41">
        <f t="shared" ref="G217:J217" si="101">SUM(G212:G216)</f>
        <v>2842993</v>
      </c>
      <c r="H217" s="41">
        <f t="shared" si="101"/>
        <v>2842945</v>
      </c>
      <c r="I217" s="41">
        <f t="shared" si="101"/>
        <v>2842897</v>
      </c>
      <c r="J217" s="41">
        <f t="shared" si="101"/>
        <v>2842849</v>
      </c>
    </row>
    <row r="219" spans="3:11" x14ac:dyDescent="0.25">
      <c r="C219" s="46" t="s">
        <v>161</v>
      </c>
      <c r="D219" s="27"/>
      <c r="E219" s="27"/>
      <c r="F219" s="27"/>
      <c r="G219" s="27"/>
      <c r="H219" s="27"/>
      <c r="I219" s="27"/>
      <c r="J219" s="27"/>
    </row>
    <row r="221" spans="3:11" x14ac:dyDescent="0.25">
      <c r="C221" t="s">
        <v>103</v>
      </c>
      <c r="F221" s="40">
        <f>E223</f>
        <v>4363501</v>
      </c>
      <c r="G221" s="40">
        <f t="shared" ref="G221:J221" si="102">F223</f>
        <v>19166038410.194622</v>
      </c>
      <c r="H221" s="40">
        <f t="shared" si="102"/>
        <v>19166439936.061123</v>
      </c>
      <c r="I221" s="40">
        <f t="shared" si="102"/>
        <v>19167010556.51944</v>
      </c>
      <c r="J221" s="40">
        <f t="shared" si="102"/>
        <v>19167670172.033764</v>
      </c>
    </row>
    <row r="222" spans="3:11" x14ac:dyDescent="0.25">
      <c r="C222" s="27" t="s">
        <v>75</v>
      </c>
      <c r="D222" s="27"/>
      <c r="E222" s="27"/>
      <c r="F222" s="45">
        <f>F27</f>
        <v>19161674909.194622</v>
      </c>
      <c r="G222" s="45">
        <f>G27</f>
        <v>401525.86650179018</v>
      </c>
      <c r="H222" s="45">
        <f>H27</f>
        <v>570620.45831852546</v>
      </c>
      <c r="I222" s="45">
        <f>I27</f>
        <v>659615.51432441734</v>
      </c>
      <c r="J222" s="45">
        <f>J27</f>
        <v>666389.39607025648</v>
      </c>
    </row>
    <row r="223" spans="3:11" x14ac:dyDescent="0.25">
      <c r="C223" s="2" t="s">
        <v>148</v>
      </c>
      <c r="E223" s="41">
        <f>E75</f>
        <v>4363501</v>
      </c>
      <c r="F223" s="41">
        <f>SUM(F221:F222)</f>
        <v>19166038410.194622</v>
      </c>
      <c r="G223" s="41">
        <f t="shared" ref="G223:J223" si="103">SUM(G221:G222)</f>
        <v>19166439936.061123</v>
      </c>
      <c r="H223" s="41">
        <f t="shared" si="103"/>
        <v>19167010556.51944</v>
      </c>
      <c r="I223" s="41">
        <f t="shared" si="103"/>
        <v>19167670172.033764</v>
      </c>
      <c r="J223" s="41">
        <f t="shared" si="103"/>
        <v>19168336561.429832</v>
      </c>
    </row>
    <row r="225" spans="2:11" x14ac:dyDescent="0.25">
      <c r="C225" s="46" t="s">
        <v>162</v>
      </c>
      <c r="D225" s="27"/>
      <c r="E225" s="27"/>
      <c r="F225" s="27"/>
      <c r="G225" s="27"/>
      <c r="H225" s="27"/>
      <c r="I225" s="27"/>
      <c r="J225" s="27"/>
    </row>
    <row r="227" spans="2:11" x14ac:dyDescent="0.25">
      <c r="C227" s="2" t="s">
        <v>103</v>
      </c>
      <c r="F227" s="40">
        <f>E229</f>
        <v>8160</v>
      </c>
      <c r="G227" s="40">
        <f t="shared" ref="G227:J227" si="104">F229</f>
        <v>8160</v>
      </c>
      <c r="H227" s="40">
        <f t="shared" si="104"/>
        <v>8160</v>
      </c>
      <c r="I227" s="40">
        <f t="shared" si="104"/>
        <v>8160</v>
      </c>
      <c r="J227" s="40">
        <f t="shared" si="104"/>
        <v>8160</v>
      </c>
    </row>
    <row r="228" spans="2:11" x14ac:dyDescent="0.25">
      <c r="C228" s="27" t="s">
        <v>163</v>
      </c>
      <c r="D228" s="27"/>
      <c r="E228" s="27"/>
      <c r="F228" s="52">
        <f>'Historicals '!$I$121</f>
        <v>0</v>
      </c>
      <c r="G228" s="52">
        <f>'Historicals '!$I$121</f>
        <v>0</v>
      </c>
      <c r="H228" s="52">
        <f>'Historicals '!$I$121</f>
        <v>0</v>
      </c>
      <c r="I228" s="52">
        <f>'Historicals '!$I$121</f>
        <v>0</v>
      </c>
      <c r="J228" s="52">
        <f>'Historicals '!$I$121</f>
        <v>0</v>
      </c>
      <c r="K228" t="s">
        <v>50</v>
      </c>
    </row>
    <row r="229" spans="2:11" x14ac:dyDescent="0.25">
      <c r="C229" s="2" t="s">
        <v>105</v>
      </c>
      <c r="E229" s="41">
        <f>FSM!E74</f>
        <v>8160</v>
      </c>
      <c r="F229" s="41">
        <f>SUM(F227:F228)</f>
        <v>8160</v>
      </c>
      <c r="G229" s="41">
        <f t="shared" ref="G229:J229" si="105">SUM(G227:G228)</f>
        <v>8160</v>
      </c>
      <c r="H229" s="41">
        <f t="shared" si="105"/>
        <v>8160</v>
      </c>
      <c r="I229" s="41">
        <f t="shared" si="105"/>
        <v>8160</v>
      </c>
      <c r="J229" s="41">
        <f t="shared" si="105"/>
        <v>8160</v>
      </c>
    </row>
    <row r="231" spans="2:11" x14ac:dyDescent="0.25">
      <c r="C231" s="23" t="s">
        <v>164</v>
      </c>
      <c r="D231" s="24"/>
      <c r="E231" s="24"/>
      <c r="F231" s="34"/>
      <c r="G231" s="34"/>
      <c r="H231" s="34"/>
      <c r="I231" s="34"/>
      <c r="J231" s="34"/>
    </row>
    <row r="232" spans="2:11" x14ac:dyDescent="0.25">
      <c r="B232" t="s">
        <v>53</v>
      </c>
      <c r="C232" t="s">
        <v>27</v>
      </c>
      <c r="D232" s="25">
        <v>2024</v>
      </c>
      <c r="E232" s="25">
        <f>D232+1</f>
        <v>2025</v>
      </c>
      <c r="F232" s="25">
        <f t="shared" ref="F232:J232" si="106">E232+1</f>
        <v>2026</v>
      </c>
      <c r="G232" s="25">
        <f t="shared" si="106"/>
        <v>2027</v>
      </c>
      <c r="H232" s="25">
        <f t="shared" si="106"/>
        <v>2028</v>
      </c>
      <c r="I232" s="25">
        <f t="shared" si="106"/>
        <v>2029</v>
      </c>
      <c r="J232" s="25">
        <f t="shared" si="106"/>
        <v>2030</v>
      </c>
    </row>
    <row r="233" spans="2:11" x14ac:dyDescent="0.25">
      <c r="C233" s="27" t="s">
        <v>28</v>
      </c>
      <c r="D233" s="14">
        <v>45688</v>
      </c>
      <c r="E233" s="14">
        <f t="shared" ref="E233" si="107">EOMONTH(D233,12)</f>
        <v>46053</v>
      </c>
      <c r="F233" s="14">
        <f t="shared" ref="F233" si="108">EOMONTH(E233,12)</f>
        <v>46418</v>
      </c>
      <c r="G233" s="14">
        <f t="shared" ref="G233" si="109">EOMONTH(F233,12)</f>
        <v>46783</v>
      </c>
      <c r="H233" s="14">
        <f t="shared" ref="H233" si="110">EOMONTH(G233,12)</f>
        <v>47149</v>
      </c>
      <c r="I233" s="14">
        <f t="shared" ref="I233" si="111">EOMONTH(H233,12)</f>
        <v>47514</v>
      </c>
      <c r="J233" s="14">
        <f t="shared" ref="J233" si="112">EOMONTH(I233,12)</f>
        <v>47879</v>
      </c>
    </row>
    <row r="235" spans="2:11" x14ac:dyDescent="0.25">
      <c r="C235" s="46" t="s">
        <v>165</v>
      </c>
      <c r="D235" s="27"/>
      <c r="E235" s="27"/>
      <c r="F235" s="27"/>
      <c r="G235" s="27"/>
      <c r="H235" s="27"/>
      <c r="I235" s="27"/>
      <c r="J235" s="27"/>
    </row>
    <row r="236" spans="2:11" x14ac:dyDescent="0.25">
      <c r="C236" t="s">
        <v>166</v>
      </c>
      <c r="D236" s="5">
        <v>3.5</v>
      </c>
    </row>
    <row r="238" spans="2:11" x14ac:dyDescent="0.25">
      <c r="C238" t="s">
        <v>167</v>
      </c>
      <c r="F238" s="5">
        <v>1025871</v>
      </c>
      <c r="G238" s="40">
        <f>SUM(G241:G244)</f>
        <v>1175345.7142857143</v>
      </c>
      <c r="H238" s="40">
        <f t="shared" ref="H238:J238" si="113">SUM(H241:H244)</f>
        <v>1746774.2857142859</v>
      </c>
      <c r="I238" s="40">
        <f t="shared" si="113"/>
        <v>3175345.7142857146</v>
      </c>
      <c r="J238" s="40">
        <f t="shared" si="113"/>
        <v>4603917.1428571437</v>
      </c>
    </row>
    <row r="239" spans="2:11" x14ac:dyDescent="0.25">
      <c r="C239" t="s">
        <v>168</v>
      </c>
      <c r="F239" s="5">
        <v>4113710</v>
      </c>
      <c r="J239" s="54"/>
    </row>
    <row r="240" spans="2:11" x14ac:dyDescent="0.25">
      <c r="F240" s="40"/>
    </row>
    <row r="241" spans="3:11" x14ac:dyDescent="0.25">
      <c r="C241" t="s">
        <v>169</v>
      </c>
      <c r="F241" s="40"/>
      <c r="G241" s="40">
        <f>$F$239/$D$236</f>
        <v>1175345.7142857143</v>
      </c>
      <c r="H241" s="40">
        <f>$F$239/$D$236</f>
        <v>1175345.7142857143</v>
      </c>
      <c r="I241" s="40">
        <f>$F$239/$D$236</f>
        <v>1175345.7142857143</v>
      </c>
      <c r="J241" s="40">
        <f>$F$239/$D$236</f>
        <v>1175345.7142857143</v>
      </c>
      <c r="K241" s="40"/>
    </row>
    <row r="242" spans="3:11" x14ac:dyDescent="0.25">
      <c r="C242" t="s">
        <v>170</v>
      </c>
      <c r="G242" s="40"/>
      <c r="H242" s="40">
        <f>$G$249/$D$236</f>
        <v>571428.57142857148</v>
      </c>
      <c r="I242" s="40">
        <f>$G$249/$D$236</f>
        <v>571428.57142857148</v>
      </c>
      <c r="J242" s="40">
        <f>$G$249/$D$236</f>
        <v>571428.57142857148</v>
      </c>
    </row>
    <row r="243" spans="3:11" x14ac:dyDescent="0.25">
      <c r="C243" t="s">
        <v>171</v>
      </c>
      <c r="I243" s="40">
        <f>$I$249/$D$236</f>
        <v>1428571.4285714286</v>
      </c>
      <c r="J243" s="40">
        <f>$I$249/$D$236</f>
        <v>1428571.4285714286</v>
      </c>
    </row>
    <row r="244" spans="3:11" x14ac:dyDescent="0.25">
      <c r="C244" t="s">
        <v>172</v>
      </c>
      <c r="J244">
        <f>$I$249/$D$236</f>
        <v>1428571.4285714286</v>
      </c>
    </row>
    <row r="248" spans="3:11" x14ac:dyDescent="0.25">
      <c r="C248" t="s">
        <v>103</v>
      </c>
      <c r="F248" s="40">
        <f>E251</f>
        <v>5139581</v>
      </c>
      <c r="G248" s="40">
        <f>F251</f>
        <v>6113710</v>
      </c>
      <c r="H248" s="40">
        <f t="shared" ref="H248:J248" si="114">G251</f>
        <v>6938364.2857142854</v>
      </c>
      <c r="I248" s="40">
        <f t="shared" si="114"/>
        <v>10191590</v>
      </c>
      <c r="J248" s="40">
        <f t="shared" si="114"/>
        <v>12016244.285714285</v>
      </c>
    </row>
    <row r="249" spans="3:11" x14ac:dyDescent="0.25">
      <c r="C249" t="s">
        <v>173</v>
      </c>
      <c r="F249" s="5">
        <v>2000000</v>
      </c>
      <c r="G249" s="5">
        <v>2000000</v>
      </c>
      <c r="H249" s="5">
        <v>5000000</v>
      </c>
      <c r="I249" s="5">
        <v>5000000</v>
      </c>
      <c r="J249" s="5">
        <v>5000000</v>
      </c>
      <c r="K249" t="s">
        <v>115</v>
      </c>
    </row>
    <row r="250" spans="3:11" x14ac:dyDescent="0.25">
      <c r="C250" s="27" t="s">
        <v>174</v>
      </c>
      <c r="D250" s="27"/>
      <c r="E250" s="27"/>
      <c r="F250" s="45">
        <f>-F238+F257</f>
        <v>-1025871</v>
      </c>
      <c r="G250" s="45">
        <f t="shared" ref="G250:J250" si="115">-G238+G257</f>
        <v>-1175345.7142857143</v>
      </c>
      <c r="H250" s="45">
        <f t="shared" si="115"/>
        <v>-1746774.2857142859</v>
      </c>
      <c r="I250" s="45">
        <f t="shared" si="115"/>
        <v>-3175345.7142857146</v>
      </c>
      <c r="J250" s="45">
        <f t="shared" si="115"/>
        <v>-4603917.1428571437</v>
      </c>
    </row>
    <row r="251" spans="3:11" x14ac:dyDescent="0.25">
      <c r="C251" s="140" t="s">
        <v>175</v>
      </c>
      <c r="E251" s="48">
        <f>E48</f>
        <v>5139581</v>
      </c>
      <c r="F251" s="48">
        <f>SUM(F248:F250)</f>
        <v>6113710</v>
      </c>
      <c r="G251" s="48">
        <f>SUM(G248:G250)</f>
        <v>6938364.2857142854</v>
      </c>
      <c r="H251" s="48">
        <f t="shared" ref="H251:J251" si="116">SUM(H248:H250)</f>
        <v>10191590</v>
      </c>
      <c r="I251" s="48">
        <f t="shared" si="116"/>
        <v>12016244.285714285</v>
      </c>
      <c r="J251" s="48">
        <f t="shared" si="116"/>
        <v>12412327.14285714</v>
      </c>
    </row>
    <row r="252" spans="3:11" x14ac:dyDescent="0.25">
      <c r="C252" s="2" t="s">
        <v>148</v>
      </c>
      <c r="F252" s="41">
        <f>F251+F257</f>
        <v>6113710</v>
      </c>
      <c r="G252" s="41">
        <f t="shared" ref="G252:J252" si="117">G251+G257</f>
        <v>6938364.2857142854</v>
      </c>
      <c r="H252" s="41">
        <f t="shared" si="117"/>
        <v>10191590</v>
      </c>
      <c r="I252" s="41">
        <f t="shared" si="117"/>
        <v>12016244.285714285</v>
      </c>
      <c r="J252" s="41">
        <f t="shared" si="117"/>
        <v>12412327.14285714</v>
      </c>
    </row>
    <row r="254" spans="3:11" x14ac:dyDescent="0.25">
      <c r="C254" s="140" t="s">
        <v>176</v>
      </c>
      <c r="F254" s="55">
        <f>'Historicals '!G139</f>
        <v>3137</v>
      </c>
      <c r="G254" s="56">
        <v>5.1999999999999998E-2</v>
      </c>
      <c r="H254" s="56">
        <v>5.1999999999999998E-2</v>
      </c>
      <c r="I254" s="56">
        <v>5.1999999999999998E-2</v>
      </c>
      <c r="J254" s="56">
        <v>5.1999999999999998E-2</v>
      </c>
      <c r="K254" t="s">
        <v>115</v>
      </c>
    </row>
    <row r="255" spans="3:11" x14ac:dyDescent="0.25">
      <c r="C255" s="2" t="s">
        <v>177</v>
      </c>
      <c r="F255" s="41">
        <f>F251*F254</f>
        <v>19178708270</v>
      </c>
      <c r="G255" s="41">
        <f>G251*G254</f>
        <v>360794.94285714283</v>
      </c>
      <c r="H255" s="41">
        <f>H251*H254</f>
        <v>529962.67999999993</v>
      </c>
      <c r="I255" s="41">
        <f>I251*I254</f>
        <v>624844.70285714278</v>
      </c>
      <c r="J255" s="41">
        <f>J251*J254</f>
        <v>645441.01142857119</v>
      </c>
    </row>
    <row r="257" spans="3:12" x14ac:dyDescent="0.25">
      <c r="C257" s="2" t="s">
        <v>178</v>
      </c>
      <c r="F257" s="41">
        <v>0</v>
      </c>
      <c r="G257" s="41">
        <v>0</v>
      </c>
      <c r="H257" s="41">
        <v>0</v>
      </c>
      <c r="I257" s="41">
        <v>0</v>
      </c>
      <c r="J257" s="41">
        <v>0</v>
      </c>
    </row>
    <row r="259" spans="3:12" x14ac:dyDescent="0.25">
      <c r="C259" s="2" t="s">
        <v>179</v>
      </c>
      <c r="F259" s="41">
        <f>F255+F257</f>
        <v>19178708270</v>
      </c>
      <c r="G259" s="41">
        <f t="shared" ref="G259:J259" si="118">G255+G257</f>
        <v>360794.94285714283</v>
      </c>
      <c r="H259" s="41">
        <f t="shared" si="118"/>
        <v>529962.67999999993</v>
      </c>
      <c r="I259" s="41">
        <f t="shared" si="118"/>
        <v>624844.70285714278</v>
      </c>
      <c r="J259" s="41">
        <f t="shared" si="118"/>
        <v>645441.01142857119</v>
      </c>
    </row>
    <row r="261" spans="3:12" x14ac:dyDescent="0.25">
      <c r="C261" s="23" t="s">
        <v>180</v>
      </c>
      <c r="D261" s="24"/>
      <c r="E261" s="24"/>
      <c r="F261" s="34"/>
      <c r="G261" s="34"/>
      <c r="H261" s="34"/>
      <c r="I261" s="34"/>
      <c r="J261" s="34"/>
    </row>
    <row r="262" spans="3:12" x14ac:dyDescent="0.25">
      <c r="C262" t="s">
        <v>27</v>
      </c>
      <c r="D262" s="25">
        <v>2024</v>
      </c>
      <c r="E262" s="25">
        <f>D262+1</f>
        <v>2025</v>
      </c>
      <c r="F262" s="25">
        <f t="shared" ref="F262" si="119">E262+1</f>
        <v>2026</v>
      </c>
      <c r="G262" s="25">
        <f t="shared" ref="G262" si="120">F262+1</f>
        <v>2027</v>
      </c>
      <c r="H262" s="25">
        <f t="shared" ref="H262" si="121">G262+1</f>
        <v>2028</v>
      </c>
      <c r="I262" s="25">
        <f t="shared" ref="I262" si="122">H262+1</f>
        <v>2029</v>
      </c>
      <c r="J262" s="25">
        <f t="shared" ref="J262" si="123">I262+1</f>
        <v>2030</v>
      </c>
    </row>
    <row r="263" spans="3:12" x14ac:dyDescent="0.25">
      <c r="C263" s="27" t="s">
        <v>28</v>
      </c>
      <c r="D263" s="14">
        <v>45688</v>
      </c>
      <c r="E263" s="14">
        <f t="shared" ref="E263" si="124">EOMONTH(D263,12)</f>
        <v>46053</v>
      </c>
      <c r="F263" s="14">
        <f t="shared" ref="F263" si="125">EOMONTH(E263,12)</f>
        <v>46418</v>
      </c>
      <c r="G263" s="14">
        <f t="shared" ref="G263" si="126">EOMONTH(F263,12)</f>
        <v>46783</v>
      </c>
      <c r="H263" s="14">
        <f t="shared" ref="H263" si="127">EOMONTH(G263,12)</f>
        <v>47149</v>
      </c>
      <c r="I263" s="14">
        <f t="shared" ref="I263" si="128">EOMONTH(H263,12)</f>
        <v>47514</v>
      </c>
      <c r="J263" s="14">
        <f t="shared" ref="J263" si="129">EOMONTH(I263,12)</f>
        <v>47879</v>
      </c>
    </row>
    <row r="264" spans="3:12" x14ac:dyDescent="0.25">
      <c r="F264" s="51"/>
      <c r="G264" s="51"/>
      <c r="H264" s="51"/>
      <c r="I264" s="51"/>
      <c r="J264" s="51"/>
      <c r="L264" s="29" t="s">
        <v>181</v>
      </c>
    </row>
    <row r="265" spans="3:12" x14ac:dyDescent="0.25">
      <c r="C265" t="s">
        <v>182</v>
      </c>
      <c r="D265" s="48">
        <f>FCFM!J46</f>
        <v>178465.80899999998</v>
      </c>
      <c r="E265" s="48">
        <f>D265*(1+$L$265)</f>
        <v>182035.12517999997</v>
      </c>
      <c r="F265" s="48">
        <f t="shared" ref="F265:J265" si="130">E265*(1+$L$265)</f>
        <v>185675.82768359999</v>
      </c>
      <c r="G265" s="48">
        <f t="shared" si="130"/>
        <v>189389.34423727199</v>
      </c>
      <c r="H265" s="48">
        <f t="shared" si="130"/>
        <v>193177.13112201742</v>
      </c>
      <c r="I265" s="48">
        <f t="shared" si="130"/>
        <v>197040.67374445777</v>
      </c>
      <c r="J265" s="48">
        <f t="shared" si="130"/>
        <v>200981.48721934692</v>
      </c>
      <c r="L265" s="60">
        <v>0.02</v>
      </c>
    </row>
    <row r="267" spans="3:12" x14ac:dyDescent="0.25">
      <c r="C267" s="140" t="s">
        <v>183</v>
      </c>
      <c r="E267" s="48">
        <f t="shared" ref="E267:J267" si="131">E27</f>
        <v>44902</v>
      </c>
      <c r="F267" s="48">
        <f t="shared" si="131"/>
        <v>19161674909.194622</v>
      </c>
      <c r="G267" s="48">
        <f t="shared" si="131"/>
        <v>401525.86650179018</v>
      </c>
      <c r="H267" s="48">
        <f t="shared" si="131"/>
        <v>570620.45831852546</v>
      </c>
      <c r="I267" s="48">
        <f t="shared" si="131"/>
        <v>659615.51432441734</v>
      </c>
      <c r="J267" s="48">
        <f t="shared" si="131"/>
        <v>666389.39607025648</v>
      </c>
    </row>
    <row r="268" spans="3:12" x14ac:dyDescent="0.25">
      <c r="C268" s="140" t="s">
        <v>184</v>
      </c>
      <c r="E268" s="63">
        <f>E267/E265</f>
        <v>0.24666668015637094</v>
      </c>
      <c r="F268" s="63">
        <f t="shared" ref="F268:J268" si="132">F267/F265</f>
        <v>103199.62026423268</v>
      </c>
      <c r="G268" s="63">
        <f t="shared" si="132"/>
        <v>2.1201080140958086</v>
      </c>
      <c r="H268" s="63">
        <f t="shared" si="132"/>
        <v>2.9538716876279816</v>
      </c>
      <c r="I268" s="63">
        <f t="shared" si="132"/>
        <v>3.3476109363078677</v>
      </c>
      <c r="J268" s="63">
        <f t="shared" si="132"/>
        <v>3.3156755146456511</v>
      </c>
    </row>
    <row r="270" spans="3:12" x14ac:dyDescent="0.25">
      <c r="C270" t="s">
        <v>185</v>
      </c>
      <c r="E270" s="40">
        <f t="shared" ref="E270:J270" si="133">SUM(E73:E75)</f>
        <v>7214750</v>
      </c>
      <c r="F270" s="40">
        <f t="shared" si="133"/>
        <v>19168889611.194622</v>
      </c>
      <c r="G270" s="40">
        <f t="shared" si="133"/>
        <v>19169291089.061123</v>
      </c>
      <c r="H270" s="40">
        <f t="shared" si="133"/>
        <v>19169861661.51944</v>
      </c>
      <c r="I270" s="40">
        <f t="shared" si="133"/>
        <v>19170521229.033764</v>
      </c>
      <c r="J270" s="40">
        <f t="shared" si="133"/>
        <v>19171187570.429832</v>
      </c>
    </row>
    <row r="271" spans="3:12" x14ac:dyDescent="0.25">
      <c r="C271" t="s">
        <v>186</v>
      </c>
      <c r="E271" s="63">
        <f>E270/E265</f>
        <v>39.633834365021094</v>
      </c>
      <c r="F271" s="63">
        <f t="shared" ref="F271:J271" si="134">F270/F265</f>
        <v>103238.47670607548</v>
      </c>
      <c r="G271" s="63">
        <f t="shared" si="134"/>
        <v>101216.31270366155</v>
      </c>
      <c r="H271" s="63">
        <f t="shared" si="134"/>
        <v>99234.632744447823</v>
      </c>
      <c r="I271" s="63">
        <f t="shared" si="134"/>
        <v>97292.202999143366</v>
      </c>
      <c r="J271" s="63">
        <f t="shared" si="134"/>
        <v>95387.828180944882</v>
      </c>
    </row>
  </sheetData>
  <dataValidations count="3">
    <dataValidation type="list" allowBlank="1" showInputMessage="1" showErrorMessage="1" sqref="D7" xr:uid="{C7A0F394-06E1-4E4F-8498-B17FCC178D0C}">
      <formula1>"1,0"</formula1>
    </dataValidation>
    <dataValidation type="list" allowBlank="1" showInputMessage="1" showErrorMessage="1" sqref="D120 D131" xr:uid="{46FB0301-040D-4F86-9B17-1AE01AD6915B}">
      <formula1>"1,2"</formula1>
    </dataValidation>
    <dataValidation type="list" allowBlank="1" showInputMessage="1" showErrorMessage="1" sqref="D164" xr:uid="{7EE7BF67-CD49-4C5C-8F5B-1A50BF9D99C2}">
      <formula1>"0.5,1"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4B5A-A584-7043-BF70-3E24E9E640C2}">
  <dimension ref="B2:K88"/>
  <sheetViews>
    <sheetView showGridLines="0" topLeftCell="A15" zoomScale="94" zoomScaleNormal="115" workbookViewId="0">
      <selection activeCell="G1" sqref="G1"/>
    </sheetView>
  </sheetViews>
  <sheetFormatPr defaultColWidth="11.42578125" defaultRowHeight="15" x14ac:dyDescent="0.25"/>
  <cols>
    <col min="1" max="1" width="2.28515625" customWidth="1"/>
    <col min="2" max="2" width="34.42578125" bestFit="1" customWidth="1"/>
    <col min="3" max="10" width="13.42578125" customWidth="1"/>
  </cols>
  <sheetData>
    <row r="2" spans="2:10" ht="21.75" thickBot="1" x14ac:dyDescent="0.4">
      <c r="B2" s="15" t="s">
        <v>187</v>
      </c>
      <c r="C2" s="16"/>
      <c r="D2" s="16"/>
      <c r="E2" s="16"/>
      <c r="F2" s="16"/>
      <c r="G2" s="16"/>
      <c r="H2" s="16"/>
      <c r="I2" s="16"/>
      <c r="J2" s="16"/>
    </row>
    <row r="3" spans="2:10" x14ac:dyDescent="0.25">
      <c r="B3" s="61" t="s">
        <v>188</v>
      </c>
    </row>
    <row r="4" spans="2:10" x14ac:dyDescent="0.25">
      <c r="B4" t="s">
        <v>189</v>
      </c>
      <c r="C4" s="39">
        <v>46053</v>
      </c>
      <c r="E4" t="s">
        <v>190</v>
      </c>
      <c r="G4" s="62">
        <v>9.5327268973199569E-2</v>
      </c>
    </row>
    <row r="5" spans="2:10" x14ac:dyDescent="0.25">
      <c r="B5" t="s">
        <v>191</v>
      </c>
      <c r="C5" s="39">
        <v>46053</v>
      </c>
      <c r="E5" t="s">
        <v>192</v>
      </c>
      <c r="G5" s="63" t="e" cm="1">
        <f t="array" aca="1" ref="G5" ca="1">_xll.BDP("VEEV US EQUITY", "PX_Last")</f>
        <v>#NAME?</v>
      </c>
    </row>
    <row r="6" spans="2:10" x14ac:dyDescent="0.25">
      <c r="B6" t="s">
        <v>193</v>
      </c>
      <c r="C6" s="64"/>
      <c r="E6" t="s">
        <v>194</v>
      </c>
      <c r="G6" s="39">
        <f ca="1">TODAY()</f>
        <v>46187</v>
      </c>
    </row>
    <row r="7" spans="2:10" x14ac:dyDescent="0.25">
      <c r="B7" t="s">
        <v>195</v>
      </c>
      <c r="C7" s="39">
        <v>46149</v>
      </c>
      <c r="E7" t="s">
        <v>196</v>
      </c>
      <c r="G7">
        <v>0</v>
      </c>
    </row>
    <row r="8" spans="2:10" x14ac:dyDescent="0.25">
      <c r="B8" t="s">
        <v>197</v>
      </c>
      <c r="C8" s="18">
        <f>YEARFRAC(C5,C7)</f>
        <v>0.26944444444444443</v>
      </c>
    </row>
    <row r="10" spans="2:10" x14ac:dyDescent="0.25">
      <c r="B10" s="65" t="s">
        <v>198</v>
      </c>
      <c r="C10" s="66"/>
      <c r="D10" s="66"/>
      <c r="E10" s="66"/>
      <c r="F10" s="66"/>
      <c r="G10" s="66"/>
      <c r="H10" s="66"/>
      <c r="I10" s="66"/>
      <c r="J10" s="66"/>
    </row>
    <row r="11" spans="2:10" x14ac:dyDescent="0.25">
      <c r="B11" s="12" t="s">
        <v>27</v>
      </c>
      <c r="C11" s="12"/>
      <c r="D11" s="67">
        <v>2024</v>
      </c>
      <c r="E11" s="68" t="s">
        <v>199</v>
      </c>
      <c r="F11" s="68" t="s">
        <v>200</v>
      </c>
      <c r="G11" s="68" t="s">
        <v>201</v>
      </c>
      <c r="H11" s="68" t="s">
        <v>202</v>
      </c>
      <c r="I11" s="68" t="s">
        <v>203</v>
      </c>
      <c r="J11" s="68" t="s">
        <v>204</v>
      </c>
    </row>
    <row r="12" spans="2:10" x14ac:dyDescent="0.25">
      <c r="B12" s="27" t="s">
        <v>28</v>
      </c>
      <c r="C12" s="27"/>
      <c r="D12" s="14">
        <v>45688</v>
      </c>
      <c r="E12" s="14">
        <f t="shared" ref="E12:J12" si="0">EOMONTH(D12,12)</f>
        <v>46053</v>
      </c>
      <c r="F12" s="14">
        <f t="shared" si="0"/>
        <v>46418</v>
      </c>
      <c r="G12" s="14">
        <f t="shared" si="0"/>
        <v>46783</v>
      </c>
      <c r="H12" s="14">
        <f t="shared" si="0"/>
        <v>47149</v>
      </c>
      <c r="I12" s="14">
        <f t="shared" si="0"/>
        <v>47514</v>
      </c>
      <c r="J12" s="14">
        <f t="shared" si="0"/>
        <v>47879</v>
      </c>
    </row>
    <row r="14" spans="2:10" x14ac:dyDescent="0.25">
      <c r="B14" t="s">
        <v>65</v>
      </c>
      <c r="F14" s="69">
        <f>FSM!F15</f>
        <v>1286978.5600000001</v>
      </c>
      <c r="G14" s="69">
        <f>FSM!G15</f>
        <v>1434981.0944000001</v>
      </c>
      <c r="H14" s="69">
        <f>FSM!H15</f>
        <v>1592829.0147840001</v>
      </c>
      <c r="I14" s="69">
        <f>FSM!I15</f>
        <v>1760076.0613363201</v>
      </c>
      <c r="J14" s="69">
        <f>FSM!J15</f>
        <v>1936083.6674699523</v>
      </c>
    </row>
    <row r="15" spans="2:10" x14ac:dyDescent="0.25">
      <c r="B15" t="s">
        <v>205</v>
      </c>
      <c r="F15" s="31">
        <f>FSM!F15/FSM!E15-1</f>
        <v>0.12000000000000011</v>
      </c>
      <c r="G15" s="31">
        <f>G14/F14-1</f>
        <v>0.11499999999999999</v>
      </c>
      <c r="H15" s="31">
        <f t="shared" ref="H15:J15" si="1">H14/G14-1</f>
        <v>0.1100000000000001</v>
      </c>
      <c r="I15" s="31">
        <f t="shared" si="1"/>
        <v>0.10499999999999998</v>
      </c>
      <c r="J15" s="31">
        <f t="shared" si="1"/>
        <v>0.10000000000000009</v>
      </c>
    </row>
    <row r="16" spans="2:10" x14ac:dyDescent="0.25">
      <c r="B16" t="s">
        <v>206</v>
      </c>
      <c r="F16" s="69">
        <f>FSM!F30</f>
        <v>64771.53032917477</v>
      </c>
      <c r="G16" s="69">
        <f>FSM!G30</f>
        <v>68506.124044511525</v>
      </c>
      <c r="H16" s="69">
        <f>FSM!H30</f>
        <v>69706.889779870427</v>
      </c>
      <c r="I16" s="69">
        <f>FSM!I30</f>
        <v>63344.368127064881</v>
      </c>
      <c r="J16" s="69">
        <f>FSM!J30</f>
        <v>51234.886627137152</v>
      </c>
    </row>
    <row r="17" spans="2:10" x14ac:dyDescent="0.25">
      <c r="B17" t="s">
        <v>207</v>
      </c>
      <c r="F17" s="31">
        <f>F16/F14</f>
        <v>5.0328367808376517E-2</v>
      </c>
      <c r="G17" s="31">
        <f t="shared" ref="G17:J17" si="2">G16/G14</f>
        <v>4.7740088222664408E-2</v>
      </c>
      <c r="H17" s="31">
        <f t="shared" si="2"/>
        <v>4.3762945760580096E-2</v>
      </c>
      <c r="I17" s="31">
        <f t="shared" si="2"/>
        <v>3.5989562905009514E-2</v>
      </c>
      <c r="J17" s="31">
        <f t="shared" si="2"/>
        <v>2.6463157294276545E-2</v>
      </c>
    </row>
    <row r="18" spans="2:10" x14ac:dyDescent="0.25">
      <c r="B18" t="s">
        <v>208</v>
      </c>
      <c r="F18" s="69">
        <f>FSM!F21</f>
        <v>36413.288599628868</v>
      </c>
      <c r="G18" s="69">
        <f>FSM!G21</f>
        <v>41088.61449717221</v>
      </c>
      <c r="H18" s="69">
        <f>FSM!H21</f>
        <v>41166.103523031808</v>
      </c>
      <c r="I18" s="69">
        <f>FSM!I21</f>
        <v>35358.41604107921</v>
      </c>
      <c r="J18" s="69">
        <f>FSM!J21</f>
        <v>21542.023585224786</v>
      </c>
    </row>
    <row r="19" spans="2:10" x14ac:dyDescent="0.25">
      <c r="B19" t="s">
        <v>207</v>
      </c>
      <c r="F19" s="31">
        <f>F18/F14</f>
        <v>2.8293624875638072E-2</v>
      </c>
      <c r="G19" s="31">
        <f t="shared" ref="G19:J19" si="3">G18/G14</f>
        <v>2.863355807091824E-2</v>
      </c>
      <c r="H19" s="31">
        <f t="shared" si="3"/>
        <v>2.584464694009498E-2</v>
      </c>
      <c r="I19" s="31">
        <f t="shared" si="3"/>
        <v>2.0089140928508331E-2</v>
      </c>
      <c r="J19" s="31">
        <f t="shared" si="3"/>
        <v>1.1126597443681557E-2</v>
      </c>
    </row>
    <row r="21" spans="2:10" x14ac:dyDescent="0.25">
      <c r="B21" t="s">
        <v>209</v>
      </c>
      <c r="F21" s="40">
        <f>F18*-1*F22</f>
        <v>-32.409139423816356</v>
      </c>
      <c r="G21" s="40">
        <f t="shared" ref="G21:J21" si="4">G18*-1*G22</f>
        <v>-36.570348001577329</v>
      </c>
      <c r="H21" s="40">
        <f t="shared" si="4"/>
        <v>-36.639316027797435</v>
      </c>
      <c r="I21" s="40">
        <f t="shared" si="4"/>
        <v>-31.470264822285799</v>
      </c>
      <c r="J21" s="40">
        <f t="shared" si="4"/>
        <v>-19.173177504538994</v>
      </c>
    </row>
    <row r="22" spans="2:10" x14ac:dyDescent="0.25">
      <c r="B22" t="s">
        <v>210</v>
      </c>
      <c r="F22" s="99">
        <f>FSM!F40</f>
        <v>8.900360464598816E-4</v>
      </c>
      <c r="G22" s="99">
        <f>FSM!G40</f>
        <v>8.900360464598816E-4</v>
      </c>
      <c r="H22" s="99">
        <f>FSM!H40</f>
        <v>8.900360464598816E-4</v>
      </c>
      <c r="I22" s="99">
        <f>FSM!I40</f>
        <v>8.900360464598816E-4</v>
      </c>
      <c r="J22" s="99">
        <f>FSM!J40</f>
        <v>8.900360464598816E-4</v>
      </c>
    </row>
    <row r="23" spans="2:10" x14ac:dyDescent="0.25">
      <c r="B23" s="2" t="s">
        <v>211</v>
      </c>
      <c r="F23" s="41">
        <f>F18+F21</f>
        <v>36380.879460205055</v>
      </c>
      <c r="G23" s="41">
        <f t="shared" ref="G23:J23" si="5">G18+G21</f>
        <v>41052.04414917063</v>
      </c>
      <c r="H23" s="41">
        <f t="shared" si="5"/>
        <v>41129.464207004014</v>
      </c>
      <c r="I23" s="41">
        <f t="shared" si="5"/>
        <v>35326.945776256922</v>
      </c>
      <c r="J23" s="41">
        <f t="shared" si="5"/>
        <v>21522.850407720249</v>
      </c>
    </row>
    <row r="25" spans="2:10" x14ac:dyDescent="0.25">
      <c r="B25" t="s">
        <v>76</v>
      </c>
      <c r="F25" s="69">
        <f>FSM!F29</f>
        <v>28358.241729545902</v>
      </c>
      <c r="G25" s="69">
        <f>FSM!G29</f>
        <v>27417.509547339323</v>
      </c>
      <c r="H25" s="69">
        <f>FSM!H29</f>
        <v>28540.786256838615</v>
      </c>
      <c r="I25" s="69">
        <f>FSM!I29</f>
        <v>27985.952085985671</v>
      </c>
      <c r="J25" s="69">
        <f>FSM!J29</f>
        <v>29692.863041912366</v>
      </c>
    </row>
    <row r="26" spans="2:10" x14ac:dyDescent="0.25">
      <c r="B26" t="s">
        <v>212</v>
      </c>
      <c r="F26" s="69">
        <f>FSM!F31</f>
        <v>0</v>
      </c>
      <c r="G26" s="69">
        <f>FSM!G31</f>
        <v>0</v>
      </c>
      <c r="H26" s="69">
        <f>FSM!H31</f>
        <v>0</v>
      </c>
      <c r="I26" s="69">
        <f>FSM!I31</f>
        <v>0</v>
      </c>
      <c r="J26" s="69">
        <f>FSM!J31</f>
        <v>0</v>
      </c>
    </row>
    <row r="27" spans="2:10" x14ac:dyDescent="0.25">
      <c r="B27" t="s">
        <v>213</v>
      </c>
      <c r="F27" s="40">
        <f>F33-E33</f>
        <v>619181708.83954203</v>
      </c>
      <c r="G27" s="40">
        <f t="shared" ref="G27:J27" si="6">G33-F33</f>
        <v>57176495.898570776</v>
      </c>
      <c r="H27" s="40">
        <f t="shared" si="6"/>
        <v>58803691.695738435</v>
      </c>
      <c r="I27" s="40">
        <f t="shared" si="6"/>
        <v>59937100.696927428</v>
      </c>
      <c r="J27" s="40">
        <f t="shared" si="6"/>
        <v>60509246.276588678</v>
      </c>
    </row>
    <row r="28" spans="2:10" x14ac:dyDescent="0.25">
      <c r="B28" t="s">
        <v>214</v>
      </c>
      <c r="F28" s="69">
        <f>FSM!F99</f>
        <v>-30000</v>
      </c>
      <c r="G28" s="69">
        <f>FSM!G99</f>
        <v>-32000</v>
      </c>
      <c r="H28" s="69">
        <f>FSM!H99</f>
        <v>-32000</v>
      </c>
      <c r="I28" s="69">
        <f>FSM!I99</f>
        <v>-32000</v>
      </c>
      <c r="J28" s="69">
        <f>FSM!J99</f>
        <v>-32000</v>
      </c>
    </row>
    <row r="29" spans="2:10" x14ac:dyDescent="0.25">
      <c r="B29" t="s">
        <v>215</v>
      </c>
      <c r="F29" s="31">
        <f>F28/F14</f>
        <v>-2.3310411635761825E-2</v>
      </c>
      <c r="G29" s="31">
        <f>G28/G14</f>
        <v>-2.2299945361565873E-2</v>
      </c>
      <c r="H29" s="31">
        <f>H28/H14</f>
        <v>-2.0090040866275558E-2</v>
      </c>
      <c r="I29" s="31">
        <f>I28/I14</f>
        <v>-1.8181032458167927E-2</v>
      </c>
      <c r="J29" s="31">
        <f>J28/J14</f>
        <v>-1.6528211325607205E-2</v>
      </c>
    </row>
    <row r="31" spans="2:10" x14ac:dyDescent="0.25">
      <c r="B31" s="2" t="s">
        <v>198</v>
      </c>
      <c r="F31" s="40">
        <f>F23+F25+F27+F28+F26</f>
        <v>619216447.96073174</v>
      </c>
      <c r="G31" s="40">
        <f t="shared" ref="G31:J31" si="7">G23+G25+G27+G28+G26</f>
        <v>57212965.452267289</v>
      </c>
      <c r="H31" s="40">
        <f t="shared" si="7"/>
        <v>58841361.946202278</v>
      </c>
      <c r="I31" s="40">
        <f t="shared" si="7"/>
        <v>59968413.594789669</v>
      </c>
      <c r="J31" s="40">
        <f t="shared" si="7"/>
        <v>60528461.990038313</v>
      </c>
    </row>
    <row r="32" spans="2:10" x14ac:dyDescent="0.25">
      <c r="F32" s="18">
        <f>F31/F14</f>
        <v>481.13967645329825</v>
      </c>
      <c r="G32" s="18">
        <f>G31/G14</f>
        <v>39.870187611209886</v>
      </c>
      <c r="H32" s="18">
        <f>H31/H14</f>
        <v>36.941417691453609</v>
      </c>
      <c r="I32" s="18">
        <f>I31/I14</f>
        <v>34.071489813490928</v>
      </c>
      <c r="J32" s="18">
        <f>J31/J14</f>
        <v>31.263350343291766</v>
      </c>
    </row>
    <row r="33" spans="2:11" x14ac:dyDescent="0.25">
      <c r="B33" t="s">
        <v>216</v>
      </c>
      <c r="E33" s="69">
        <f>SUM(FSM!E49:E51)-SUM(FSM!E61:E63)</f>
        <v>1307430</v>
      </c>
      <c r="F33" s="69">
        <f>SUM(FSM!F49:F51)-SUM(FSM!F61:F63)</f>
        <v>620489138.83954203</v>
      </c>
      <c r="G33" s="69">
        <f>SUM(FSM!G49:G51)-SUM(FSM!G61:G63)</f>
        <v>677665634.73811281</v>
      </c>
      <c r="H33" s="69">
        <f>SUM(FSM!H49:H51)-SUM(FSM!H61:H63)</f>
        <v>736469326.43385124</v>
      </c>
      <c r="I33" s="69">
        <f>SUM(FSM!I49:I51)-SUM(FSM!I61:I63)</f>
        <v>796406427.13077867</v>
      </c>
      <c r="J33" s="69">
        <f>SUM(FSM!J49:J51)-SUM(FSM!J61:J63)</f>
        <v>856915673.40736735</v>
      </c>
    </row>
    <row r="35" spans="2:11" x14ac:dyDescent="0.25">
      <c r="B35" s="23" t="str">
        <f>"Present value of UFCF on "&amp;TEXT(C7,"mmm dd, yyyy")</f>
        <v>Present value of UFCF on May 07, 2026</v>
      </c>
      <c r="C35" s="70"/>
      <c r="D35" s="70"/>
      <c r="E35" s="70"/>
      <c r="F35" s="70"/>
      <c r="G35" s="70"/>
      <c r="H35" s="70"/>
      <c r="I35" s="70"/>
      <c r="J35" s="70"/>
    </row>
    <row r="36" spans="2:11" ht="17.25" x14ac:dyDescent="0.4">
      <c r="F36" s="71" t="s">
        <v>217</v>
      </c>
      <c r="G36" s="72">
        <v>1</v>
      </c>
      <c r="H36" s="72">
        <f>G36+1</f>
        <v>2</v>
      </c>
      <c r="I36" s="72">
        <f t="shared" ref="I36:J36" si="8">H36+1</f>
        <v>3</v>
      </c>
      <c r="J36" s="72">
        <f t="shared" si="8"/>
        <v>4</v>
      </c>
    </row>
    <row r="37" spans="2:11" x14ac:dyDescent="0.25">
      <c r="B37" t="s">
        <v>218</v>
      </c>
      <c r="D37" s="73" t="s">
        <v>219</v>
      </c>
      <c r="F37" s="39">
        <f>EOMONTH(C7,12)</f>
        <v>46538</v>
      </c>
      <c r="G37" s="39">
        <f>IF($G$7=1,G12,AVERAGE(G12,F12))</f>
        <v>46600.5</v>
      </c>
      <c r="H37" s="39">
        <f>IF($G$7=1,H12,AVERAGE(H12,G12))</f>
        <v>46966</v>
      </c>
      <c r="I37" s="39">
        <f>IF($G$7=1,I12,AVERAGE(I12,H12))</f>
        <v>47331.5</v>
      </c>
      <c r="J37" s="39">
        <f>IF($G$7=1,J12,AVERAGE(J12,I12))</f>
        <v>47696.5</v>
      </c>
    </row>
    <row r="38" spans="2:11" x14ac:dyDescent="0.25">
      <c r="B38" t="s">
        <v>220</v>
      </c>
      <c r="D38" s="74">
        <f>C8</f>
        <v>0.26944444444444443</v>
      </c>
      <c r="G38" s="45">
        <f>G31*D38</f>
        <v>15415715.691305352</v>
      </c>
      <c r="H38" s="45">
        <f>H31</f>
        <v>58841361.946202278</v>
      </c>
      <c r="I38" s="45">
        <f t="shared" ref="I38:J38" si="9">I31</f>
        <v>59968413.594789669</v>
      </c>
      <c r="J38" s="45">
        <f t="shared" si="9"/>
        <v>60528461.990038313</v>
      </c>
    </row>
    <row r="39" spans="2:11" x14ac:dyDescent="0.25">
      <c r="B39" s="2" t="s">
        <v>221</v>
      </c>
      <c r="G39" s="41">
        <f>G38/(1+$G$4)^((G37-$F$37)/365)</f>
        <v>15177228.629757689</v>
      </c>
      <c r="H39" s="41">
        <f>H38/(1+$G$4)^((H37-$F$37)/365)</f>
        <v>52882676.923442766</v>
      </c>
      <c r="I39" s="41">
        <f>I38/(1+$G$4)^((I37-$F$37)/365)</f>
        <v>49198878.746055707</v>
      </c>
      <c r="J39" s="41">
        <f>J38/(1+$G$4)^((J37-$F$37)/365)</f>
        <v>45336541.191727012</v>
      </c>
    </row>
    <row r="41" spans="2:11" x14ac:dyDescent="0.25">
      <c r="B41" s="23" t="s">
        <v>222</v>
      </c>
      <c r="C41" s="70"/>
      <c r="D41" s="70"/>
      <c r="F41" s="23" t="s">
        <v>223</v>
      </c>
      <c r="G41" s="23"/>
      <c r="H41" s="23"/>
      <c r="I41" s="23"/>
      <c r="J41" s="23"/>
    </row>
    <row r="42" spans="2:11" x14ac:dyDescent="0.25">
      <c r="B42" t="s">
        <v>224</v>
      </c>
      <c r="D42" s="75">
        <v>2.5000000000000001E-2</v>
      </c>
      <c r="F42" t="s">
        <v>223</v>
      </c>
      <c r="J42" s="76">
        <f>163330933/1000</f>
        <v>163330.93299999999</v>
      </c>
      <c r="K42" t="s">
        <v>225</v>
      </c>
    </row>
    <row r="43" spans="2:11" x14ac:dyDescent="0.25">
      <c r="B43" t="s">
        <v>226</v>
      </c>
      <c r="D43" s="40">
        <f>J31*(1+D42)</f>
        <v>62041673.539789267</v>
      </c>
      <c r="F43" t="s">
        <v>227</v>
      </c>
      <c r="J43" s="76">
        <v>0</v>
      </c>
    </row>
    <row r="44" spans="2:11" x14ac:dyDescent="0.25">
      <c r="B44" t="s">
        <v>228</v>
      </c>
      <c r="D44" s="40">
        <f>D43/(G4-D42)</f>
        <v>882185167.22769666</v>
      </c>
      <c r="F44" t="s">
        <v>229</v>
      </c>
      <c r="J44" s="76">
        <v>0</v>
      </c>
    </row>
    <row r="45" spans="2:11" x14ac:dyDescent="0.25">
      <c r="B45" t="s">
        <v>230</v>
      </c>
      <c r="D45" s="40">
        <f>D44/(1+$G$4)^(($J$37-F37)/365)</f>
        <v>660767230.12277114</v>
      </c>
      <c r="F45" t="s">
        <v>231</v>
      </c>
      <c r="J45" s="76">
        <f>15134876/1000</f>
        <v>15134.876</v>
      </c>
    </row>
    <row r="46" spans="2:11" x14ac:dyDescent="0.25">
      <c r="B46" t="s">
        <v>232</v>
      </c>
      <c r="D46" s="40">
        <f>SUM(H39:J39)</f>
        <v>147418096.86122549</v>
      </c>
      <c r="F46" s="2" t="s">
        <v>233</v>
      </c>
      <c r="J46" s="41">
        <f>SUM(J42:J45)</f>
        <v>178465.80899999998</v>
      </c>
    </row>
    <row r="47" spans="2:11" x14ac:dyDescent="0.25">
      <c r="B47" s="2" t="s">
        <v>234</v>
      </c>
      <c r="D47" s="41">
        <f>SUM(D45:D46)</f>
        <v>808185326.98399663</v>
      </c>
    </row>
    <row r="49" spans="2:4" x14ac:dyDescent="0.25">
      <c r="B49" t="s">
        <v>235</v>
      </c>
      <c r="D49" s="74">
        <f>D45/D47</f>
        <v>0.81759369795618109</v>
      </c>
    </row>
    <row r="50" spans="2:4" x14ac:dyDescent="0.25">
      <c r="B50" t="s">
        <v>236</v>
      </c>
      <c r="D50" s="74">
        <f>D46/D47</f>
        <v>0.18240630204381897</v>
      </c>
    </row>
    <row r="51" spans="2:4" x14ac:dyDescent="0.25">
      <c r="B51" t="s">
        <v>237</v>
      </c>
      <c r="D51" s="77">
        <f>D44/J16</f>
        <v>17218.446751874671</v>
      </c>
    </row>
    <row r="53" spans="2:4" x14ac:dyDescent="0.25">
      <c r="B53" s="23" t="s">
        <v>238</v>
      </c>
      <c r="C53" s="23"/>
      <c r="D53" s="23"/>
    </row>
    <row r="54" spans="2:4" x14ac:dyDescent="0.25">
      <c r="B54" t="s">
        <v>239</v>
      </c>
      <c r="D54" s="78" t="s">
        <v>240</v>
      </c>
    </row>
    <row r="55" spans="2:4" x14ac:dyDescent="0.25">
      <c r="B55" t="s">
        <v>241</v>
      </c>
      <c r="D55" s="79">
        <v>46066</v>
      </c>
    </row>
    <row r="56" spans="2:4" x14ac:dyDescent="0.25">
      <c r="B56" s="29" t="s">
        <v>242</v>
      </c>
    </row>
    <row r="57" spans="2:4" x14ac:dyDescent="0.25">
      <c r="B57" t="s">
        <v>243</v>
      </c>
      <c r="D57" s="76">
        <f>FSM!E66+FSM!E68</f>
        <v>95859</v>
      </c>
    </row>
    <row r="58" spans="2:4" x14ac:dyDescent="0.25">
      <c r="B58" t="s">
        <v>244</v>
      </c>
      <c r="D58" s="76">
        <v>0</v>
      </c>
    </row>
    <row r="59" spans="2:4" x14ac:dyDescent="0.25">
      <c r="B59" t="s">
        <v>245</v>
      </c>
      <c r="D59" s="76">
        <v>0</v>
      </c>
    </row>
    <row r="60" spans="2:4" x14ac:dyDescent="0.25">
      <c r="B60" s="29" t="s">
        <v>246</v>
      </c>
      <c r="D60" s="41"/>
    </row>
    <row r="61" spans="2:4" x14ac:dyDescent="0.25">
      <c r="B61" t="s">
        <v>247</v>
      </c>
      <c r="D61" s="76">
        <f>FSM!E47+FSM!E48</f>
        <v>6560814</v>
      </c>
    </row>
    <row r="62" spans="2:4" x14ac:dyDescent="0.25">
      <c r="D62" s="41"/>
    </row>
    <row r="63" spans="2:4" x14ac:dyDescent="0.25">
      <c r="B63" s="2" t="s">
        <v>238</v>
      </c>
      <c r="D63" s="41">
        <f>SUM(D57:D59)-D61</f>
        <v>-6464955</v>
      </c>
    </row>
    <row r="65" spans="2:8" x14ac:dyDescent="0.25">
      <c r="B65" s="23" t="s">
        <v>248</v>
      </c>
      <c r="C65" s="23"/>
      <c r="D65" s="23"/>
    </row>
    <row r="66" spans="2:8" x14ac:dyDescent="0.25">
      <c r="B66" t="s">
        <v>249</v>
      </c>
      <c r="D66" s="40">
        <f>D47</f>
        <v>808185326.98399663</v>
      </c>
    </row>
    <row r="67" spans="2:8" x14ac:dyDescent="0.25">
      <c r="B67" t="s">
        <v>238</v>
      </c>
      <c r="D67" s="40">
        <f>D63</f>
        <v>-6464955</v>
      </c>
    </row>
    <row r="68" spans="2:8" x14ac:dyDescent="0.25">
      <c r="B68" t="s">
        <v>250</v>
      </c>
      <c r="D68" s="40">
        <f>D66-D67</f>
        <v>814650281.98399663</v>
      </c>
    </row>
    <row r="69" spans="2:8" x14ac:dyDescent="0.25">
      <c r="B69" t="s">
        <v>223</v>
      </c>
      <c r="D69" s="40">
        <f>J46</f>
        <v>178465.80899999998</v>
      </c>
    </row>
    <row r="70" spans="2:8" x14ac:dyDescent="0.25">
      <c r="B70" s="2" t="s">
        <v>251</v>
      </c>
      <c r="D70" s="80">
        <f>D68/D69</f>
        <v>4564.7414849305769</v>
      </c>
    </row>
    <row r="72" spans="2:8" x14ac:dyDescent="0.25">
      <c r="B72" s="29" t="s">
        <v>252</v>
      </c>
    </row>
    <row r="73" spans="2:8" x14ac:dyDescent="0.25">
      <c r="B73" t="s">
        <v>253</v>
      </c>
      <c r="D73" s="81">
        <f>D66/$F$14</f>
        <v>627.9710883326577</v>
      </c>
    </row>
    <row r="74" spans="2:8" x14ac:dyDescent="0.25">
      <c r="B74" t="s">
        <v>254</v>
      </c>
      <c r="D74" s="77">
        <f>D66/$F$16</f>
        <v>12477.477726351775</v>
      </c>
    </row>
    <row r="75" spans="2:8" x14ac:dyDescent="0.25">
      <c r="B75" t="s">
        <v>255</v>
      </c>
      <c r="D75" s="77">
        <f>D66/$F$18</f>
        <v>22194.790914661684</v>
      </c>
    </row>
    <row r="77" spans="2:8" x14ac:dyDescent="0.25">
      <c r="B77" s="23" t="s">
        <v>256</v>
      </c>
      <c r="C77" s="23"/>
      <c r="D77" s="23"/>
      <c r="E77" s="23"/>
      <c r="F77" s="23"/>
      <c r="G77" s="23"/>
      <c r="H77" s="23"/>
    </row>
    <row r="79" spans="2:8" x14ac:dyDescent="0.25">
      <c r="B79" s="82"/>
      <c r="C79" s="83" t="s">
        <v>257</v>
      </c>
      <c r="D79" s="83"/>
      <c r="E79" s="83"/>
      <c r="F79" s="83"/>
      <c r="G79" s="83"/>
      <c r="H79" s="83"/>
    </row>
    <row r="80" spans="2:8" x14ac:dyDescent="0.25">
      <c r="C80" s="84" t="s">
        <v>258</v>
      </c>
      <c r="D80" s="84"/>
      <c r="E80" s="84"/>
      <c r="F80" s="84"/>
      <c r="G80" s="84"/>
      <c r="H80" s="84"/>
    </row>
    <row r="81" spans="2:8" x14ac:dyDescent="0.25">
      <c r="B81" s="85"/>
      <c r="C81" s="86">
        <f>D70</f>
        <v>4564.7414849305769</v>
      </c>
      <c r="D81" s="87">
        <f>E81-0.0025</f>
        <v>2.0000000000000004E-2</v>
      </c>
      <c r="E81" s="87">
        <f>F81-0.0025</f>
        <v>2.2500000000000003E-2</v>
      </c>
      <c r="F81" s="88">
        <v>2.5000000000000001E-2</v>
      </c>
      <c r="G81" s="87">
        <f>F81+0.0025</f>
        <v>2.75E-2</v>
      </c>
      <c r="H81" s="87">
        <f>G81+0.0025</f>
        <v>0.03</v>
      </c>
    </row>
    <row r="82" spans="2:8" x14ac:dyDescent="0.25">
      <c r="B82" s="85" t="s">
        <v>259</v>
      </c>
      <c r="C82" s="88">
        <f>C83-0.005</f>
        <v>9.9742473814266694E-2</v>
      </c>
      <c r="D82" s="89">
        <f t="dataTable" ref="D82:H86" dt2D="1" dtr="1" r1="D42" r2="G4"/>
        <v>4063.4160927864978</v>
      </c>
      <c r="E82" s="90">
        <v>4175.3684504690027</v>
      </c>
      <c r="F82" s="90">
        <v>4294.8100142193116</v>
      </c>
      <c r="G82" s="90">
        <v>4422.5182912647251</v>
      </c>
      <c r="H82" s="91">
        <v>4559.3822714319913</v>
      </c>
    </row>
    <row r="83" spans="2:8" x14ac:dyDescent="0.25">
      <c r="B83" s="85"/>
      <c r="C83" s="88">
        <f>C84-0.005</f>
        <v>0.1047424738142667</v>
      </c>
      <c r="D83" s="92">
        <v>3823.1406129323418</v>
      </c>
      <c r="E83" s="93">
        <v>3921.1119372228964</v>
      </c>
      <c r="F83" s="93">
        <v>4025.2262440172767</v>
      </c>
      <c r="G83" s="93">
        <v>4136.0799974951442</v>
      </c>
      <c r="H83" s="94">
        <v>4254.3494644101484</v>
      </c>
    </row>
    <row r="84" spans="2:8" x14ac:dyDescent="0.25">
      <c r="B84" s="85"/>
      <c r="C84" s="88">
        <v>0.1097424738142667</v>
      </c>
      <c r="D84" s="92">
        <v>3609.6495927291794</v>
      </c>
      <c r="E84" s="93">
        <v>3696.0084270690381</v>
      </c>
      <c r="F84" s="95">
        <v>3787.4626303810805</v>
      </c>
      <c r="G84" s="93">
        <v>3884.4768684945184</v>
      </c>
      <c r="H84" s="94">
        <v>3987.5740780454498</v>
      </c>
    </row>
    <row r="85" spans="2:8" x14ac:dyDescent="0.25">
      <c r="B85" s="85"/>
      <c r="C85" s="88">
        <f>C84+0.005</f>
        <v>0.11474247381426671</v>
      </c>
      <c r="D85" s="92">
        <v>3418.7023504338003</v>
      </c>
      <c r="E85" s="93">
        <v>3495.3171700832045</v>
      </c>
      <c r="F85" s="93">
        <v>3576.2005827629264</v>
      </c>
      <c r="G85" s="93">
        <v>3661.7195478945373</v>
      </c>
      <c r="H85" s="94">
        <v>3752.2843277918964</v>
      </c>
    </row>
    <row r="86" spans="2:8" x14ac:dyDescent="0.25">
      <c r="B86" s="85"/>
      <c r="C86" s="88">
        <f>C85+0.005</f>
        <v>0.11974247381426671</v>
      </c>
      <c r="D86" s="96">
        <v>3246.9085306376401</v>
      </c>
      <c r="E86" s="97">
        <v>3315.2724528739404</v>
      </c>
      <c r="F86" s="97">
        <v>3387.2442565325855</v>
      </c>
      <c r="G86" s="97">
        <v>3463.1172892391187</v>
      </c>
      <c r="H86" s="98">
        <v>3543.2175863323882</v>
      </c>
    </row>
    <row r="88" spans="2:8" x14ac:dyDescent="0.25">
      <c r="B88" t="s">
        <v>260</v>
      </c>
      <c r="C88" t="str">
        <f>IF(C84=G4,"Ok","Check Discount Rate")</f>
        <v>Check Discount Rate</v>
      </c>
    </row>
  </sheetData>
  <dataValidations count="1">
    <dataValidation type="list" allowBlank="1" showInputMessage="1" showErrorMessage="1" sqref="G7" xr:uid="{63D0934E-75E2-9F4B-A40F-DAE06F9D93DE}">
      <formula1>"0,1"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A28C-9BE1-2046-AD4D-962CC1E28ABF}">
  <dimension ref="B2:K49"/>
  <sheetViews>
    <sheetView showGridLines="0" workbookViewId="0">
      <selection activeCell="C18" sqref="C18"/>
    </sheetView>
  </sheetViews>
  <sheetFormatPr defaultColWidth="11.42578125" defaultRowHeight="15" x14ac:dyDescent="0.25"/>
  <cols>
    <col min="1" max="1" width="2.28515625" customWidth="1"/>
    <col min="2" max="2" width="34.42578125" bestFit="1" customWidth="1"/>
    <col min="3" max="9" width="13.42578125" customWidth="1"/>
  </cols>
  <sheetData>
    <row r="2" spans="2:9" ht="21.75" thickBot="1" x14ac:dyDescent="0.4">
      <c r="B2" s="15" t="s">
        <v>261</v>
      </c>
      <c r="C2" s="16"/>
      <c r="D2" s="16"/>
      <c r="E2" s="16"/>
      <c r="F2" s="16"/>
      <c r="G2" s="16"/>
      <c r="H2" s="16"/>
      <c r="I2" s="16"/>
    </row>
    <row r="3" spans="2:9" x14ac:dyDescent="0.25">
      <c r="B3" s="61" t="s">
        <v>262</v>
      </c>
    </row>
    <row r="5" spans="2:9" x14ac:dyDescent="0.25">
      <c r="B5" t="s">
        <v>189</v>
      </c>
      <c r="C5" s="39">
        <f>FCFM!C4</f>
        <v>46053</v>
      </c>
      <c r="E5" t="s">
        <v>263</v>
      </c>
      <c r="G5" s="62">
        <v>0.10999823736492206</v>
      </c>
    </row>
    <row r="6" spans="2:9" x14ac:dyDescent="0.25">
      <c r="B6" t="s">
        <v>191</v>
      </c>
      <c r="C6" s="39">
        <f>FCFM!C5</f>
        <v>46053</v>
      </c>
      <c r="E6" t="s">
        <v>192</v>
      </c>
      <c r="G6" s="63" t="e">
        <f ca="1">FCFM!G5</f>
        <v>#NAME?</v>
      </c>
    </row>
    <row r="7" spans="2:9" x14ac:dyDescent="0.25">
      <c r="B7" t="s">
        <v>193</v>
      </c>
      <c r="C7" s="64">
        <f>FCFM!C6</f>
        <v>0</v>
      </c>
      <c r="E7" t="s">
        <v>194</v>
      </c>
      <c r="G7" s="39">
        <f ca="1">TODAY()</f>
        <v>46187</v>
      </c>
    </row>
    <row r="8" spans="2:9" x14ac:dyDescent="0.25">
      <c r="B8" t="s">
        <v>195</v>
      </c>
      <c r="C8" s="39">
        <f>FCFM!C7</f>
        <v>46149</v>
      </c>
    </row>
    <row r="10" spans="2:9" x14ac:dyDescent="0.25">
      <c r="B10" s="65" t="s">
        <v>264</v>
      </c>
      <c r="C10" s="66"/>
      <c r="D10" s="66"/>
      <c r="E10" s="66"/>
      <c r="F10" s="66"/>
      <c r="G10" s="66"/>
      <c r="H10" s="66"/>
      <c r="I10" s="66"/>
    </row>
    <row r="11" spans="2:9" x14ac:dyDescent="0.25">
      <c r="B11" s="12" t="s">
        <v>27</v>
      </c>
      <c r="C11" s="12"/>
      <c r="D11" s="68" t="s">
        <v>199</v>
      </c>
      <c r="E11" s="68" t="s">
        <v>200</v>
      </c>
      <c r="F11" s="68" t="s">
        <v>201</v>
      </c>
      <c r="G11" s="68" t="s">
        <v>202</v>
      </c>
      <c r="H11" s="68" t="s">
        <v>203</v>
      </c>
      <c r="I11" s="68" t="s">
        <v>204</v>
      </c>
    </row>
    <row r="12" spans="2:9" x14ac:dyDescent="0.25">
      <c r="B12" s="27" t="s">
        <v>28</v>
      </c>
      <c r="C12" s="27"/>
      <c r="D12" s="14">
        <v>46053</v>
      </c>
      <c r="E12" s="14">
        <f>EOMONTH(D12,12)</f>
        <v>46418</v>
      </c>
      <c r="F12" s="14">
        <f t="shared" ref="F12:I12" si="0">EOMONTH(E12,12)</f>
        <v>46783</v>
      </c>
      <c r="G12" s="14">
        <f t="shared" si="0"/>
        <v>47149</v>
      </c>
      <c r="H12" s="14">
        <f t="shared" si="0"/>
        <v>47514</v>
      </c>
      <c r="I12" s="14">
        <f t="shared" si="0"/>
        <v>47879</v>
      </c>
    </row>
    <row r="14" spans="2:9" ht="17.25" x14ac:dyDescent="0.4">
      <c r="E14" s="71" t="s">
        <v>217</v>
      </c>
      <c r="F14" s="72">
        <v>1</v>
      </c>
      <c r="G14" s="72">
        <v>2</v>
      </c>
      <c r="H14" s="72">
        <v>3</v>
      </c>
      <c r="I14" s="72">
        <v>4</v>
      </c>
    </row>
    <row r="15" spans="2:9" x14ac:dyDescent="0.25">
      <c r="E15" s="39">
        <f>EOMONTH(C8,12)</f>
        <v>46538</v>
      </c>
      <c r="F15" s="39">
        <f>F12</f>
        <v>46783</v>
      </c>
      <c r="G15" s="39">
        <f t="shared" ref="G15:I15" si="1">G12</f>
        <v>47149</v>
      </c>
      <c r="H15" s="39">
        <f t="shared" si="1"/>
        <v>47514</v>
      </c>
      <c r="I15" s="39">
        <f t="shared" si="1"/>
        <v>47879</v>
      </c>
    </row>
    <row r="16" spans="2:9" x14ac:dyDescent="0.25">
      <c r="B16" t="s">
        <v>265</v>
      </c>
      <c r="C16" s="141" t="s">
        <v>266</v>
      </c>
      <c r="D16" s="105">
        <v>0.5</v>
      </c>
      <c r="E16" s="100">
        <f>FSM!F268</f>
        <v>103199.62026423268</v>
      </c>
      <c r="F16" s="100">
        <f>FSM!G268</f>
        <v>2.1201080140958086</v>
      </c>
      <c r="G16" s="100">
        <f>FSM!H268</f>
        <v>2.9538716876279816</v>
      </c>
      <c r="H16" s="100">
        <f>FSM!I268</f>
        <v>3.3476109363078677</v>
      </c>
      <c r="I16" s="100">
        <f>FSM!J268</f>
        <v>3.3156755146456511</v>
      </c>
    </row>
    <row r="17" spans="2:11" x14ac:dyDescent="0.25">
      <c r="B17" t="s">
        <v>267</v>
      </c>
      <c r="E17" s="100">
        <f>FSM!F271</f>
        <v>103238.47670607548</v>
      </c>
      <c r="F17" s="63">
        <f>E17+F16</f>
        <v>103240.59681408957</v>
      </c>
      <c r="G17" s="63">
        <f t="shared" ref="G17:I17" si="2">F17+G16</f>
        <v>103243.5506857772</v>
      </c>
      <c r="H17" s="63">
        <f t="shared" si="2"/>
        <v>103246.89829671351</v>
      </c>
      <c r="I17" s="63">
        <f t="shared" si="2"/>
        <v>103250.21397222816</v>
      </c>
    </row>
    <row r="18" spans="2:11" x14ac:dyDescent="0.25">
      <c r="B18" s="140" t="s">
        <v>264</v>
      </c>
      <c r="F18" s="101">
        <f>F16-(F17*$G$5)</f>
        <v>-11354.163566038345</v>
      </c>
      <c r="G18" s="101">
        <f t="shared" ref="G18:I18" si="3">G16-(G17*$G$5)</f>
        <v>-11353.654723043854</v>
      </c>
      <c r="H18" s="101">
        <f t="shared" si="3"/>
        <v>-11353.629215097553</v>
      </c>
      <c r="I18" s="101">
        <f t="shared" si="3"/>
        <v>-11354.025868981498</v>
      </c>
    </row>
    <row r="19" spans="2:11" x14ac:dyDescent="0.25">
      <c r="B19" s="2" t="s">
        <v>268</v>
      </c>
      <c r="F19" s="63">
        <f>F18/(1+$G$5)^((F15-$E$15)/365)</f>
        <v>-10586.03524962122</v>
      </c>
      <c r="G19" s="63">
        <f>G18/(1+$G$5)^((G15-$E$15)/365)</f>
        <v>-9533.8301921258426</v>
      </c>
      <c r="H19" s="63">
        <f>H18/(1+$G$5)^((H15-$E$15)/365)</f>
        <v>-8589.0305514019819</v>
      </c>
      <c r="I19" s="63">
        <f>I18/(1+$G$5)^((I15-$E$15)/365)</f>
        <v>-7738.1479819345732</v>
      </c>
    </row>
    <row r="20" spans="2:11" x14ac:dyDescent="0.25">
      <c r="K20" t="s">
        <v>269</v>
      </c>
    </row>
    <row r="21" spans="2:11" x14ac:dyDescent="0.25">
      <c r="B21" s="23" t="s">
        <v>222</v>
      </c>
      <c r="C21" s="70"/>
      <c r="D21" s="70"/>
    </row>
    <row r="22" spans="2:11" x14ac:dyDescent="0.25">
      <c r="B22" t="s">
        <v>270</v>
      </c>
      <c r="D22" s="75">
        <f>FCFM!D42</f>
        <v>2.5000000000000001E-2</v>
      </c>
    </row>
    <row r="23" spans="2:11" x14ac:dyDescent="0.25">
      <c r="B23" t="s">
        <v>271</v>
      </c>
      <c r="D23" s="63">
        <f>I18*(1+D22)</f>
        <v>-11637.876515706035</v>
      </c>
    </row>
    <row r="24" spans="2:11" x14ac:dyDescent="0.25">
      <c r="B24" t="s">
        <v>272</v>
      </c>
      <c r="D24" s="102">
        <f>D23/(1+G5-D16)</f>
        <v>-19078.541220019717</v>
      </c>
    </row>
    <row r="25" spans="2:11" x14ac:dyDescent="0.25">
      <c r="B25" t="s">
        <v>273</v>
      </c>
      <c r="D25" s="102">
        <f>D24/(1+$G$5)^((I15-E15)/365)</f>
        <v>-13002.663279398921</v>
      </c>
    </row>
    <row r="26" spans="2:11" x14ac:dyDescent="0.25">
      <c r="B26" t="s">
        <v>274</v>
      </c>
      <c r="D26" s="102">
        <f>SUM(G19:I19)</f>
        <v>-25861.008725462398</v>
      </c>
    </row>
    <row r="27" spans="2:11" x14ac:dyDescent="0.25">
      <c r="B27" t="s">
        <v>275</v>
      </c>
      <c r="D27" s="102">
        <f>F17</f>
        <v>103240.59681408957</v>
      </c>
    </row>
    <row r="28" spans="2:11" x14ac:dyDescent="0.25">
      <c r="B28" s="2" t="s">
        <v>276</v>
      </c>
      <c r="D28" s="103">
        <f>SUM(D25:D27)</f>
        <v>64376.924809228251</v>
      </c>
    </row>
    <row r="30" spans="2:11" x14ac:dyDescent="0.25">
      <c r="B30" s="23" t="s">
        <v>256</v>
      </c>
      <c r="C30" s="23"/>
      <c r="D30" s="23"/>
      <c r="E30" s="23"/>
      <c r="F30" s="23"/>
      <c r="G30" s="23"/>
      <c r="H30" s="23"/>
    </row>
    <row r="32" spans="2:11" x14ac:dyDescent="0.25">
      <c r="B32" s="82"/>
      <c r="C32" s="149" t="s">
        <v>257</v>
      </c>
      <c r="D32" s="149"/>
      <c r="E32" s="149"/>
      <c r="F32" s="149"/>
      <c r="G32" s="149"/>
      <c r="H32" s="149"/>
    </row>
    <row r="33" spans="2:8" x14ac:dyDescent="0.25">
      <c r="C33" s="150" t="s">
        <v>258</v>
      </c>
      <c r="D33" s="150"/>
      <c r="E33" s="150"/>
      <c r="F33" s="150"/>
      <c r="G33" s="150"/>
      <c r="H33" s="150"/>
    </row>
    <row r="34" spans="2:8" x14ac:dyDescent="0.25">
      <c r="B34" s="85"/>
      <c r="C34" s="86">
        <f>D28</f>
        <v>64376.924809228251</v>
      </c>
      <c r="D34" s="87">
        <f>E34-0.0025</f>
        <v>2.0000000000000004E-2</v>
      </c>
      <c r="E34" s="87">
        <f>F34-0.0025</f>
        <v>2.2500000000000003E-2</v>
      </c>
      <c r="F34" s="88">
        <v>2.5000000000000001E-2</v>
      </c>
      <c r="G34" s="87">
        <f>F34+0.0025</f>
        <v>2.75E-2</v>
      </c>
      <c r="H34" s="87">
        <f>G34+0.0025</f>
        <v>0.03</v>
      </c>
    </row>
    <row r="35" spans="2:8" x14ac:dyDescent="0.25">
      <c r="B35" s="148" t="s">
        <v>259</v>
      </c>
      <c r="C35" s="88">
        <f>C36-0.005</f>
        <v>9.9998237364922055E-2</v>
      </c>
      <c r="D35" s="89">
        <f t="dataTable" ref="D35:H39" dt2D="1" dtr="1" r1="D22" r2="G5"/>
        <v>66807.004188372914</v>
      </c>
      <c r="E35" s="90">
        <v>66776.702919503805</v>
      </c>
      <c r="F35" s="90">
        <v>66746.401650634696</v>
      </c>
      <c r="G35" s="90">
        <v>66716.100381765587</v>
      </c>
      <c r="H35" s="91">
        <v>66685.799112896479</v>
      </c>
    </row>
    <row r="36" spans="2:8" x14ac:dyDescent="0.25">
      <c r="B36" s="148"/>
      <c r="C36" s="88">
        <f>C37-0.005</f>
        <v>0.10499823736492206</v>
      </c>
      <c r="D36" s="92">
        <v>65602.031799553748</v>
      </c>
      <c r="E36" s="93">
        <v>65570.99930087864</v>
      </c>
      <c r="F36" s="93">
        <v>65539.966802203504</v>
      </c>
      <c r="G36" s="93">
        <v>65508.934303528389</v>
      </c>
      <c r="H36" s="94">
        <v>65477.901804853274</v>
      </c>
    </row>
    <row r="37" spans="2:8" x14ac:dyDescent="0.25">
      <c r="B37" s="148"/>
      <c r="C37" s="88">
        <v>0.10999823736492206</v>
      </c>
      <c r="D37" s="92">
        <v>64440.352434981418</v>
      </c>
      <c r="E37" s="93">
        <v>64408.638622104838</v>
      </c>
      <c r="F37" s="95">
        <v>64376.924809228251</v>
      </c>
      <c r="G37" s="93">
        <v>64345.21099635167</v>
      </c>
      <c r="H37" s="94">
        <v>64313.49718347509</v>
      </c>
    </row>
    <row r="38" spans="2:8" x14ac:dyDescent="0.25">
      <c r="B38" s="148"/>
      <c r="C38" s="88">
        <f>C37+0.005</f>
        <v>0.11499823736492207</v>
      </c>
      <c r="D38" s="92">
        <v>63320.355337772206</v>
      </c>
      <c r="E38" s="93">
        <v>63288.007672253319</v>
      </c>
      <c r="F38" s="93">
        <v>63255.660006734433</v>
      </c>
      <c r="G38" s="93">
        <v>63223.31234121554</v>
      </c>
      <c r="H38" s="94">
        <v>63190.964675696654</v>
      </c>
    </row>
    <row r="39" spans="2:8" x14ac:dyDescent="0.25">
      <c r="B39" s="148"/>
      <c r="C39" s="88">
        <f>C38+0.005</f>
        <v>0.11999823736492207</v>
      </c>
      <c r="D39" s="96">
        <v>62240.497669888267</v>
      </c>
      <c r="E39" s="97">
        <v>62207.561280598617</v>
      </c>
      <c r="F39" s="97">
        <v>62174.624891308951</v>
      </c>
      <c r="G39" s="97">
        <v>62141.688502019286</v>
      </c>
      <c r="H39" s="98">
        <v>62108.752112729628</v>
      </c>
    </row>
    <row r="40" spans="2:8" x14ac:dyDescent="0.25">
      <c r="B40" s="104" t="s">
        <v>260</v>
      </c>
      <c r="C40" t="str">
        <f>IF(C37=G5,"Ok","Check")</f>
        <v>Ok</v>
      </c>
    </row>
    <row r="41" spans="2:8" x14ac:dyDescent="0.25">
      <c r="B41" s="82"/>
      <c r="C41" s="149" t="s">
        <v>257</v>
      </c>
      <c r="D41" s="149"/>
      <c r="E41" s="149"/>
      <c r="F41" s="149"/>
      <c r="G41" s="149"/>
      <c r="H41" s="149"/>
    </row>
    <row r="42" spans="2:8" x14ac:dyDescent="0.25">
      <c r="C42" s="150" t="s">
        <v>277</v>
      </c>
      <c r="D42" s="150"/>
      <c r="E42" s="150"/>
      <c r="F42" s="150"/>
      <c r="G42" s="150"/>
      <c r="H42" s="150"/>
    </row>
    <row r="43" spans="2:8" x14ac:dyDescent="0.25">
      <c r="B43" s="85"/>
      <c r="C43" s="86">
        <f>D28</f>
        <v>64376.924809228251</v>
      </c>
      <c r="D43" s="2">
        <f>E43-0.1</f>
        <v>0.30000000000000004</v>
      </c>
      <c r="E43" s="2">
        <f>F43-0.1</f>
        <v>0.4</v>
      </c>
      <c r="F43" s="2">
        <v>0.5</v>
      </c>
      <c r="G43" s="2">
        <f>F43+0.1</f>
        <v>0.6</v>
      </c>
      <c r="H43" s="2">
        <f>G43+0.1</f>
        <v>0.7</v>
      </c>
    </row>
    <row r="44" spans="2:8" x14ac:dyDescent="0.25">
      <c r="B44" s="148" t="s">
        <v>259</v>
      </c>
      <c r="C44" s="88">
        <f>C45-0.005</f>
        <v>9.9998237364922055E-2</v>
      </c>
      <c r="D44" s="89">
        <f t="dataTable" ref="D44:H48" dt2D="1" dtr="1" r1="D16" r2="G5" ca="1"/>
        <v>69852.288552899903</v>
      </c>
      <c r="E44" s="90">
        <v>68521.194724843284</v>
      </c>
      <c r="F44" s="90">
        <v>66746.401650634696</v>
      </c>
      <c r="G44" s="90">
        <v>64261.688844083823</v>
      </c>
      <c r="H44" s="91">
        <v>60534.614159680947</v>
      </c>
    </row>
    <row r="45" spans="2:8" x14ac:dyDescent="0.25">
      <c r="B45" s="148"/>
      <c r="C45" s="88">
        <f>C46-0.005</f>
        <v>0.10499823736492206</v>
      </c>
      <c r="D45" s="92">
        <v>68701.04812293961</v>
      </c>
      <c r="E45" s="93">
        <v>67344.698187682545</v>
      </c>
      <c r="F45" s="93">
        <v>65539.966802203504</v>
      </c>
      <c r="G45" s="93">
        <v>63020.487818833404</v>
      </c>
      <c r="H45" s="94">
        <v>59256.81626822507</v>
      </c>
    </row>
    <row r="46" spans="2:8" x14ac:dyDescent="0.25">
      <c r="B46" s="148"/>
      <c r="C46" s="88">
        <v>0.10999823736492206</v>
      </c>
      <c r="D46" s="92">
        <v>67587.465938724796</v>
      </c>
      <c r="E46" s="93">
        <v>66208.2903810157</v>
      </c>
      <c r="F46" s="95">
        <v>64376.924809228251</v>
      </c>
      <c r="G46" s="93">
        <v>61827.374178115962</v>
      </c>
      <c r="H46" s="94">
        <v>58034.134965560806</v>
      </c>
    </row>
    <row r="47" spans="2:8" x14ac:dyDescent="0.25">
      <c r="B47" s="148"/>
      <c r="C47" s="88">
        <f>C46+0.005</f>
        <v>0.11499823736492207</v>
      </c>
      <c r="D47" s="92">
        <v>66510.278791095086</v>
      </c>
      <c r="E47" s="93">
        <v>65110.565679176609</v>
      </c>
      <c r="F47" s="93">
        <v>63255.660006734433</v>
      </c>
      <c r="G47" s="93">
        <v>60680.400151360249</v>
      </c>
      <c r="H47" s="94">
        <v>56864.045937741997</v>
      </c>
    </row>
    <row r="48" spans="2:8" x14ac:dyDescent="0.25">
      <c r="B48" s="148"/>
      <c r="C48" s="88">
        <f>C47+0.005</f>
        <v>0.11999823736492207</v>
      </c>
      <c r="D48" s="96">
        <v>65468.270900148156</v>
      </c>
      <c r="E48" s="97">
        <v>64050.173872954096</v>
      </c>
      <c r="F48" s="97">
        <v>62174.624891308951</v>
      </c>
      <c r="G48" s="97">
        <v>59577.70847151654</v>
      </c>
      <c r="H48" s="98">
        <v>55744.159995320493</v>
      </c>
    </row>
    <row r="49" spans="2:3" x14ac:dyDescent="0.25">
      <c r="B49" s="104" t="s">
        <v>260</v>
      </c>
      <c r="C49" t="str">
        <f>IF(C46=G5,"Ok","Check")</f>
        <v>Ok</v>
      </c>
    </row>
  </sheetData>
  <mergeCells count="6">
    <mergeCell ref="B44:B48"/>
    <mergeCell ref="C32:H32"/>
    <mergeCell ref="C33:H33"/>
    <mergeCell ref="B35:B39"/>
    <mergeCell ref="C41:H41"/>
    <mergeCell ref="C42:H4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2126-B281-8C43-90D8-1DEC60288EB8}">
  <dimension ref="B2:J62"/>
  <sheetViews>
    <sheetView showGridLines="0" topLeftCell="A20" workbookViewId="0">
      <selection activeCell="G27" sqref="G27"/>
    </sheetView>
  </sheetViews>
  <sheetFormatPr defaultColWidth="11.42578125" defaultRowHeight="15" x14ac:dyDescent="0.25"/>
  <cols>
    <col min="1" max="1" width="2.42578125" customWidth="1"/>
    <col min="2" max="2" width="34.42578125" bestFit="1" customWidth="1"/>
    <col min="3" max="10" width="13.42578125" customWidth="1"/>
  </cols>
  <sheetData>
    <row r="2" spans="2:10" ht="21.75" thickBot="1" x14ac:dyDescent="0.4">
      <c r="B2" s="15" t="s">
        <v>278</v>
      </c>
      <c r="C2" s="16"/>
      <c r="D2" s="16"/>
      <c r="E2" s="16"/>
      <c r="F2" s="16"/>
      <c r="G2" s="16"/>
      <c r="H2" s="16"/>
      <c r="I2" s="16"/>
    </row>
    <row r="3" spans="2:10" x14ac:dyDescent="0.25">
      <c r="B3" s="61" t="s">
        <v>262</v>
      </c>
    </row>
    <row r="5" spans="2:10" x14ac:dyDescent="0.25">
      <c r="B5" t="s">
        <v>189</v>
      </c>
      <c r="C5" s="39">
        <f>FCFM!C4</f>
        <v>46053</v>
      </c>
      <c r="E5" t="s">
        <v>279</v>
      </c>
      <c r="G5" s="62">
        <v>0.1097424738142667</v>
      </c>
    </row>
    <row r="6" spans="2:10" x14ac:dyDescent="0.25">
      <c r="B6" t="s">
        <v>191</v>
      </c>
      <c r="C6" s="39">
        <f>FCFM!C5</f>
        <v>46053</v>
      </c>
      <c r="E6" t="s">
        <v>192</v>
      </c>
      <c r="G6" s="63" t="e" cm="1">
        <f t="array" aca="1" ref="G6" ca="1">_xll.BDP("VEEV US EQUITY", "PX_Last")</f>
        <v>#NAME?</v>
      </c>
    </row>
    <row r="7" spans="2:10" x14ac:dyDescent="0.25">
      <c r="B7" t="s">
        <v>193</v>
      </c>
      <c r="C7" s="64"/>
      <c r="E7" t="s">
        <v>194</v>
      </c>
      <c r="G7" s="39">
        <f ca="1">TODAY()</f>
        <v>46187</v>
      </c>
    </row>
    <row r="8" spans="2:10" x14ac:dyDescent="0.25">
      <c r="B8" t="s">
        <v>195</v>
      </c>
      <c r="C8" s="39">
        <f>FCFM!C7</f>
        <v>46149</v>
      </c>
    </row>
    <row r="10" spans="2:10" x14ac:dyDescent="0.25">
      <c r="B10" s="65" t="s">
        <v>264</v>
      </c>
      <c r="C10" s="66"/>
      <c r="D10" s="66"/>
      <c r="E10" s="66"/>
      <c r="F10" s="66"/>
      <c r="G10" s="66"/>
      <c r="H10" s="66"/>
      <c r="I10" s="66"/>
    </row>
    <row r="11" spans="2:10" x14ac:dyDescent="0.25">
      <c r="B11" s="12" t="s">
        <v>27</v>
      </c>
      <c r="C11" s="12"/>
      <c r="D11" s="68" t="s">
        <v>199</v>
      </c>
      <c r="E11" s="68" t="s">
        <v>200</v>
      </c>
      <c r="F11" s="68" t="s">
        <v>201</v>
      </c>
      <c r="G11" s="68" t="s">
        <v>202</v>
      </c>
      <c r="H11" s="68" t="s">
        <v>203</v>
      </c>
      <c r="I11" s="68" t="s">
        <v>204</v>
      </c>
    </row>
    <row r="12" spans="2:10" x14ac:dyDescent="0.25">
      <c r="B12" s="27" t="s">
        <v>28</v>
      </c>
      <c r="C12" s="27"/>
      <c r="D12" s="14">
        <v>46022</v>
      </c>
      <c r="E12" s="14">
        <v>46387</v>
      </c>
      <c r="F12" s="14">
        <v>46752</v>
      </c>
      <c r="G12" s="14">
        <v>47118</v>
      </c>
      <c r="H12" s="14">
        <v>47483</v>
      </c>
      <c r="I12" s="14">
        <v>47848</v>
      </c>
    </row>
    <row r="14" spans="2:10" ht="17.25" x14ac:dyDescent="0.4">
      <c r="E14" s="71" t="s">
        <v>217</v>
      </c>
      <c r="F14" s="72">
        <v>1</v>
      </c>
      <c r="G14" s="72">
        <v>2</v>
      </c>
      <c r="H14" s="72">
        <v>3</v>
      </c>
      <c r="I14" s="72">
        <v>4</v>
      </c>
    </row>
    <row r="15" spans="2:10" x14ac:dyDescent="0.25">
      <c r="E15" s="39">
        <f>EOMONTH(C8,12)</f>
        <v>46538</v>
      </c>
      <c r="F15" s="39">
        <v>46752</v>
      </c>
      <c r="G15" s="39">
        <v>47118</v>
      </c>
      <c r="H15" s="39">
        <v>47483</v>
      </c>
      <c r="I15" s="39">
        <v>47848</v>
      </c>
    </row>
    <row r="16" spans="2:10" x14ac:dyDescent="0.25">
      <c r="B16" s="140" t="s">
        <v>211</v>
      </c>
      <c r="E16" s="53">
        <f>FCFM!F23</f>
        <v>36380.879460205055</v>
      </c>
      <c r="F16" s="53">
        <f>FCFM!G23</f>
        <v>41052.04414917063</v>
      </c>
      <c r="G16" s="53">
        <f>FCFM!H23</f>
        <v>41129.464207004014</v>
      </c>
      <c r="H16" s="53">
        <f>FCFM!I23</f>
        <v>35326.945776256922</v>
      </c>
      <c r="I16" s="53">
        <f>FCFM!J23</f>
        <v>21522.850407720249</v>
      </c>
      <c r="J16" s="40">
        <f>I16*(1+D23)</f>
        <v>22060.921667913251</v>
      </c>
    </row>
    <row r="17" spans="2:10" x14ac:dyDescent="0.25">
      <c r="B17" s="140" t="s">
        <v>280</v>
      </c>
      <c r="E17" s="53">
        <f>SUM(FSM!F72:F75,FSM!F66,FSM!F68)</f>
        <v>19168977842.42662</v>
      </c>
      <c r="F17" s="53">
        <f>SUM(FSM!G72:G75,FSM!G66,FSM!G68)</f>
        <v>19169367637.296257</v>
      </c>
      <c r="G17" s="53">
        <f>SUM(FSM!H72:H75,FSM!H66,FSM!H68)</f>
        <v>19169929519.973862</v>
      </c>
      <c r="H17" s="53">
        <f>SUM(FSM!I72:I75,FSM!I66,FSM!I68)</f>
        <v>19170580911.598</v>
      </c>
      <c r="I17" s="53">
        <f>SUM(FSM!J72:J75,FSM!J66,FSM!J68)</f>
        <v>19171241444.661152</v>
      </c>
    </row>
    <row r="18" spans="2:10" x14ac:dyDescent="0.25">
      <c r="B18" t="s">
        <v>281</v>
      </c>
      <c r="F18" s="18">
        <f>G16/F17</f>
        <v>2.1455827330987075E-6</v>
      </c>
      <c r="G18" s="18">
        <f t="shared" ref="G18:I18" si="0">H16/G17</f>
        <v>1.8428312811191333E-6</v>
      </c>
      <c r="H18" s="18">
        <f t="shared" si="0"/>
        <v>1.1227020457527789E-6</v>
      </c>
      <c r="I18" s="18">
        <f t="shared" si="0"/>
        <v>1.150729947854098E-6</v>
      </c>
    </row>
    <row r="19" spans="2:10" x14ac:dyDescent="0.25">
      <c r="B19" t="s">
        <v>282</v>
      </c>
      <c r="F19" s="45">
        <f>F17*(F18-$G$5)</f>
        <v>-2103652696.5078292</v>
      </c>
      <c r="G19" s="45">
        <f t="shared" ref="G19:I19" si="1">G17*(G18-$G$5)</f>
        <v>-2103720161.4212935</v>
      </c>
      <c r="H19" s="45">
        <f t="shared" si="1"/>
        <v>-2103805450.8449171</v>
      </c>
      <c r="I19" s="45">
        <f t="shared" si="1"/>
        <v>-2103877401.3060431</v>
      </c>
    </row>
    <row r="20" spans="2:10" x14ac:dyDescent="0.25">
      <c r="B20" s="2" t="s">
        <v>283</v>
      </c>
      <c r="F20" s="41">
        <f>F19/(1+$G$5)^((F15-E15)/365)</f>
        <v>-1979065639.478822</v>
      </c>
      <c r="G20" s="41">
        <f t="shared" ref="G20:I20" si="2">G19/(1+$G$5)^((G15-F15)/365)</f>
        <v>-1895142470.2990327</v>
      </c>
      <c r="H20" s="41">
        <f t="shared" si="2"/>
        <v>-1895760052.8832448</v>
      </c>
      <c r="I20" s="41">
        <f t="shared" si="2"/>
        <v>-1895824888.160639</v>
      </c>
    </row>
    <row r="22" spans="2:10" x14ac:dyDescent="0.25">
      <c r="B22" s="23" t="s">
        <v>222</v>
      </c>
      <c r="C22" s="70"/>
      <c r="D22" s="70"/>
    </row>
    <row r="23" spans="2:10" x14ac:dyDescent="0.25">
      <c r="B23" t="s">
        <v>224</v>
      </c>
      <c r="D23" s="75">
        <f>FCFM!D42</f>
        <v>2.5000000000000001E-2</v>
      </c>
    </row>
    <row r="24" spans="2:10" x14ac:dyDescent="0.25">
      <c r="B24" t="s">
        <v>284</v>
      </c>
      <c r="D24" s="40">
        <f>I20*(1+D23)</f>
        <v>-1943220510.3646548</v>
      </c>
    </row>
    <row r="25" spans="2:10" x14ac:dyDescent="0.25">
      <c r="B25" t="s">
        <v>228</v>
      </c>
      <c r="D25" s="40">
        <f>D24/(G5-D23)</f>
        <v>-22930891947.097095</v>
      </c>
      <c r="G25" s="40"/>
      <c r="H25" s="40"/>
      <c r="I25" s="40"/>
      <c r="J25" s="40"/>
    </row>
    <row r="26" spans="2:10" x14ac:dyDescent="0.25">
      <c r="B26" t="s">
        <v>230</v>
      </c>
      <c r="D26" s="40">
        <f>D25/(1+$G$5)^((I15-E15)/365)</f>
        <v>-15780348264.779953</v>
      </c>
    </row>
    <row r="27" spans="2:10" x14ac:dyDescent="0.25">
      <c r="B27" t="s">
        <v>232</v>
      </c>
      <c r="D27" s="40">
        <f>SUM(G20:I20)</f>
        <v>-5686727411.3429165</v>
      </c>
    </row>
    <row r="28" spans="2:10" x14ac:dyDescent="0.25">
      <c r="B28" t="s">
        <v>285</v>
      </c>
      <c r="D28" s="40">
        <f>E17</f>
        <v>19168977842.42662</v>
      </c>
    </row>
    <row r="29" spans="2:10" x14ac:dyDescent="0.25">
      <c r="B29" s="2" t="s">
        <v>234</v>
      </c>
      <c r="D29" s="41">
        <f>SUM(D26:D28)</f>
        <v>-2298097833.6962509</v>
      </c>
    </row>
    <row r="31" spans="2:10" x14ac:dyDescent="0.25">
      <c r="B31" t="s">
        <v>235</v>
      </c>
      <c r="D31" s="74">
        <f>D26/D29</f>
        <v>6.8666999434914864</v>
      </c>
    </row>
    <row r="32" spans="2:10" x14ac:dyDescent="0.25">
      <c r="B32" t="s">
        <v>236</v>
      </c>
      <c r="D32" s="74">
        <f>(D27+D28)/D29</f>
        <v>-5.8666999434914873</v>
      </c>
    </row>
    <row r="33" spans="2:4" x14ac:dyDescent="0.25">
      <c r="D33" s="77"/>
    </row>
    <row r="34" spans="2:4" x14ac:dyDescent="0.25">
      <c r="B34" s="23" t="s">
        <v>238</v>
      </c>
      <c r="C34" s="23"/>
      <c r="D34" s="23"/>
    </row>
    <row r="35" spans="2:4" x14ac:dyDescent="0.25">
      <c r="B35" t="s">
        <v>239</v>
      </c>
      <c r="D35" s="78" t="s">
        <v>240</v>
      </c>
    </row>
    <row r="36" spans="2:4" x14ac:dyDescent="0.25">
      <c r="B36" t="s">
        <v>241</v>
      </c>
      <c r="D36" s="79">
        <v>46066</v>
      </c>
    </row>
    <row r="37" spans="2:4" x14ac:dyDescent="0.25">
      <c r="B37" s="29" t="s">
        <v>242</v>
      </c>
    </row>
    <row r="38" spans="2:4" x14ac:dyDescent="0.25">
      <c r="B38" t="s">
        <v>243</v>
      </c>
      <c r="D38" s="76">
        <f>FCFM!D57</f>
        <v>95859</v>
      </c>
    </row>
    <row r="39" spans="2:4" x14ac:dyDescent="0.25">
      <c r="B39" t="s">
        <v>244</v>
      </c>
      <c r="D39" s="76">
        <f>FCFM!D58</f>
        <v>0</v>
      </c>
    </row>
    <row r="40" spans="2:4" x14ac:dyDescent="0.25">
      <c r="B40" t="s">
        <v>245</v>
      </c>
      <c r="D40" s="76">
        <f>FCFM!D59</f>
        <v>0</v>
      </c>
    </row>
    <row r="41" spans="2:4" x14ac:dyDescent="0.25">
      <c r="B41" s="29" t="s">
        <v>246</v>
      </c>
      <c r="D41" s="41"/>
    </row>
    <row r="42" spans="2:4" x14ac:dyDescent="0.25">
      <c r="B42" t="s">
        <v>286</v>
      </c>
      <c r="D42" s="76">
        <f>FCFM!D61</f>
        <v>6560814</v>
      </c>
    </row>
    <row r="43" spans="2:4" x14ac:dyDescent="0.25">
      <c r="D43" s="41"/>
    </row>
    <row r="44" spans="2:4" x14ac:dyDescent="0.25">
      <c r="B44" s="2" t="s">
        <v>238</v>
      </c>
      <c r="D44" s="41">
        <f>SUM(D38:D40)-D42</f>
        <v>-6464955</v>
      </c>
    </row>
    <row r="46" spans="2:4" x14ac:dyDescent="0.25">
      <c r="B46" s="23" t="s">
        <v>248</v>
      </c>
      <c r="C46" s="23"/>
      <c r="D46" s="23"/>
    </row>
    <row r="47" spans="2:4" x14ac:dyDescent="0.25">
      <c r="B47" t="s">
        <v>249</v>
      </c>
      <c r="D47" s="40">
        <f>D29</f>
        <v>-2298097833.6962509</v>
      </c>
    </row>
    <row r="48" spans="2:4" x14ac:dyDescent="0.25">
      <c r="B48" t="s">
        <v>238</v>
      </c>
      <c r="D48" s="40">
        <f>D44</f>
        <v>-6464955</v>
      </c>
    </row>
    <row r="49" spans="2:8" x14ac:dyDescent="0.25">
      <c r="B49" t="s">
        <v>250</v>
      </c>
      <c r="D49" s="40">
        <f>D47-D48</f>
        <v>-2291632878.6962509</v>
      </c>
    </row>
    <row r="50" spans="2:8" x14ac:dyDescent="0.25">
      <c r="B50" t="s">
        <v>223</v>
      </c>
      <c r="D50" s="53">
        <f>FCFM!J46</f>
        <v>178465.80899999998</v>
      </c>
    </row>
    <row r="51" spans="2:8" x14ac:dyDescent="0.25">
      <c r="B51" s="2" t="s">
        <v>251</v>
      </c>
      <c r="D51" s="80">
        <f>D49/D50</f>
        <v>-12840.739027475292</v>
      </c>
    </row>
    <row r="53" spans="2:8" x14ac:dyDescent="0.25">
      <c r="B53" s="23" t="s">
        <v>287</v>
      </c>
      <c r="C53" s="23"/>
      <c r="D53" s="23"/>
      <c r="E53" s="23"/>
      <c r="F53" s="23"/>
      <c r="G53" s="23"/>
      <c r="H53" s="23"/>
    </row>
    <row r="55" spans="2:8" x14ac:dyDescent="0.25">
      <c r="B55" s="82"/>
      <c r="C55" s="149" t="s">
        <v>257</v>
      </c>
      <c r="D55" s="149"/>
      <c r="E55" s="149"/>
      <c r="F55" s="149"/>
      <c r="G55" s="149"/>
      <c r="H55" s="149"/>
    </row>
    <row r="56" spans="2:8" x14ac:dyDescent="0.25">
      <c r="C56" s="150" t="s">
        <v>258</v>
      </c>
      <c r="D56" s="150"/>
      <c r="E56" s="150"/>
      <c r="F56" s="150"/>
      <c r="G56" s="150"/>
      <c r="H56" s="150"/>
    </row>
    <row r="57" spans="2:8" x14ac:dyDescent="0.25">
      <c r="B57" s="85"/>
      <c r="C57" s="86">
        <f>D51</f>
        <v>-12840.739027475292</v>
      </c>
      <c r="D57" s="87">
        <f>E57-0.0025</f>
        <v>2.0000000000000004E-2</v>
      </c>
      <c r="E57" s="87">
        <f>F57-0.0025</f>
        <v>2.2500000000000003E-2</v>
      </c>
      <c r="F57" s="88">
        <v>2.5000000000000001E-2</v>
      </c>
      <c r="G57" s="87">
        <f>F57+0.0025</f>
        <v>2.75E-2</v>
      </c>
      <c r="H57" s="87">
        <f>G57+0.0025</f>
        <v>0.03</v>
      </c>
    </row>
    <row r="58" spans="2:8" x14ac:dyDescent="0.25">
      <c r="B58" s="151" t="s">
        <v>259</v>
      </c>
      <c r="C58" s="88">
        <f>C59-0.005</f>
        <v>9.9742473814266694E-2</v>
      </c>
      <c r="D58" s="89">
        <f t="dataTable" ref="D58:H62" dt2D="1" dtr="1" r1="D23" r2="G5"/>
        <v>-10370.513403955807</v>
      </c>
      <c r="E58" s="90">
        <v>-13462.011614674049</v>
      </c>
      <c r="F58" s="90">
        <v>-16760.319831283996</v>
      </c>
      <c r="G58" s="90">
        <v>-20286.908457030338</v>
      </c>
      <c r="H58" s="91">
        <v>-24066.326421351452</v>
      </c>
    </row>
    <row r="59" spans="2:8" x14ac:dyDescent="0.25">
      <c r="B59" s="151"/>
      <c r="C59" s="88">
        <f>C60-0.005</f>
        <v>0.1047424738142667</v>
      </c>
      <c r="D59" s="92">
        <v>-8844.8730340900984</v>
      </c>
      <c r="E59" s="93">
        <v>-11667.736657233649</v>
      </c>
      <c r="F59" s="93">
        <v>-14667.599034626552</v>
      </c>
      <c r="G59" s="93">
        <v>-17861.646185712718</v>
      </c>
      <c r="H59" s="94">
        <v>-21269.363494483117</v>
      </c>
    </row>
    <row r="60" spans="2:8" x14ac:dyDescent="0.25">
      <c r="B60" s="151"/>
      <c r="C60" s="88">
        <v>0.1097424738142667</v>
      </c>
      <c r="D60" s="92">
        <v>-7507.0034853771622</v>
      </c>
      <c r="E60" s="93">
        <v>-10097.450112596498</v>
      </c>
      <c r="F60" s="95">
        <v>-12840.739027475292</v>
      </c>
      <c r="G60" s="93">
        <v>-15750.8084921338</v>
      </c>
      <c r="H60" s="94">
        <v>-18843.344678112982</v>
      </c>
    </row>
    <row r="61" spans="2:8" x14ac:dyDescent="0.25">
      <c r="B61" s="151"/>
      <c r="C61" s="88">
        <f>C60+0.005</f>
        <v>0.11474247381426671</v>
      </c>
      <c r="D61" s="92">
        <v>-6329.920182612248</v>
      </c>
      <c r="E61" s="93">
        <v>-8717.5534424532725</v>
      </c>
      <c r="F61" s="93">
        <v>-11238.21364292113</v>
      </c>
      <c r="G61" s="93">
        <v>-13903.336751052027</v>
      </c>
      <c r="H61" s="94">
        <v>-16725.708230365162</v>
      </c>
    </row>
    <row r="62" spans="2:8" x14ac:dyDescent="0.25">
      <c r="B62" s="151"/>
      <c r="C62" s="88">
        <f>C61+0.005</f>
        <v>0.11974247381426671</v>
      </c>
      <c r="D62" s="96">
        <v>-5291.9076681055367</v>
      </c>
      <c r="E62" s="97">
        <v>-7501.2126364385058</v>
      </c>
      <c r="F62" s="97">
        <v>-9827.1128850729347</v>
      </c>
      <c r="G62" s="97">
        <v>-12279.088478518266</v>
      </c>
      <c r="H62" s="98">
        <v>-14867.675844464527</v>
      </c>
    </row>
  </sheetData>
  <mergeCells count="3">
    <mergeCell ref="C55:H55"/>
    <mergeCell ref="C56:H56"/>
    <mergeCell ref="B58:B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9F43-D3C1-0C4A-B05D-3C05247DC419}">
  <dimension ref="B2:K41"/>
  <sheetViews>
    <sheetView workbookViewId="0">
      <selection activeCell="F8" sqref="F8"/>
    </sheetView>
  </sheetViews>
  <sheetFormatPr defaultColWidth="11.42578125" defaultRowHeight="15" x14ac:dyDescent="0.25"/>
  <cols>
    <col min="2" max="2" width="32.28515625" customWidth="1"/>
    <col min="3" max="3" width="11.42578125" hidden="1" customWidth="1"/>
    <col min="4" max="10" width="23.28515625" customWidth="1"/>
  </cols>
  <sheetData>
    <row r="2" spans="2:11" x14ac:dyDescent="0.25">
      <c r="B2" s="114" t="s">
        <v>55</v>
      </c>
      <c r="C2" s="115"/>
      <c r="D2" s="116" t="s">
        <v>288</v>
      </c>
    </row>
    <row r="3" spans="2:11" x14ac:dyDescent="0.25">
      <c r="B3" s="117" t="s">
        <v>289</v>
      </c>
      <c r="C3" s="12" t="s">
        <v>290</v>
      </c>
      <c r="D3" s="118" t="e" cm="1">
        <f t="array" aca="1" ref="D3" ca="1">_xll.BDP($D$2,C3,"3/2/26")</f>
        <v>#NAME?</v>
      </c>
    </row>
    <row r="4" spans="2:11" x14ac:dyDescent="0.25">
      <c r="B4" s="119" t="s">
        <v>291</v>
      </c>
      <c r="C4" t="s">
        <v>292</v>
      </c>
      <c r="D4" s="120" t="e" cm="1">
        <f t="array" aca="1" ref="D4" ca="1">_xll.BDP($D$2,C4,$C$9)</f>
        <v>#NAME?</v>
      </c>
    </row>
    <row r="5" spans="2:11" x14ac:dyDescent="0.25">
      <c r="B5" s="119" t="s">
        <v>293</v>
      </c>
      <c r="C5" t="s">
        <v>294</v>
      </c>
      <c r="D5" s="120" t="e" cm="1">
        <f t="array" aca="1" ref="D5" ca="1">_xll.BDP($D$2,C5,$C$9)</f>
        <v>#NAME?</v>
      </c>
    </row>
    <row r="6" spans="2:11" x14ac:dyDescent="0.25">
      <c r="B6" s="119" t="s">
        <v>295</v>
      </c>
      <c r="C6" t="s">
        <v>296</v>
      </c>
      <c r="D6" s="121" t="e" cm="1">
        <f t="array" aca="1" ref="D6" ca="1">_xll.BDP($D$2,C6,$C$9)/1000000</f>
        <v>#NAME?</v>
      </c>
    </row>
    <row r="7" spans="2:11" x14ac:dyDescent="0.25">
      <c r="B7" s="119" t="s">
        <v>223</v>
      </c>
      <c r="C7" t="s">
        <v>297</v>
      </c>
      <c r="D7" s="120" t="e" cm="1">
        <f t="array" aca="1" ref="D7" ca="1">_xll.BDP($D$2,C7,$C$9)</f>
        <v>#NAME?</v>
      </c>
    </row>
    <row r="8" spans="2:11" x14ac:dyDescent="0.25">
      <c r="B8" s="122" t="s">
        <v>298</v>
      </c>
      <c r="C8" s="27" t="s">
        <v>299</v>
      </c>
      <c r="D8" s="123" t="e" cm="1">
        <f t="array" aca="1" ref="D8" ca="1">_xll.BDP($D$2,C8,$C$9)</f>
        <v>#NAME?</v>
      </c>
    </row>
    <row r="10" spans="2:11" x14ac:dyDescent="0.25">
      <c r="B10" s="124"/>
      <c r="D10" s="125" t="s">
        <v>300</v>
      </c>
      <c r="E10" s="125" t="s">
        <v>301</v>
      </c>
      <c r="F10" s="125" t="s">
        <v>302</v>
      </c>
      <c r="G10" s="125" t="s">
        <v>303</v>
      </c>
      <c r="H10" s="125" t="s">
        <v>304</v>
      </c>
      <c r="I10" s="125" t="s">
        <v>305</v>
      </c>
      <c r="J10" s="125" t="s">
        <v>306</v>
      </c>
    </row>
    <row r="11" spans="2:11" ht="15.75" thickBot="1" x14ac:dyDescent="0.3">
      <c r="B11" s="126"/>
      <c r="D11" s="126" t="s">
        <v>307</v>
      </c>
      <c r="E11" s="126" t="s">
        <v>308</v>
      </c>
      <c r="F11" s="126" t="s">
        <v>309</v>
      </c>
      <c r="G11" s="126" t="s">
        <v>310</v>
      </c>
      <c r="H11" s="126"/>
      <c r="I11" s="126"/>
      <c r="J11" s="127" t="str">
        <f>D2</f>
        <v>VEEV US EQUITY</v>
      </c>
    </row>
    <row r="12" spans="2:11" ht="15.75" thickTop="1" x14ac:dyDescent="0.25"/>
    <row r="13" spans="2:11" x14ac:dyDescent="0.25">
      <c r="B13" s="46" t="s">
        <v>311</v>
      </c>
      <c r="C13" s="27"/>
      <c r="D13" s="27"/>
      <c r="E13" s="27"/>
      <c r="F13" s="27"/>
      <c r="G13" s="27"/>
      <c r="H13" s="27"/>
      <c r="I13" s="27"/>
      <c r="J13" s="27"/>
      <c r="K13" s="2" t="s">
        <v>312</v>
      </c>
    </row>
    <row r="14" spans="2:11" x14ac:dyDescent="0.25">
      <c r="B14" t="s">
        <v>313</v>
      </c>
      <c r="C14" t="s">
        <v>314</v>
      </c>
      <c r="D14" s="128" t="e" cm="1">
        <f t="array" aca="1" ref="D14" ca="1">_xll.BDP(D$11,$C14)</f>
        <v>#NAME?</v>
      </c>
      <c r="E14" s="128" t="e" cm="1">
        <f t="array" aca="1" ref="E14" ca="1">_xll.BDP(E$11,$C14)</f>
        <v>#NAME?</v>
      </c>
      <c r="F14" s="128" t="e" cm="1">
        <f t="array" aca="1" ref="F14" ca="1">_xll.BDP(F$11,$C14)</f>
        <v>#NAME?</v>
      </c>
      <c r="G14" s="128" t="e" cm="1">
        <f t="array" aca="1" ref="G14" ca="1">_xll.BDP(G$11,$C14)</f>
        <v>#NAME?</v>
      </c>
      <c r="H14" s="128" t="s">
        <v>315</v>
      </c>
      <c r="I14" s="129" t="e">
        <f ca="1">AVERAGE(D14:H14)</f>
        <v>#NAME?</v>
      </c>
      <c r="J14" s="129" t="e" cm="1">
        <f t="array" aca="1" ref="J14" ca="1">_xll.BDP(J$11,C14)</f>
        <v>#NAME?</v>
      </c>
      <c r="K14" t="s">
        <v>316</v>
      </c>
    </row>
    <row r="15" spans="2:11" x14ac:dyDescent="0.25">
      <c r="B15" t="s">
        <v>317</v>
      </c>
      <c r="C15" t="s">
        <v>318</v>
      </c>
      <c r="D15" s="128" t="e" cm="1">
        <f t="array" aca="1" ref="D15" ca="1">_xll.BDP(D$11,$C15)</f>
        <v>#NAME?</v>
      </c>
      <c r="E15" s="128" t="e" cm="1">
        <f t="array" aca="1" ref="E15" ca="1">_xll.BDP(E$11,$C15)</f>
        <v>#NAME?</v>
      </c>
      <c r="F15" s="128" t="e" cm="1">
        <f t="array" aca="1" ref="F15" ca="1">_xll.BDP(F$11,$C15)</f>
        <v>#NAME?</v>
      </c>
      <c r="G15" s="128" t="e" cm="1">
        <f t="array" aca="1" ref="G15" ca="1">_xll.BDP(G$11,$C15)</f>
        <v>#NAME?</v>
      </c>
      <c r="H15" s="128" t="s">
        <v>315</v>
      </c>
      <c r="I15" s="129" t="e">
        <f t="shared" ref="I15:I18" ca="1" si="0">AVERAGE(D15:H15)</f>
        <v>#NAME?</v>
      </c>
      <c r="J15" s="129" t="e" cm="1">
        <f t="array" aca="1" ref="J15" ca="1">_xll.BDP(J$11,C15)</f>
        <v>#NAME?</v>
      </c>
      <c r="K15" t="s">
        <v>319</v>
      </c>
    </row>
    <row r="16" spans="2:11" x14ac:dyDescent="0.25">
      <c r="B16" t="s">
        <v>320</v>
      </c>
      <c r="C16" t="s">
        <v>321</v>
      </c>
      <c r="D16" s="128" t="e" cm="1">
        <f t="array" aca="1" ref="D16" ca="1">_xll.BDP(D$11,$C16)</f>
        <v>#NAME?</v>
      </c>
      <c r="E16" s="128" t="e" cm="1">
        <f t="array" aca="1" ref="E16" ca="1">_xll.BDP(E$11,$C16)</f>
        <v>#NAME?</v>
      </c>
      <c r="F16" s="128" t="e" cm="1">
        <f t="array" aca="1" ref="F16" ca="1">_xll.BDP(F$11,$C16)</f>
        <v>#NAME?</v>
      </c>
      <c r="G16" s="128" t="e" cm="1">
        <f t="array" aca="1" ref="G16" ca="1">_xll.BDP(G$11,$C16)</f>
        <v>#NAME?</v>
      </c>
      <c r="I16" s="129" t="e">
        <f t="shared" ca="1" si="0"/>
        <v>#NAME?</v>
      </c>
      <c r="J16" s="129" t="e" cm="1">
        <f t="array" aca="1" ref="J16" ca="1">_xll.BDP(J$11,C16)</f>
        <v>#NAME?</v>
      </c>
      <c r="K16" t="s">
        <v>316</v>
      </c>
    </row>
    <row r="17" spans="2:11" x14ac:dyDescent="0.25">
      <c r="B17" t="s">
        <v>322</v>
      </c>
      <c r="C17" t="s">
        <v>323</v>
      </c>
      <c r="D17" s="128" t="e" cm="1">
        <f t="array" aca="1" ref="D17" ca="1">_xll.BDP(D$11,$C17)</f>
        <v>#NAME?</v>
      </c>
      <c r="E17" s="128" t="e" cm="1">
        <f t="array" aca="1" ref="E17" ca="1">_xll.BDP(E$11,$C17)</f>
        <v>#NAME?</v>
      </c>
      <c r="F17" s="128" t="e" cm="1">
        <f t="array" aca="1" ref="F17" ca="1">_xll.BDP(F$11,$C17)</f>
        <v>#NAME?</v>
      </c>
      <c r="G17" s="128" t="e" cm="1">
        <f t="array" aca="1" ref="G17" ca="1">_xll.BDP(G$11,$C17)</f>
        <v>#NAME?</v>
      </c>
      <c r="I17" s="129" t="e">
        <f t="shared" ca="1" si="0"/>
        <v>#NAME?</v>
      </c>
      <c r="J17" s="129" t="e" cm="1">
        <f t="array" aca="1" ref="J17" ca="1">_xll.BDP(J$11,C17)</f>
        <v>#NAME?</v>
      </c>
      <c r="K17" t="s">
        <v>316</v>
      </c>
    </row>
    <row r="18" spans="2:11" x14ac:dyDescent="0.25">
      <c r="B18" t="s">
        <v>324</v>
      </c>
      <c r="C18" t="s">
        <v>325</v>
      </c>
      <c r="D18" s="128" t="e" cm="1">
        <f t="array" aca="1" ref="D18" ca="1">_xll.BDP(D$11,$C18)</f>
        <v>#NAME?</v>
      </c>
      <c r="E18" s="128" t="e" cm="1">
        <f t="array" aca="1" ref="E18" ca="1">_xll.BDP(E$11,$C18)</f>
        <v>#NAME?</v>
      </c>
      <c r="F18" s="128" t="e" cm="1">
        <f t="array" aca="1" ref="F18" ca="1">_xll.BDP(F$11,$C18)</f>
        <v>#NAME?</v>
      </c>
      <c r="G18" s="128" t="e" cm="1">
        <f t="array" aca="1" ref="G18" ca="1">_xll.BDP(G$11,$C18)</f>
        <v>#NAME?</v>
      </c>
      <c r="I18" s="129" t="e">
        <f t="shared" ca="1" si="0"/>
        <v>#NAME?</v>
      </c>
      <c r="J18" s="129" t="e" cm="1">
        <f t="array" aca="1" ref="J18" ca="1">_xll.BDP(J$11,C18)</f>
        <v>#NAME?</v>
      </c>
      <c r="K18" t="s">
        <v>319</v>
      </c>
    </row>
    <row r="19" spans="2:11" x14ac:dyDescent="0.25">
      <c r="B19" t="s">
        <v>326</v>
      </c>
      <c r="C19" t="s">
        <v>327</v>
      </c>
      <c r="D19" s="128" t="e" cm="1">
        <f t="array" aca="1" ref="D19" ca="1">_xll.BDP(D$11,$C19)</f>
        <v>#NAME?</v>
      </c>
      <c r="E19" s="128" t="e" cm="1">
        <f t="array" aca="1" ref="E19" ca="1">_xll.BDP(E$11,$C19)</f>
        <v>#NAME?</v>
      </c>
      <c r="F19" s="128" t="e" cm="1">
        <f t="array" aca="1" ref="F19" ca="1">_xll.BDP(F$11,$C19)</f>
        <v>#NAME?</v>
      </c>
      <c r="G19" s="128" t="e" cm="1">
        <f t="array" aca="1" ref="G19" ca="1">_xll.BDP(G$11,$C19)</f>
        <v>#NAME?</v>
      </c>
      <c r="H19" s="128" t="s">
        <v>315</v>
      </c>
      <c r="I19" s="129" t="e">
        <f ca="1">AVERAGE(D19:H19)</f>
        <v>#NAME?</v>
      </c>
      <c r="J19" s="129" t="e" cm="1">
        <f t="array" aca="1" ref="J19" ca="1">_xll.BDP(J$11,C19)</f>
        <v>#NAME?</v>
      </c>
      <c r="K19" t="s">
        <v>319</v>
      </c>
    </row>
    <row r="21" spans="2:11" x14ac:dyDescent="0.25">
      <c r="B21" s="125" t="s">
        <v>328</v>
      </c>
      <c r="C21" s="125"/>
      <c r="D21" s="130">
        <v>44227</v>
      </c>
      <c r="E21" s="130">
        <f>D21+365</f>
        <v>44592</v>
      </c>
      <c r="F21" s="130">
        <f t="shared" ref="F21:H21" si="1">E21+365</f>
        <v>44957</v>
      </c>
      <c r="G21" s="130">
        <f>F21+366</f>
        <v>45323</v>
      </c>
      <c r="H21" s="130">
        <f t="shared" si="1"/>
        <v>45688</v>
      </c>
    </row>
    <row r="22" spans="2:11" x14ac:dyDescent="0.25">
      <c r="B22" t="s">
        <v>329</v>
      </c>
      <c r="C22" t="s">
        <v>330</v>
      </c>
      <c r="D22" s="131" cm="1">
        <f t="array" ref="D22">_xll.BDH($D$2,$C22,D$21)</f>
        <v>9.7215000000000007</v>
      </c>
      <c r="E22" s="131" cm="1">
        <f t="array" ref="E22">_xll.BDH($D$2,$C22,E$21)</f>
        <v>12.0754</v>
      </c>
      <c r="F22" s="131" cm="1">
        <f t="array" ref="F22">_xll.BDH($D$2,$C22,F$21)</f>
        <v>13.870799999999999</v>
      </c>
      <c r="G22" s="131" t="str" cm="1">
        <f t="array" ref="G22">_xll.BDH($D$2,$C22,G$21)</f>
        <v>#N/A N/A</v>
      </c>
      <c r="H22" s="131" cm="1">
        <f t="array" ref="H22">_xll.BDH($D$2,$C22,H$21)</f>
        <v>16.966000000000001</v>
      </c>
    </row>
    <row r="23" spans="2:11" x14ac:dyDescent="0.25">
      <c r="B23" t="s">
        <v>331</v>
      </c>
      <c r="C23" t="s">
        <v>332</v>
      </c>
      <c r="D23" s="131" cm="1">
        <f t="array" ref="D23">_xll.BDH($D$2,$C23,D$21)</f>
        <v>1465.069</v>
      </c>
      <c r="E23" s="131" cm="1">
        <f t="array" ref="E23">_xll.BDH($D$2,$C23,E$21)</f>
        <v>1850.777</v>
      </c>
      <c r="F23" s="131" cm="1">
        <f t="array" ref="F23">_xll.BDH($D$2,$C23,F$21)</f>
        <v>2155.06</v>
      </c>
      <c r="G23" s="131" t="str" cm="1">
        <f t="array" ref="G23">_xll.BDH($D$2,$C23,G$21)</f>
        <v>#N/A N/A</v>
      </c>
      <c r="H23" s="131" cm="1">
        <f t="array" ref="H23">_xll.BDH($D$2,$C23,H$21)</f>
        <v>2746.6190000000001</v>
      </c>
    </row>
    <row r="24" spans="2:11" x14ac:dyDescent="0.25">
      <c r="B24" t="s">
        <v>333</v>
      </c>
      <c r="C24" t="s">
        <v>334</v>
      </c>
      <c r="D24" s="131" cm="1">
        <f t="array" ref="D24">_xll.BDH($D$2,$C24,D$21)</f>
        <v>63.118000000000002</v>
      </c>
      <c r="E24" s="131" cm="1">
        <f t="array" ref="E24">_xll.BDH($D$2,$C24,E$21)</f>
        <v>54.588000000000001</v>
      </c>
      <c r="F24" s="131" cm="1">
        <f t="array" ref="F24">_xll.BDH($D$2,$C24,F$21)</f>
        <v>60.975999999999999</v>
      </c>
      <c r="G24" s="131" t="str" cm="1">
        <f t="array" ref="G24">_xll.BDH($D$2,$C24,G$21)</f>
        <v>#N/A N/A</v>
      </c>
      <c r="H24" s="131" cm="1">
        <f t="array" ref="H24">_xll.BDH($D$2,$C24,H$21)</f>
        <v>75.775000000000006</v>
      </c>
    </row>
    <row r="25" spans="2:11" x14ac:dyDescent="0.25">
      <c r="B25" t="s">
        <v>25</v>
      </c>
      <c r="C25" t="s">
        <v>335</v>
      </c>
      <c r="D25" s="131" cm="1">
        <f t="array" ref="D25">_xll.BDH($D$2,$C25,D$21)</f>
        <v>730.50400000000002</v>
      </c>
      <c r="E25" s="131" cm="1">
        <f t="array" ref="E25">_xll.BDH($D$2,$C25,E$21)</f>
        <v>1138.04</v>
      </c>
      <c r="F25" s="131" cm="1">
        <f t="array" ref="F25">_xll.BDH($D$2,$C25,F$21)</f>
        <v>886.46500000000003</v>
      </c>
      <c r="G25" s="131" t="str" cm="1">
        <f t="array" ref="G25">_xll.BDH($D$2,$C25,G$21)</f>
        <v>#N/A N/A</v>
      </c>
      <c r="H25" s="131" cm="1">
        <f t="array" ref="H25">_xll.BDH($D$2,$C25,H$21)</f>
        <v>1118.7850000000001</v>
      </c>
    </row>
    <row r="26" spans="2:11" x14ac:dyDescent="0.25">
      <c r="B26" t="s">
        <v>267</v>
      </c>
      <c r="C26" t="s">
        <v>336</v>
      </c>
      <c r="D26" s="131" cm="1">
        <f t="array" ref="D26">_xll.BDH($D$2,$C26,D$21)</f>
        <v>14.904400000000001</v>
      </c>
      <c r="E26" s="131" cm="1">
        <f t="array" ref="E26">_xll.BDH($D$2,$C26,E$21)</f>
        <v>20.882000000000001</v>
      </c>
      <c r="F26" s="131" cm="1">
        <f t="array" ref="F26">_xll.BDH($D$2,$C26,F$21)</f>
        <v>23.484200000000001</v>
      </c>
      <c r="G26" s="131" t="str" cm="1">
        <f t="array" ref="G26">_xll.BDH($D$2,$C26,G$21)</f>
        <v>#N/A N/A</v>
      </c>
      <c r="H26" s="131" cm="1">
        <f t="array" ref="H26">_xll.BDH($D$2,$C26,H$21)</f>
        <v>35.872999999999998</v>
      </c>
    </row>
    <row r="27" spans="2:11" x14ac:dyDescent="0.25">
      <c r="B27" t="s">
        <v>337</v>
      </c>
      <c r="C27" t="s">
        <v>338</v>
      </c>
      <c r="D27" s="131" cm="1">
        <f t="array" ref="D27">_xll.BDH($D$2,$C27,D$21)</f>
        <v>2.52</v>
      </c>
      <c r="E27" s="131" cm="1">
        <f t="array" ref="E27">_xll.BDH($D$2,$C27,E$21)</f>
        <v>2.79</v>
      </c>
      <c r="F27" s="131" cm="1">
        <f t="array" ref="F27">_xll.BDH($D$2,$C27,F$21)</f>
        <v>3.13</v>
      </c>
      <c r="G27" s="131" t="str" cm="1">
        <f t="array" ref="G27">_xll.BDH($D$2,$C27,G$21)</f>
        <v>#N/A N/A</v>
      </c>
      <c r="H27" s="131" cm="1">
        <f t="array" ref="H27">_xll.BDH($D$2,$C27,H$21)</f>
        <v>4.2832999999999997</v>
      </c>
    </row>
    <row r="28" spans="2:11" x14ac:dyDescent="0.25">
      <c r="B28" t="s">
        <v>339</v>
      </c>
      <c r="C28" t="s">
        <v>340</v>
      </c>
      <c r="D28" s="131" cm="1">
        <f t="array" ref="D28">_xll.BDH($D$2,$C28,D$21)</f>
        <v>3.6101000000000001</v>
      </c>
      <c r="E28" s="131" cm="1">
        <f t="array" ref="E28">_xll.BDH($D$2,$C28,E$21)</f>
        <v>4.9100999999999999</v>
      </c>
      <c r="F28" s="131" cm="1">
        <f t="array" ref="F28">_xll.BDH($D$2,$C28,F$21)</f>
        <v>4.9513999999999996</v>
      </c>
      <c r="G28" s="131" t="str" cm="1">
        <f t="array" ref="G28">_xll.BDH($D$2,$C28,G$21)</f>
        <v>#N/A N/A</v>
      </c>
      <c r="H28" s="131" cm="1">
        <f t="array" ref="H28">_xll.BDH($D$2,$C28,H$21)</f>
        <v>6.6189</v>
      </c>
    </row>
    <row r="29" spans="2:11" x14ac:dyDescent="0.25">
      <c r="B29" t="s">
        <v>341</v>
      </c>
      <c r="C29" t="s">
        <v>342</v>
      </c>
      <c r="D29" s="131" cm="1">
        <f t="array" ref="D29">_xll.BDH($D$2,$C29,D$21)</f>
        <v>2.7888000000000002</v>
      </c>
      <c r="E29" s="131" cm="1">
        <f t="array" ref="E29">_xll.BDH($D$2,$C29,E$21)</f>
        <v>3.5627</v>
      </c>
      <c r="F29" s="131" cm="1">
        <f t="array" ref="F29">_xll.BDH($D$2,$C29,F$21)</f>
        <v>3.2462</v>
      </c>
      <c r="G29" s="131" t="str" cm="1">
        <f t="array" ref="G29">_xll.BDH($D$2,$C29,G$21)</f>
        <v>#N/A N/A</v>
      </c>
      <c r="H29" s="131" cm="1">
        <f t="array" ref="H29">_xll.BDH($D$2,$C29,H$21)</f>
        <v>4.6005000000000003</v>
      </c>
    </row>
    <row r="31" spans="2:11" x14ac:dyDescent="0.25">
      <c r="B31" s="125" t="s">
        <v>343</v>
      </c>
      <c r="D31" s="125" t="s">
        <v>344</v>
      </c>
      <c r="E31" s="125" t="s">
        <v>345</v>
      </c>
    </row>
    <row r="32" spans="2:11" x14ac:dyDescent="0.25">
      <c r="B32" t="s">
        <v>313</v>
      </c>
      <c r="D32" s="128" t="e">
        <f ca="1">I14</f>
        <v>#NAME?</v>
      </c>
      <c r="E32" s="63" t="str">
        <f>IF(K14="Yes",D32*H22,"")</f>
        <v/>
      </c>
    </row>
    <row r="33" spans="2:5" x14ac:dyDescent="0.25">
      <c r="B33" t="s">
        <v>317</v>
      </c>
      <c r="D33" s="128" t="e">
        <f t="shared" ref="D33:D37" ca="1" si="2">I15</f>
        <v>#NAME?</v>
      </c>
      <c r="E33" s="63" t="e">
        <f ca="1">IF(K15="Yes",D33*H26,"")</f>
        <v>#NAME?</v>
      </c>
    </row>
    <row r="34" spans="2:5" x14ac:dyDescent="0.25">
      <c r="B34" t="s">
        <v>320</v>
      </c>
      <c r="D34" s="128" t="e">
        <f t="shared" ca="1" si="2"/>
        <v>#NAME?</v>
      </c>
      <c r="E34" s="63" t="str">
        <f>IF(K16="Yes",D34*H29,"")</f>
        <v/>
      </c>
    </row>
    <row r="35" spans="2:5" x14ac:dyDescent="0.25">
      <c r="B35" t="s">
        <v>322</v>
      </c>
      <c r="D35" s="128" t="e">
        <f t="shared" ca="1" si="2"/>
        <v>#NAME?</v>
      </c>
      <c r="E35" s="63" t="str">
        <f>IF(K17="Yes",D35*H28,"")</f>
        <v/>
      </c>
    </row>
    <row r="36" spans="2:5" x14ac:dyDescent="0.25">
      <c r="B36" t="s">
        <v>324</v>
      </c>
      <c r="D36" s="128" t="e">
        <f t="shared" ca="1" si="2"/>
        <v>#NAME?</v>
      </c>
      <c r="E36" s="63" t="e">
        <f ca="1">IF(K18="Yes",D36*H27,"")</f>
        <v>#NAME?</v>
      </c>
    </row>
    <row r="37" spans="2:5" x14ac:dyDescent="0.25">
      <c r="B37" t="s">
        <v>326</v>
      </c>
      <c r="D37" s="128" t="e">
        <f t="shared" ca="1" si="2"/>
        <v>#NAME?</v>
      </c>
      <c r="E37" s="63" t="e">
        <f ca="1">IF(K19="Yes",((D37*H23)-H24+H25)/D7,"")</f>
        <v>#NAME?</v>
      </c>
    </row>
    <row r="38" spans="2:5" ht="15.75" thickBot="1" x14ac:dyDescent="0.3">
      <c r="B38" s="132" t="s">
        <v>346</v>
      </c>
      <c r="C38" s="126"/>
      <c r="D38" s="126"/>
      <c r="E38" s="133" t="e">
        <f ca="1">AVERAGE(E32:E37)</f>
        <v>#NAME?</v>
      </c>
    </row>
    <row r="39" spans="2:5" ht="15.75" thickTop="1" x14ac:dyDescent="0.25"/>
    <row r="40" spans="2:5" x14ac:dyDescent="0.25">
      <c r="B40" t="s">
        <v>347</v>
      </c>
      <c r="E40" s="134" t="e">
        <f ca="1">D3</f>
        <v>#NAME?</v>
      </c>
    </row>
    <row r="41" spans="2:5" x14ac:dyDescent="0.25">
      <c r="B41" s="135" t="s">
        <v>348</v>
      </c>
      <c r="C41" s="135"/>
      <c r="D41" s="135"/>
      <c r="E41" s="136" t="e">
        <f ca="1">E38/E40-1</f>
        <v>#NAME?</v>
      </c>
    </row>
  </sheetData>
  <dataValidations count="1">
    <dataValidation type="list" allowBlank="1" showInputMessage="1" showErrorMessage="1" sqref="K14:K19" xr:uid="{001673F9-8E48-4968-8131-A64E0F378A5E}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C076-3D54-F944-B464-318EFA7AFD74}">
  <dimension ref="B2:G23"/>
  <sheetViews>
    <sheetView showGridLines="0" zoomScale="90" zoomScaleNormal="90" workbookViewId="0">
      <selection activeCell="C14" sqref="C14"/>
    </sheetView>
  </sheetViews>
  <sheetFormatPr defaultColWidth="11.42578125" defaultRowHeight="15" x14ac:dyDescent="0.25"/>
  <cols>
    <col min="1" max="1" width="2.28515625" customWidth="1"/>
    <col min="2" max="2" width="36" bestFit="1" customWidth="1"/>
    <col min="3" max="3" width="29" bestFit="1" customWidth="1"/>
    <col min="4" max="4" width="12.42578125" customWidth="1"/>
    <col min="5" max="5" width="16" customWidth="1"/>
    <col min="6" max="6" width="15.5703125" bestFit="1" customWidth="1"/>
  </cols>
  <sheetData>
    <row r="2" spans="2:7" ht="21.75" thickBot="1" x14ac:dyDescent="0.4">
      <c r="B2" s="15" t="s">
        <v>349</v>
      </c>
      <c r="C2" s="15" t="s">
        <v>350</v>
      </c>
      <c r="D2" s="15" t="s">
        <v>351</v>
      </c>
      <c r="E2" s="15" t="s">
        <v>312</v>
      </c>
    </row>
    <row r="3" spans="2:7" ht="18.75" x14ac:dyDescent="0.3">
      <c r="B3" s="106" t="s">
        <v>352</v>
      </c>
      <c r="C3" s="107">
        <f>FCFM!D70</f>
        <v>4564.7414849305769</v>
      </c>
      <c r="D3" s="108">
        <v>0.25</v>
      </c>
      <c r="E3" s="106" t="s">
        <v>319</v>
      </c>
    </row>
    <row r="4" spans="2:7" ht="18.75" x14ac:dyDescent="0.3">
      <c r="B4" s="106" t="s">
        <v>353</v>
      </c>
      <c r="C4" s="107">
        <f>RIM!D28</f>
        <v>64376.924809228251</v>
      </c>
      <c r="D4" s="108">
        <v>0.125</v>
      </c>
      <c r="E4" s="106" t="s">
        <v>319</v>
      </c>
    </row>
    <row r="5" spans="2:7" ht="18.75" x14ac:dyDescent="0.3">
      <c r="B5" s="106" t="s">
        <v>354</v>
      </c>
      <c r="C5" s="107">
        <f>MVAM!D51</f>
        <v>-12840.739027475292</v>
      </c>
      <c r="D5" s="108">
        <v>0.125</v>
      </c>
      <c r="E5" s="106" t="s">
        <v>319</v>
      </c>
    </row>
    <row r="6" spans="2:7" ht="18.75" x14ac:dyDescent="0.3">
      <c r="B6" s="106" t="s">
        <v>355</v>
      </c>
      <c r="C6" s="107" t="e">
        <f ca="1">'Relative Valuation'!E38</f>
        <v>#NAME?</v>
      </c>
      <c r="D6" s="109">
        <v>0.5</v>
      </c>
      <c r="E6" s="106" t="s">
        <v>319</v>
      </c>
    </row>
    <row r="7" spans="2:7" ht="18.75" x14ac:dyDescent="0.3">
      <c r="B7" s="110" t="s">
        <v>356</v>
      </c>
      <c r="C7" s="107"/>
      <c r="D7" s="111">
        <f>SUM(D3:D6)</f>
        <v>1</v>
      </c>
      <c r="E7" s="106"/>
    </row>
    <row r="8" spans="2:7" ht="18.75" x14ac:dyDescent="0.3">
      <c r="B8" s="106"/>
      <c r="C8" s="106"/>
      <c r="D8" s="106"/>
      <c r="E8" s="106"/>
    </row>
    <row r="9" spans="2:7" ht="21.75" thickBot="1" x14ac:dyDescent="0.4">
      <c r="B9" s="15" t="s">
        <v>349</v>
      </c>
      <c r="C9" s="15" t="s">
        <v>357</v>
      </c>
      <c r="D9" s="106"/>
      <c r="E9" s="106"/>
      <c r="F9" t="s">
        <v>358</v>
      </c>
      <c r="G9" t="e">
        <f ca="1">FCFM!G5</f>
        <v>#NAME?</v>
      </c>
    </row>
    <row r="10" spans="2:7" ht="18.75" x14ac:dyDescent="0.3">
      <c r="B10" s="106" t="s">
        <v>352</v>
      </c>
      <c r="C10" s="107">
        <f>IF(E3="Yes",C3*D3,0)</f>
        <v>1141.1853712326442</v>
      </c>
      <c r="F10" t="s">
        <v>359</v>
      </c>
      <c r="G10" s="63" t="e">
        <f ca="1">C14</f>
        <v>#NAME?</v>
      </c>
    </row>
    <row r="11" spans="2:7" ht="18.75" x14ac:dyDescent="0.3">
      <c r="B11" s="106" t="s">
        <v>353</v>
      </c>
      <c r="C11" s="107">
        <f>IF(E4="Yes",C4*D4,0)</f>
        <v>8047.1156011535313</v>
      </c>
      <c r="F11" t="s">
        <v>360</v>
      </c>
      <c r="G11" s="31" t="e">
        <f ca="1">G10/G9-1</f>
        <v>#NAME?</v>
      </c>
    </row>
    <row r="12" spans="2:7" ht="18.75" x14ac:dyDescent="0.3">
      <c r="B12" s="106" t="s">
        <v>354</v>
      </c>
      <c r="C12" s="107">
        <f>IF(E5="Yes",C5*D5,0)</f>
        <v>-1605.0923784344116</v>
      </c>
    </row>
    <row r="13" spans="2:7" ht="18.75" x14ac:dyDescent="0.3">
      <c r="B13" s="112" t="s">
        <v>355</v>
      </c>
      <c r="C13" s="113" t="e">
        <f ca="1">IF(E6="Yes",C6*D6,0)</f>
        <v>#NAME?</v>
      </c>
    </row>
    <row r="14" spans="2:7" ht="18.75" x14ac:dyDescent="0.3">
      <c r="B14" s="110" t="s">
        <v>361</v>
      </c>
      <c r="C14" s="142" t="e">
        <f ca="1">SUM(C10:C13)</f>
        <v>#NAME?</v>
      </c>
    </row>
    <row r="15" spans="2:7" ht="18.75" x14ac:dyDescent="0.3">
      <c r="B15" s="110" t="s">
        <v>348</v>
      </c>
      <c r="C15" s="108"/>
    </row>
    <row r="17" spans="2:5" ht="21.75" thickBot="1" x14ac:dyDescent="0.4">
      <c r="B17" s="15" t="s">
        <v>362</v>
      </c>
      <c r="C17" s="15"/>
      <c r="D17" s="15"/>
      <c r="E17" s="15"/>
    </row>
    <row r="18" spans="2:5" ht="18.75" x14ac:dyDescent="0.3">
      <c r="B18" s="106"/>
      <c r="C18" s="106" t="s">
        <v>363</v>
      </c>
      <c r="D18" s="106" t="s">
        <v>364</v>
      </c>
      <c r="E18" s="106" t="s">
        <v>365</v>
      </c>
    </row>
    <row r="19" spans="2:5" ht="18.75" x14ac:dyDescent="0.3">
      <c r="B19" s="106" t="s">
        <v>352</v>
      </c>
      <c r="C19" s="107">
        <f>MIN(FCFM!D82:H86)</f>
        <v>3246.9085306376401</v>
      </c>
      <c r="D19" s="107">
        <f>E19-C19</f>
        <v>1312.4737407943512</v>
      </c>
      <c r="E19" s="107">
        <f>MAX(FCFM!D82:H86)</f>
        <v>4559.3822714319913</v>
      </c>
    </row>
    <row r="20" spans="2:5" ht="18.75" x14ac:dyDescent="0.3">
      <c r="B20" s="106" t="s">
        <v>353</v>
      </c>
      <c r="C20" s="107">
        <f>MIN(RIM!D35:H39,RIM!D44:H48)</f>
        <v>55744.159995320493</v>
      </c>
      <c r="D20" s="107">
        <f t="shared" ref="D20:D22" si="0">E20-C20</f>
        <v>14108.12855757941</v>
      </c>
      <c r="E20" s="107">
        <f>MAX(RIM!D35:H39,RIM!D44:H48)</f>
        <v>69852.288552899903</v>
      </c>
    </row>
    <row r="21" spans="2:5" ht="18.75" x14ac:dyDescent="0.3">
      <c r="B21" s="106" t="s">
        <v>354</v>
      </c>
      <c r="C21" s="107">
        <f>MIN(MVAM!D58:H62)</f>
        <v>-24066.326421351452</v>
      </c>
      <c r="D21" s="107">
        <f t="shared" si="0"/>
        <v>18774.418753245915</v>
      </c>
      <c r="E21" s="107">
        <f>MAX(MVAM!D58:H62)</f>
        <v>-5291.9076681055367</v>
      </c>
    </row>
    <row r="22" spans="2:5" ht="18.75" x14ac:dyDescent="0.3">
      <c r="B22" s="106" t="s">
        <v>355</v>
      </c>
      <c r="C22" s="107" t="e">
        <f ca="1">0.95*C6</f>
        <v>#NAME?</v>
      </c>
      <c r="D22" s="107" t="e">
        <f t="shared" ca="1" si="0"/>
        <v>#NAME?</v>
      </c>
      <c r="E22" s="107" t="e">
        <f ca="1">1.05*C6</f>
        <v>#NAME?</v>
      </c>
    </row>
    <row r="23" spans="2:5" ht="18.75" x14ac:dyDescent="0.3">
      <c r="C23" s="107"/>
      <c r="D23" s="107"/>
      <c r="E23" s="107"/>
    </row>
  </sheetData>
  <dataValidations count="1">
    <dataValidation type="list" allowBlank="1" showInputMessage="1" showErrorMessage="1" sqref="E3:E6" xr:uid="{AECB24BA-D5EA-8A4E-8F48-E137FF13B05A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CA64-CE39-344B-AF16-56323C886303}">
  <dimension ref="B2:N29"/>
  <sheetViews>
    <sheetView showGridLines="0" workbookViewId="0">
      <selection activeCell="K8" sqref="K8"/>
    </sheetView>
  </sheetViews>
  <sheetFormatPr defaultColWidth="11.42578125" defaultRowHeight="15" x14ac:dyDescent="0.25"/>
  <cols>
    <col min="2" max="2" width="15.42578125" bestFit="1" customWidth="1"/>
    <col min="3" max="3" width="13" customWidth="1"/>
    <col min="5" max="5" width="20.42578125" bestFit="1" customWidth="1"/>
    <col min="6" max="6" width="14.42578125" bestFit="1" customWidth="1"/>
    <col min="9" max="9" width="20" bestFit="1" customWidth="1"/>
    <col min="10" max="10" width="17" bestFit="1" customWidth="1"/>
  </cols>
  <sheetData>
    <row r="2" spans="2:14" x14ac:dyDescent="0.25">
      <c r="B2" t="s">
        <v>366</v>
      </c>
      <c r="C2" t="s">
        <v>367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 t="s">
        <v>373</v>
      </c>
      <c r="J2" t="s">
        <v>374</v>
      </c>
    </row>
    <row r="3" spans="2:14" x14ac:dyDescent="0.25">
      <c r="B3" t="s">
        <v>307</v>
      </c>
      <c r="C3">
        <v>1.1200000000000001</v>
      </c>
      <c r="D3" s="18" t="e" cm="1">
        <f t="array" aca="1" ref="D3" ca="1">_xll.BDP($B3,$N$9)/100</f>
        <v>#NAME?</v>
      </c>
      <c r="E3" s="18" t="e" cm="1">
        <f t="array" aca="1" ref="E3" ca="1">_xll.BDP($B3,$N$9)/100</f>
        <v>#NAME?</v>
      </c>
      <c r="F3" s="93" t="e">
        <f ca="1">C3/(1+(1-D3)*E3)</f>
        <v>#NAME?</v>
      </c>
      <c r="G3" s="137" t="e" cm="1">
        <f t="array" aca="1" ref="G3" ca="1">_xll.BDP($B3,$N$11)</f>
        <v>#NAME?</v>
      </c>
      <c r="H3" s="137" t="e" cm="1">
        <f t="array" aca="1" ref="H3" ca="1">_xll.BDP($B3,$N$12)</f>
        <v>#NAME?</v>
      </c>
      <c r="I3" s="93" t="e">
        <f ca="1">G3/H3</f>
        <v>#NAME?</v>
      </c>
      <c r="J3" s="93" t="e">
        <f ca="1">F3/(1-I3)</f>
        <v>#NAME?</v>
      </c>
    </row>
    <row r="4" spans="2:14" x14ac:dyDescent="0.25">
      <c r="B4" t="s">
        <v>308</v>
      </c>
      <c r="C4">
        <v>1.0940000000000001</v>
      </c>
      <c r="D4" s="18" t="e" cm="1">
        <f t="array" aca="1" ref="D4" ca="1">_xll.BDP($B4,$N$9)/100</f>
        <v>#NAME?</v>
      </c>
      <c r="E4" s="18" t="e" cm="1">
        <f t="array" aca="1" ref="E4" ca="1">_xll.BDP($B4,$N$9)/100</f>
        <v>#NAME?</v>
      </c>
      <c r="F4" s="93" t="e">
        <f t="shared" ref="F4:F7" ca="1" si="0">C4/(1+(1-D4)*E4)</f>
        <v>#NAME?</v>
      </c>
      <c r="G4" s="137" t="e" cm="1">
        <f t="array" aca="1" ref="G4" ca="1">_xll.BDP($B4,$N$11)</f>
        <v>#NAME?</v>
      </c>
      <c r="H4" s="137" t="e" cm="1">
        <f t="array" aca="1" ref="H4" ca="1">_xll.BDP($B4,$N$12)</f>
        <v>#NAME?</v>
      </c>
      <c r="I4" s="93" t="e">
        <f t="shared" ref="I4:I7" ca="1" si="1">G4/H4</f>
        <v>#NAME?</v>
      </c>
      <c r="J4" s="93" t="e">
        <f t="shared" ref="J4:J7" ca="1" si="2">F4/(1-I4)</f>
        <v>#NAME?</v>
      </c>
      <c r="N4" t="e" cm="1">
        <f t="array" aca="1" ref="N4" ca="1">_xll.BDP(N13,N11)</f>
        <v>#NAME?</v>
      </c>
    </row>
    <row r="5" spans="2:14" x14ac:dyDescent="0.25">
      <c r="B5" t="s">
        <v>309</v>
      </c>
      <c r="C5">
        <v>1.2350000000000001</v>
      </c>
      <c r="D5" s="18" t="e" cm="1">
        <f t="array" aca="1" ref="D5" ca="1">_xll.BDP($B5,$N$9)/100</f>
        <v>#NAME?</v>
      </c>
      <c r="E5" s="18" t="e" cm="1">
        <f t="array" aca="1" ref="E5" ca="1">_xll.BDP($B5,$N$9)/100</f>
        <v>#NAME?</v>
      </c>
      <c r="F5" s="93" t="e">
        <f t="shared" ca="1" si="0"/>
        <v>#NAME?</v>
      </c>
      <c r="G5" s="137" t="e" cm="1">
        <f t="array" aca="1" ref="G5" ca="1">_xll.BDP($B5,$N$11)</f>
        <v>#NAME?</v>
      </c>
      <c r="H5" s="137" t="e" cm="1">
        <f t="array" aca="1" ref="H5" ca="1">_xll.BDP($B5,$N$12)</f>
        <v>#NAME?</v>
      </c>
      <c r="I5" s="93" t="e">
        <f t="shared" ca="1" si="1"/>
        <v>#NAME?</v>
      </c>
      <c r="J5" s="93" t="e">
        <f t="shared" ca="1" si="2"/>
        <v>#NAME?</v>
      </c>
      <c r="N5" t="e" cm="1">
        <f t="array" aca="1" ref="N5" ca="1">_xll.BDP(N13,N12)</f>
        <v>#NAME?</v>
      </c>
    </row>
    <row r="6" spans="2:14" x14ac:dyDescent="0.25">
      <c r="B6" t="s">
        <v>310</v>
      </c>
      <c r="C6">
        <v>1.3109999999999999</v>
      </c>
      <c r="D6" s="18" t="e" cm="1">
        <f t="array" aca="1" ref="D6" ca="1">_xll.BDP($B6,$N$9)/100</f>
        <v>#NAME?</v>
      </c>
      <c r="E6" s="18" t="e" cm="1">
        <f t="array" aca="1" ref="E6" ca="1">_xll.BDP($B6,$N$9)/100</f>
        <v>#NAME?</v>
      </c>
      <c r="F6" s="93" t="e">
        <f t="shared" ca="1" si="0"/>
        <v>#NAME?</v>
      </c>
      <c r="G6" s="137" t="e" cm="1">
        <f t="array" aca="1" ref="G6" ca="1">_xll.BDP($B6,$N$11)</f>
        <v>#NAME?</v>
      </c>
      <c r="H6" s="137" t="e" cm="1">
        <f t="array" aca="1" ref="H6" ca="1">_xll.BDP($B6,$N$12)</f>
        <v>#NAME?</v>
      </c>
      <c r="I6" s="93" t="e">
        <f t="shared" ca="1" si="1"/>
        <v>#NAME?</v>
      </c>
      <c r="J6" s="93" t="e">
        <f t="shared" ca="1" si="2"/>
        <v>#NAME?</v>
      </c>
      <c r="N6" t="e">
        <f ca="1">N4/N5</f>
        <v>#NAME?</v>
      </c>
    </row>
    <row r="7" spans="2:14" x14ac:dyDescent="0.25">
      <c r="B7" t="s">
        <v>375</v>
      </c>
      <c r="C7">
        <v>1.363</v>
      </c>
      <c r="D7" s="18" t="e" cm="1">
        <f t="array" aca="1" ref="D7" ca="1">_xll.BDP($B7,$N$9)/100</f>
        <v>#NAME?</v>
      </c>
      <c r="E7" s="18" t="e" cm="1">
        <f t="array" aca="1" ref="E7" ca="1">_xll.BDP($B7,$N$9)/100</f>
        <v>#NAME?</v>
      </c>
      <c r="F7" s="93" t="e">
        <f t="shared" ca="1" si="0"/>
        <v>#NAME?</v>
      </c>
      <c r="G7" s="137" t="e" cm="1">
        <f t="array" aca="1" ref="G7" ca="1">_xll.BDP($B7,$N$11)</f>
        <v>#NAME?</v>
      </c>
      <c r="H7" s="137" t="e" cm="1">
        <f t="array" aca="1" ref="H7" ca="1">_xll.BDP($B7,$N$12)</f>
        <v>#NAME?</v>
      </c>
      <c r="I7" s="93" t="e">
        <f t="shared" ca="1" si="1"/>
        <v>#NAME?</v>
      </c>
      <c r="J7" s="93" t="e">
        <f t="shared" ca="1" si="2"/>
        <v>#NAME?</v>
      </c>
    </row>
    <row r="8" spans="2:14" x14ac:dyDescent="0.25">
      <c r="I8" s="2" t="s">
        <v>376</v>
      </c>
      <c r="J8" s="138" t="e">
        <f ca="1">AVERAGE(J3:J7)</f>
        <v>#NAME?</v>
      </c>
    </row>
    <row r="9" spans="2:14" x14ac:dyDescent="0.25">
      <c r="B9" s="2" t="s">
        <v>377</v>
      </c>
      <c r="I9" t="s">
        <v>378</v>
      </c>
      <c r="J9" s="93" t="e">
        <f ca="1">N6</f>
        <v>#NAME?</v>
      </c>
      <c r="N9" t="s">
        <v>379</v>
      </c>
    </row>
    <row r="10" spans="2:14" x14ac:dyDescent="0.25">
      <c r="B10" t="s">
        <v>380</v>
      </c>
      <c r="C10" s="18" t="e" cm="1">
        <f t="array" aca="1" ref="C10" ca="1">_xll.BDP(N14,"PX_LAST")/100</f>
        <v>#NAME?</v>
      </c>
      <c r="I10" t="s">
        <v>381</v>
      </c>
      <c r="J10" s="93" t="e">
        <f ca="1">J8*(1-J9)</f>
        <v>#NAME?</v>
      </c>
      <c r="N10" t="s">
        <v>382</v>
      </c>
    </row>
    <row r="11" spans="2:14" x14ac:dyDescent="0.25">
      <c r="B11" t="s">
        <v>383</v>
      </c>
      <c r="C11" s="93" t="e">
        <f ca="1">J13</f>
        <v>#NAME?</v>
      </c>
      <c r="I11" t="s">
        <v>384</v>
      </c>
      <c r="J11" s="18" t="e" cm="1">
        <f t="array" aca="1" ref="J11" ca="1">_xll.BDP(N13,N9)/100</f>
        <v>#NAME?</v>
      </c>
      <c r="N11" t="s">
        <v>385</v>
      </c>
    </row>
    <row r="12" spans="2:14" x14ac:dyDescent="0.25">
      <c r="B12" t="s">
        <v>386</v>
      </c>
      <c r="C12" s="18">
        <v>8.0799999999999997E-2</v>
      </c>
      <c r="I12" t="s">
        <v>387</v>
      </c>
      <c r="J12" s="93" t="e" cm="1">
        <f t="array" aca="1" ref="J12" ca="1">_xll.BDP(N13,N10)/100</f>
        <v>#NAME?</v>
      </c>
      <c r="N12" t="s">
        <v>388</v>
      </c>
    </row>
    <row r="13" spans="2:14" x14ac:dyDescent="0.25">
      <c r="B13" s="2" t="s">
        <v>389</v>
      </c>
      <c r="C13" s="18" t="e">
        <f ca="1">C10+C11*C12</f>
        <v>#NAME?</v>
      </c>
      <c r="I13" s="2" t="s">
        <v>390</v>
      </c>
      <c r="J13" s="138" t="e">
        <f ca="1">J10*(1+(1-J11)*J12)</f>
        <v>#NAME?</v>
      </c>
      <c r="N13" t="s">
        <v>288</v>
      </c>
    </row>
    <row r="14" spans="2:14" x14ac:dyDescent="0.25">
      <c r="N14" t="s">
        <v>391</v>
      </c>
    </row>
    <row r="15" spans="2:14" x14ac:dyDescent="0.25">
      <c r="B15" s="2" t="s">
        <v>392</v>
      </c>
    </row>
    <row r="16" spans="2:14" x14ac:dyDescent="0.25">
      <c r="B16" t="s">
        <v>393</v>
      </c>
      <c r="C16" s="18">
        <v>4.8000000000000001E-2</v>
      </c>
      <c r="N16" t="s">
        <v>296</v>
      </c>
    </row>
    <row r="17" spans="2:14" x14ac:dyDescent="0.25">
      <c r="B17" t="s">
        <v>394</v>
      </c>
      <c r="C17" s="18" t="e">
        <f ca="1">J11</f>
        <v>#NAME?</v>
      </c>
    </row>
    <row r="18" spans="2:14" x14ac:dyDescent="0.25">
      <c r="B18" s="2" t="s">
        <v>395</v>
      </c>
      <c r="C18" s="18" t="e">
        <f ca="1">C16*(1-C17)</f>
        <v>#NAME?</v>
      </c>
      <c r="N18" t="e" cm="1">
        <f t="array" aca="1" ref="N18" ca="1">_xll.BDP(N13,N16)</f>
        <v>#NAME?</v>
      </c>
    </row>
    <row r="19" spans="2:14" x14ac:dyDescent="0.25">
      <c r="N19" t="e">
        <f ca="1">N18/1000</f>
        <v>#NAME?</v>
      </c>
    </row>
    <row r="20" spans="2:14" x14ac:dyDescent="0.25">
      <c r="B20" t="s">
        <v>243</v>
      </c>
      <c r="C20" s="40">
        <f>FSM!E66+FSM!E68</f>
        <v>95859</v>
      </c>
    </row>
    <row r="21" spans="2:14" x14ac:dyDescent="0.25">
      <c r="B21" t="s">
        <v>396</v>
      </c>
      <c r="C21" s="40" t="e">
        <f ca="1">N19</f>
        <v>#NAME?</v>
      </c>
    </row>
    <row r="23" spans="2:14" x14ac:dyDescent="0.25">
      <c r="B23" t="s">
        <v>397</v>
      </c>
      <c r="C23" s="18" t="e">
        <f ca="1">C20/SUM(C20:C21)</f>
        <v>#NAME?</v>
      </c>
      <c r="E23" s="18">
        <v>0.2</v>
      </c>
    </row>
    <row r="24" spans="2:14" x14ac:dyDescent="0.25">
      <c r="B24" t="s">
        <v>398</v>
      </c>
      <c r="C24" s="18" t="e">
        <f ca="1">C21/SUM(C20:C21)</f>
        <v>#NAME?</v>
      </c>
      <c r="E24" s="18">
        <v>0.8</v>
      </c>
    </row>
    <row r="26" spans="2:14" x14ac:dyDescent="0.25">
      <c r="B26" t="s">
        <v>279</v>
      </c>
      <c r="C26" s="18" t="e">
        <f ca="1">C23*C18+C24*C13</f>
        <v>#NAME?</v>
      </c>
    </row>
    <row r="28" spans="2:14" x14ac:dyDescent="0.25">
      <c r="B28" t="s">
        <v>399</v>
      </c>
      <c r="C28">
        <v>0.10999823736492206</v>
      </c>
    </row>
    <row r="29" spans="2:14" x14ac:dyDescent="0.25">
      <c r="B29" t="s">
        <v>279</v>
      </c>
      <c r="C29">
        <v>0.1097424738142667</v>
      </c>
      <c r="E29" s="139" t="e">
        <f ca="1">E23*C18+E24*C13</f>
        <v>#NAME?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09929af-2d25-45bf-9837-089eb9cfbd01}" enabled="0" method="" siteId="{809929af-2d25-45bf-9837-089eb9cfbd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Historicals </vt:lpstr>
      <vt:lpstr>FSM</vt:lpstr>
      <vt:lpstr>FCFM</vt:lpstr>
      <vt:lpstr>RIM</vt:lpstr>
      <vt:lpstr>MVAM</vt:lpstr>
      <vt:lpstr>Relative Valuation</vt:lpstr>
      <vt:lpstr>Blended Valuation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Sumida, Kian (Student)</dc:creator>
  <cp:keywords/>
  <dc:description/>
  <cp:lastModifiedBy>Arnav Mathur</cp:lastModifiedBy>
  <cp:revision/>
  <dcterms:created xsi:type="dcterms:W3CDTF">2026-05-07T00:13:10Z</dcterms:created>
  <dcterms:modified xsi:type="dcterms:W3CDTF">2026-06-14T10:49:37Z</dcterms:modified>
  <cp:category/>
  <cp:contentStatus/>
</cp:coreProperties>
</file>