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/Users/arniemathur/Desktop/Financial Modelling/"/>
    </mc:Choice>
  </mc:AlternateContent>
  <xr:revisionPtr revIDLastSave="0" documentId="13_ncr:1_{D51CB46A-A248-764A-A687-A6BF72738ECE}" xr6:coauthVersionLast="47" xr6:coauthVersionMax="47" xr10:uidLastSave="{00000000-0000-0000-0000-000000000000}"/>
  <bookViews>
    <workbookView xWindow="0" yWindow="780" windowWidth="29240" windowHeight="17040" firstSheet="4" activeTab="4" xr2:uid="{489DBB19-CDF2-6748-B1E1-E590976D71B4}"/>
  </bookViews>
  <sheets>
    <sheet name="FCF" sheetId="1" r:id="rId1"/>
    <sheet name="Fixed Assets" sheetId="2" r:id="rId2"/>
    <sheet name="Net Working Capital " sheetId="3" r:id="rId3"/>
    <sheet name="DCF" sheetId="4" r:id="rId4"/>
    <sheet name="WACC" sheetId="5" r:id="rId5"/>
    <sheet name="Data --&gt;" sheetId="6" r:id="rId6"/>
    <sheet name="Income Statement" sheetId="7" r:id="rId7"/>
    <sheet name="Balance Sheet" sheetId="8" r:id="rId8"/>
    <sheet name="Cash Flow Statement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4" l="1"/>
  <c r="F13" i="4" s="1"/>
  <c r="F16" i="4"/>
  <c r="F17" i="4" s="1"/>
  <c r="G12" i="4"/>
  <c r="H12" i="4"/>
  <c r="K12" i="4"/>
  <c r="J12" i="4"/>
  <c r="C18" i="4"/>
  <c r="C17" i="4"/>
  <c r="C16" i="4"/>
  <c r="C12" i="4"/>
  <c r="C6" i="5"/>
  <c r="C9" i="5" s="1"/>
  <c r="C4" i="5"/>
  <c r="C8" i="5" s="1"/>
  <c r="G5" i="2"/>
  <c r="H5" i="2"/>
  <c r="I5" i="2"/>
  <c r="J5" i="2"/>
  <c r="G6" i="2"/>
  <c r="H6" i="2"/>
  <c r="I6" i="2"/>
  <c r="J6" i="2"/>
  <c r="F5" i="2"/>
  <c r="F6" i="2"/>
  <c r="D12" i="2"/>
  <c r="E12" i="2"/>
  <c r="C12" i="2"/>
  <c r="D11" i="2"/>
  <c r="E11" i="2"/>
  <c r="C11" i="2"/>
  <c r="G5" i="3"/>
  <c r="G4" i="3"/>
  <c r="E21" i="1"/>
  <c r="C16" i="5"/>
  <c r="C15" i="5"/>
  <c r="C13" i="5"/>
  <c r="C21" i="1"/>
  <c r="D21" i="1"/>
  <c r="E17" i="1"/>
  <c r="D17" i="1"/>
  <c r="C17" i="1"/>
  <c r="E19" i="3"/>
  <c r="F19" i="3"/>
  <c r="C19" i="3"/>
  <c r="D18" i="3"/>
  <c r="H15" i="3"/>
  <c r="I15" i="3"/>
  <c r="J15" i="3"/>
  <c r="K15" i="3"/>
  <c r="H16" i="3"/>
  <c r="I16" i="3"/>
  <c r="J16" i="3"/>
  <c r="K16" i="3"/>
  <c r="G16" i="3"/>
  <c r="G15" i="3"/>
  <c r="E6" i="2"/>
  <c r="C4" i="2"/>
  <c r="D4" i="2"/>
  <c r="C7" i="2"/>
  <c r="E4" i="2"/>
  <c r="D7" i="2"/>
  <c r="E7" i="2"/>
  <c r="C6" i="2"/>
  <c r="F4" i="2"/>
  <c r="G10" i="1"/>
  <c r="H10" i="1"/>
  <c r="I10" i="1"/>
  <c r="J10" i="1"/>
  <c r="F10" i="1"/>
  <c r="G9" i="1"/>
  <c r="H9" i="1"/>
  <c r="I9" i="1"/>
  <c r="J9" i="1"/>
  <c r="F9" i="1"/>
  <c r="G8" i="1"/>
  <c r="H8" i="1"/>
  <c r="I8" i="1"/>
  <c r="J8" i="1"/>
  <c r="F8" i="1"/>
  <c r="G7" i="1"/>
  <c r="H7" i="1"/>
  <c r="I7" i="1"/>
  <c r="J7" i="1"/>
  <c r="F7" i="1"/>
  <c r="G28" i="1"/>
  <c r="H28" i="1"/>
  <c r="I28" i="1"/>
  <c r="J28" i="1"/>
  <c r="F28" i="1"/>
  <c r="D28" i="1"/>
  <c r="E28" i="1"/>
  <c r="C28" i="1"/>
  <c r="G6" i="1"/>
  <c r="H6" i="1"/>
  <c r="I6" i="1"/>
  <c r="J6" i="1"/>
  <c r="F6" i="1"/>
  <c r="G5" i="1"/>
  <c r="H5" i="1"/>
  <c r="I5" i="1"/>
  <c r="J5" i="1"/>
  <c r="F5" i="1"/>
  <c r="F4" i="1"/>
  <c r="J4" i="1"/>
  <c r="G4" i="1"/>
  <c r="H4" i="1" s="1"/>
  <c r="I4" i="1" s="1"/>
  <c r="G30" i="1"/>
  <c r="H30" i="1"/>
  <c r="I30" i="1"/>
  <c r="J30" i="1"/>
  <c r="F30" i="1"/>
  <c r="G29" i="1"/>
  <c r="H29" i="1"/>
  <c r="I29" i="1"/>
  <c r="J29" i="1"/>
  <c r="F29" i="1"/>
  <c r="G27" i="1"/>
  <c r="H27" i="1"/>
  <c r="I27" i="1"/>
  <c r="J27" i="1"/>
  <c r="F27" i="1"/>
  <c r="E27" i="1"/>
  <c r="D30" i="1"/>
  <c r="E30" i="1"/>
  <c r="C30" i="1"/>
  <c r="D29" i="1"/>
  <c r="E29" i="1"/>
  <c r="C29" i="1"/>
  <c r="D27" i="1"/>
  <c r="C27" i="1"/>
  <c r="E25" i="1"/>
  <c r="D25" i="1"/>
  <c r="D16" i="3"/>
  <c r="E16" i="3"/>
  <c r="F16" i="3"/>
  <c r="C16" i="3"/>
  <c r="D15" i="3"/>
  <c r="D21" i="3" s="1"/>
  <c r="E15" i="3"/>
  <c r="F15" i="3"/>
  <c r="C15" i="3"/>
  <c r="D10" i="3"/>
  <c r="E10" i="3"/>
  <c r="F10" i="3"/>
  <c r="C10" i="3"/>
  <c r="D9" i="3"/>
  <c r="E9" i="3"/>
  <c r="F9" i="3"/>
  <c r="C9" i="3"/>
  <c r="C22" i="3" s="1"/>
  <c r="D8" i="3"/>
  <c r="D19" i="3" s="1"/>
  <c r="H19" i="3" s="1"/>
  <c r="H8" i="3" s="1"/>
  <c r="E8" i="3"/>
  <c r="F8" i="3"/>
  <c r="C8" i="3"/>
  <c r="D5" i="3"/>
  <c r="E5" i="3"/>
  <c r="E21" i="3" s="1"/>
  <c r="F5" i="3"/>
  <c r="F21" i="3" s="1"/>
  <c r="C5" i="3"/>
  <c r="C21" i="3" s="1"/>
  <c r="D4" i="3"/>
  <c r="E4" i="3"/>
  <c r="E18" i="3" s="1"/>
  <c r="F4" i="3"/>
  <c r="F18" i="3" s="1"/>
  <c r="C4" i="3"/>
  <c r="C18" i="3" s="1"/>
  <c r="H18" i="3" s="1"/>
  <c r="H4" i="3" s="1"/>
  <c r="E16" i="1"/>
  <c r="D5" i="2"/>
  <c r="E5" i="2"/>
  <c r="C5" i="2"/>
  <c r="D15" i="1"/>
  <c r="E15" i="1"/>
  <c r="C15" i="1"/>
  <c r="D14" i="1"/>
  <c r="E14" i="1"/>
  <c r="C14" i="1"/>
  <c r="D13" i="1"/>
  <c r="E13" i="1"/>
  <c r="C13" i="1"/>
  <c r="D12" i="1"/>
  <c r="E12" i="1"/>
  <c r="C12" i="1"/>
  <c r="D11" i="1"/>
  <c r="E11" i="1"/>
  <c r="C11" i="1"/>
  <c r="D10" i="1"/>
  <c r="E10" i="1"/>
  <c r="C10" i="1"/>
  <c r="E4" i="1"/>
  <c r="E6" i="1" s="1"/>
  <c r="E5" i="1"/>
  <c r="E7" i="1"/>
  <c r="E8" i="1"/>
  <c r="E9" i="1" s="1"/>
  <c r="D17" i="7"/>
  <c r="E17" i="7"/>
  <c r="F17" i="7"/>
  <c r="C7" i="1"/>
  <c r="D7" i="1"/>
  <c r="C8" i="1"/>
  <c r="D8" i="1"/>
  <c r="C9" i="1"/>
  <c r="D9" i="1"/>
  <c r="C17" i="7"/>
  <c r="C6" i="1"/>
  <c r="D6" i="1"/>
  <c r="C5" i="1"/>
  <c r="D5" i="1"/>
  <c r="C4" i="1"/>
  <c r="D4" i="1"/>
  <c r="G24" i="1"/>
  <c r="H24" i="1"/>
  <c r="I24" i="1"/>
  <c r="J24" i="1"/>
  <c r="F24" i="1"/>
  <c r="E24" i="1"/>
  <c r="D24" i="1"/>
  <c r="C24" i="1"/>
  <c r="B24" i="1"/>
  <c r="C18" i="5" l="1"/>
  <c r="F16" i="1"/>
  <c r="I19" i="3"/>
  <c r="I8" i="3" s="1"/>
  <c r="I5" i="3"/>
  <c r="J5" i="3"/>
  <c r="H5" i="3"/>
  <c r="H6" i="3" s="1"/>
  <c r="G19" i="1" s="1"/>
  <c r="K5" i="3"/>
  <c r="K6" i="3" s="1"/>
  <c r="J19" i="1" s="1"/>
  <c r="I18" i="3"/>
  <c r="I4" i="3" s="1"/>
  <c r="K18" i="3"/>
  <c r="K4" i="3" s="1"/>
  <c r="E22" i="3"/>
  <c r="D22" i="3"/>
  <c r="J9" i="3" s="1"/>
  <c r="C23" i="3"/>
  <c r="G18" i="3"/>
  <c r="G6" i="3" s="1"/>
  <c r="F19" i="1" s="1"/>
  <c r="I9" i="3"/>
  <c r="K9" i="3"/>
  <c r="F23" i="3"/>
  <c r="G19" i="3"/>
  <c r="G8" i="3" s="1"/>
  <c r="F22" i="3"/>
  <c r="E23" i="3"/>
  <c r="K19" i="3"/>
  <c r="K8" i="3" s="1"/>
  <c r="D23" i="3"/>
  <c r="J19" i="3"/>
  <c r="J8" i="3" s="1"/>
  <c r="J18" i="3"/>
  <c r="J4" i="3" s="1"/>
  <c r="C16" i="1"/>
  <c r="D6" i="2"/>
  <c r="D6" i="3"/>
  <c r="C19" i="1" s="1"/>
  <c r="D11" i="3"/>
  <c r="C20" i="1" s="1"/>
  <c r="E11" i="3"/>
  <c r="D20" i="1" s="1"/>
  <c r="C11" i="3"/>
  <c r="F11" i="3"/>
  <c r="E20" i="1" s="1"/>
  <c r="C6" i="3"/>
  <c r="F6" i="3"/>
  <c r="E19" i="1" s="1"/>
  <c r="E6" i="3"/>
  <c r="D19" i="1" s="1"/>
  <c r="J6" i="3" l="1"/>
  <c r="I19" i="1" s="1"/>
  <c r="H9" i="3"/>
  <c r="G9" i="3"/>
  <c r="I6" i="3"/>
  <c r="H19" i="1" s="1"/>
  <c r="C18" i="1"/>
  <c r="K10" i="3"/>
  <c r="K11" i="3" s="1"/>
  <c r="J20" i="1" s="1"/>
  <c r="J18" i="1" s="1"/>
  <c r="G10" i="3"/>
  <c r="H10" i="3"/>
  <c r="I10" i="3"/>
  <c r="I11" i="3" s="1"/>
  <c r="H20" i="1" s="1"/>
  <c r="J10" i="3"/>
  <c r="J11" i="3" s="1"/>
  <c r="I20" i="1" s="1"/>
  <c r="D18" i="1"/>
  <c r="I11" i="2"/>
  <c r="J11" i="2"/>
  <c r="F11" i="2"/>
  <c r="G11" i="2"/>
  <c r="H11" i="2"/>
  <c r="D16" i="1"/>
  <c r="E4" i="4" s="1"/>
  <c r="E18" i="1"/>
  <c r="F4" i="4"/>
  <c r="D4" i="4"/>
  <c r="F11" i="1" l="1"/>
  <c r="F7" i="2"/>
  <c r="G4" i="2" s="1"/>
  <c r="I18" i="1"/>
  <c r="H18" i="1"/>
  <c r="H11" i="3"/>
  <c r="G20" i="1" s="1"/>
  <c r="G18" i="1" s="1"/>
  <c r="G11" i="3"/>
  <c r="F20" i="1" s="1"/>
  <c r="F18" i="1" s="1"/>
  <c r="I17" i="1"/>
  <c r="H17" i="1"/>
  <c r="J17" i="1"/>
  <c r="F17" i="1"/>
  <c r="G17" i="1"/>
  <c r="G16" i="1" l="1"/>
  <c r="F15" i="1"/>
  <c r="F12" i="1"/>
  <c r="G11" i="1"/>
  <c r="G15" i="1" l="1"/>
  <c r="G12" i="1"/>
  <c r="F13" i="1"/>
  <c r="F14" i="1" s="1"/>
  <c r="F21" i="1" s="1"/>
  <c r="G4" i="4" s="1"/>
  <c r="G7" i="4" s="1"/>
  <c r="G7" i="2"/>
  <c r="H4" i="2" s="1"/>
  <c r="H16" i="1" l="1"/>
  <c r="H11" i="1"/>
  <c r="G13" i="1"/>
  <c r="G14" i="1" s="1"/>
  <c r="G21" i="1" s="1"/>
  <c r="H4" i="4" s="1"/>
  <c r="H7" i="4" s="1"/>
  <c r="H15" i="1" l="1"/>
  <c r="H12" i="1"/>
  <c r="H13" i="1" s="1"/>
  <c r="H14" i="1" s="1"/>
  <c r="H21" i="1" s="1"/>
  <c r="I4" i="4" s="1"/>
  <c r="I7" i="4" s="1"/>
  <c r="H7" i="2"/>
  <c r="I4" i="2" s="1"/>
  <c r="I16" i="1" l="1"/>
  <c r="I11" i="1"/>
  <c r="I7" i="2" l="1"/>
  <c r="J4" i="2" s="1"/>
  <c r="I15" i="1"/>
  <c r="I12" i="1"/>
  <c r="I13" i="1" s="1"/>
  <c r="I14" i="1" s="1"/>
  <c r="I21" i="1" s="1"/>
  <c r="J4" i="4" s="1"/>
  <c r="J7" i="4" s="1"/>
  <c r="J16" i="1" l="1"/>
  <c r="J11" i="1"/>
  <c r="J7" i="2"/>
  <c r="J12" i="1" l="1"/>
  <c r="J13" i="1" s="1"/>
  <c r="J14" i="1" s="1"/>
  <c r="J15" i="1"/>
  <c r="J21" i="1" l="1"/>
  <c r="K4" i="4" s="1"/>
  <c r="C13" i="4" l="1"/>
  <c r="C14" i="4" s="1"/>
  <c r="K7" i="4"/>
  <c r="C10" i="4" s="1"/>
  <c r="C15" i="4" l="1"/>
  <c r="C19" i="4" s="1"/>
  <c r="C21" i="4" s="1"/>
  <c r="F12" i="4" s="1"/>
</calcChain>
</file>

<file path=xl/sharedStrings.xml><?xml version="1.0" encoding="utf-8"?>
<sst xmlns="http://schemas.openxmlformats.org/spreadsheetml/2006/main" count="286" uniqueCount="215">
  <si>
    <t>Unlevered Free Cash Flow (mm)</t>
  </si>
  <si>
    <t>Fiscal Year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</si>
  <si>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</si>
  <si>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</si>
  <si>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</si>
  <si>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</si>
  <si>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</si>
  <si>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</si>
  <si>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</si>
  <si>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</si>
  <si>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Revenue</t>
  </si>
  <si>
    <t>COGS</t>
  </si>
  <si>
    <t>Gross Profit</t>
  </si>
  <si>
    <t>Operating Expenses</t>
  </si>
  <si>
    <t>Selling, General, Administrative</t>
  </si>
  <si>
    <t>Total Operating Expenses</t>
  </si>
  <si>
    <t>EBITDA</t>
  </si>
  <si>
    <t>Depreciation &amp; Amortization</t>
  </si>
  <si>
    <t>Operating Profit (EBIT)</t>
  </si>
  <si>
    <t>Operating Taxes</t>
  </si>
  <si>
    <t>NOPAT (Net Operating Profit After Taxes)</t>
  </si>
  <si>
    <t>(+) Depreciation &amp; Amortization</t>
  </si>
  <si>
    <t>(-) Capital Expenditures</t>
  </si>
  <si>
    <t>(-) Change in NWC</t>
  </si>
  <si>
    <t>NWC</t>
  </si>
  <si>
    <t>Current Assets</t>
  </si>
  <si>
    <t>Current Liabilitites</t>
  </si>
  <si>
    <t>Unlevered Free Cash Flow</t>
  </si>
  <si>
    <t>Assumptions</t>
  </si>
  <si>
    <t>Revenue Growth</t>
  </si>
  <si>
    <t>COGS % of Revenue</t>
  </si>
  <si>
    <t>OPEX% of Revenue</t>
  </si>
  <si>
    <t>SG&amp;A % of Revenue</t>
  </si>
  <si>
    <t>Tax % of EBIT</t>
  </si>
  <si>
    <t>Fixed Assets Schedule</t>
  </si>
  <si>
    <t>Beginning PP&amp;E</t>
  </si>
  <si>
    <t>D&amp;A</t>
  </si>
  <si>
    <t>CapEx</t>
  </si>
  <si>
    <t>Ending PP&amp;E</t>
  </si>
  <si>
    <t>D&amp;A as a % of Rev</t>
  </si>
  <si>
    <t>CapEx as a % of Rev</t>
  </si>
  <si>
    <t>Net Working Capital</t>
  </si>
  <si>
    <t>Accounts Receivables</t>
  </si>
  <si>
    <t>Other Current Assets</t>
  </si>
  <si>
    <t>Total Current Assets</t>
  </si>
  <si>
    <t>Accounts Payable</t>
  </si>
  <si>
    <t>Accrued Expenses</t>
  </si>
  <si>
    <t>Other Current Liabilities</t>
  </si>
  <si>
    <t>Current Liabilities</t>
  </si>
  <si>
    <t>Days Sales Outstanding (DSO)</t>
  </si>
  <si>
    <t>Days Payable Outstanding (DPO)</t>
  </si>
  <si>
    <t>Other Current Assets as a % of Revenue</t>
  </si>
  <si>
    <t>Accrued Expenses as a % of Revenue</t>
  </si>
  <si>
    <t>Other Current Liabilities as a % of Revenue</t>
  </si>
  <si>
    <t>Projection Year</t>
  </si>
  <si>
    <t>Present Value of Free Cash Flow</t>
  </si>
  <si>
    <t>Implied Share Price Calculation</t>
  </si>
  <si>
    <t>Sensitivity Table</t>
  </si>
  <si>
    <t>Sum of PV of FCF</t>
  </si>
  <si>
    <t>Growth Rate</t>
  </si>
  <si>
    <t>WACC</t>
  </si>
  <si>
    <t>Terminal Value</t>
  </si>
  <si>
    <t>PV of Terminal Value</t>
  </si>
  <si>
    <t>Enterprise Value</t>
  </si>
  <si>
    <t>(+) Cash</t>
  </si>
  <si>
    <t>(-) Debt</t>
  </si>
  <si>
    <t>(-) Minority Interest</t>
  </si>
  <si>
    <t>Equity Value</t>
  </si>
  <si>
    <t>Diluted Shares Outstanding (000s)</t>
  </si>
  <si>
    <t>Implied Share Price</t>
  </si>
  <si>
    <t>Weighted Average Cost of Capital (WACC)</t>
  </si>
  <si>
    <t>Equity (mm)</t>
  </si>
  <si>
    <t>Debt (mm)</t>
  </si>
  <si>
    <t>Cost of Debt</t>
  </si>
  <si>
    <t>Tax Rate</t>
  </si>
  <si>
    <t>D/(D+E)</t>
  </si>
  <si>
    <t>After Tax Cost of Debt</t>
  </si>
  <si>
    <t>Risk Free Rate (10-Yr Treasury Yield)</t>
  </si>
  <si>
    <t>Expected Market Return</t>
  </si>
  <si>
    <t>Market Risk Premium</t>
  </si>
  <si>
    <t>Levered Beta</t>
  </si>
  <si>
    <t>E/(D+E)</t>
  </si>
  <si>
    <t>Cost of Equity</t>
  </si>
  <si>
    <t>V — Income Statement</t>
  </si>
  <si>
    <t>USD ($000s)</t>
  </si>
  <si>
    <t>Line Item</t>
  </si>
  <si>
    <t>2021</t>
  </si>
  <si>
    <t>2022</t>
  </si>
  <si>
    <t>2023</t>
  </si>
  <si>
    <t>2024</t>
  </si>
  <si>
    <t>2025</t>
  </si>
  <si>
    <t>Cost Of Revenue</t>
  </si>
  <si>
    <t>Research And Development Expenses</t>
  </si>
  <si>
    <t>General And Administrative Expenses</t>
  </si>
  <si>
    <t>Selling And Marketing Expenses</t>
  </si>
  <si>
    <t>Selling General And Administrative Expenses</t>
  </si>
  <si>
    <t>Operating Income</t>
  </si>
  <si>
    <t>Ebitda</t>
  </si>
  <si>
    <t>Ebit</t>
  </si>
  <si>
    <t>Non Operating Income Excluding Interest</t>
  </si>
  <si>
    <t>Other Income / Expense</t>
  </si>
  <si>
    <t>Other Expenses</t>
  </si>
  <si>
    <t>Net Interest Income</t>
  </si>
  <si>
    <t>Interest Income</t>
  </si>
  <si>
    <t>Interest Expense</t>
  </si>
  <si>
    <t>Total Other Income Expenses Net</t>
  </si>
  <si>
    <t>Pre-Tax Income</t>
  </si>
  <si>
    <t>Income Before Tax</t>
  </si>
  <si>
    <t>Taxes</t>
  </si>
  <si>
    <t>Income Tax Expense</t>
  </si>
  <si>
    <t>Net Income</t>
  </si>
  <si>
    <t>Net Income From Continuing Operations</t>
  </si>
  <si>
    <t>Net Income From Discontinued Operations</t>
  </si>
  <si>
    <t>Other Adjustments To Net Income</t>
  </si>
  <si>
    <t>Net Income Deductions</t>
  </si>
  <si>
    <t>Bottom Line Net Income</t>
  </si>
  <si>
    <t>Other Income Statement Items</t>
  </si>
  <si>
    <t>Cost And Expenses</t>
  </si>
  <si>
    <t>Depreciation And Amortization</t>
  </si>
  <si>
    <t>Eps</t>
  </si>
  <si>
    <t>Eps Diluted</t>
  </si>
  <si>
    <t>Weighted Average Shs Out</t>
  </si>
  <si>
    <t>Weighted Average Shs Out Dil</t>
  </si>
  <si>
    <t>V — Balance Sheet</t>
  </si>
  <si>
    <t>Cash And Cash Equivalents</t>
  </si>
  <si>
    <t>Short Term Investments</t>
  </si>
  <si>
    <t>Cash And Short Term Investments</t>
  </si>
  <si>
    <t>Net Receivables</t>
  </si>
  <si>
    <t>Other Receivables</t>
  </si>
  <si>
    <t>Inventory</t>
  </si>
  <si>
    <t>Prepaids</t>
  </si>
  <si>
    <t>Other Non Current Assets</t>
  </si>
  <si>
    <t>Total Non Current Assets</t>
  </si>
  <si>
    <t>Short Term Debt</t>
  </si>
  <si>
    <t>Non-Current Assets</t>
  </si>
  <si>
    <t>Property Plant Equipment Net</t>
  </si>
  <si>
    <t>Goodwill</t>
  </si>
  <si>
    <t>Intangible Assets</t>
  </si>
  <si>
    <t>Goodwill And Intangible Assets</t>
  </si>
  <si>
    <t>Long Term Investments</t>
  </si>
  <si>
    <t>Long Term Debt</t>
  </si>
  <si>
    <t>Total Investments</t>
  </si>
  <si>
    <t>Total Payables</t>
  </si>
  <si>
    <t>Account Payables</t>
  </si>
  <si>
    <t>Other Payables</t>
  </si>
  <si>
    <t>Tax Payables</t>
  </si>
  <si>
    <t>Deferred Revenue</t>
  </si>
  <si>
    <t>Deferred Revenue Non Current</t>
  </si>
  <si>
    <t>Equity</t>
  </si>
  <si>
    <t>Treasury Stock</t>
  </si>
  <si>
    <t>Common Stock</t>
  </si>
  <si>
    <t>Retained Earnings</t>
  </si>
  <si>
    <t>Additional Paid In Capital</t>
  </si>
  <si>
    <t>Other Total Stockholders Equity</t>
  </si>
  <si>
    <t>Total Stockholders Equity</t>
  </si>
  <si>
    <t>Total Equity</t>
  </si>
  <si>
    <t>Total Liabilities And Total Equity</t>
  </si>
  <si>
    <t>Other Balance Sheet Items</t>
  </si>
  <si>
    <t>Tax Assets</t>
  </si>
  <si>
    <t>Other Assets</t>
  </si>
  <si>
    <t>Total Assets</t>
  </si>
  <si>
    <t>Capital Lease Obligations Current</t>
  </si>
  <si>
    <t>Total Current Liabilities</t>
  </si>
  <si>
    <t>Capital Lease Obligations Non Current</t>
  </si>
  <si>
    <t>Deferred Tax Liabilities Non Current</t>
  </si>
  <si>
    <t>Other Non Current Liabilities</t>
  </si>
  <si>
    <t>Total Non Current Liabilities</t>
  </si>
  <si>
    <t>Other Liabilities</t>
  </si>
  <si>
    <t>Capital Lease Obligations</t>
  </si>
  <si>
    <t>Total Liabilities</t>
  </si>
  <si>
    <t>Preferred Stock</t>
  </si>
  <si>
    <t>Accumulated Other Comprehensive Income Loss</t>
  </si>
  <si>
    <t>Minority Interest</t>
  </si>
  <si>
    <t>Total Debt</t>
  </si>
  <si>
    <t>Net Debt</t>
  </si>
  <si>
    <t>V — Cash Flow Statement</t>
  </si>
  <si>
    <t>Cash Flow From Operations</t>
  </si>
  <si>
    <t>Stock Based Compensation</t>
  </si>
  <si>
    <t>Change In Working Capital</t>
  </si>
  <si>
    <t>Accounts Payables</t>
  </si>
  <si>
    <t>Other Working Capital</t>
  </si>
  <si>
    <t>Net Cash Provided By Operating Activities</t>
  </si>
  <si>
    <t>Cash Flow From Investing</t>
  </si>
  <si>
    <t>Investments In Property Plant And Equipment</t>
  </si>
  <si>
    <t>Acquisitions Net</t>
  </si>
  <si>
    <t>Purchases Of Investments</t>
  </si>
  <si>
    <t>Sales Maturities Of Investments</t>
  </si>
  <si>
    <t>Other Investing Activities</t>
  </si>
  <si>
    <t>Net Cash Provided By Investing Activities</t>
  </si>
  <si>
    <t>Capital Expenditure</t>
  </si>
  <si>
    <t>Cash Flow From Financing</t>
  </si>
  <si>
    <t>Net Debt Issuance</t>
  </si>
  <si>
    <t>Long Term Net Debt Issuance</t>
  </si>
  <si>
    <t>Short Term Net Debt Issuance</t>
  </si>
  <si>
    <t>Net Stock Issuance</t>
  </si>
  <si>
    <t>Net Common Stock Issuance</t>
  </si>
  <si>
    <t>Common Stock Issuance</t>
  </si>
  <si>
    <t>Common Stock Repurchased</t>
  </si>
  <si>
    <t>Net Preferred Stock Issuance</t>
  </si>
  <si>
    <t>Net Dividends Paid</t>
  </si>
  <si>
    <t>Common Dividends Paid</t>
  </si>
  <si>
    <t>Preferred Dividends Paid</t>
  </si>
  <si>
    <t>Other Financing Activities</t>
  </si>
  <si>
    <t>Net Cash Provided By Financing Activities</t>
  </si>
  <si>
    <t>Other Cash Flow Items</t>
  </si>
  <si>
    <t>Deferred Income Tax</t>
  </si>
  <si>
    <t>Other Non Cash Items</t>
  </si>
  <si>
    <t>Effect Of Forex Changes On Cash</t>
  </si>
  <si>
    <t>Net Change In Cash</t>
  </si>
  <si>
    <t>Cash At End Of Period</t>
  </si>
  <si>
    <t>Cash At Beginning Of Period</t>
  </si>
  <si>
    <t>Operating Cash Flow</t>
  </si>
  <si>
    <t>Free Cash Flow</t>
  </si>
  <si>
    <t>Income Taxes Paid</t>
  </si>
  <si>
    <t>Interest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</si>
</sst>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A"/>
    <numFmt numFmtId="165" formatCode="#,##0_);\(#,##0\);\-\-_)"/>
    <numFmt numFmtId="166" formatCode="0.0%"/>
    <numFmt numFmtId="167" formatCode="yyyy\E"/>
    <numFmt numFmtId="168" formatCode="0.0"/>
    <numFmt numFmtId="169" formatCode="#,##0;\(#,##0\)"/>
  </numFmts>
  <fonts count="14">
    <font>
      <sz val="12"/>
      <color theme="1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rgb="FFD9E2F3"/>
        <bgColor rgb="FFD9E2F3"/>
      </patternFill>
    </fill>
    <fill>
      <patternFill patternType="solid">
        <fgColor rgb="FFFFFF99"/>
        <bgColor rgb="FFFFFF99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</patternFill>
    </fill>
    <fill>
      <patternFill patternType="solid">
        <fgColor rgb="FF2F5597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3" fillId="0" borderId="0" xfId="0" applyFont="1"/>
    <xf numFmtId="165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0" fontId="4" fillId="0" borderId="0" xfId="0" applyFont="1"/>
    <xf numFmtId="165" fontId="4" fillId="0" borderId="0" xfId="0" applyNumberFormat="1" applyFont="1"/>
    <xf numFmtId="0" fontId="2" fillId="0" borderId="0" xfId="0" applyFont="1" applyAlignment="1">
      <alignment horizontal="left"/>
    </xf>
    <xf numFmtId="0" fontId="4" fillId="4" borderId="2" xfId="0" applyFont="1" applyFill="1" applyBorder="1"/>
    <xf numFmtId="165" fontId="4" fillId="4" borderId="2" xfId="0" applyNumberFormat="1" applyFont="1" applyFill="1" applyBorder="1"/>
    <xf numFmtId="0" fontId="2" fillId="5" borderId="0" xfId="0" applyFont="1" applyFill="1"/>
    <xf numFmtId="166" fontId="2" fillId="5" borderId="0" xfId="0" applyNumberFormat="1" applyFont="1" applyFill="1"/>
    <xf numFmtId="0" fontId="1" fillId="2" borderId="3" xfId="0" applyFont="1" applyFill="1" applyBorder="1"/>
    <xf numFmtId="164" fontId="2" fillId="3" borderId="4" xfId="0" applyNumberFormat="1" applyFont="1" applyFill="1" applyBorder="1"/>
    <xf numFmtId="165" fontId="2" fillId="0" borderId="3" xfId="0" applyNumberFormat="1" applyFont="1" applyBorder="1"/>
    <xf numFmtId="165" fontId="4" fillId="0" borderId="3" xfId="0" applyNumberFormat="1" applyFont="1" applyBorder="1"/>
    <xf numFmtId="166" fontId="2" fillId="5" borderId="3" xfId="0" applyNumberFormat="1" applyFont="1" applyFill="1" applyBorder="1"/>
    <xf numFmtId="0" fontId="2" fillId="5" borderId="3" xfId="0" applyFont="1" applyFill="1" applyBorder="1"/>
    <xf numFmtId="0" fontId="2" fillId="5" borderId="5" xfId="0" applyFont="1" applyFill="1" applyBorder="1"/>
    <xf numFmtId="166" fontId="2" fillId="5" borderId="5" xfId="0" applyNumberFormat="1" applyFont="1" applyFill="1" applyBorder="1"/>
    <xf numFmtId="166" fontId="2" fillId="5" borderId="6" xfId="0" applyNumberFormat="1" applyFont="1" applyFill="1" applyBorder="1"/>
    <xf numFmtId="165" fontId="2" fillId="0" borderId="6" xfId="0" applyNumberFormat="1" applyFont="1" applyBorder="1"/>
    <xf numFmtId="164" fontId="2" fillId="3" borderId="6" xfId="0" applyNumberFormat="1" applyFont="1" applyFill="1" applyBorder="1"/>
    <xf numFmtId="0" fontId="4" fillId="0" borderId="2" xfId="0" applyFont="1" applyBorder="1"/>
    <xf numFmtId="3" fontId="2" fillId="0" borderId="0" xfId="0" applyNumberFormat="1" applyFont="1"/>
    <xf numFmtId="3" fontId="4" fillId="0" borderId="2" xfId="0" applyNumberFormat="1" applyFont="1" applyBorder="1"/>
    <xf numFmtId="167" fontId="2" fillId="3" borderId="1" xfId="0" applyNumberFormat="1" applyFont="1" applyFill="1" applyBorder="1"/>
    <xf numFmtId="3" fontId="2" fillId="5" borderId="0" xfId="0" applyNumberFormat="1" applyFont="1" applyFill="1"/>
    <xf numFmtId="168" fontId="2" fillId="5" borderId="0" xfId="0" applyNumberFormat="1" applyFont="1" applyFill="1"/>
    <xf numFmtId="0" fontId="2" fillId="0" borderId="0" xfId="0" applyFont="1"/>
    <xf numFmtId="4" fontId="2" fillId="0" borderId="0" xfId="0" applyNumberFormat="1" applyFont="1"/>
    <xf numFmtId="10" fontId="2" fillId="3" borderId="0" xfId="0" applyNumberFormat="1" applyFont="1" applyFill="1"/>
    <xf numFmtId="4" fontId="2" fillId="3" borderId="0" xfId="0" applyNumberFormat="1" applyFont="1" applyFill="1"/>
    <xf numFmtId="4" fontId="1" fillId="2" borderId="0" xfId="0" applyNumberFormat="1" applyFont="1" applyFill="1"/>
    <xf numFmtId="0" fontId="2" fillId="0" borderId="2" xfId="0" applyFont="1" applyBorder="1"/>
    <xf numFmtId="3" fontId="2" fillId="0" borderId="2" xfId="0" applyNumberFormat="1" applyFont="1" applyBorder="1"/>
    <xf numFmtId="0" fontId="7" fillId="0" borderId="0" xfId="0" applyFont="1"/>
    <xf numFmtId="3" fontId="6" fillId="0" borderId="0" xfId="0" applyNumberFormat="1" applyFont="1"/>
    <xf numFmtId="3" fontId="7" fillId="0" borderId="0" xfId="0" applyNumberFormat="1" applyFont="1"/>
    <xf numFmtId="166" fontId="7" fillId="0" borderId="0" xfId="0" applyNumberFormat="1" applyFont="1"/>
    <xf numFmtId="166" fontId="6" fillId="0" borderId="0" xfId="0" applyNumberFormat="1" applyFont="1"/>
    <xf numFmtId="0" fontId="9" fillId="0" borderId="2" xfId="0" applyFont="1" applyBorder="1"/>
    <xf numFmtId="0" fontId="9" fillId="0" borderId="0" xfId="0" applyFont="1"/>
    <xf numFmtId="166" fontId="9" fillId="0" borderId="2" xfId="0" applyNumberFormat="1" applyFont="1" applyBorder="1"/>
    <xf numFmtId="166" fontId="9" fillId="0" borderId="0" xfId="0" applyNumberFormat="1" applyFont="1"/>
    <xf numFmtId="0" fontId="6" fillId="0" borderId="0" xfId="0" applyFont="1"/>
    <xf numFmtId="0" fontId="9" fillId="4" borderId="2" xfId="0" applyFont="1" applyFill="1" applyBorder="1"/>
    <xf numFmtId="166" fontId="9" fillId="4" borderId="2" xfId="0" applyNumberFormat="1" applyFont="1" applyFill="1" applyBorder="1"/>
    <xf numFmtId="164" fontId="7" fillId="3" borderId="1" xfId="0" applyNumberFormat="1" applyFont="1" applyFill="1" applyBorder="1" applyAlignment="1">
      <alignment horizontal="right"/>
    </xf>
    <xf numFmtId="167" fontId="7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167" fontId="2" fillId="3" borderId="1" xfId="0" applyNumberFormat="1" applyFont="1" applyFill="1" applyBorder="1" applyAlignment="1">
      <alignment horizontal="right"/>
    </xf>
    <xf numFmtId="3" fontId="2" fillId="0" borderId="3" xfId="0" applyNumberFormat="1" applyFont="1" applyBorder="1"/>
    <xf numFmtId="3" fontId="4" fillId="0" borderId="8" xfId="0" applyNumberFormat="1" applyFont="1" applyBorder="1"/>
    <xf numFmtId="164" fontId="7" fillId="3" borderId="4" xfId="0" applyNumberFormat="1" applyFont="1" applyFill="1" applyBorder="1" applyAlignment="1">
      <alignment horizontal="right"/>
    </xf>
    <xf numFmtId="3" fontId="2" fillId="5" borderId="3" xfId="0" applyNumberFormat="1" applyFont="1" applyFill="1" applyBorder="1"/>
    <xf numFmtId="168" fontId="2" fillId="5" borderId="3" xfId="0" applyNumberFormat="1" applyFont="1" applyFill="1" applyBorder="1"/>
    <xf numFmtId="0" fontId="0" fillId="0" borderId="3" xfId="0" applyBorder="1"/>
    <xf numFmtId="164" fontId="2" fillId="3" borderId="4" xfId="0" applyNumberFormat="1" applyFont="1" applyFill="1" applyBorder="1" applyAlignment="1">
      <alignment horizontal="right"/>
    </xf>
    <xf numFmtId="0" fontId="2" fillId="0" borderId="3" xfId="0" applyFont="1" applyBorder="1"/>
    <xf numFmtId="4" fontId="2" fillId="0" borderId="3" xfId="0" applyNumberFormat="1" applyFont="1" applyBorder="1"/>
    <xf numFmtId="10" fontId="2" fillId="3" borderId="3" xfId="0" applyNumberFormat="1" applyFont="1" applyFill="1" applyBorder="1"/>
    <xf numFmtId="0" fontId="4" fillId="0" borderId="10" xfId="0" applyFont="1" applyBorder="1"/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3" fillId="7" borderId="0" xfId="0" applyFont="1" applyFill="1" applyAlignment="1">
      <alignment horizontal="left"/>
    </xf>
    <xf numFmtId="0" fontId="0" fillId="7" borderId="0" xfId="0" applyFill="1"/>
    <xf numFmtId="0" fontId="0" fillId="6" borderId="0" xfId="0" applyFill="1" applyAlignment="1">
      <alignment horizontal="left"/>
    </xf>
    <xf numFmtId="169" fontId="0" fillId="6" borderId="0" xfId="0" applyNumberFormat="1" applyFill="1" applyAlignment="1">
      <alignment horizontal="right"/>
    </xf>
    <xf numFmtId="169" fontId="0" fillId="0" borderId="0" xfId="0" applyNumberFormat="1" applyAlignment="1">
      <alignment horizontal="right"/>
    </xf>
    <xf numFmtId="165" fontId="2" fillId="0" borderId="9" xfId="0" applyNumberFormat="1" applyFont="1" applyBorder="1"/>
    <xf numFmtId="165" fontId="2" fillId="0" borderId="4" xfId="0" applyNumberFormat="1" applyFont="1" applyBorder="1"/>
    <xf numFmtId="165" fontId="4" fillId="0" borderId="9" xfId="0" applyNumberFormat="1" applyFont="1" applyBorder="1"/>
    <xf numFmtId="169" fontId="0" fillId="0" borderId="0" xfId="0" applyNumberFormat="1"/>
    <xf numFmtId="164" fontId="7" fillId="3" borderId="0" xfId="0" applyNumberFormat="1" applyFont="1" applyFill="1" applyAlignment="1">
      <alignment horizontal="right"/>
    </xf>
    <xf numFmtId="165" fontId="2" fillId="0" borderId="5" xfId="0" applyNumberFormat="1" applyFont="1" applyBorder="1"/>
    <xf numFmtId="165" fontId="4" fillId="0" borderId="11" xfId="0" applyNumberFormat="1" applyFont="1" applyBorder="1"/>
    <xf numFmtId="165" fontId="2" fillId="0" borderId="11" xfId="0" applyNumberFormat="1" applyFont="1" applyBorder="1"/>
    <xf numFmtId="3" fontId="2" fillId="0" borderId="9" xfId="0" applyNumberFormat="1" applyFont="1" applyBorder="1"/>
    <xf numFmtId="3" fontId="2" fillId="0" borderId="4" xfId="0" applyNumberFormat="1" applyFont="1" applyBorder="1"/>
    <xf numFmtId="166" fontId="2" fillId="5" borderId="12" xfId="0" applyNumberFormat="1" applyFont="1" applyFill="1" applyBorder="1"/>
    <xf numFmtId="166" fontId="2" fillId="5" borderId="9" xfId="0" applyNumberFormat="1" applyFont="1" applyFill="1" applyBorder="1"/>
    <xf numFmtId="3" fontId="2" fillId="0" borderId="1" xfId="0" applyNumberFormat="1" applyFont="1" applyBorder="1"/>
    <xf numFmtId="3" fontId="2" fillId="5" borderId="12" xfId="0" applyNumberFormat="1" applyFont="1" applyFill="1" applyBorder="1"/>
    <xf numFmtId="3" fontId="2" fillId="5" borderId="9" xfId="0" applyNumberFormat="1" applyFont="1" applyFill="1" applyBorder="1"/>
    <xf numFmtId="165" fontId="4" fillId="4" borderId="8" xfId="0" applyNumberFormat="1" applyFont="1" applyFill="1" applyBorder="1"/>
    <xf numFmtId="3" fontId="2" fillId="0" borderId="12" xfId="0" applyNumberFormat="1" applyFont="1" applyBorder="1"/>
    <xf numFmtId="167" fontId="7" fillId="3" borderId="0" xfId="0" applyNumberFormat="1" applyFont="1" applyFill="1" applyAlignment="1">
      <alignment horizontal="right"/>
    </xf>
    <xf numFmtId="165" fontId="0" fillId="0" borderId="0" xfId="0" applyNumberFormat="1"/>
    <xf numFmtId="165" fontId="0" fillId="0" borderId="5" xfId="0" applyNumberFormat="1" applyBorder="1"/>
    <xf numFmtId="3" fontId="0" fillId="0" borderId="0" xfId="0" applyNumberFormat="1"/>
    <xf numFmtId="165" fontId="4" fillId="4" borderId="7" xfId="0" applyNumberFormat="1" applyFont="1" applyFill="1" applyBorder="1"/>
    <xf numFmtId="2" fontId="4" fillId="4" borderId="2" xfId="0" applyNumberFormat="1" applyFont="1" applyFill="1" applyBorder="1"/>
    <xf numFmtId="10" fontId="2" fillId="0" borderId="0" xfId="0" applyNumberFormat="1" applyFont="1"/>
    <xf numFmtId="0" fontId="1" fillId="2" borderId="0" xfId="0" applyFont="1" applyFill="1" applyAlignment="1">
      <alignment horizontal="center"/>
    </xf>
    <xf numFmtId="0" fontId="5" fillId="0" borderId="0" xfId="0" applyFont="1" applyAlignment="1"/>
    <xf numFmtId="0" fontId="1" fillId="2" borderId="0" xfId="0" applyFont="1" applyFill="1" applyAlignment="1">
      <alignment horizontal="center" vertical="center" textRotation="90"/>
    </xf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508C-5398-6C44-9058-1F800DB0FE6F}">
  <dimension ref="B2:J30"/>
  <sheetViews>
    <sheetView showGridLines="0" zoomScaleNormal="120" workbookViewId="0">
      <selection activeCell="F19" sqref="F19"/>
    </sheetView>
  </sheetViews>
  <sheetFormatPr defaultColWidth="11" defaultRowHeight="15.95"/>
  <cols>
    <col min="2" max="2" width="32.875" bestFit="1" customWidth="1"/>
    <col min="3" max="3" width="11.375" bestFit="1" customWidth="1"/>
    <col min="4" max="10" width="11.125" bestFit="1" customWidth="1"/>
  </cols>
  <sheetData>
    <row r="2" spans="2:10">
      <c r="B2" s="1" t="s">
        <v>0</v>
      </c>
      <c r="C2" s="1"/>
      <c r="D2" s="1"/>
      <c r="E2" s="15"/>
      <c r="F2" s="1"/>
      <c r="G2" s="1"/>
      <c r="H2" s="1"/>
      <c r="I2" s="1"/>
      <c r="J2" s="1"/>
    </row>
    <row r="3" spans="2:10">
      <c r="B3" s="2" t="s">
        <v>1</v>
      </c>
      <c r="C3" s="51" t="s">
        <v>2</v>
      </c>
      <c r="D3" s="80" t="s">
        <v>3</v>
      </c>
      <c r="E3" s="57" t="s">
        <v>4</v>
      </c>
      <c r="F3" s="93" t="s">
        <v>5</v>
      </c>
      <c r="G3" s="52" t="s">
        <v>6</v>
      </c>
      <c r="H3" s="52" t="s">
        <v>7</v>
      </c>
      <c r="I3" s="52" t="s">
        <v>8</v>
      </c>
      <c r="J3" s="52" t="s">
        <v>9</v>
      </c>
    </row>
    <row r="4" spans="2:10">
      <c r="B4" s="4" t="s">
        <v>10</v>
      </c>
      <c r="C4" s="5">
        <f>'Income Statement'!D5</f>
        <v>32653000</v>
      </c>
      <c r="D4" s="83">
        <f>'Income Statement'!E5</f>
        <v>35926000</v>
      </c>
      <c r="E4" s="76">
        <f>'Income Statement'!F5</f>
        <v>40000000</v>
      </c>
      <c r="F4" s="83">
        <f>E4*(1+F25)</f>
        <v>44000000</v>
      </c>
      <c r="G4" s="83">
        <f t="shared" ref="G4:I4" si="0">F4*(1+G25)</f>
        <v>47960000</v>
      </c>
      <c r="H4" s="83">
        <f t="shared" si="0"/>
        <v>51796800</v>
      </c>
      <c r="I4" s="83">
        <f t="shared" si="0"/>
        <v>55422576</v>
      </c>
      <c r="J4" s="83">
        <f>I4*(1+J25)</f>
        <v>58747930.560000002</v>
      </c>
    </row>
    <row r="5" spans="2:10">
      <c r="B5" s="6" t="s">
        <v>11</v>
      </c>
      <c r="C5" s="7">
        <f>'Income Statement'!D6</f>
        <v>6567000</v>
      </c>
      <c r="D5" s="81">
        <f>'Income Statement'!E6</f>
        <v>7042000</v>
      </c>
      <c r="E5" s="77">
        <f>'Income Statement'!F6</f>
        <v>7855000</v>
      </c>
      <c r="F5" s="81">
        <f>F4*F27</f>
        <v>8704722.120265808</v>
      </c>
      <c r="G5" s="81">
        <f t="shared" ref="G5:J5" si="1">G4*G27</f>
        <v>9488147.1110897306</v>
      </c>
      <c r="H5" s="81">
        <f t="shared" si="1"/>
        <v>10247198.879976908</v>
      </c>
      <c r="I5" s="81">
        <f t="shared" si="1"/>
        <v>10964502.801575292</v>
      </c>
      <c r="J5" s="81">
        <f t="shared" si="1"/>
        <v>11622372.96966981</v>
      </c>
    </row>
    <row r="6" spans="2:10">
      <c r="B6" s="8" t="s">
        <v>12</v>
      </c>
      <c r="C6" s="9">
        <f>C4-C5</f>
        <v>26086000</v>
      </c>
      <c r="D6" s="82">
        <f>D4-D5</f>
        <v>28884000</v>
      </c>
      <c r="E6" s="78">
        <f>E4-E5</f>
        <v>32145000</v>
      </c>
      <c r="F6" s="9">
        <f>F4-F5</f>
        <v>35295277.879734188</v>
      </c>
      <c r="G6" s="9">
        <f t="shared" ref="G6:J6" si="2">G4-G5</f>
        <v>38471852.888910271</v>
      </c>
      <c r="H6" s="9">
        <f t="shared" si="2"/>
        <v>41549601.120023094</v>
      </c>
      <c r="I6" s="9">
        <f t="shared" si="2"/>
        <v>44458073.198424712</v>
      </c>
      <c r="J6" s="9">
        <f t="shared" si="2"/>
        <v>47125557.590330191</v>
      </c>
    </row>
    <row r="7" spans="2:10">
      <c r="B7" s="4" t="s">
        <v>13</v>
      </c>
      <c r="C7" s="5">
        <f>'Income Statement'!D16</f>
        <v>5086000</v>
      </c>
      <c r="D7" s="5">
        <f>'Income Statement'!E16</f>
        <v>5289000</v>
      </c>
      <c r="E7" s="17">
        <f>'Income Statement'!F16</f>
        <v>8151000</v>
      </c>
      <c r="F7" s="5">
        <f>F4*F28</f>
        <v>7432382.1166049279</v>
      </c>
      <c r="G7" s="5">
        <f t="shared" ref="G7:J7" si="3">G4*G28</f>
        <v>8101296.5070993714</v>
      </c>
      <c r="H7" s="5">
        <f t="shared" si="3"/>
        <v>8749400.2276673205</v>
      </c>
      <c r="I7" s="5">
        <f t="shared" si="3"/>
        <v>9361858.2436040342</v>
      </c>
      <c r="J7" s="5">
        <f t="shared" si="3"/>
        <v>9923569.7382202763</v>
      </c>
    </row>
    <row r="8" spans="2:10">
      <c r="B8" s="4" t="s">
        <v>14</v>
      </c>
      <c r="C8" s="5">
        <f>SUM('Income Statement'!D12:D15)</f>
        <v>6432000</v>
      </c>
      <c r="D8" s="5">
        <f>SUM('Income Statement'!E12:E15)</f>
        <v>7586000</v>
      </c>
      <c r="E8" s="17">
        <f>SUM('Income Statement'!F12:F15)</f>
        <v>8738000</v>
      </c>
      <c r="F8" s="5">
        <f>F29*F4</f>
        <v>9189937.3132655248</v>
      </c>
      <c r="G8" s="5">
        <f t="shared" ref="G8:J8" si="4">G29*G4</f>
        <v>10017031.671459422</v>
      </c>
      <c r="H8" s="5">
        <f t="shared" si="4"/>
        <v>10818394.205176175</v>
      </c>
      <c r="I8" s="5">
        <f t="shared" si="4"/>
        <v>11575681.799538508</v>
      </c>
      <c r="J8" s="5">
        <f t="shared" si="4"/>
        <v>12270222.70751082</v>
      </c>
    </row>
    <row r="9" spans="2:10">
      <c r="B9" s="6" t="s">
        <v>15</v>
      </c>
      <c r="C9" s="7">
        <f>SUM(C7:C8)</f>
        <v>11518000</v>
      </c>
      <c r="D9" s="81">
        <f>SUM(D7:D8)</f>
        <v>12875000</v>
      </c>
      <c r="E9" s="24">
        <f>SUM(E7:E8)</f>
        <v>16889000</v>
      </c>
      <c r="F9" s="95">
        <f>SUM(F7:F8)</f>
        <v>16622319.429870453</v>
      </c>
      <c r="G9" s="95">
        <f t="shared" ref="G9:J9" si="5">SUM(G7:G8)</f>
        <v>18118328.178558793</v>
      </c>
      <c r="H9" s="95">
        <f t="shared" si="5"/>
        <v>19567794.432843495</v>
      </c>
      <c r="I9" s="95">
        <f t="shared" si="5"/>
        <v>20937540.043142542</v>
      </c>
      <c r="J9" s="95">
        <f t="shared" si="5"/>
        <v>22193792.445731096</v>
      </c>
    </row>
    <row r="10" spans="2:10">
      <c r="B10" s="8" t="s">
        <v>16</v>
      </c>
      <c r="C10" s="9">
        <f>'Income Statement'!D19</f>
        <v>22624000</v>
      </c>
      <c r="D10" s="9">
        <f>'Income Statement'!E19</f>
        <v>25591000</v>
      </c>
      <c r="E10" s="18">
        <f>'Income Statement'!F19</f>
        <v>26003000</v>
      </c>
      <c r="F10" s="9">
        <f>F6-F9</f>
        <v>18672958.449863736</v>
      </c>
      <c r="G10" s="9">
        <f t="shared" ref="G10:J10" si="6">G6-G9</f>
        <v>20353524.710351478</v>
      </c>
      <c r="H10" s="9">
        <f t="shared" si="6"/>
        <v>21981806.687179599</v>
      </c>
      <c r="I10" s="9">
        <f t="shared" si="6"/>
        <v>23520533.15528217</v>
      </c>
      <c r="J10" s="9">
        <f t="shared" si="6"/>
        <v>24931765.144599095</v>
      </c>
    </row>
    <row r="11" spans="2:10">
      <c r="B11" s="6" t="s">
        <v>17</v>
      </c>
      <c r="C11" s="7">
        <f>'Income Statement'!D47</f>
        <v>943000</v>
      </c>
      <c r="D11" s="7">
        <f>'Income Statement'!E47</f>
        <v>1034000</v>
      </c>
      <c r="E11" s="77">
        <f>'Income Statement'!F47</f>
        <v>1220000</v>
      </c>
      <c r="F11" s="7">
        <f>'Fixed Assets'!F5</f>
        <v>1293025.2588709723</v>
      </c>
      <c r="G11" s="7">
        <f>'Fixed Assets'!G5</f>
        <v>1409397.53216936</v>
      </c>
      <c r="H11" s="7">
        <f>'Fixed Assets'!H5</f>
        <v>1522149.3347429086</v>
      </c>
      <c r="I11" s="7">
        <f>'Fixed Assets'!I5</f>
        <v>1628699.7881749123</v>
      </c>
      <c r="J11" s="7">
        <f>'Fixed Assets'!J5</f>
        <v>1726421.7754654072</v>
      </c>
    </row>
    <row r="12" spans="2:10">
      <c r="B12" s="8" t="s">
        <v>18</v>
      </c>
      <c r="C12" s="9">
        <f>C10-C11</f>
        <v>21681000</v>
      </c>
      <c r="D12" s="9">
        <f t="shared" ref="D12:E12" si="7">D10-D11</f>
        <v>24557000</v>
      </c>
      <c r="E12" s="78">
        <f t="shared" si="7"/>
        <v>24783000</v>
      </c>
      <c r="F12" s="9">
        <f>F10-F11</f>
        <v>17379933.190992765</v>
      </c>
      <c r="G12" s="9">
        <f t="shared" ref="G12:J12" si="8">G10-G11</f>
        <v>18944127.178182118</v>
      </c>
      <c r="H12" s="9">
        <f t="shared" si="8"/>
        <v>20459657.352436692</v>
      </c>
      <c r="I12" s="9">
        <f t="shared" si="8"/>
        <v>21891833.367107257</v>
      </c>
      <c r="J12" s="9">
        <f t="shared" si="8"/>
        <v>23205343.369133689</v>
      </c>
    </row>
    <row r="13" spans="2:10">
      <c r="B13" s="6" t="s">
        <v>19</v>
      </c>
      <c r="C13" s="7">
        <f>'Income Statement'!D35</f>
        <v>3764000</v>
      </c>
      <c r="D13" s="7">
        <f>'Income Statement'!E35</f>
        <v>4173000</v>
      </c>
      <c r="E13" s="77">
        <f>'Income Statement'!F35</f>
        <v>4136000</v>
      </c>
      <c r="F13" s="7">
        <f>F30*F12</f>
        <v>2957068.1906615389</v>
      </c>
      <c r="G13" s="7">
        <f t="shared" ref="G13:J13" si="9">G30*G12</f>
        <v>3223204.3278210778</v>
      </c>
      <c r="H13" s="7">
        <f t="shared" si="9"/>
        <v>3481060.6740467646</v>
      </c>
      <c r="I13" s="7">
        <f t="shared" si="9"/>
        <v>3724734.9212300377</v>
      </c>
      <c r="J13" s="7">
        <f t="shared" si="9"/>
        <v>3948219.0165038393</v>
      </c>
    </row>
    <row r="14" spans="2:10">
      <c r="B14" s="8" t="s">
        <v>20</v>
      </c>
      <c r="C14" s="9">
        <f>C12-C13</f>
        <v>17917000</v>
      </c>
      <c r="D14" s="9">
        <f t="shared" ref="D14:E14" si="10">D12-D13</f>
        <v>20384000</v>
      </c>
      <c r="E14" s="78">
        <f t="shared" si="10"/>
        <v>20647000</v>
      </c>
      <c r="F14" s="9">
        <f>F12-F13</f>
        <v>14422865.000331227</v>
      </c>
      <c r="G14" s="9">
        <f t="shared" ref="G14:J14" si="11">G12-G13</f>
        <v>15720922.85036104</v>
      </c>
      <c r="H14" s="9">
        <f t="shared" si="11"/>
        <v>16978596.678389926</v>
      </c>
      <c r="I14" s="9">
        <f t="shared" si="11"/>
        <v>18167098.44587722</v>
      </c>
      <c r="J14" s="9">
        <f t="shared" si="11"/>
        <v>19257124.352629848</v>
      </c>
    </row>
    <row r="15" spans="2:10">
      <c r="B15" s="4" t="s">
        <v>21</v>
      </c>
      <c r="C15" s="5">
        <f>C11</f>
        <v>943000</v>
      </c>
      <c r="D15" s="5">
        <f t="shared" ref="D15:E15" si="12">D11</f>
        <v>1034000</v>
      </c>
      <c r="E15" s="17">
        <f t="shared" si="12"/>
        <v>1220000</v>
      </c>
      <c r="F15" s="94">
        <f>F11</f>
        <v>1293025.2588709723</v>
      </c>
      <c r="G15" s="94">
        <f t="shared" ref="G15:J15" si="13">G11</f>
        <v>1409397.53216936</v>
      </c>
      <c r="H15" s="94">
        <f t="shared" si="13"/>
        <v>1522149.3347429086</v>
      </c>
      <c r="I15" s="94">
        <f t="shared" si="13"/>
        <v>1628699.7881749123</v>
      </c>
      <c r="J15" s="94">
        <f t="shared" si="13"/>
        <v>1726421.7754654072</v>
      </c>
    </row>
    <row r="16" spans="2:10">
      <c r="B16" s="4" t="s">
        <v>22</v>
      </c>
      <c r="C16" s="5">
        <f>'Fixed Assets'!C6</f>
        <v>1454000</v>
      </c>
      <c r="D16" s="5">
        <f>'Fixed Assets'!D6</f>
        <v>2318000</v>
      </c>
      <c r="E16" s="17">
        <f>'Fixed Assets'!E6</f>
        <v>2454000</v>
      </c>
      <c r="F16" s="96">
        <f>'Fixed Assets'!F6</f>
        <v>2420000</v>
      </c>
      <c r="G16" s="96">
        <f>'Fixed Assets'!G6</f>
        <v>2398000</v>
      </c>
      <c r="H16" s="96">
        <f>'Fixed Assets'!H6</f>
        <v>2330856</v>
      </c>
      <c r="I16" s="96">
        <f>'Fixed Assets'!I6</f>
        <v>2383170.7679999997</v>
      </c>
      <c r="J16" s="96">
        <f>'Fixed Assets'!J6</f>
        <v>2232421.3612799998</v>
      </c>
    </row>
    <row r="17" spans="2:10">
      <c r="B17" s="4" t="s">
        <v>23</v>
      </c>
      <c r="C17" s="5">
        <f>C18-('Net Working Capital '!C6 - 'Net Working Capital '!C11)</f>
        <v>-2539000</v>
      </c>
      <c r="D17" s="5">
        <f>D18-C18</f>
        <v>-782000</v>
      </c>
      <c r="E17" s="17">
        <f>E18-D18</f>
        <v>-674000</v>
      </c>
      <c r="F17" s="5">
        <f t="shared" ref="F17:J17" si="14">F18-E18</f>
        <v>-1635787.024054531</v>
      </c>
      <c r="G17" s="5">
        <f t="shared" si="14"/>
        <v>-1128580.8321649022</v>
      </c>
      <c r="H17" s="5">
        <f t="shared" si="14"/>
        <v>-907384.62849755585</v>
      </c>
      <c r="I17" s="5">
        <f t="shared" si="14"/>
        <v>-968064.64193018898</v>
      </c>
      <c r="J17" s="5">
        <f t="shared" si="14"/>
        <v>-691657.65255883709</v>
      </c>
    </row>
    <row r="18" spans="2:10">
      <c r="B18" s="10" t="s">
        <v>24</v>
      </c>
      <c r="C18" s="5">
        <f>C19-C20</f>
        <v>-14244000</v>
      </c>
      <c r="D18" s="5">
        <f t="shared" ref="D18:E18" si="15">D19-D20</f>
        <v>-15026000</v>
      </c>
      <c r="E18" s="17">
        <f t="shared" si="15"/>
        <v>-15700000</v>
      </c>
      <c r="F18" s="5">
        <f>F19-F20</f>
        <v>-17335787.024054531</v>
      </c>
      <c r="G18" s="5">
        <f t="shared" ref="G18:J18" si="16">G19-G20</f>
        <v>-18464367.856219433</v>
      </c>
      <c r="H18" s="5">
        <f t="shared" si="16"/>
        <v>-19371752.484716989</v>
      </c>
      <c r="I18" s="5">
        <f t="shared" si="16"/>
        <v>-20339817.126647178</v>
      </c>
      <c r="J18" s="5">
        <f t="shared" si="16"/>
        <v>-21031474.779206015</v>
      </c>
    </row>
    <row r="19" spans="2:10">
      <c r="B19" s="10" t="s">
        <v>25</v>
      </c>
      <c r="C19" s="5">
        <f>'Net Working Capital '!D6</f>
        <v>7354000</v>
      </c>
      <c r="D19" s="5">
        <f>'Net Working Capital '!E6</f>
        <v>11491000</v>
      </c>
      <c r="E19" s="17">
        <f>'Net Working Capital '!F6</f>
        <v>13779000</v>
      </c>
      <c r="F19" s="96">
        <f>'Net Working Capital '!G6</f>
        <v>14613674.728928376</v>
      </c>
      <c r="G19" s="96">
        <f>'Net Working Capital '!H6</f>
        <v>15880945.45453193</v>
      </c>
      <c r="H19" s="96">
        <f>'Net Working Capital '!I6</f>
        <v>17099624.290894486</v>
      </c>
      <c r="I19" s="96">
        <f>'Net Working Capital '!J6</f>
        <v>18241175.4152571</v>
      </c>
      <c r="J19" s="96">
        <f>'Net Working Capital '!K6</f>
        <v>19276898.009612523</v>
      </c>
    </row>
    <row r="20" spans="2:10">
      <c r="B20" s="10" t="s">
        <v>26</v>
      </c>
      <c r="C20" s="5">
        <f>'Net Working Capital '!D11</f>
        <v>21598000</v>
      </c>
      <c r="D20" s="5">
        <f>'Net Working Capital '!E11</f>
        <v>26517000</v>
      </c>
      <c r="E20" s="17">
        <f>'Net Working Capital '!F11</f>
        <v>29479000</v>
      </c>
      <c r="F20" s="96">
        <f>'Net Working Capital '!G11</f>
        <v>31949461.752982907</v>
      </c>
      <c r="G20" s="96">
        <f>'Net Working Capital '!H11</f>
        <v>34345313.310751364</v>
      </c>
      <c r="H20" s="96">
        <f>'Net Working Capital '!I11</f>
        <v>36471376.775611475</v>
      </c>
      <c r="I20" s="96">
        <f>'Net Working Capital '!J11</f>
        <v>38580992.541904278</v>
      </c>
      <c r="J20" s="96">
        <f>'Net Working Capital '!K11</f>
        <v>40308372.788818538</v>
      </c>
    </row>
    <row r="21" spans="2:10">
      <c r="B21" s="11" t="s">
        <v>27</v>
      </c>
      <c r="C21" s="12">
        <f>C14+C15-C16-C17</f>
        <v>19945000</v>
      </c>
      <c r="D21" s="12">
        <f>D14+D15-D16-D17</f>
        <v>19882000</v>
      </c>
      <c r="E21" s="91">
        <f>E14+E15-E16-E17</f>
        <v>20087000</v>
      </c>
      <c r="F21" s="97">
        <f>F14+F15-F16-F17</f>
        <v>14931677.28325673</v>
      </c>
      <c r="G21" s="97">
        <f t="shared" ref="G21:J21" si="17">G14+G15-G16-G17</f>
        <v>15860901.214695301</v>
      </c>
      <c r="H21" s="97">
        <f t="shared" si="17"/>
        <v>17077274.641630389</v>
      </c>
      <c r="I21" s="97">
        <f t="shared" si="17"/>
        <v>18380692.107982323</v>
      </c>
      <c r="J21" s="97">
        <f t="shared" si="17"/>
        <v>19442782.41937409</v>
      </c>
    </row>
    <row r="23" spans="2:10">
      <c r="B23" s="1" t="s">
        <v>28</v>
      </c>
      <c r="C23" s="1"/>
      <c r="D23" s="1"/>
      <c r="E23" s="15"/>
      <c r="F23" s="1"/>
      <c r="G23" s="1"/>
      <c r="H23" s="1"/>
      <c r="I23" s="1"/>
      <c r="J23" s="1"/>
    </row>
    <row r="24" spans="2:10">
      <c r="B24" s="2" t="str">
        <f t="shared" ref="B24:E24" si="18">B3</f>
        <v>Fiscal Year</v>
      </c>
      <c r="C24" s="3" t="str">
        <f t="shared" si="18"/>
        <v>2023A</v>
      </c>
      <c r="D24" s="3" t="str">
        <f t="shared" si="18"/>
        <v>2024A</v>
      </c>
      <c r="E24" s="25" t="str">
        <f t="shared" si="18"/>
        <v>2025A</v>
      </c>
      <c r="F24" s="3" t="str">
        <f>F3</f>
        <v>2026E</v>
      </c>
      <c r="G24" s="3" t="str">
        <f t="shared" ref="G24:J24" si="19">G3</f>
        <v>2027E</v>
      </c>
      <c r="H24" s="3" t="str">
        <f t="shared" si="19"/>
        <v>2028E</v>
      </c>
      <c r="I24" s="3" t="str">
        <f t="shared" si="19"/>
        <v>2029E</v>
      </c>
      <c r="J24" s="3" t="str">
        <f t="shared" si="19"/>
        <v>2030E</v>
      </c>
    </row>
    <row r="25" spans="2:10">
      <c r="B25" s="13" t="s">
        <v>29</v>
      </c>
      <c r="C25" s="13"/>
      <c r="D25" s="14">
        <f>D4/C4-1</f>
        <v>0.10023581294214923</v>
      </c>
      <c r="E25" s="19">
        <f>E4/D4-1</f>
        <v>0.11339976618604908</v>
      </c>
      <c r="F25" s="14">
        <v>0.1</v>
      </c>
      <c r="G25" s="14">
        <v>0.09</v>
      </c>
      <c r="H25" s="14">
        <v>0.08</v>
      </c>
      <c r="I25" s="14">
        <v>7.0000000000000007E-2</v>
      </c>
      <c r="J25" s="14">
        <v>0.06</v>
      </c>
    </row>
    <row r="26" spans="2:10">
      <c r="B26" s="13"/>
      <c r="C26" s="13"/>
      <c r="D26" s="13"/>
      <c r="E26" s="20"/>
      <c r="F26" s="13"/>
      <c r="G26" s="13"/>
      <c r="H26" s="13"/>
      <c r="I26" s="13"/>
      <c r="J26" s="13"/>
    </row>
    <row r="27" spans="2:10">
      <c r="B27" s="13" t="s">
        <v>30</v>
      </c>
      <c r="C27" s="14">
        <f>C5/C4</f>
        <v>0.20111475209016016</v>
      </c>
      <c r="D27" s="14">
        <f t="shared" ref="D27" si="20">D5/D4</f>
        <v>0.19601402883705393</v>
      </c>
      <c r="E27" s="19">
        <f>E5/E4</f>
        <v>0.19637499999999999</v>
      </c>
      <c r="F27" s="14">
        <f>AVERAGE($C$27:$E$27)</f>
        <v>0.19783459364240472</v>
      </c>
      <c r="G27" s="14">
        <f t="shared" ref="G27:J27" si="21">AVERAGE($C$27:$E$27)</f>
        <v>0.19783459364240472</v>
      </c>
      <c r="H27" s="14">
        <f t="shared" si="21"/>
        <v>0.19783459364240472</v>
      </c>
      <c r="I27" s="14">
        <f t="shared" si="21"/>
        <v>0.19783459364240472</v>
      </c>
      <c r="J27" s="14">
        <f t="shared" si="21"/>
        <v>0.19783459364240472</v>
      </c>
    </row>
    <row r="28" spans="2:10">
      <c r="B28" s="13" t="s">
        <v>31</v>
      </c>
      <c r="C28" s="14">
        <f>C7/C4</f>
        <v>0.15575904204820384</v>
      </c>
      <c r="D28" s="14">
        <f t="shared" ref="D28:E28" si="22">D7/D4</f>
        <v>0.14721928408395035</v>
      </c>
      <c r="E28" s="19">
        <f t="shared" si="22"/>
        <v>0.20377500000000001</v>
      </c>
      <c r="F28" s="14">
        <f>AVERAGE($C$28:$E$28)</f>
        <v>0.16891777537738473</v>
      </c>
      <c r="G28" s="14">
        <f t="shared" ref="G28:J28" si="23">AVERAGE($C$28:$E$28)</f>
        <v>0.16891777537738473</v>
      </c>
      <c r="H28" s="14">
        <f t="shared" si="23"/>
        <v>0.16891777537738473</v>
      </c>
      <c r="I28" s="14">
        <f t="shared" si="23"/>
        <v>0.16891777537738473</v>
      </c>
      <c r="J28" s="14">
        <f t="shared" si="23"/>
        <v>0.16891777537738473</v>
      </c>
    </row>
    <row r="29" spans="2:10">
      <c r="B29" s="13" t="s">
        <v>32</v>
      </c>
      <c r="C29" s="14">
        <f>C8/C4</f>
        <v>0.19698036933819252</v>
      </c>
      <c r="D29" s="14">
        <f>D8/D4</f>
        <v>0.21115626565718421</v>
      </c>
      <c r="E29" s="19">
        <f>E8/E4</f>
        <v>0.21845000000000001</v>
      </c>
      <c r="F29" s="14">
        <f>AVERAGE($C$29:$E$29)</f>
        <v>0.20886221166512556</v>
      </c>
      <c r="G29" s="14">
        <f>AVERAGE($C$29:$E$29)</f>
        <v>0.20886221166512556</v>
      </c>
      <c r="H29" s="14">
        <f>AVERAGE($C$29:$E$29)</f>
        <v>0.20886221166512556</v>
      </c>
      <c r="I29" s="14">
        <f>AVERAGE($C$29:$E$29)</f>
        <v>0.20886221166512556</v>
      </c>
      <c r="J29" s="14">
        <f>AVERAGE($C$29:$E$29)</f>
        <v>0.20886221166512556</v>
      </c>
    </row>
    <row r="30" spans="2:10">
      <c r="B30" s="21" t="s">
        <v>33</v>
      </c>
      <c r="C30" s="22">
        <f>C13/C12</f>
        <v>0.17360822840274895</v>
      </c>
      <c r="D30" s="22">
        <f>D13/D12</f>
        <v>0.16993118051879302</v>
      </c>
      <c r="E30" s="23">
        <f>E13/E12</f>
        <v>0.16688859298712827</v>
      </c>
      <c r="F30" s="22">
        <f>AVERAGE($C$30:$E$30)</f>
        <v>0.17014266730289007</v>
      </c>
      <c r="G30" s="22">
        <f>AVERAGE($C$30:$E$30)</f>
        <v>0.17014266730289007</v>
      </c>
      <c r="H30" s="22">
        <f>AVERAGE($C$30:$E$30)</f>
        <v>0.17014266730289007</v>
      </c>
      <c r="I30" s="22">
        <f>AVERAGE($C$30:$E$30)</f>
        <v>0.17014266730289007</v>
      </c>
      <c r="J30" s="22">
        <f>AVERAGE($C$30:$E$30)</f>
        <v>0.17014266730289007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06C7-3CAD-E244-B8D3-72F0ED49564B}">
  <dimension ref="B2:J12"/>
  <sheetViews>
    <sheetView showGridLines="0" workbookViewId="0">
      <selection activeCell="I20" sqref="I20"/>
    </sheetView>
  </sheetViews>
  <sheetFormatPr defaultColWidth="11" defaultRowHeight="15.95"/>
  <cols>
    <col min="2" max="2" width="24.875" bestFit="1" customWidth="1"/>
  </cols>
  <sheetData>
    <row r="2" spans="2:10">
      <c r="B2" s="1" t="s">
        <v>34</v>
      </c>
      <c r="C2" s="1"/>
      <c r="D2" s="1"/>
      <c r="E2" s="15"/>
      <c r="F2" s="1"/>
      <c r="G2" s="1"/>
      <c r="H2" s="1"/>
      <c r="I2" s="1"/>
      <c r="J2" s="1"/>
    </row>
    <row r="3" spans="2:10">
      <c r="B3" s="2" t="s">
        <v>1</v>
      </c>
      <c r="C3" s="51" t="s">
        <v>2</v>
      </c>
      <c r="D3" s="51" t="s">
        <v>3</v>
      </c>
      <c r="E3" s="57" t="s">
        <v>4</v>
      </c>
      <c r="F3" s="52" t="s">
        <v>5</v>
      </c>
      <c r="G3" s="52" t="s">
        <v>6</v>
      </c>
      <c r="H3" s="52" t="s">
        <v>7</v>
      </c>
      <c r="I3" s="52" t="s">
        <v>8</v>
      </c>
      <c r="J3" s="52" t="s">
        <v>9</v>
      </c>
    </row>
    <row r="4" spans="2:10">
      <c r="B4" s="4" t="s">
        <v>35</v>
      </c>
      <c r="C4" s="27">
        <f>('Balance Sheet'!C20 + 'Balance Sheet'!C15)</f>
        <v>10308000</v>
      </c>
      <c r="D4" s="27">
        <f>C7</f>
        <v>10819000</v>
      </c>
      <c r="E4" s="84">
        <f>D7</f>
        <v>12103000</v>
      </c>
      <c r="F4" s="27">
        <f>E7</f>
        <v>13337000</v>
      </c>
      <c r="G4" s="27">
        <f t="shared" ref="G4:J4" si="0">F7</f>
        <v>14463974.741129028</v>
      </c>
      <c r="H4" s="27">
        <f t="shared" si="0"/>
        <v>15452577.208959667</v>
      </c>
      <c r="I4" s="27">
        <f t="shared" si="0"/>
        <v>16261283.874216758</v>
      </c>
      <c r="J4" s="27">
        <f t="shared" si="0"/>
        <v>17015754.854041845</v>
      </c>
    </row>
    <row r="5" spans="2:10">
      <c r="B5" s="4" t="s">
        <v>36</v>
      </c>
      <c r="C5" s="27">
        <f>FCF!C11</f>
        <v>943000</v>
      </c>
      <c r="D5" s="27">
        <f>FCF!D11</f>
        <v>1034000</v>
      </c>
      <c r="E5" s="55">
        <f>FCF!E11</f>
        <v>1220000</v>
      </c>
      <c r="F5" s="27">
        <f>F11*FCF!F4</f>
        <v>1293025.2588709723</v>
      </c>
      <c r="G5" s="27">
        <f>G11*FCF!G4</f>
        <v>1409397.53216936</v>
      </c>
      <c r="H5" s="27">
        <f>H11*FCF!H4</f>
        <v>1522149.3347429086</v>
      </c>
      <c r="I5" s="27">
        <f>I11*FCF!I4</f>
        <v>1628699.7881749123</v>
      </c>
      <c r="J5" s="27">
        <f>J11*FCF!J4</f>
        <v>1726421.7754654072</v>
      </c>
    </row>
    <row r="6" spans="2:10">
      <c r="B6" s="4" t="s">
        <v>37</v>
      </c>
      <c r="C6" s="27">
        <f>C7-C4+C5</f>
        <v>1454000</v>
      </c>
      <c r="D6" s="27">
        <f t="shared" ref="D6" si="1">D7-D4+D5</f>
        <v>2318000</v>
      </c>
      <c r="E6" s="85">
        <f>E7-E4+E5</f>
        <v>2454000</v>
      </c>
      <c r="F6" s="27">
        <f>F12*FCF!F4</f>
        <v>2420000</v>
      </c>
      <c r="G6" s="27">
        <f>G12*FCF!G4</f>
        <v>2398000</v>
      </c>
      <c r="H6" s="27">
        <f>H12*FCF!H4</f>
        <v>2330856</v>
      </c>
      <c r="I6" s="27">
        <f>I12*FCF!I4</f>
        <v>2383170.7679999997</v>
      </c>
      <c r="J6" s="27">
        <f>J12*FCF!J4</f>
        <v>2232421.3612799998</v>
      </c>
    </row>
    <row r="7" spans="2:10">
      <c r="B7" s="26" t="s">
        <v>38</v>
      </c>
      <c r="C7" s="28">
        <f>'Balance Sheet'!D20 + 'Balance Sheet'!D15</f>
        <v>10819000</v>
      </c>
      <c r="D7" s="28">
        <f>'Balance Sheet'!E20 + 'Balance Sheet'!E15</f>
        <v>12103000</v>
      </c>
      <c r="E7" s="56">
        <f>'Balance Sheet'!F20 + 'Balance Sheet'!F15</f>
        <v>13337000</v>
      </c>
      <c r="F7" s="28">
        <f>F4-F5+F6</f>
        <v>14463974.741129028</v>
      </c>
      <c r="G7" s="28">
        <f t="shared" ref="G7:J7" si="2">G4-G5+G6</f>
        <v>15452577.208959667</v>
      </c>
      <c r="H7" s="28">
        <f t="shared" si="2"/>
        <v>16261283.874216758</v>
      </c>
      <c r="I7" s="28">
        <f t="shared" si="2"/>
        <v>17015754.854041845</v>
      </c>
      <c r="J7" s="28">
        <f t="shared" si="2"/>
        <v>17521754.43985644</v>
      </c>
    </row>
    <row r="8" spans="2:10">
      <c r="E8" s="27"/>
      <c r="G8" s="27"/>
      <c r="I8" s="27"/>
    </row>
    <row r="9" spans="2:10">
      <c r="B9" s="1" t="s">
        <v>28</v>
      </c>
      <c r="C9" s="1"/>
      <c r="D9" s="1"/>
      <c r="E9" s="15"/>
      <c r="F9" s="1"/>
      <c r="G9" s="1"/>
      <c r="H9" s="1"/>
      <c r="I9" s="1"/>
      <c r="J9" s="1"/>
    </row>
    <row r="10" spans="2:10">
      <c r="B10" s="2" t="s">
        <v>1</v>
      </c>
      <c r="C10" s="51" t="s">
        <v>2</v>
      </c>
      <c r="D10" s="51" t="s">
        <v>3</v>
      </c>
      <c r="E10" s="57" t="s">
        <v>4</v>
      </c>
      <c r="F10" s="52" t="s">
        <v>5</v>
      </c>
      <c r="G10" s="52" t="s">
        <v>6</v>
      </c>
      <c r="H10" s="52" t="s">
        <v>7</v>
      </c>
      <c r="I10" s="52" t="s">
        <v>8</v>
      </c>
      <c r="J10" s="52" t="s">
        <v>9</v>
      </c>
    </row>
    <row r="11" spans="2:10">
      <c r="B11" s="13" t="s">
        <v>39</v>
      </c>
      <c r="C11" s="86">
        <f>C5/FCF!C4</f>
        <v>2.8879429148929655E-2</v>
      </c>
      <c r="D11" s="86">
        <f>D5/FCF!D4</f>
        <v>2.878138395590937E-2</v>
      </c>
      <c r="E11" s="87">
        <f>E5/FCF!E4</f>
        <v>3.0499999999999999E-2</v>
      </c>
      <c r="F11" s="14">
        <f>AVERAGE($C$11:$E$11)</f>
        <v>2.9386937701613009E-2</v>
      </c>
      <c r="G11" s="14">
        <f t="shared" ref="G11:J11" si="3">AVERAGE($C$11:$E$11)</f>
        <v>2.9386937701613009E-2</v>
      </c>
      <c r="H11" s="14">
        <f t="shared" si="3"/>
        <v>2.9386937701613009E-2</v>
      </c>
      <c r="I11" s="14">
        <f t="shared" si="3"/>
        <v>2.9386937701613009E-2</v>
      </c>
      <c r="J11" s="14">
        <f t="shared" si="3"/>
        <v>2.9386937701613009E-2</v>
      </c>
    </row>
    <row r="12" spans="2:10">
      <c r="B12" s="13" t="s">
        <v>40</v>
      </c>
      <c r="C12" s="14">
        <f>C6/FCF!C4</f>
        <v>4.4528833491562794E-2</v>
      </c>
      <c r="D12" s="14">
        <f>D6/FCF!D4</f>
        <v>6.4521516450481542E-2</v>
      </c>
      <c r="E12" s="19">
        <f>E6/FCF!E4</f>
        <v>6.1350000000000002E-2</v>
      </c>
      <c r="F12" s="14">
        <v>5.5E-2</v>
      </c>
      <c r="G12" s="14">
        <v>0.05</v>
      </c>
      <c r="H12" s="14">
        <v>4.4999999999999998E-2</v>
      </c>
      <c r="I12" s="14">
        <v>4.2999999999999997E-2</v>
      </c>
      <c r="J12" s="14">
        <v>3.7999999999999999E-2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BEF8-BC35-5147-92F2-BBF04692EF4B}">
  <dimension ref="B2:K23"/>
  <sheetViews>
    <sheetView showGridLines="0" workbookViewId="0">
      <selection activeCell="G24" sqref="G24"/>
    </sheetView>
  </sheetViews>
  <sheetFormatPr defaultColWidth="11" defaultRowHeight="15.95"/>
  <cols>
    <col min="2" max="2" width="34.875" bestFit="1" customWidth="1"/>
  </cols>
  <sheetData>
    <row r="2" spans="2:11">
      <c r="B2" s="1" t="s">
        <v>41</v>
      </c>
      <c r="C2" s="1"/>
      <c r="D2" s="1"/>
      <c r="E2" s="1"/>
      <c r="F2" s="15"/>
      <c r="G2" s="1"/>
      <c r="H2" s="1"/>
      <c r="I2" s="1"/>
      <c r="J2" s="1"/>
      <c r="K2" s="1"/>
    </row>
    <row r="3" spans="2:11">
      <c r="B3" s="2" t="s">
        <v>1</v>
      </c>
      <c r="C3" s="3">
        <v>44926</v>
      </c>
      <c r="D3" s="3">
        <v>45291</v>
      </c>
      <c r="E3" s="3">
        <v>45657</v>
      </c>
      <c r="F3" s="16">
        <v>46022</v>
      </c>
      <c r="G3" s="29">
        <v>46387</v>
      </c>
      <c r="H3" s="29">
        <v>46752</v>
      </c>
      <c r="I3" s="29">
        <v>47118</v>
      </c>
      <c r="J3" s="29">
        <v>47483</v>
      </c>
      <c r="K3" s="29">
        <v>47848</v>
      </c>
    </row>
    <row r="4" spans="2:11">
      <c r="B4" s="4" t="s">
        <v>42</v>
      </c>
      <c r="C4" s="27">
        <f>'Balance Sheet'!C9</f>
        <v>2020000</v>
      </c>
      <c r="D4" s="27">
        <f>'Balance Sheet'!D9</f>
        <v>2291000</v>
      </c>
      <c r="E4" s="27">
        <f>'Balance Sheet'!E9</f>
        <v>2561000</v>
      </c>
      <c r="F4" s="84">
        <f>'Balance Sheet'!F9</f>
        <v>3126000</v>
      </c>
      <c r="G4" s="27">
        <f>G18*G15/360</f>
        <v>3173674.7289283765</v>
      </c>
      <c r="H4" s="27">
        <f t="shared" ref="H4:K4" si="0">H18*H15/360</f>
        <v>3459305.4545319304</v>
      </c>
      <c r="I4" s="27">
        <f t="shared" si="0"/>
        <v>3736049.8908944852</v>
      </c>
      <c r="J4" s="27">
        <f t="shared" si="0"/>
        <v>3997573.383257099</v>
      </c>
      <c r="K4" s="27">
        <f t="shared" si="0"/>
        <v>4237427.7862525247</v>
      </c>
    </row>
    <row r="5" spans="2:11">
      <c r="B5" s="4" t="s">
        <v>43</v>
      </c>
      <c r="C5" s="27">
        <f>'Balance Sheet'!B13</f>
        <v>4513000</v>
      </c>
      <c r="D5" s="27">
        <f>'Balance Sheet'!C13</f>
        <v>5063000</v>
      </c>
      <c r="E5" s="27">
        <f>'Balance Sheet'!D13</f>
        <v>8930000</v>
      </c>
      <c r="F5" s="85">
        <f>'Balance Sheet'!E13</f>
        <v>10653000</v>
      </c>
      <c r="G5" s="27">
        <f>G15*G21</f>
        <v>11440000</v>
      </c>
      <c r="H5" s="27">
        <f t="shared" ref="H5:K5" si="1">H15*H21</f>
        <v>12421640</v>
      </c>
      <c r="I5" s="27">
        <f t="shared" si="1"/>
        <v>13363574.4</v>
      </c>
      <c r="J5" s="27">
        <f t="shared" si="1"/>
        <v>14243602.032</v>
      </c>
      <c r="K5" s="27">
        <f t="shared" si="1"/>
        <v>15039470.22336</v>
      </c>
    </row>
    <row r="6" spans="2:11">
      <c r="B6" s="26" t="s">
        <v>44</v>
      </c>
      <c r="C6" s="28">
        <f>SUM(C4:C5)</f>
        <v>6533000</v>
      </c>
      <c r="D6" s="28">
        <f>SUM(D4:D5)</f>
        <v>7354000</v>
      </c>
      <c r="E6" s="28">
        <f>SUM(E4:E5)</f>
        <v>11491000</v>
      </c>
      <c r="F6" s="56">
        <f>SUM(F4:F5)</f>
        <v>13779000</v>
      </c>
      <c r="G6" s="28">
        <f>SUM(G4:G5)</f>
        <v>14613674.728928376</v>
      </c>
      <c r="H6" s="28">
        <f t="shared" ref="H6:K6" si="2">SUM(H4:H5)</f>
        <v>15880945.45453193</v>
      </c>
      <c r="I6" s="28">
        <f t="shared" si="2"/>
        <v>17099624.290894486</v>
      </c>
      <c r="J6" s="28">
        <f t="shared" si="2"/>
        <v>18241175.4152571</v>
      </c>
      <c r="K6" s="28">
        <f t="shared" si="2"/>
        <v>19276898.009612523</v>
      </c>
    </row>
    <row r="7" spans="2:11">
      <c r="F7" s="60"/>
    </row>
    <row r="8" spans="2:11">
      <c r="B8" s="4" t="s">
        <v>45</v>
      </c>
      <c r="C8" s="27">
        <f>'Balance Sheet'!C30</f>
        <v>340000</v>
      </c>
      <c r="D8" s="27">
        <f>'Balance Sheet'!D30</f>
        <v>375000</v>
      </c>
      <c r="E8" s="27">
        <f>'Balance Sheet'!E30</f>
        <v>479000</v>
      </c>
      <c r="F8" s="55">
        <f>'Balance Sheet'!F30</f>
        <v>555000</v>
      </c>
      <c r="G8" s="27">
        <f>G19*G16/360</f>
        <v>621461.75298290548</v>
      </c>
      <c r="H8" s="27">
        <f t="shared" ref="H8:K8" si="3">H19*H16/360</f>
        <v>677393.31075136701</v>
      </c>
      <c r="I8" s="27">
        <f t="shared" si="3"/>
        <v>731584.77561147627</v>
      </c>
      <c r="J8" s="27">
        <f t="shared" si="3"/>
        <v>782795.70990427968</v>
      </c>
      <c r="K8" s="27">
        <f t="shared" si="3"/>
        <v>829763.45249853644</v>
      </c>
    </row>
    <row r="9" spans="2:11">
      <c r="B9" s="4" t="s">
        <v>46</v>
      </c>
      <c r="C9" s="27">
        <f>'Balance Sheet'!C32</f>
        <v>1359000</v>
      </c>
      <c r="D9" s="27">
        <f>'Balance Sheet'!D32</f>
        <v>1506000</v>
      </c>
      <c r="E9" s="27">
        <f>'Balance Sheet'!E32</f>
        <v>5567000</v>
      </c>
      <c r="F9" s="55">
        <f>'Balance Sheet'!F32</f>
        <v>1863000</v>
      </c>
      <c r="G9" s="27">
        <f>G22*G15</f>
        <v>2068000</v>
      </c>
      <c r="H9" s="27">
        <f>H22*H15</f>
        <v>2254120</v>
      </c>
      <c r="I9" s="27">
        <f t="shared" ref="I9:K9" si="4">I22*I15</f>
        <v>2434449.6</v>
      </c>
      <c r="J9" s="27">
        <f t="shared" si="4"/>
        <v>2604861.0720000002</v>
      </c>
      <c r="K9" s="27">
        <f t="shared" si="4"/>
        <v>2761152.7363200001</v>
      </c>
    </row>
    <row r="10" spans="2:11">
      <c r="B10" s="4" t="s">
        <v>47</v>
      </c>
      <c r="C10" s="88">
        <f>'Balance Sheet'!C52</f>
        <v>16539000</v>
      </c>
      <c r="D10" s="88">
        <f>'Balance Sheet'!D52</f>
        <v>19717000</v>
      </c>
      <c r="E10" s="88">
        <f>'Balance Sheet'!E52</f>
        <v>20471000</v>
      </c>
      <c r="F10" s="85">
        <f>'Balance Sheet'!F52</f>
        <v>27061000</v>
      </c>
      <c r="G10" s="27">
        <f>G23*G15</f>
        <v>29260000</v>
      </c>
      <c r="H10" s="27">
        <f>H23*H15</f>
        <v>31413800</v>
      </c>
      <c r="I10" s="27">
        <f>I23*I15</f>
        <v>33305342.400000002</v>
      </c>
      <c r="J10" s="27">
        <f>J23*J15</f>
        <v>35193335.759999998</v>
      </c>
      <c r="K10" s="27">
        <f>K23*K15</f>
        <v>36717456.600000001</v>
      </c>
    </row>
    <row r="11" spans="2:11">
      <c r="B11" s="26" t="s">
        <v>48</v>
      </c>
      <c r="C11" s="28">
        <f>SUM(C8:C10)</f>
        <v>18238000</v>
      </c>
      <c r="D11" s="28">
        <f>SUM(D8:D10)</f>
        <v>21598000</v>
      </c>
      <c r="E11" s="28">
        <f>SUM(E8:E10)</f>
        <v>26517000</v>
      </c>
      <c r="F11" s="56">
        <f>SUM(F8:F10)</f>
        <v>29479000</v>
      </c>
      <c r="G11" s="28">
        <f>SUM(G8:G10)</f>
        <v>31949461.752982907</v>
      </c>
      <c r="H11" s="28">
        <f t="shared" ref="H11:K11" si="5">SUM(H8:H10)</f>
        <v>34345313.310751364</v>
      </c>
      <c r="I11" s="28">
        <f t="shared" si="5"/>
        <v>36471376.775611475</v>
      </c>
      <c r="J11" s="28">
        <f t="shared" si="5"/>
        <v>38580992.541904278</v>
      </c>
      <c r="K11" s="28">
        <f t="shared" si="5"/>
        <v>40308372.788818538</v>
      </c>
    </row>
    <row r="13" spans="2:11">
      <c r="B13" s="1" t="s">
        <v>28</v>
      </c>
      <c r="C13" s="1"/>
      <c r="D13" s="1"/>
      <c r="E13" s="1"/>
      <c r="F13" s="1"/>
      <c r="G13" s="1"/>
      <c r="H13" s="1"/>
      <c r="I13" s="1"/>
      <c r="J13" s="1"/>
      <c r="K13" s="1"/>
    </row>
    <row r="14" spans="2:11">
      <c r="B14" s="2" t="s">
        <v>1</v>
      </c>
      <c r="C14" s="3">
        <v>44926</v>
      </c>
      <c r="D14" s="51" t="s">
        <v>2</v>
      </c>
      <c r="E14" s="51" t="s">
        <v>3</v>
      </c>
      <c r="F14" s="57" t="s">
        <v>4</v>
      </c>
      <c r="G14" s="52" t="s">
        <v>5</v>
      </c>
      <c r="H14" s="52" t="s">
        <v>6</v>
      </c>
      <c r="I14" s="52" t="s">
        <v>7</v>
      </c>
      <c r="J14" s="52" t="s">
        <v>8</v>
      </c>
      <c r="K14" s="52" t="s">
        <v>9</v>
      </c>
    </row>
    <row r="15" spans="2:11">
      <c r="B15" s="13" t="s">
        <v>10</v>
      </c>
      <c r="C15" s="89">
        <f>'Income Statement'!C5</f>
        <v>29310000</v>
      </c>
      <c r="D15" s="89">
        <f>'Income Statement'!D5</f>
        <v>32653000</v>
      </c>
      <c r="E15" s="89">
        <f>'Income Statement'!E5</f>
        <v>35926000</v>
      </c>
      <c r="F15" s="90">
        <f>'Income Statement'!F5</f>
        <v>40000000</v>
      </c>
      <c r="G15" s="30">
        <f>FCF!F4</f>
        <v>44000000</v>
      </c>
      <c r="H15" s="30">
        <f>FCF!G4</f>
        <v>47960000</v>
      </c>
      <c r="I15" s="30">
        <f>FCF!H4</f>
        <v>51796800</v>
      </c>
      <c r="J15" s="30">
        <f>FCF!I4</f>
        <v>55422576</v>
      </c>
      <c r="K15" s="30">
        <f>FCF!J4</f>
        <v>58747930.560000002</v>
      </c>
    </row>
    <row r="16" spans="2:11">
      <c r="B16" s="13" t="s">
        <v>11</v>
      </c>
      <c r="C16" s="30">
        <f>'Income Statement'!B6</f>
        <v>4970000</v>
      </c>
      <c r="D16" s="30">
        <f>'Income Statement'!C6</f>
        <v>5733000</v>
      </c>
      <c r="E16" s="30">
        <f>'Income Statement'!D6</f>
        <v>6567000</v>
      </c>
      <c r="F16" s="58">
        <f>'Income Statement'!E6</f>
        <v>7042000</v>
      </c>
      <c r="G16" s="30">
        <f>FCF!F5</f>
        <v>8704722.120265808</v>
      </c>
      <c r="H16" s="30">
        <f>FCF!G5</f>
        <v>9488147.1110897306</v>
      </c>
      <c r="I16" s="30">
        <f>FCF!H5</f>
        <v>10247198.879976908</v>
      </c>
      <c r="J16" s="30">
        <f>FCF!I5</f>
        <v>10964502.801575292</v>
      </c>
      <c r="K16" s="30">
        <f>FCF!J5</f>
        <v>11622372.96966981</v>
      </c>
    </row>
    <row r="17" spans="2:11">
      <c r="B17" s="13"/>
      <c r="C17" s="13"/>
      <c r="D17" s="13"/>
      <c r="E17" s="13"/>
      <c r="F17" s="20"/>
      <c r="G17" s="13"/>
      <c r="H17" s="13"/>
      <c r="I17" s="13"/>
      <c r="J17" s="13"/>
      <c r="K17" s="13"/>
    </row>
    <row r="18" spans="2:11">
      <c r="B18" s="13" t="s">
        <v>49</v>
      </c>
      <c r="C18" s="31">
        <f>C4/C15*360</f>
        <v>24.81064483111566</v>
      </c>
      <c r="D18" s="31">
        <f t="shared" ref="D18:F18" si="6">D4/D15*360</f>
        <v>25.258322359354423</v>
      </c>
      <c r="E18" s="31">
        <f t="shared" si="6"/>
        <v>25.662751210822243</v>
      </c>
      <c r="F18" s="59">
        <f t="shared" si="6"/>
        <v>28.134</v>
      </c>
      <c r="G18" s="31">
        <f>AVERAGE($C$18:$F$18)</f>
        <v>25.966429600323082</v>
      </c>
      <c r="H18" s="31">
        <f t="shared" ref="H18:K18" si="7">AVERAGE($C$18:$F$18)</f>
        <v>25.966429600323082</v>
      </c>
      <c r="I18" s="31">
        <f t="shared" si="7"/>
        <v>25.966429600323082</v>
      </c>
      <c r="J18" s="31">
        <f t="shared" si="7"/>
        <v>25.966429600323082</v>
      </c>
      <c r="K18" s="31">
        <f t="shared" si="7"/>
        <v>25.966429600323082</v>
      </c>
    </row>
    <row r="19" spans="2:11">
      <c r="B19" s="13" t="s">
        <v>50</v>
      </c>
      <c r="C19" s="31">
        <f>C8/C16*360</f>
        <v>24.627766599597585</v>
      </c>
      <c r="D19" s="31">
        <f t="shared" ref="D19:F19" si="8">D8/D16*360</f>
        <v>23.547880690737831</v>
      </c>
      <c r="E19" s="31">
        <f t="shared" si="8"/>
        <v>26.258565555047966</v>
      </c>
      <c r="F19" s="59">
        <f t="shared" si="8"/>
        <v>28.372621414370915</v>
      </c>
      <c r="G19" s="31">
        <f>AVERAGE($C$19:$F$19)</f>
        <v>25.701708564938574</v>
      </c>
      <c r="H19" s="31">
        <f t="shared" ref="H19:K19" si="9">AVERAGE($C$19:$F$19)</f>
        <v>25.701708564938574</v>
      </c>
      <c r="I19" s="31">
        <f t="shared" si="9"/>
        <v>25.701708564938574</v>
      </c>
      <c r="J19" s="31">
        <f t="shared" si="9"/>
        <v>25.701708564938574</v>
      </c>
      <c r="K19" s="31">
        <f t="shared" si="9"/>
        <v>25.701708564938574</v>
      </c>
    </row>
    <row r="20" spans="2:11">
      <c r="B20" s="13"/>
      <c r="C20" s="13"/>
      <c r="D20" s="13"/>
      <c r="E20" s="13"/>
      <c r="F20" s="20"/>
      <c r="G20" s="13"/>
      <c r="H20" s="13"/>
      <c r="I20" s="13"/>
      <c r="J20" s="13"/>
      <c r="K20" s="13"/>
    </row>
    <row r="21" spans="2:11">
      <c r="B21" s="13" t="s">
        <v>51</v>
      </c>
      <c r="C21" s="14">
        <f>C5/C15</f>
        <v>0.15397475264414875</v>
      </c>
      <c r="D21" s="14">
        <f t="shared" ref="D21:F21" si="10">D5/D15</f>
        <v>0.15505466572749824</v>
      </c>
      <c r="E21" s="14">
        <f t="shared" si="10"/>
        <v>0.24856649780103546</v>
      </c>
      <c r="F21" s="19">
        <f t="shared" si="10"/>
        <v>0.26632499999999998</v>
      </c>
      <c r="G21" s="14">
        <v>0.26</v>
      </c>
      <c r="H21" s="14">
        <v>0.25900000000000001</v>
      </c>
      <c r="I21" s="14">
        <v>0.25800000000000001</v>
      </c>
      <c r="J21" s="14">
        <v>0.25700000000000001</v>
      </c>
      <c r="K21" s="14">
        <v>0.25600000000000001</v>
      </c>
    </row>
    <row r="22" spans="2:11">
      <c r="B22" s="13" t="s">
        <v>52</v>
      </c>
      <c r="C22" s="14">
        <f>C9/C15</f>
        <v>4.6366427840327532E-2</v>
      </c>
      <c r="D22" s="14">
        <f t="shared" ref="D22:F22" si="11">D9/D15</f>
        <v>4.6121336477505895E-2</v>
      </c>
      <c r="E22" s="14">
        <f t="shared" si="11"/>
        <v>0.15495741245894337</v>
      </c>
      <c r="F22" s="19">
        <f t="shared" si="11"/>
        <v>4.6574999999999998E-2</v>
      </c>
      <c r="G22" s="14">
        <v>4.7E-2</v>
      </c>
      <c r="H22" s="14">
        <v>4.7E-2</v>
      </c>
      <c r="I22" s="14">
        <v>4.7E-2</v>
      </c>
      <c r="J22" s="14">
        <v>4.7E-2</v>
      </c>
      <c r="K22" s="14">
        <v>4.7E-2</v>
      </c>
    </row>
    <row r="23" spans="2:11">
      <c r="B23" s="13" t="s">
        <v>53</v>
      </c>
      <c r="C23" s="14">
        <f>C10/C15</f>
        <v>0.56427840327533263</v>
      </c>
      <c r="D23" s="14">
        <f t="shared" ref="D23:F23" si="12">D10/D15</f>
        <v>0.60383425718923223</v>
      </c>
      <c r="E23" s="14">
        <f t="shared" si="12"/>
        <v>0.56981016533986528</v>
      </c>
      <c r="F23" s="19">
        <f t="shared" si="12"/>
        <v>0.67652500000000004</v>
      </c>
      <c r="G23" s="14">
        <v>0.66500000000000004</v>
      </c>
      <c r="H23" s="14">
        <v>0.65500000000000003</v>
      </c>
      <c r="I23" s="14">
        <v>0.64300000000000002</v>
      </c>
      <c r="J23" s="14">
        <v>0.63500000000000001</v>
      </c>
      <c r="K23" s="14">
        <v>0.625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5069-D153-EF46-B31C-E0DEDC93E76E}">
  <dimension ref="B2:K21"/>
  <sheetViews>
    <sheetView showGridLines="0" zoomScale="125" workbookViewId="0">
      <selection activeCell="J21" sqref="J21"/>
    </sheetView>
  </sheetViews>
  <sheetFormatPr defaultColWidth="11" defaultRowHeight="15.95"/>
  <cols>
    <col min="2" max="2" width="26.375" bestFit="1" customWidth="1"/>
    <col min="3" max="3" width="14.625" bestFit="1" customWidth="1"/>
  </cols>
  <sheetData>
    <row r="2" spans="2:1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11">
      <c r="B3" s="2" t="s">
        <v>1</v>
      </c>
      <c r="C3" s="3"/>
      <c r="D3" s="53">
        <v>45291</v>
      </c>
      <c r="E3" s="53">
        <v>45657</v>
      </c>
      <c r="F3" s="61">
        <v>46022</v>
      </c>
      <c r="G3" s="54">
        <v>46387</v>
      </c>
      <c r="H3" s="54">
        <v>46752</v>
      </c>
      <c r="I3" s="54">
        <v>47118</v>
      </c>
      <c r="J3" s="54">
        <v>47483</v>
      </c>
      <c r="K3" s="54">
        <v>47848</v>
      </c>
    </row>
    <row r="4" spans="2:11">
      <c r="B4" s="4" t="s">
        <v>27</v>
      </c>
      <c r="C4" s="27"/>
      <c r="D4" s="92">
        <f>FCF!C21</f>
        <v>19945000</v>
      </c>
      <c r="E4" s="92">
        <f>FCF!D21</f>
        <v>19882000</v>
      </c>
      <c r="F4" s="84">
        <f>FCF!E21</f>
        <v>20087000</v>
      </c>
      <c r="G4" s="27">
        <f>FCF!F21</f>
        <v>14931677.28325673</v>
      </c>
      <c r="H4" s="27">
        <f>FCF!G21</f>
        <v>15860901.214695301</v>
      </c>
      <c r="I4" s="27">
        <f>FCF!H21</f>
        <v>17077274.641630389</v>
      </c>
      <c r="J4" s="27">
        <f>FCF!I21</f>
        <v>18380692.107982323</v>
      </c>
      <c r="K4" s="27">
        <f>FCF!J21</f>
        <v>19442782.41937409</v>
      </c>
    </row>
    <row r="5" spans="2:11">
      <c r="F5" s="60"/>
    </row>
    <row r="6" spans="2:11">
      <c r="B6" s="4" t="s">
        <v>54</v>
      </c>
      <c r="F6" s="60"/>
      <c r="G6" s="4">
        <v>1</v>
      </c>
      <c r="H6" s="4">
        <v>2</v>
      </c>
      <c r="I6" s="4">
        <v>3</v>
      </c>
      <c r="J6" s="4">
        <v>4</v>
      </c>
      <c r="K6" s="4">
        <v>5</v>
      </c>
    </row>
    <row r="7" spans="2:11">
      <c r="B7" s="26" t="s">
        <v>55</v>
      </c>
      <c r="C7" s="26"/>
      <c r="D7" s="26"/>
      <c r="E7" s="26"/>
      <c r="F7" s="65"/>
      <c r="G7" s="28">
        <f>G4/(1+$C$12)^G6</f>
        <v>14062295.435630642</v>
      </c>
      <c r="H7" s="28">
        <f t="shared" ref="H7:J7" si="0">H4/(1+$C$12)^H6</f>
        <v>14067700.248355269</v>
      </c>
      <c r="I7" s="28">
        <f t="shared" si="0"/>
        <v>14264660.221088255</v>
      </c>
      <c r="J7" s="28">
        <f t="shared" si="0"/>
        <v>14459469.235883208</v>
      </c>
      <c r="K7" s="28">
        <f>K4/(1+$C$12)^K6</f>
        <v>14404445.017071968</v>
      </c>
    </row>
    <row r="9" spans="2:11">
      <c r="B9" s="100" t="s">
        <v>56</v>
      </c>
      <c r="C9" s="101"/>
      <c r="E9" s="100" t="s">
        <v>57</v>
      </c>
      <c r="F9" s="101"/>
      <c r="G9" s="101"/>
      <c r="H9" s="101"/>
      <c r="I9" s="101"/>
      <c r="J9" s="101"/>
      <c r="K9" s="101"/>
    </row>
    <row r="10" spans="2:11">
      <c r="B10" s="32" t="s">
        <v>58</v>
      </c>
      <c r="C10" s="27">
        <f>SUM(G7:K7)</f>
        <v>71258570.158029333</v>
      </c>
      <c r="F10" s="60"/>
    </row>
    <row r="11" spans="2:11">
      <c r="B11" s="32" t="s">
        <v>59</v>
      </c>
      <c r="C11" s="43">
        <v>3.5000000000000003E-2</v>
      </c>
      <c r="E11" s="32"/>
      <c r="F11" s="62"/>
      <c r="G11" s="100" t="s">
        <v>59</v>
      </c>
      <c r="H11" s="101"/>
      <c r="I11" s="101"/>
      <c r="J11" s="101"/>
      <c r="K11" s="101"/>
    </row>
    <row r="12" spans="2:11">
      <c r="B12" s="32" t="s">
        <v>60</v>
      </c>
      <c r="C12" s="99">
        <f>WACC!C18</f>
        <v>6.1823608500165099E-2</v>
      </c>
      <c r="E12" s="32"/>
      <c r="F12" s="63">
        <f>C21</f>
        <v>303.43562129955973</v>
      </c>
      <c r="G12" s="34">
        <f>H12-0.5%</f>
        <v>2.5000000000000001E-2</v>
      </c>
      <c r="H12" s="34">
        <f>I12-0.5%</f>
        <v>3.0000000000000002E-2</v>
      </c>
      <c r="I12" s="34">
        <v>3.5000000000000003E-2</v>
      </c>
      <c r="J12" s="34">
        <f>I12+0.5%</f>
        <v>0.04</v>
      </c>
      <c r="K12" s="34">
        <f>J12+0.5%</f>
        <v>4.4999999999999998E-2</v>
      </c>
    </row>
    <row r="13" spans="2:11">
      <c r="B13" s="32" t="s">
        <v>61</v>
      </c>
      <c r="C13" s="27">
        <f>K4*(1+C11)/(C12-C11)</f>
        <v>750207780.72899199</v>
      </c>
      <c r="E13" s="102" t="s">
        <v>60</v>
      </c>
      <c r="F13" s="64">
        <f>F14-0.5%</f>
        <v>5.1823608500165104E-2</v>
      </c>
      <c r="G13" s="33">
        <f t="dataTable" ref="G13:K17" dt2D="1" dtr="1" r1="C11" r2="C12"/>
        <v>314.83398271230971</v>
      </c>
      <c r="H13" s="33">
        <v>381.01891633399487</v>
      </c>
      <c r="I13" s="33">
        <v>486.54435982372377</v>
      </c>
      <c r="J13" s="33">
        <v>681.31958140637198</v>
      </c>
      <c r="K13" s="33">
        <v>1161.5379399713588</v>
      </c>
    </row>
    <row r="14" spans="2:11">
      <c r="B14" s="32" t="s">
        <v>62</v>
      </c>
      <c r="C14" s="27">
        <f>C13/((1+C12)^K6)</f>
        <v>555801453.50606811</v>
      </c>
      <c r="D14" s="27"/>
      <c r="E14" s="101"/>
      <c r="F14" s="64">
        <f>F15-0.5%</f>
        <v>5.6823608500165101E-2</v>
      </c>
      <c r="G14" s="33">
        <v>264.53353725462887</v>
      </c>
      <c r="H14" s="35">
        <v>309.06817342584054</v>
      </c>
      <c r="I14" s="35">
        <v>374.00944224484493</v>
      </c>
      <c r="J14" s="35">
        <v>477.55198309081504</v>
      </c>
      <c r="K14" s="33">
        <v>668.66723140973966</v>
      </c>
    </row>
    <row r="15" spans="2:11">
      <c r="B15" s="32" t="s">
        <v>63</v>
      </c>
      <c r="C15" s="27">
        <f>C14+C10</f>
        <v>627060023.66409743</v>
      </c>
      <c r="E15" s="101"/>
      <c r="F15" s="64">
        <v>6.1823608500165099E-2</v>
      </c>
      <c r="G15" s="33">
        <v>227.90005318962594</v>
      </c>
      <c r="H15" s="35">
        <v>259.73391179821073</v>
      </c>
      <c r="I15" s="36">
        <v>303.43562129955973</v>
      </c>
      <c r="J15" s="35">
        <v>367.16230032005063</v>
      </c>
      <c r="K15" s="33">
        <v>468.7682957903184</v>
      </c>
    </row>
    <row r="16" spans="2:11" ht="15.95" customHeight="1">
      <c r="B16" s="10" t="s">
        <v>64</v>
      </c>
      <c r="C16" s="27">
        <f>'Balance Sheet'!F5</f>
        <v>20154000</v>
      </c>
      <c r="E16" s="101"/>
      <c r="F16" s="64">
        <f>F15+0.5%</f>
        <v>6.6823608500165096E-2</v>
      </c>
      <c r="G16" s="33">
        <v>200.03173689801196</v>
      </c>
      <c r="H16" s="35">
        <v>223.80321804243252</v>
      </c>
      <c r="I16" s="35">
        <v>255.04446212850607</v>
      </c>
      <c r="J16" s="35">
        <v>297.93262690605968</v>
      </c>
      <c r="K16" s="33">
        <v>360.47297925709785</v>
      </c>
    </row>
    <row r="17" spans="2:11">
      <c r="B17" s="10" t="s">
        <v>65</v>
      </c>
      <c r="C17" s="27">
        <f>WACC!C4</f>
        <v>25171000</v>
      </c>
      <c r="E17" s="101"/>
      <c r="F17" s="64">
        <f>F16+0.5%</f>
        <v>7.1823608500165101E-2</v>
      </c>
      <c r="G17" s="33">
        <v>178.12052606872518</v>
      </c>
      <c r="H17" s="33">
        <v>196.46878683383954</v>
      </c>
      <c r="I17" s="33">
        <v>219.79979141805347</v>
      </c>
      <c r="J17" s="33">
        <v>250.46214706011267</v>
      </c>
      <c r="K17" s="33">
        <v>292.55561035566689</v>
      </c>
    </row>
    <row r="18" spans="2:11">
      <c r="B18" s="10" t="s">
        <v>66</v>
      </c>
      <c r="C18" s="27">
        <f>'Balance Sheet'!F63</f>
        <v>0</v>
      </c>
    </row>
    <row r="19" spans="2:11">
      <c r="B19" s="37" t="s">
        <v>67</v>
      </c>
      <c r="C19" s="38">
        <f>(C15+C16-C17-C18)</f>
        <v>622043023.66409743</v>
      </c>
    </row>
    <row r="20" spans="2:11">
      <c r="B20" s="32" t="s">
        <v>68</v>
      </c>
      <c r="C20" s="40">
        <v>2050000</v>
      </c>
    </row>
    <row r="21" spans="2:11">
      <c r="B21" s="11" t="s">
        <v>69</v>
      </c>
      <c r="C21" s="98">
        <f>(C19)/C20</f>
        <v>303.43562129955973</v>
      </c>
    </row>
  </sheetData>
  <mergeCells count="4">
    <mergeCell ref="B9:C9"/>
    <mergeCell ref="E9:K9"/>
    <mergeCell ref="G11:K11"/>
    <mergeCell ref="E13:E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3E26-5E3E-6C4F-B7A6-3E550F376A1F}">
  <dimension ref="B2:C18"/>
  <sheetViews>
    <sheetView showGridLines="0" tabSelected="1" workbookViewId="0">
      <selection activeCell="F11" sqref="F11"/>
    </sheetView>
  </sheetViews>
  <sheetFormatPr defaultColWidth="11" defaultRowHeight="15.95"/>
  <cols>
    <col min="2" max="2" width="27.875" bestFit="1" customWidth="1"/>
    <col min="3" max="3" width="11.125" bestFit="1" customWidth="1"/>
  </cols>
  <sheetData>
    <row r="2" spans="2:3">
      <c r="B2" s="103" t="s">
        <v>70</v>
      </c>
      <c r="C2" s="103"/>
    </row>
    <row r="3" spans="2:3">
      <c r="B3" s="39" t="s">
        <v>71</v>
      </c>
      <c r="C3" s="40">
        <v>662298000</v>
      </c>
    </row>
    <row r="4" spans="2:3">
      <c r="B4" s="39" t="s">
        <v>72</v>
      </c>
      <c r="C4" s="41">
        <f>('Balance Sheet'!F64)</f>
        <v>25171000</v>
      </c>
    </row>
    <row r="5" spans="2:3">
      <c r="B5" s="39"/>
      <c r="C5" s="39"/>
    </row>
    <row r="6" spans="2:3">
      <c r="B6" s="39" t="s">
        <v>73</v>
      </c>
      <c r="C6" s="42">
        <f>-(('Income Statement'!F26))/WACC!C4</f>
        <v>2.3399944380437805E-2</v>
      </c>
    </row>
    <row r="7" spans="2:3">
      <c r="B7" s="39" t="s">
        <v>74</v>
      </c>
      <c r="C7" s="43">
        <v>0.18</v>
      </c>
    </row>
    <row r="8" spans="2:3">
      <c r="B8" s="39" t="s">
        <v>75</v>
      </c>
      <c r="C8" s="42">
        <f>C4/SUM(C3:C4)</f>
        <v>3.6614014595567221E-2</v>
      </c>
    </row>
    <row r="9" spans="2:3">
      <c r="B9" s="44" t="s">
        <v>76</v>
      </c>
      <c r="C9" s="46">
        <f>C6*(1-C7)</f>
        <v>1.9187954391959E-2</v>
      </c>
    </row>
    <row r="10" spans="2:3">
      <c r="B10" s="45"/>
      <c r="C10" s="47"/>
    </row>
    <row r="11" spans="2:3">
      <c r="B11" s="39" t="s">
        <v>77</v>
      </c>
      <c r="C11" s="43">
        <v>4.1610000000000001E-2</v>
      </c>
    </row>
    <row r="12" spans="2:3">
      <c r="B12" s="39" t="s">
        <v>78</v>
      </c>
      <c r="C12" s="43">
        <v>7.8E-2</v>
      </c>
    </row>
    <row r="13" spans="2:3">
      <c r="B13" s="39" t="s">
        <v>79</v>
      </c>
      <c r="C13" s="42">
        <f>C12-C11</f>
        <v>3.6389999999999999E-2</v>
      </c>
    </row>
    <row r="14" spans="2:3">
      <c r="B14" s="39" t="s">
        <v>80</v>
      </c>
      <c r="C14" s="48">
        <v>0.6</v>
      </c>
    </row>
    <row r="15" spans="2:3">
      <c r="B15" s="39" t="s">
        <v>81</v>
      </c>
      <c r="C15" s="42">
        <f>C3/SUM(C3:C4)</f>
        <v>0.96338598540443277</v>
      </c>
    </row>
    <row r="16" spans="2:3">
      <c r="B16" s="44" t="s">
        <v>82</v>
      </c>
      <c r="C16" s="46">
        <f>C11+C14*(C13)</f>
        <v>6.3444E-2</v>
      </c>
    </row>
    <row r="17" spans="2:3">
      <c r="B17" s="39"/>
      <c r="C17" s="39"/>
    </row>
    <row r="18" spans="2:3">
      <c r="B18" s="49" t="s">
        <v>60</v>
      </c>
      <c r="C18" s="50">
        <f>C9*C8+C16*C15</f>
        <v>6.1823608500165099E-2</v>
      </c>
    </row>
  </sheetData>
  <mergeCells count="1"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8FA7-48A6-5340-864D-165528D662AA}">
  <sheetPr>
    <tabColor rgb="FFFFFF00"/>
  </sheetPr>
  <dimension ref="A1"/>
  <sheetViews>
    <sheetView showGridLines="0" workbookViewId="0"/>
  </sheetViews>
  <sheetFormatPr defaultColWidth="11" defaultRowHeight="15.9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2168-E2BF-B44F-AA33-62A041930AED}">
  <dimension ref="A1:F51"/>
  <sheetViews>
    <sheetView topLeftCell="A3" workbookViewId="0">
      <selection activeCell="D35" sqref="D35"/>
    </sheetView>
  </sheetViews>
  <sheetFormatPr defaultColWidth="8.875" defaultRowHeight="15.95"/>
  <cols>
    <col min="1" max="1" width="42" customWidth="1"/>
    <col min="2" max="6" width="16" customWidth="1"/>
  </cols>
  <sheetData>
    <row r="1" spans="1:6" ht="18.95">
      <c r="A1" s="67" t="s">
        <v>83</v>
      </c>
      <c r="F1" s="68" t="s">
        <v>84</v>
      </c>
    </row>
    <row r="2" spans="1:6">
      <c r="A2" s="69"/>
      <c r="B2" s="69"/>
      <c r="C2" s="69"/>
      <c r="D2" s="69"/>
      <c r="E2" s="69"/>
      <c r="F2" s="69"/>
    </row>
    <row r="3" spans="1:6">
      <c r="A3" s="70" t="s">
        <v>85</v>
      </c>
      <c r="B3" s="69" t="s">
        <v>86</v>
      </c>
      <c r="C3" s="69" t="s">
        <v>87</v>
      </c>
      <c r="D3" s="69" t="s">
        <v>88</v>
      </c>
      <c r="E3" s="69" t="s">
        <v>89</v>
      </c>
      <c r="F3" s="69" t="s">
        <v>90</v>
      </c>
    </row>
    <row r="4" spans="1:6">
      <c r="A4" s="71" t="s">
        <v>10</v>
      </c>
      <c r="B4" s="72"/>
      <c r="C4" s="72"/>
      <c r="D4" s="72"/>
      <c r="E4" s="72"/>
      <c r="F4" s="72"/>
    </row>
    <row r="5" spans="1:6">
      <c r="A5" s="73" t="s">
        <v>10</v>
      </c>
      <c r="B5" s="74">
        <v>24105000</v>
      </c>
      <c r="C5" s="74">
        <v>29310000</v>
      </c>
      <c r="D5" s="74">
        <v>32653000</v>
      </c>
      <c r="E5" s="74">
        <v>35926000</v>
      </c>
      <c r="F5" s="74">
        <v>40000000</v>
      </c>
    </row>
    <row r="6" spans="1:6">
      <c r="A6" s="66" t="s">
        <v>91</v>
      </c>
      <c r="B6" s="75">
        <v>4970000</v>
      </c>
      <c r="C6" s="75">
        <v>5733000</v>
      </c>
      <c r="D6" s="75">
        <v>6567000</v>
      </c>
      <c r="E6" s="75">
        <v>7042000</v>
      </c>
      <c r="F6" s="75">
        <v>7855000</v>
      </c>
    </row>
    <row r="8" spans="1:6">
      <c r="A8" s="71" t="s">
        <v>12</v>
      </c>
      <c r="B8" s="72"/>
      <c r="C8" s="72"/>
      <c r="D8" s="72"/>
      <c r="E8" s="72"/>
      <c r="F8" s="72"/>
    </row>
    <row r="9" spans="1:6">
      <c r="A9" s="73" t="s">
        <v>12</v>
      </c>
      <c r="B9" s="74">
        <v>19135000</v>
      </c>
      <c r="C9" s="74">
        <v>23577000</v>
      </c>
      <c r="D9" s="74">
        <v>26086000</v>
      </c>
      <c r="E9" s="74">
        <v>28884000</v>
      </c>
      <c r="F9" s="74">
        <v>32145000</v>
      </c>
    </row>
    <row r="11" spans="1:6">
      <c r="A11" s="71" t="s">
        <v>13</v>
      </c>
      <c r="B11" s="72"/>
      <c r="C11" s="72"/>
      <c r="D11" s="72"/>
      <c r="E11" s="72"/>
      <c r="F11" s="72"/>
    </row>
    <row r="12" spans="1:6">
      <c r="A12" s="66" t="s">
        <v>92</v>
      </c>
      <c r="B12" s="75">
        <v>0</v>
      </c>
      <c r="C12" s="75">
        <v>0</v>
      </c>
      <c r="D12" s="75">
        <v>0</v>
      </c>
      <c r="E12" s="75">
        <v>0</v>
      </c>
      <c r="F12" s="75">
        <v>0</v>
      </c>
    </row>
    <row r="13" spans="1:6">
      <c r="A13" s="73" t="s">
        <v>93</v>
      </c>
      <c r="B13" s="74">
        <v>1388000</v>
      </c>
      <c r="C13" s="74">
        <v>1699000</v>
      </c>
      <c r="D13" s="74">
        <v>1875000</v>
      </c>
      <c r="E13" s="74">
        <v>2233000</v>
      </c>
      <c r="F13" s="74">
        <v>2685000</v>
      </c>
    </row>
    <row r="14" spans="1:6">
      <c r="A14" s="66" t="s">
        <v>94</v>
      </c>
      <c r="B14" s="75">
        <v>1136000</v>
      </c>
      <c r="C14" s="75">
        <v>1336000</v>
      </c>
      <c r="D14" s="75">
        <v>1341000</v>
      </c>
      <c r="E14" s="75">
        <v>1560000</v>
      </c>
      <c r="F14" s="75">
        <v>1684000</v>
      </c>
    </row>
    <row r="15" spans="1:6">
      <c r="A15" s="73" t="s">
        <v>95</v>
      </c>
      <c r="B15" s="74">
        <v>2524000</v>
      </c>
      <c r="C15" s="74">
        <v>3035000</v>
      </c>
      <c r="D15" s="74">
        <v>3216000</v>
      </c>
      <c r="E15" s="74">
        <v>3793000</v>
      </c>
      <c r="F15" s="74">
        <v>4369000</v>
      </c>
    </row>
    <row r="16" spans="1:6">
      <c r="A16" s="66" t="s">
        <v>13</v>
      </c>
      <c r="B16" s="75">
        <v>3331000</v>
      </c>
      <c r="C16" s="75">
        <v>4764000</v>
      </c>
      <c r="D16" s="75">
        <v>5086000</v>
      </c>
      <c r="E16" s="75">
        <v>5289000</v>
      </c>
      <c r="F16" s="75">
        <v>8151000</v>
      </c>
    </row>
    <row r="17" spans="1:6">
      <c r="C17" s="79">
        <f>SUM(C13:C16)</f>
        <v>10834000</v>
      </c>
      <c r="D17" s="79">
        <f t="shared" ref="D17:F17" si="0">SUM(D13:D16)</f>
        <v>11518000</v>
      </c>
      <c r="E17" s="79">
        <f t="shared" si="0"/>
        <v>12875000</v>
      </c>
      <c r="F17" s="79">
        <f t="shared" si="0"/>
        <v>16889000</v>
      </c>
    </row>
    <row r="18" spans="1:6">
      <c r="A18" s="71" t="s">
        <v>96</v>
      </c>
      <c r="B18" s="72"/>
      <c r="C18" s="72"/>
      <c r="D18" s="72"/>
      <c r="E18" s="72"/>
      <c r="F18" s="72"/>
    </row>
    <row r="19" spans="1:6">
      <c r="A19" s="73" t="s">
        <v>97</v>
      </c>
      <c r="B19" s="74">
        <v>17380000</v>
      </c>
      <c r="C19" s="74">
        <v>19535000</v>
      </c>
      <c r="D19" s="74">
        <v>22624000</v>
      </c>
      <c r="E19" s="74">
        <v>25591000</v>
      </c>
      <c r="F19" s="74">
        <v>26003000</v>
      </c>
    </row>
    <row r="20" spans="1:6">
      <c r="A20" s="66" t="s">
        <v>98</v>
      </c>
      <c r="B20" s="75">
        <v>16576000</v>
      </c>
      <c r="C20" s="75">
        <v>18674000</v>
      </c>
      <c r="D20" s="75">
        <v>21681000</v>
      </c>
      <c r="E20" s="75">
        <v>24557000</v>
      </c>
      <c r="F20" s="75">
        <v>24783000</v>
      </c>
    </row>
    <row r="21" spans="1:6">
      <c r="A21" s="73" t="s">
        <v>99</v>
      </c>
      <c r="B21" s="74">
        <v>-772000</v>
      </c>
      <c r="C21" s="74">
        <v>139000</v>
      </c>
      <c r="D21" s="74">
        <v>-681000</v>
      </c>
      <c r="E21" s="74">
        <v>-962000</v>
      </c>
      <c r="F21" s="74">
        <v>-789000</v>
      </c>
    </row>
    <row r="22" spans="1:6">
      <c r="A22" s="66" t="s">
        <v>96</v>
      </c>
      <c r="B22" s="75">
        <v>15804000</v>
      </c>
      <c r="C22" s="75">
        <v>18813000</v>
      </c>
      <c r="D22" s="75">
        <v>21000000</v>
      </c>
      <c r="E22" s="75">
        <v>23595000</v>
      </c>
      <c r="F22" s="75">
        <v>23994000</v>
      </c>
    </row>
    <row r="24" spans="1:6">
      <c r="A24" s="71" t="s">
        <v>100</v>
      </c>
      <c r="B24" s="72"/>
      <c r="C24" s="72"/>
      <c r="D24" s="72"/>
      <c r="E24" s="72"/>
      <c r="F24" s="72"/>
    </row>
    <row r="25" spans="1:6">
      <c r="A25" s="73" t="s">
        <v>101</v>
      </c>
      <c r="B25" s="74">
        <v>807000</v>
      </c>
      <c r="C25" s="74">
        <v>1729000</v>
      </c>
      <c r="D25" s="74">
        <v>1870000</v>
      </c>
      <c r="E25" s="74">
        <v>1496000</v>
      </c>
      <c r="F25" s="74">
        <v>3782000</v>
      </c>
    </row>
    <row r="26" spans="1:6">
      <c r="A26" s="66" t="s">
        <v>102</v>
      </c>
      <c r="B26" s="75">
        <v>-513000</v>
      </c>
      <c r="C26" s="75">
        <v>-538000</v>
      </c>
      <c r="D26" s="75">
        <v>-644000</v>
      </c>
      <c r="E26" s="75">
        <v>-641000</v>
      </c>
      <c r="F26" s="75">
        <v>-589000</v>
      </c>
    </row>
    <row r="27" spans="1:6">
      <c r="A27" s="73" t="s">
        <v>103</v>
      </c>
      <c r="B27" s="74">
        <v>0</v>
      </c>
      <c r="C27" s="74">
        <v>0</v>
      </c>
      <c r="D27" s="74">
        <v>0</v>
      </c>
      <c r="E27" s="74">
        <v>0</v>
      </c>
      <c r="F27" s="74">
        <v>0</v>
      </c>
    </row>
    <row r="28" spans="1:6">
      <c r="A28" s="66" t="s">
        <v>104</v>
      </c>
      <c r="B28" s="75">
        <v>513000</v>
      </c>
      <c r="C28" s="75">
        <v>538000</v>
      </c>
      <c r="D28" s="75">
        <v>644000</v>
      </c>
      <c r="E28" s="75">
        <v>641000</v>
      </c>
      <c r="F28" s="75">
        <v>589000</v>
      </c>
    </row>
    <row r="29" spans="1:6">
      <c r="A29" s="73" t="s">
        <v>105</v>
      </c>
      <c r="B29" s="74">
        <v>259000</v>
      </c>
      <c r="C29" s="74">
        <v>-677000</v>
      </c>
      <c r="D29" s="74">
        <v>37000</v>
      </c>
      <c r="E29" s="74">
        <v>321000</v>
      </c>
      <c r="F29" s="74">
        <v>200000</v>
      </c>
    </row>
    <row r="31" spans="1:6">
      <c r="A31" s="71" t="s">
        <v>106</v>
      </c>
      <c r="B31" s="72"/>
      <c r="C31" s="72"/>
      <c r="D31" s="72"/>
      <c r="E31" s="72"/>
      <c r="F31" s="72"/>
    </row>
    <row r="32" spans="1:6">
      <c r="A32" s="66" t="s">
        <v>107</v>
      </c>
      <c r="B32" s="75">
        <v>16063000</v>
      </c>
      <c r="C32" s="75">
        <v>18136000</v>
      </c>
      <c r="D32" s="75">
        <v>21037000</v>
      </c>
      <c r="E32" s="75">
        <v>23916000</v>
      </c>
      <c r="F32" s="75">
        <v>24194000</v>
      </c>
    </row>
    <row r="34" spans="1:6">
      <c r="A34" s="71" t="s">
        <v>108</v>
      </c>
      <c r="B34" s="72"/>
      <c r="C34" s="72"/>
      <c r="D34" s="72"/>
      <c r="E34" s="72"/>
      <c r="F34" s="72"/>
    </row>
    <row r="35" spans="1:6">
      <c r="A35" s="73" t="s">
        <v>109</v>
      </c>
      <c r="B35" s="74">
        <v>3752000</v>
      </c>
      <c r="C35" s="74">
        <v>3179000</v>
      </c>
      <c r="D35" s="74">
        <v>3764000</v>
      </c>
      <c r="E35" s="74">
        <v>4173000</v>
      </c>
      <c r="F35" s="74">
        <v>4136000</v>
      </c>
    </row>
    <row r="37" spans="1:6">
      <c r="A37" s="71" t="s">
        <v>110</v>
      </c>
      <c r="B37" s="72"/>
      <c r="C37" s="72"/>
      <c r="D37" s="72"/>
      <c r="E37" s="72"/>
      <c r="F37" s="72"/>
    </row>
    <row r="38" spans="1:6">
      <c r="A38" s="66" t="s">
        <v>111</v>
      </c>
      <c r="B38" s="75">
        <v>12311000</v>
      </c>
      <c r="C38" s="75">
        <v>14957000</v>
      </c>
      <c r="D38" s="75">
        <v>17273000</v>
      </c>
      <c r="E38" s="75">
        <v>19743000</v>
      </c>
      <c r="F38" s="75">
        <v>20058000</v>
      </c>
    </row>
    <row r="39" spans="1:6">
      <c r="A39" s="73" t="s">
        <v>112</v>
      </c>
      <c r="B39" s="74">
        <v>0</v>
      </c>
      <c r="C39" s="74">
        <v>0</v>
      </c>
      <c r="D39" s="74">
        <v>0</v>
      </c>
      <c r="E39" s="74">
        <v>0</v>
      </c>
      <c r="F39" s="74">
        <v>0</v>
      </c>
    </row>
    <row r="40" spans="1:6">
      <c r="A40" s="66" t="s">
        <v>113</v>
      </c>
      <c r="B40" s="75">
        <v>0</v>
      </c>
      <c r="C40" s="75">
        <v>0</v>
      </c>
      <c r="D40" s="75">
        <v>0</v>
      </c>
      <c r="E40" s="75">
        <v>0</v>
      </c>
      <c r="F40" s="75">
        <v>0</v>
      </c>
    </row>
    <row r="41" spans="1:6">
      <c r="A41" s="73" t="s">
        <v>110</v>
      </c>
      <c r="B41" s="74">
        <v>12311000</v>
      </c>
      <c r="C41" s="74">
        <v>14957000</v>
      </c>
      <c r="D41" s="74">
        <v>17273000</v>
      </c>
      <c r="E41" s="74">
        <v>19743000</v>
      </c>
      <c r="F41" s="74">
        <v>20058000</v>
      </c>
    </row>
    <row r="42" spans="1:6">
      <c r="A42" s="66" t="s">
        <v>114</v>
      </c>
      <c r="B42" s="75">
        <v>0</v>
      </c>
      <c r="C42" s="75">
        <v>0</v>
      </c>
      <c r="D42" s="75">
        <v>0</v>
      </c>
      <c r="E42" s="75">
        <v>0</v>
      </c>
      <c r="F42" s="75">
        <v>0</v>
      </c>
    </row>
    <row r="43" spans="1:6">
      <c r="A43" s="73" t="s">
        <v>115</v>
      </c>
      <c r="B43" s="74">
        <v>12311000</v>
      </c>
      <c r="C43" s="74">
        <v>14957000</v>
      </c>
      <c r="D43" s="74">
        <v>17273000</v>
      </c>
      <c r="E43" s="74">
        <v>19743000</v>
      </c>
      <c r="F43" s="74">
        <v>20058000</v>
      </c>
    </row>
    <row r="45" spans="1:6">
      <c r="A45" s="71" t="s">
        <v>116</v>
      </c>
      <c r="B45" s="72"/>
      <c r="C45" s="72"/>
      <c r="D45" s="72"/>
      <c r="E45" s="72"/>
      <c r="F45" s="72"/>
    </row>
    <row r="46" spans="1:6">
      <c r="A46" s="66" t="s">
        <v>117</v>
      </c>
      <c r="B46" s="75">
        <v>8301000</v>
      </c>
      <c r="C46" s="75">
        <v>10497000</v>
      </c>
      <c r="D46" s="75">
        <v>11653000</v>
      </c>
      <c r="E46" s="75">
        <v>12331000</v>
      </c>
      <c r="F46" s="75">
        <v>16006000</v>
      </c>
    </row>
    <row r="47" spans="1:6">
      <c r="A47" s="73" t="s">
        <v>118</v>
      </c>
      <c r="B47" s="74">
        <v>804000</v>
      </c>
      <c r="C47" s="74">
        <v>861000</v>
      </c>
      <c r="D47" s="74">
        <v>943000</v>
      </c>
      <c r="E47" s="74">
        <v>1034000</v>
      </c>
      <c r="F47" s="74">
        <v>1220000</v>
      </c>
    </row>
    <row r="48" spans="1:6">
      <c r="A48" s="66" t="s">
        <v>119</v>
      </c>
      <c r="B48" s="75">
        <v>5.6299999999999996E-3</v>
      </c>
      <c r="C48" s="75">
        <v>7.0099999999999997E-3</v>
      </c>
      <c r="D48" s="75">
        <v>8.2899999999999988E-3</v>
      </c>
      <c r="E48" s="75">
        <v>9.7400000000000004E-3</v>
      </c>
      <c r="F48" s="75">
        <v>1.022E-2</v>
      </c>
    </row>
    <row r="49" spans="1:6">
      <c r="A49" s="73" t="s">
        <v>120</v>
      </c>
      <c r="B49" s="74">
        <v>5.6299999999999996E-3</v>
      </c>
      <c r="C49" s="74">
        <v>7.0000000000000001E-3</v>
      </c>
      <c r="D49" s="74">
        <v>8.2799999999999992E-3</v>
      </c>
      <c r="E49" s="74">
        <v>9.7300000000000008E-3</v>
      </c>
      <c r="F49" s="74">
        <v>1.0200000000000001E-2</v>
      </c>
    </row>
    <row r="50" spans="1:6">
      <c r="A50" s="66" t="s">
        <v>121</v>
      </c>
      <c r="B50" s="75">
        <v>2130301</v>
      </c>
      <c r="C50" s="75">
        <v>2136000</v>
      </c>
      <c r="D50" s="75">
        <v>2085000</v>
      </c>
      <c r="E50" s="75">
        <v>2029000</v>
      </c>
      <c r="F50" s="75">
        <v>1942000</v>
      </c>
    </row>
    <row r="51" spans="1:6">
      <c r="A51" s="73" t="s">
        <v>122</v>
      </c>
      <c r="B51" s="74">
        <v>2188000</v>
      </c>
      <c r="C51" s="74">
        <v>2136000</v>
      </c>
      <c r="D51" s="74">
        <v>2085000</v>
      </c>
      <c r="E51" s="74">
        <v>2029000</v>
      </c>
      <c r="F51" s="74">
        <v>2194000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A7E3-0729-E545-9C5D-8388827193FB}">
  <dimension ref="A1:F65"/>
  <sheetViews>
    <sheetView workbookViewId="0">
      <selection activeCell="B14" sqref="B14"/>
    </sheetView>
  </sheetViews>
  <sheetFormatPr defaultColWidth="8.875" defaultRowHeight="15.95"/>
  <cols>
    <col min="1" max="1" width="42" customWidth="1"/>
    <col min="2" max="6" width="16" customWidth="1"/>
  </cols>
  <sheetData>
    <row r="1" spans="1:6" ht="18.95">
      <c r="A1" s="67" t="s">
        <v>123</v>
      </c>
      <c r="F1" s="68" t="s">
        <v>84</v>
      </c>
    </row>
    <row r="2" spans="1:6">
      <c r="A2" s="69"/>
      <c r="B2" s="69"/>
      <c r="C2" s="69"/>
      <c r="D2" s="69"/>
      <c r="E2" s="69"/>
      <c r="F2" s="69"/>
    </row>
    <row r="3" spans="1:6">
      <c r="A3" s="70" t="s">
        <v>85</v>
      </c>
      <c r="B3" s="69" t="s">
        <v>86</v>
      </c>
      <c r="C3" s="69" t="s">
        <v>87</v>
      </c>
      <c r="D3" s="69" t="s">
        <v>88</v>
      </c>
      <c r="E3" s="69" t="s">
        <v>89</v>
      </c>
      <c r="F3" s="69" t="s">
        <v>90</v>
      </c>
    </row>
    <row r="4" spans="1:6">
      <c r="A4" s="71" t="s">
        <v>25</v>
      </c>
      <c r="B4" s="72"/>
      <c r="C4" s="72"/>
      <c r="D4" s="72"/>
      <c r="E4" s="72"/>
      <c r="F4" s="72"/>
    </row>
    <row r="5" spans="1:6">
      <c r="A5" s="73" t="s">
        <v>124</v>
      </c>
      <c r="B5" s="74">
        <v>16487000</v>
      </c>
      <c r="C5" s="74">
        <v>15689000</v>
      </c>
      <c r="D5" s="74">
        <v>16286000</v>
      </c>
      <c r="E5" s="74">
        <v>11975000</v>
      </c>
      <c r="F5" s="74">
        <v>20154000</v>
      </c>
    </row>
    <row r="6" spans="1:6">
      <c r="A6" s="66" t="s">
        <v>125</v>
      </c>
      <c r="B6" s="75">
        <v>2025000</v>
      </c>
      <c r="C6" s="75">
        <v>2833000</v>
      </c>
      <c r="D6" s="75">
        <v>3842000</v>
      </c>
      <c r="E6" s="75">
        <v>3200000</v>
      </c>
      <c r="F6" s="75">
        <v>1833000</v>
      </c>
    </row>
    <row r="7" spans="1:6">
      <c r="A7" s="73" t="s">
        <v>126</v>
      </c>
      <c r="B7" s="74">
        <v>18512000</v>
      </c>
      <c r="C7" s="74">
        <v>18522000</v>
      </c>
      <c r="D7" s="74">
        <v>20128000</v>
      </c>
      <c r="E7" s="74">
        <v>15175000</v>
      </c>
      <c r="F7" s="74">
        <v>21987000</v>
      </c>
    </row>
    <row r="8" spans="1:6">
      <c r="A8" s="66" t="s">
        <v>127</v>
      </c>
      <c r="B8" s="75">
        <v>3726000</v>
      </c>
      <c r="C8" s="75">
        <v>3952000</v>
      </c>
      <c r="D8" s="75">
        <v>4474000</v>
      </c>
      <c r="E8" s="75">
        <v>7015000</v>
      </c>
      <c r="F8" s="75">
        <v>7317000</v>
      </c>
    </row>
    <row r="9" spans="1:6">
      <c r="A9" s="73" t="s">
        <v>42</v>
      </c>
      <c r="B9" s="74">
        <v>1968000</v>
      </c>
      <c r="C9" s="74">
        <v>2020000</v>
      </c>
      <c r="D9" s="74">
        <v>2291000</v>
      </c>
      <c r="E9" s="74">
        <v>2561000</v>
      </c>
      <c r="F9" s="74">
        <v>3126000</v>
      </c>
    </row>
    <row r="10" spans="1:6">
      <c r="A10" s="66" t="s">
        <v>128</v>
      </c>
      <c r="B10" s="75">
        <v>1758000</v>
      </c>
      <c r="C10" s="75">
        <v>1932000</v>
      </c>
      <c r="D10" s="75">
        <v>2183000</v>
      </c>
      <c r="E10" s="75">
        <v>4454000</v>
      </c>
      <c r="F10" s="75">
        <v>4191000</v>
      </c>
    </row>
    <row r="11" spans="1:6">
      <c r="A11" s="73" t="s">
        <v>129</v>
      </c>
      <c r="B11" s="74">
        <v>0</v>
      </c>
      <c r="C11" s="74">
        <v>0</v>
      </c>
      <c r="D11" s="74">
        <v>0</v>
      </c>
      <c r="E11" s="74">
        <v>0</v>
      </c>
      <c r="F11" s="74">
        <v>0</v>
      </c>
    </row>
    <row r="12" spans="1:6">
      <c r="A12" s="66" t="s">
        <v>130</v>
      </c>
      <c r="B12" s="75">
        <v>856000</v>
      </c>
      <c r="C12" s="75">
        <v>2668000</v>
      </c>
      <c r="D12" s="75">
        <v>0</v>
      </c>
      <c r="E12" s="75">
        <v>1190000</v>
      </c>
      <c r="F12" s="75">
        <v>0</v>
      </c>
    </row>
    <row r="13" spans="1:6">
      <c r="A13" s="73" t="s">
        <v>43</v>
      </c>
      <c r="B13" s="74">
        <v>4513000</v>
      </c>
      <c r="C13" s="74">
        <v>5063000</v>
      </c>
      <c r="D13" s="74">
        <v>8930000</v>
      </c>
      <c r="E13" s="74">
        <v>10653000</v>
      </c>
      <c r="F13" s="74">
        <v>8462000</v>
      </c>
    </row>
    <row r="14" spans="1:6">
      <c r="A14" s="66" t="s">
        <v>44</v>
      </c>
      <c r="B14" s="75">
        <v>27607000</v>
      </c>
      <c r="C14" s="75">
        <v>30205000</v>
      </c>
      <c r="D14" s="75">
        <v>33532000</v>
      </c>
      <c r="E14" s="75">
        <v>34033000</v>
      </c>
      <c r="F14" s="75">
        <v>37766000</v>
      </c>
    </row>
    <row r="15" spans="1:6">
      <c r="A15" s="73" t="s">
        <v>131</v>
      </c>
      <c r="B15" s="74">
        <v>7247000</v>
      </c>
      <c r="C15" s="74">
        <v>7085000</v>
      </c>
      <c r="D15" s="74">
        <v>7394000</v>
      </c>
      <c r="E15" s="74">
        <v>8279000</v>
      </c>
      <c r="F15" s="74">
        <v>9101000</v>
      </c>
    </row>
    <row r="16" spans="1:6">
      <c r="A16" s="66" t="s">
        <v>132</v>
      </c>
      <c r="B16" s="75">
        <v>55289000</v>
      </c>
      <c r="C16" s="75">
        <v>55296000</v>
      </c>
      <c r="D16" s="75">
        <v>56967000</v>
      </c>
      <c r="E16" s="75">
        <v>60478000</v>
      </c>
      <c r="F16" s="75">
        <v>61861000</v>
      </c>
    </row>
    <row r="17" spans="1:6">
      <c r="A17" s="73" t="s">
        <v>133</v>
      </c>
      <c r="B17" s="74">
        <v>999000</v>
      </c>
      <c r="C17" s="74">
        <v>2250000</v>
      </c>
      <c r="D17" s="74">
        <v>0</v>
      </c>
      <c r="E17" s="74">
        <v>0</v>
      </c>
      <c r="F17" s="74">
        <v>5569000</v>
      </c>
    </row>
    <row r="19" spans="1:6">
      <c r="A19" s="71" t="s">
        <v>134</v>
      </c>
      <c r="B19" s="72"/>
      <c r="C19" s="72"/>
      <c r="D19" s="72"/>
      <c r="E19" s="72"/>
      <c r="F19" s="72"/>
    </row>
    <row r="20" spans="1:6">
      <c r="A20" s="66" t="s">
        <v>135</v>
      </c>
      <c r="B20" s="75">
        <v>2715000</v>
      </c>
      <c r="C20" s="75">
        <v>3223000</v>
      </c>
      <c r="D20" s="75">
        <v>3425000</v>
      </c>
      <c r="E20" s="75">
        <v>3824000</v>
      </c>
      <c r="F20" s="75">
        <v>4236000</v>
      </c>
    </row>
    <row r="21" spans="1:6">
      <c r="A21" s="73" t="s">
        <v>136</v>
      </c>
      <c r="B21" s="74">
        <v>15958000</v>
      </c>
      <c r="C21" s="74">
        <v>17787000</v>
      </c>
      <c r="D21" s="74">
        <v>17997000</v>
      </c>
      <c r="E21" s="74">
        <v>18941000</v>
      </c>
      <c r="F21" s="74">
        <v>19879000</v>
      </c>
    </row>
    <row r="22" spans="1:6">
      <c r="A22" s="66" t="s">
        <v>137</v>
      </c>
      <c r="B22" s="75">
        <v>27664000</v>
      </c>
      <c r="C22" s="75">
        <v>25065000</v>
      </c>
      <c r="D22" s="75">
        <v>26104000</v>
      </c>
      <c r="E22" s="75">
        <v>26889000</v>
      </c>
      <c r="F22" s="75">
        <v>27646000</v>
      </c>
    </row>
    <row r="23" spans="1:6">
      <c r="A23" s="73" t="s">
        <v>138</v>
      </c>
      <c r="B23" s="74">
        <v>43622000</v>
      </c>
      <c r="C23" s="74">
        <v>42852000</v>
      </c>
      <c r="D23" s="74">
        <v>44101000</v>
      </c>
      <c r="E23" s="74">
        <v>45830000</v>
      </c>
      <c r="F23" s="74">
        <v>47525000</v>
      </c>
    </row>
    <row r="24" spans="1:6">
      <c r="A24" s="66" t="s">
        <v>139</v>
      </c>
      <c r="B24" s="75">
        <v>1705000</v>
      </c>
      <c r="C24" s="75">
        <v>2136000</v>
      </c>
      <c r="D24" s="75">
        <v>1921000</v>
      </c>
      <c r="E24" s="75">
        <v>2545000</v>
      </c>
      <c r="F24" s="75">
        <v>999000</v>
      </c>
    </row>
    <row r="25" spans="1:6">
      <c r="A25" s="73" t="s">
        <v>140</v>
      </c>
      <c r="B25" s="74">
        <v>19978000</v>
      </c>
      <c r="C25" s="74">
        <v>20200000</v>
      </c>
      <c r="D25" s="74">
        <v>20463000</v>
      </c>
      <c r="E25" s="74">
        <v>20836000</v>
      </c>
      <c r="F25" s="74">
        <v>19602000</v>
      </c>
    </row>
    <row r="26" spans="1:6">
      <c r="A26" s="66" t="s">
        <v>141</v>
      </c>
      <c r="B26" s="75">
        <v>3730000</v>
      </c>
      <c r="C26" s="75">
        <v>4969000</v>
      </c>
      <c r="D26" s="75">
        <v>5763000</v>
      </c>
      <c r="E26" s="75">
        <v>5745000</v>
      </c>
      <c r="F26" s="75">
        <v>2832000</v>
      </c>
    </row>
    <row r="28" spans="1:6">
      <c r="A28" s="71" t="s">
        <v>48</v>
      </c>
      <c r="B28" s="72"/>
      <c r="C28" s="72"/>
      <c r="D28" s="72"/>
      <c r="E28" s="72"/>
      <c r="F28" s="72"/>
    </row>
    <row r="29" spans="1:6">
      <c r="A29" s="73" t="s">
        <v>142</v>
      </c>
      <c r="B29" s="74">
        <v>2709000</v>
      </c>
      <c r="C29" s="74">
        <v>705000</v>
      </c>
      <c r="D29" s="74">
        <v>1875000</v>
      </c>
      <c r="E29" s="74">
        <v>479000</v>
      </c>
      <c r="F29" s="74">
        <v>555000</v>
      </c>
    </row>
    <row r="30" spans="1:6">
      <c r="A30" s="66" t="s">
        <v>143</v>
      </c>
      <c r="B30" s="75">
        <v>266000</v>
      </c>
      <c r="C30" s="75">
        <v>340000</v>
      </c>
      <c r="D30" s="75">
        <v>375000</v>
      </c>
      <c r="E30" s="75">
        <v>479000</v>
      </c>
      <c r="F30" s="75">
        <v>555000</v>
      </c>
    </row>
    <row r="31" spans="1:6">
      <c r="A31" s="73" t="s">
        <v>144</v>
      </c>
      <c r="B31" s="74">
        <v>2443000</v>
      </c>
      <c r="C31" s="74">
        <v>365000</v>
      </c>
      <c r="D31" s="74">
        <v>1500000</v>
      </c>
      <c r="E31" s="74">
        <v>0</v>
      </c>
      <c r="F31" s="74">
        <v>0</v>
      </c>
    </row>
    <row r="32" spans="1:6">
      <c r="A32" s="66" t="s">
        <v>46</v>
      </c>
      <c r="B32" s="75">
        <v>3317000</v>
      </c>
      <c r="C32" s="75">
        <v>1359000</v>
      </c>
      <c r="D32" s="75">
        <v>1506000</v>
      </c>
      <c r="E32" s="75">
        <v>5567000</v>
      </c>
      <c r="F32" s="75">
        <v>1863000</v>
      </c>
    </row>
    <row r="33" spans="1:6">
      <c r="A33" s="73" t="s">
        <v>145</v>
      </c>
      <c r="B33" s="74">
        <v>325000</v>
      </c>
      <c r="C33" s="74">
        <v>365000</v>
      </c>
      <c r="D33" s="74">
        <v>1500000</v>
      </c>
      <c r="E33" s="74">
        <v>0</v>
      </c>
      <c r="F33" s="74">
        <v>0</v>
      </c>
    </row>
    <row r="34" spans="1:6">
      <c r="A34" s="66" t="s">
        <v>146</v>
      </c>
      <c r="B34" s="75">
        <v>0</v>
      </c>
      <c r="C34" s="75">
        <v>0</v>
      </c>
      <c r="D34" s="75">
        <v>-106000</v>
      </c>
      <c r="E34" s="75">
        <v>0</v>
      </c>
      <c r="F34" s="75">
        <v>0</v>
      </c>
    </row>
    <row r="35" spans="1:6">
      <c r="A35" s="73" t="s">
        <v>147</v>
      </c>
      <c r="B35" s="74">
        <v>0</v>
      </c>
      <c r="C35" s="74">
        <v>0</v>
      </c>
      <c r="D35" s="74">
        <v>0</v>
      </c>
      <c r="E35" s="74">
        <v>0</v>
      </c>
      <c r="F35" s="74">
        <v>0</v>
      </c>
    </row>
    <row r="37" spans="1:6">
      <c r="A37" s="71" t="s">
        <v>148</v>
      </c>
      <c r="B37" s="72"/>
      <c r="C37" s="72"/>
      <c r="D37" s="72"/>
      <c r="E37" s="72"/>
      <c r="F37" s="72"/>
    </row>
    <row r="38" spans="1:6">
      <c r="A38" s="66" t="s">
        <v>149</v>
      </c>
      <c r="B38" s="75">
        <v>0</v>
      </c>
      <c r="C38" s="75">
        <v>0</v>
      </c>
      <c r="D38" s="75">
        <v>0</v>
      </c>
      <c r="E38" s="75">
        <v>0</v>
      </c>
      <c r="F38" s="75">
        <v>0</v>
      </c>
    </row>
    <row r="39" spans="1:6">
      <c r="A39" s="73" t="s">
        <v>150</v>
      </c>
      <c r="B39" s="74">
        <v>21935000</v>
      </c>
      <c r="C39" s="74">
        <v>21869000</v>
      </c>
      <c r="D39" s="74">
        <v>0</v>
      </c>
      <c r="E39" s="74">
        <v>0</v>
      </c>
      <c r="F39" s="74">
        <v>0</v>
      </c>
    </row>
    <row r="40" spans="1:6">
      <c r="A40" s="66" t="s">
        <v>151</v>
      </c>
      <c r="B40" s="75">
        <v>15351000</v>
      </c>
      <c r="C40" s="75">
        <v>16116000</v>
      </c>
      <c r="D40" s="75">
        <v>18040000</v>
      </c>
      <c r="E40" s="75">
        <v>17289000</v>
      </c>
      <c r="F40" s="75">
        <v>15106000</v>
      </c>
    </row>
    <row r="41" spans="1:6">
      <c r="A41" s="73" t="s">
        <v>152</v>
      </c>
      <c r="B41" s="74">
        <v>18855000</v>
      </c>
      <c r="C41" s="74">
        <v>0</v>
      </c>
      <c r="D41" s="74">
        <v>20452000</v>
      </c>
      <c r="E41" s="74">
        <v>21229000</v>
      </c>
      <c r="F41" s="74">
        <v>21934000</v>
      </c>
    </row>
    <row r="42" spans="1:6">
      <c r="A42" s="66" t="s">
        <v>153</v>
      </c>
      <c r="B42" s="75">
        <v>-22068000</v>
      </c>
      <c r="C42" s="75">
        <v>-2359000</v>
      </c>
      <c r="D42" s="75">
        <v>-140000</v>
      </c>
      <c r="E42" s="75">
        <v>0</v>
      </c>
      <c r="F42" s="75">
        <v>0</v>
      </c>
    </row>
    <row r="43" spans="1:6">
      <c r="A43" s="73" t="s">
        <v>154</v>
      </c>
      <c r="B43" s="74">
        <v>37589000</v>
      </c>
      <c r="C43" s="74">
        <v>35581000</v>
      </c>
      <c r="D43" s="74">
        <v>38733000</v>
      </c>
      <c r="E43" s="74">
        <v>39137000</v>
      </c>
      <c r="F43" s="74">
        <v>37909000</v>
      </c>
    </row>
    <row r="44" spans="1:6">
      <c r="A44" s="66" t="s">
        <v>155</v>
      </c>
      <c r="B44" s="75">
        <v>37589000</v>
      </c>
      <c r="C44" s="75">
        <v>35581000</v>
      </c>
      <c r="D44" s="75">
        <v>38733000</v>
      </c>
      <c r="E44" s="75">
        <v>39137000</v>
      </c>
      <c r="F44" s="75">
        <v>37909000</v>
      </c>
    </row>
    <row r="45" spans="1:6">
      <c r="A45" s="73" t="s">
        <v>156</v>
      </c>
      <c r="B45" s="74">
        <v>82896000</v>
      </c>
      <c r="C45" s="74">
        <v>85501000</v>
      </c>
      <c r="D45" s="74">
        <v>90499000</v>
      </c>
      <c r="E45" s="74">
        <v>94511000</v>
      </c>
      <c r="F45" s="74">
        <v>99627000</v>
      </c>
    </row>
    <row r="47" spans="1:6">
      <c r="A47" s="71" t="s">
        <v>157</v>
      </c>
      <c r="B47" s="72"/>
      <c r="C47" s="72"/>
      <c r="D47" s="72"/>
      <c r="E47" s="72"/>
      <c r="F47" s="72"/>
    </row>
    <row r="48" spans="1:6">
      <c r="A48" s="66" t="s">
        <v>158</v>
      </c>
      <c r="B48" s="75">
        <v>0</v>
      </c>
      <c r="C48" s="75">
        <v>0</v>
      </c>
      <c r="D48" s="75">
        <v>126000</v>
      </c>
      <c r="E48" s="75">
        <v>0</v>
      </c>
      <c r="F48" s="75">
        <v>0</v>
      </c>
    </row>
    <row r="49" spans="1:6">
      <c r="A49" s="73" t="s">
        <v>159</v>
      </c>
      <c r="B49" s="74">
        <v>0</v>
      </c>
      <c r="C49" s="74">
        <v>0</v>
      </c>
      <c r="D49" s="74">
        <v>0</v>
      </c>
      <c r="E49" s="74">
        <v>0</v>
      </c>
      <c r="F49" s="74">
        <v>0</v>
      </c>
    </row>
    <row r="50" spans="1:6">
      <c r="A50" s="66" t="s">
        <v>160</v>
      </c>
      <c r="B50" s="75">
        <v>82896000</v>
      </c>
      <c r="C50" s="75">
        <v>85501000</v>
      </c>
      <c r="D50" s="75">
        <v>90499000</v>
      </c>
      <c r="E50" s="75">
        <v>94511000</v>
      </c>
      <c r="F50" s="75">
        <v>99627000</v>
      </c>
    </row>
    <row r="51" spans="1:6">
      <c r="A51" s="73" t="s">
        <v>161</v>
      </c>
      <c r="B51" s="74">
        <v>0</v>
      </c>
      <c r="C51" s="74">
        <v>0</v>
      </c>
      <c r="D51" s="74">
        <v>106000</v>
      </c>
      <c r="E51" s="74">
        <v>0</v>
      </c>
      <c r="F51" s="74">
        <v>0</v>
      </c>
    </row>
    <row r="52" spans="1:6">
      <c r="A52" s="66" t="s">
        <v>47</v>
      </c>
      <c r="B52" s="75">
        <v>8714000</v>
      </c>
      <c r="C52" s="75">
        <v>16539000</v>
      </c>
      <c r="D52" s="75">
        <v>19717000</v>
      </c>
      <c r="E52" s="75">
        <v>20471000</v>
      </c>
      <c r="F52" s="75">
        <v>27061000</v>
      </c>
    </row>
    <row r="53" spans="1:6">
      <c r="A53" s="73" t="s">
        <v>162</v>
      </c>
      <c r="B53" s="74">
        <v>15739000</v>
      </c>
      <c r="C53" s="74">
        <v>20853000</v>
      </c>
      <c r="D53" s="74">
        <v>23098000</v>
      </c>
      <c r="E53" s="74">
        <v>26517000</v>
      </c>
      <c r="F53" s="74">
        <v>35048000</v>
      </c>
    </row>
    <row r="54" spans="1:6">
      <c r="A54" s="66" t="s">
        <v>163</v>
      </c>
      <c r="B54" s="75">
        <v>0</v>
      </c>
      <c r="C54" s="75">
        <v>0</v>
      </c>
      <c r="D54" s="75">
        <v>412000</v>
      </c>
      <c r="E54" s="75">
        <v>0</v>
      </c>
      <c r="F54" s="75">
        <v>0</v>
      </c>
    </row>
    <row r="55" spans="1:6">
      <c r="A55" s="73" t="s">
        <v>164</v>
      </c>
      <c r="B55" s="74">
        <v>6128000</v>
      </c>
      <c r="C55" s="74">
        <v>5332000</v>
      </c>
      <c r="D55" s="74">
        <v>5114000</v>
      </c>
      <c r="E55" s="74">
        <v>5301000</v>
      </c>
      <c r="F55" s="74">
        <v>5549000</v>
      </c>
    </row>
    <row r="56" spans="1:6">
      <c r="A56" s="66" t="s">
        <v>165</v>
      </c>
      <c r="B56" s="75">
        <v>3462000</v>
      </c>
      <c r="C56" s="75">
        <v>3535000</v>
      </c>
      <c r="D56" s="75">
        <v>2679000</v>
      </c>
      <c r="E56" s="75">
        <v>2720000</v>
      </c>
      <c r="F56" s="75">
        <v>1519000</v>
      </c>
    </row>
    <row r="57" spans="1:6">
      <c r="A57" s="73" t="s">
        <v>166</v>
      </c>
      <c r="B57" s="74">
        <v>29568000</v>
      </c>
      <c r="C57" s="74">
        <v>29067000</v>
      </c>
      <c r="D57" s="74">
        <v>28668000</v>
      </c>
      <c r="E57" s="74">
        <v>28857000</v>
      </c>
      <c r="F57" s="74">
        <v>26670000</v>
      </c>
    </row>
    <row r="58" spans="1:6">
      <c r="A58" s="66" t="s">
        <v>167</v>
      </c>
      <c r="B58" s="75">
        <v>0</v>
      </c>
      <c r="C58" s="75">
        <v>0</v>
      </c>
      <c r="D58" s="75">
        <v>0</v>
      </c>
      <c r="E58" s="75">
        <v>0</v>
      </c>
      <c r="F58" s="75">
        <v>0</v>
      </c>
    </row>
    <row r="59" spans="1:6">
      <c r="A59" s="73" t="s">
        <v>168</v>
      </c>
      <c r="B59" s="74">
        <v>500000</v>
      </c>
      <c r="C59" s="74">
        <v>422000</v>
      </c>
      <c r="D59" s="74">
        <v>412000</v>
      </c>
      <c r="E59" s="74">
        <v>0</v>
      </c>
      <c r="F59" s="74">
        <v>0</v>
      </c>
    </row>
    <row r="60" spans="1:6">
      <c r="A60" s="66" t="s">
        <v>169</v>
      </c>
      <c r="B60" s="75">
        <v>45307000</v>
      </c>
      <c r="C60" s="75">
        <v>49920000</v>
      </c>
      <c r="D60" s="75">
        <v>51766000</v>
      </c>
      <c r="E60" s="75">
        <v>55374000</v>
      </c>
      <c r="F60" s="75">
        <v>61718000</v>
      </c>
    </row>
    <row r="61" spans="1:6">
      <c r="A61" s="73" t="s">
        <v>170</v>
      </c>
      <c r="B61" s="74">
        <v>3080000</v>
      </c>
      <c r="C61" s="74">
        <v>2324000</v>
      </c>
      <c r="D61" s="74">
        <v>1698000</v>
      </c>
      <c r="E61" s="74">
        <v>1031000</v>
      </c>
      <c r="F61" s="74">
        <v>745000</v>
      </c>
    </row>
    <row r="62" spans="1:6">
      <c r="A62" s="66" t="s">
        <v>171</v>
      </c>
      <c r="B62" s="75">
        <v>436000</v>
      </c>
      <c r="C62" s="75">
        <v>-2369000</v>
      </c>
      <c r="D62" s="75">
        <v>-1317000</v>
      </c>
      <c r="E62" s="75">
        <v>-412000</v>
      </c>
      <c r="F62" s="75">
        <v>124000</v>
      </c>
    </row>
    <row r="63" spans="1:6">
      <c r="A63" s="73" t="s">
        <v>172</v>
      </c>
      <c r="B63" s="74">
        <v>0</v>
      </c>
      <c r="C63" s="74">
        <v>0</v>
      </c>
      <c r="D63" s="74">
        <v>0</v>
      </c>
      <c r="E63" s="74">
        <v>0</v>
      </c>
      <c r="F63" s="74">
        <v>0</v>
      </c>
    </row>
    <row r="64" spans="1:6">
      <c r="A64" s="66" t="s">
        <v>173</v>
      </c>
      <c r="B64" s="75">
        <v>20977000</v>
      </c>
      <c r="C64" s="75">
        <v>22450000</v>
      </c>
      <c r="D64" s="75">
        <v>20981000</v>
      </c>
      <c r="E64" s="75">
        <v>20836000</v>
      </c>
      <c r="F64" s="75">
        <v>25171000</v>
      </c>
    </row>
    <row r="65" spans="1:6">
      <c r="A65" s="73" t="s">
        <v>174</v>
      </c>
      <c r="B65" s="74">
        <v>4490000</v>
      </c>
      <c r="C65" s="74">
        <v>6761000</v>
      </c>
      <c r="D65" s="74">
        <v>4695000</v>
      </c>
      <c r="E65" s="74">
        <v>8861000</v>
      </c>
      <c r="F65" s="74">
        <v>5017000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8298-0F6B-624C-BACF-B3B9371C9E6D}">
  <dimension ref="A1:F49"/>
  <sheetViews>
    <sheetView workbookViewId="0">
      <selection activeCell="F11" sqref="F11"/>
    </sheetView>
  </sheetViews>
  <sheetFormatPr defaultColWidth="8.875" defaultRowHeight="15.95"/>
  <cols>
    <col min="1" max="1" width="42" customWidth="1"/>
    <col min="2" max="6" width="16" customWidth="1"/>
  </cols>
  <sheetData>
    <row r="1" spans="1:6" ht="18.95">
      <c r="A1" s="67" t="s">
        <v>175</v>
      </c>
      <c r="F1" s="68" t="s">
        <v>84</v>
      </c>
    </row>
    <row r="2" spans="1:6">
      <c r="A2" s="69"/>
      <c r="B2" s="69"/>
      <c r="C2" s="69"/>
      <c r="D2" s="69"/>
      <c r="E2" s="69"/>
      <c r="F2" s="69"/>
    </row>
    <row r="3" spans="1:6">
      <c r="A3" s="70" t="s">
        <v>85</v>
      </c>
      <c r="B3" s="69" t="s">
        <v>86</v>
      </c>
      <c r="C3" s="69" t="s">
        <v>87</v>
      </c>
      <c r="D3" s="69" t="s">
        <v>88</v>
      </c>
      <c r="E3" s="69" t="s">
        <v>89</v>
      </c>
      <c r="F3" s="69" t="s">
        <v>90</v>
      </c>
    </row>
    <row r="4" spans="1:6">
      <c r="A4" s="71" t="s">
        <v>176</v>
      </c>
      <c r="B4" s="72"/>
      <c r="C4" s="72"/>
      <c r="D4" s="72"/>
      <c r="E4" s="72"/>
      <c r="F4" s="72"/>
    </row>
    <row r="5" spans="1:6">
      <c r="A5" s="73" t="s">
        <v>110</v>
      </c>
      <c r="B5" s="74">
        <v>12311000</v>
      </c>
      <c r="C5" s="74">
        <v>14957000</v>
      </c>
      <c r="D5" s="74">
        <v>17273000</v>
      </c>
      <c r="E5" s="74">
        <v>19743000</v>
      </c>
      <c r="F5" s="74">
        <v>20058000</v>
      </c>
    </row>
    <row r="6" spans="1:6">
      <c r="A6" s="66" t="s">
        <v>118</v>
      </c>
      <c r="B6" s="75">
        <v>804000</v>
      </c>
      <c r="C6" s="75">
        <v>861000</v>
      </c>
      <c r="D6" s="75">
        <v>943000</v>
      </c>
      <c r="E6" s="75">
        <v>1034000</v>
      </c>
      <c r="F6" s="75">
        <v>1220000</v>
      </c>
    </row>
    <row r="7" spans="1:6">
      <c r="A7" s="73" t="s">
        <v>177</v>
      </c>
      <c r="B7" s="74">
        <v>542000</v>
      </c>
      <c r="C7" s="74">
        <v>602000</v>
      </c>
      <c r="D7" s="74">
        <v>765000</v>
      </c>
      <c r="E7" s="74">
        <v>850000</v>
      </c>
      <c r="F7" s="74">
        <v>897000</v>
      </c>
    </row>
    <row r="8" spans="1:6">
      <c r="A8" s="66" t="s">
        <v>178</v>
      </c>
      <c r="B8" s="75">
        <v>-6702000</v>
      </c>
      <c r="C8" s="75">
        <v>-7657000</v>
      </c>
      <c r="D8" s="75">
        <v>-10022000</v>
      </c>
      <c r="E8" s="75">
        <v>-15432000</v>
      </c>
      <c r="F8" s="75">
        <v>-11788000</v>
      </c>
    </row>
    <row r="9" spans="1:6">
      <c r="A9" s="73" t="s">
        <v>42</v>
      </c>
      <c r="B9" s="74">
        <v>-343000</v>
      </c>
      <c r="C9" s="74">
        <v>-97000</v>
      </c>
      <c r="D9" s="74">
        <v>-250000</v>
      </c>
      <c r="E9" s="74">
        <v>-237000</v>
      </c>
      <c r="F9" s="74">
        <v>-542000</v>
      </c>
    </row>
    <row r="10" spans="1:6">
      <c r="A10" s="66" t="s">
        <v>129</v>
      </c>
      <c r="B10" s="75">
        <v>1063000</v>
      </c>
      <c r="C10" s="75">
        <v>0</v>
      </c>
      <c r="D10" s="75">
        <v>1208000</v>
      </c>
      <c r="E10" s="75">
        <v>0</v>
      </c>
      <c r="F10" s="75">
        <v>0</v>
      </c>
    </row>
    <row r="11" spans="1:6">
      <c r="A11" s="73" t="s">
        <v>179</v>
      </c>
      <c r="B11" s="74">
        <v>88000</v>
      </c>
      <c r="C11" s="74">
        <v>67000</v>
      </c>
      <c r="D11" s="74">
        <v>34000</v>
      </c>
      <c r="E11" s="74">
        <v>109000</v>
      </c>
      <c r="F11" s="74">
        <v>67000</v>
      </c>
    </row>
    <row r="12" spans="1:6">
      <c r="A12" s="66" t="s">
        <v>180</v>
      </c>
      <c r="B12" s="75">
        <v>-7510000</v>
      </c>
      <c r="C12" s="75">
        <v>-7627000</v>
      </c>
      <c r="D12" s="75">
        <v>-11014000</v>
      </c>
      <c r="E12" s="75">
        <v>-15304000</v>
      </c>
      <c r="F12" s="75">
        <v>-11313000</v>
      </c>
    </row>
    <row r="13" spans="1:6">
      <c r="A13" s="73" t="s">
        <v>181</v>
      </c>
      <c r="B13" s="74">
        <v>15227000</v>
      </c>
      <c r="C13" s="74">
        <v>18849000</v>
      </c>
      <c r="D13" s="74">
        <v>20755000</v>
      </c>
      <c r="E13" s="74">
        <v>19950000</v>
      </c>
      <c r="F13" s="74">
        <v>23059000</v>
      </c>
    </row>
    <row r="15" spans="1:6">
      <c r="A15" s="71" t="s">
        <v>182</v>
      </c>
      <c r="B15" s="72"/>
      <c r="C15" s="72"/>
      <c r="D15" s="72"/>
      <c r="E15" s="72"/>
      <c r="F15" s="72"/>
    </row>
    <row r="16" spans="1:6">
      <c r="A16" s="66" t="s">
        <v>183</v>
      </c>
      <c r="B16" s="75">
        <v>-705000</v>
      </c>
      <c r="C16" s="75">
        <v>-970000</v>
      </c>
      <c r="D16" s="75">
        <v>-1059000</v>
      </c>
      <c r="E16" s="75">
        <v>-1257000</v>
      </c>
      <c r="F16" s="75">
        <v>-1482000</v>
      </c>
    </row>
    <row r="17" spans="1:6">
      <c r="A17" s="73" t="s">
        <v>184</v>
      </c>
      <c r="B17" s="74">
        <v>-75000</v>
      </c>
      <c r="C17" s="74">
        <v>-1948000</v>
      </c>
      <c r="D17" s="74">
        <v>0</v>
      </c>
      <c r="E17" s="74">
        <v>-915000</v>
      </c>
      <c r="F17" s="74">
        <v>-887000</v>
      </c>
    </row>
    <row r="18" spans="1:6">
      <c r="A18" s="66" t="s">
        <v>185</v>
      </c>
      <c r="B18" s="75">
        <v>-5182000</v>
      </c>
      <c r="C18" s="75">
        <v>-6083000</v>
      </c>
      <c r="D18" s="75">
        <v>-4484000</v>
      </c>
      <c r="E18" s="75">
        <v>-4674000</v>
      </c>
      <c r="F18" s="75">
        <v>-68000</v>
      </c>
    </row>
    <row r="19" spans="1:6">
      <c r="A19" s="73" t="s">
        <v>186</v>
      </c>
      <c r="B19" s="74">
        <v>5701000</v>
      </c>
      <c r="C19" s="74">
        <v>4585000</v>
      </c>
      <c r="D19" s="74">
        <v>3562000</v>
      </c>
      <c r="E19" s="74">
        <v>5013000</v>
      </c>
      <c r="F19" s="74">
        <v>3024000</v>
      </c>
    </row>
    <row r="20" spans="1:6">
      <c r="A20" s="66" t="s">
        <v>187</v>
      </c>
      <c r="B20" s="75">
        <v>109000</v>
      </c>
      <c r="C20" s="75">
        <v>128000</v>
      </c>
      <c r="D20" s="75">
        <v>-25000</v>
      </c>
      <c r="E20" s="75">
        <v>-93000</v>
      </c>
      <c r="F20" s="75">
        <v>121000</v>
      </c>
    </row>
    <row r="21" spans="1:6">
      <c r="A21" s="73" t="s">
        <v>188</v>
      </c>
      <c r="B21" s="74">
        <v>-152000</v>
      </c>
      <c r="C21" s="74">
        <v>-4288000</v>
      </c>
      <c r="D21" s="74">
        <v>-2006000</v>
      </c>
      <c r="E21" s="74">
        <v>-1926000</v>
      </c>
      <c r="F21" s="74">
        <v>708000</v>
      </c>
    </row>
    <row r="22" spans="1:6">
      <c r="A22" s="66" t="s">
        <v>189</v>
      </c>
      <c r="B22" s="75">
        <v>-705000</v>
      </c>
      <c r="C22" s="75">
        <v>-970000</v>
      </c>
      <c r="D22" s="75">
        <v>-1059000</v>
      </c>
      <c r="E22" s="75">
        <v>-1257000</v>
      </c>
      <c r="F22" s="75">
        <v>-1482000</v>
      </c>
    </row>
    <row r="24" spans="1:6">
      <c r="A24" s="71" t="s">
        <v>190</v>
      </c>
      <c r="B24" s="72"/>
      <c r="C24" s="72"/>
      <c r="D24" s="72"/>
      <c r="E24" s="72"/>
      <c r="F24" s="72"/>
    </row>
    <row r="25" spans="1:6">
      <c r="A25" s="73" t="s">
        <v>191</v>
      </c>
      <c r="B25" s="74">
        <v>-3000000</v>
      </c>
      <c r="C25" s="74">
        <v>2218000</v>
      </c>
      <c r="D25" s="74">
        <v>-2250000</v>
      </c>
      <c r="E25" s="74">
        <v>0</v>
      </c>
      <c r="F25" s="74">
        <v>3924000</v>
      </c>
    </row>
    <row r="26" spans="1:6">
      <c r="A26" s="66" t="s">
        <v>192</v>
      </c>
      <c r="B26" s="75">
        <v>-3000000</v>
      </c>
      <c r="C26" s="75">
        <v>2218000</v>
      </c>
      <c r="D26" s="75">
        <v>-2250000</v>
      </c>
      <c r="E26" s="75">
        <v>0</v>
      </c>
      <c r="F26" s="75">
        <v>3924000</v>
      </c>
    </row>
    <row r="27" spans="1:6">
      <c r="A27" s="73" t="s">
        <v>193</v>
      </c>
      <c r="B27" s="74">
        <v>0</v>
      </c>
      <c r="C27" s="74">
        <v>0</v>
      </c>
      <c r="D27" s="74">
        <v>0</v>
      </c>
      <c r="E27" s="74">
        <v>0</v>
      </c>
      <c r="F27" s="74">
        <v>0</v>
      </c>
    </row>
    <row r="28" spans="1:6">
      <c r="A28" s="66" t="s">
        <v>194</v>
      </c>
      <c r="B28" s="75">
        <v>-8468000</v>
      </c>
      <c r="C28" s="75">
        <v>-11589000</v>
      </c>
      <c r="D28" s="75">
        <v>-11841000</v>
      </c>
      <c r="E28" s="75">
        <v>-16713000</v>
      </c>
      <c r="F28" s="75">
        <v>-13294000</v>
      </c>
    </row>
    <row r="29" spans="1:6">
      <c r="A29" s="73" t="s">
        <v>195</v>
      </c>
      <c r="B29" s="74">
        <v>-8676000</v>
      </c>
      <c r="C29" s="74">
        <v>-11589000</v>
      </c>
      <c r="D29" s="74">
        <v>-12101000</v>
      </c>
      <c r="E29" s="74">
        <v>-16713000</v>
      </c>
      <c r="F29" s="74">
        <v>-13294000</v>
      </c>
    </row>
    <row r="30" spans="1:6">
      <c r="A30" s="66" t="s">
        <v>196</v>
      </c>
      <c r="B30" s="75">
        <v>0</v>
      </c>
      <c r="C30" s="75">
        <v>0</v>
      </c>
      <c r="D30" s="75">
        <v>0</v>
      </c>
      <c r="E30" s="75">
        <v>0</v>
      </c>
      <c r="F30" s="75">
        <v>95000</v>
      </c>
    </row>
    <row r="31" spans="1:6">
      <c r="A31" s="73" t="s">
        <v>197</v>
      </c>
      <c r="B31" s="74">
        <v>-8676000</v>
      </c>
      <c r="C31" s="74">
        <v>-11589000</v>
      </c>
      <c r="D31" s="74">
        <v>-12101000</v>
      </c>
      <c r="E31" s="74">
        <v>-16713000</v>
      </c>
      <c r="F31" s="74">
        <v>-13389000</v>
      </c>
    </row>
    <row r="32" spans="1:6">
      <c r="A32" s="66" t="s">
        <v>198</v>
      </c>
      <c r="B32" s="75">
        <v>208000</v>
      </c>
      <c r="C32" s="75">
        <v>0</v>
      </c>
      <c r="D32" s="75">
        <v>260000</v>
      </c>
      <c r="E32" s="75">
        <v>0</v>
      </c>
      <c r="F32" s="75">
        <v>0</v>
      </c>
    </row>
    <row r="33" spans="1:6">
      <c r="A33" s="73" t="s">
        <v>199</v>
      </c>
      <c r="B33" s="74">
        <v>-2798000</v>
      </c>
      <c r="C33" s="74">
        <v>-3203000</v>
      </c>
      <c r="D33" s="74">
        <v>-3751000</v>
      </c>
      <c r="E33" s="74">
        <v>-4217000</v>
      </c>
      <c r="F33" s="74">
        <v>-4634000</v>
      </c>
    </row>
    <row r="34" spans="1:6">
      <c r="A34" s="66" t="s">
        <v>200</v>
      </c>
      <c r="B34" s="75">
        <v>-2798000</v>
      </c>
      <c r="C34" s="75">
        <v>-3203000</v>
      </c>
      <c r="D34" s="75">
        <v>-3751000</v>
      </c>
      <c r="E34" s="75">
        <v>-4217000</v>
      </c>
      <c r="F34" s="75">
        <v>-4634000</v>
      </c>
    </row>
    <row r="35" spans="1:6">
      <c r="A35" s="73" t="s">
        <v>201</v>
      </c>
      <c r="B35" s="74">
        <v>0</v>
      </c>
      <c r="C35" s="74">
        <v>0</v>
      </c>
      <c r="D35" s="74">
        <v>0</v>
      </c>
      <c r="E35" s="74">
        <v>0</v>
      </c>
      <c r="F35" s="74">
        <v>0</v>
      </c>
    </row>
    <row r="36" spans="1:6">
      <c r="A36" s="66" t="s">
        <v>202</v>
      </c>
      <c r="B36" s="75">
        <v>-144000</v>
      </c>
      <c r="C36" s="75">
        <v>-122000</v>
      </c>
      <c r="D36" s="75">
        <v>70000</v>
      </c>
      <c r="E36" s="75">
        <v>297000</v>
      </c>
      <c r="F36" s="75">
        <v>-4959000</v>
      </c>
    </row>
    <row r="37" spans="1:6">
      <c r="A37" s="73" t="s">
        <v>203</v>
      </c>
      <c r="B37" s="74">
        <v>-14410000</v>
      </c>
      <c r="C37" s="74">
        <v>-12696000</v>
      </c>
      <c r="D37" s="74">
        <v>-17772000</v>
      </c>
      <c r="E37" s="74">
        <v>-20633000</v>
      </c>
      <c r="F37" s="74">
        <v>-18963000</v>
      </c>
    </row>
    <row r="39" spans="1:6">
      <c r="A39" s="71" t="s">
        <v>204</v>
      </c>
      <c r="B39" s="72"/>
      <c r="C39" s="72"/>
      <c r="D39" s="72"/>
      <c r="E39" s="72"/>
      <c r="F39" s="72"/>
    </row>
    <row r="40" spans="1:6">
      <c r="A40" s="66" t="s">
        <v>205</v>
      </c>
      <c r="B40" s="75">
        <v>873000</v>
      </c>
      <c r="C40" s="75">
        <v>-336000</v>
      </c>
      <c r="D40" s="75">
        <v>-483000</v>
      </c>
      <c r="E40" s="75">
        <v>-100000</v>
      </c>
      <c r="F40" s="75">
        <v>152000</v>
      </c>
    </row>
    <row r="41" spans="1:6">
      <c r="A41" s="73" t="s">
        <v>206</v>
      </c>
      <c r="B41" s="74">
        <v>7399000</v>
      </c>
      <c r="C41" s="74">
        <v>10422000</v>
      </c>
      <c r="D41" s="74">
        <v>12279000</v>
      </c>
      <c r="E41" s="74">
        <v>13855000</v>
      </c>
      <c r="F41" s="74">
        <v>12520000</v>
      </c>
    </row>
    <row r="42" spans="1:6">
      <c r="A42" s="66" t="s">
        <v>207</v>
      </c>
      <c r="B42" s="75">
        <v>-37000</v>
      </c>
      <c r="C42" s="75">
        <v>-1287000</v>
      </c>
      <c r="D42" s="75">
        <v>636000</v>
      </c>
      <c r="E42" s="75">
        <v>382000</v>
      </c>
      <c r="F42" s="75">
        <v>420000</v>
      </c>
    </row>
    <row r="43" spans="1:6">
      <c r="A43" s="73" t="s">
        <v>208</v>
      </c>
      <c r="B43" s="74">
        <v>628000</v>
      </c>
      <c r="C43" s="74">
        <v>578000</v>
      </c>
      <c r="D43" s="74">
        <v>1613000</v>
      </c>
      <c r="E43" s="74">
        <v>-2227000</v>
      </c>
      <c r="F43" s="74">
        <v>5224000</v>
      </c>
    </row>
    <row r="44" spans="1:6">
      <c r="A44" s="66" t="s">
        <v>209</v>
      </c>
      <c r="B44" s="75">
        <v>19799000</v>
      </c>
      <c r="C44" s="75">
        <v>20377000</v>
      </c>
      <c r="D44" s="75">
        <v>21990000</v>
      </c>
      <c r="E44" s="75">
        <v>19763000</v>
      </c>
      <c r="F44" s="75">
        <v>24987000</v>
      </c>
    </row>
    <row r="45" spans="1:6">
      <c r="A45" s="73" t="s">
        <v>210</v>
      </c>
      <c r="B45" s="74">
        <v>19171000</v>
      </c>
      <c r="C45" s="74">
        <v>19799000</v>
      </c>
      <c r="D45" s="74">
        <v>20377000</v>
      </c>
      <c r="E45" s="74">
        <v>21990000</v>
      </c>
      <c r="F45" s="74">
        <v>19763000</v>
      </c>
    </row>
    <row r="46" spans="1:6">
      <c r="A46" s="66" t="s">
        <v>211</v>
      </c>
      <c r="B46" s="75">
        <v>15227000</v>
      </c>
      <c r="C46" s="75">
        <v>18849000</v>
      </c>
      <c r="D46" s="75">
        <v>20755000</v>
      </c>
      <c r="E46" s="75">
        <v>19950000</v>
      </c>
      <c r="F46" s="75">
        <v>23059000</v>
      </c>
    </row>
    <row r="47" spans="1:6">
      <c r="A47" s="73" t="s">
        <v>212</v>
      </c>
      <c r="B47" s="74">
        <v>14522000</v>
      </c>
      <c r="C47" s="74">
        <v>17879000</v>
      </c>
      <c r="D47" s="74">
        <v>19696000</v>
      </c>
      <c r="E47" s="74">
        <v>18693000</v>
      </c>
      <c r="F47" s="74">
        <v>21577000</v>
      </c>
    </row>
    <row r="48" spans="1:6">
      <c r="A48" s="66" t="s">
        <v>213</v>
      </c>
      <c r="B48" s="75">
        <v>3012000</v>
      </c>
      <c r="C48" s="75">
        <v>3741000</v>
      </c>
      <c r="D48" s="75">
        <v>3433000</v>
      </c>
      <c r="E48" s="75">
        <v>5775000</v>
      </c>
      <c r="F48" s="75">
        <v>0</v>
      </c>
    </row>
    <row r="49" spans="1:6">
      <c r="A49" s="73" t="s">
        <v>214</v>
      </c>
      <c r="B49" s="74">
        <v>643000</v>
      </c>
      <c r="C49" s="74">
        <v>607000</v>
      </c>
      <c r="D49" s="74">
        <v>617000</v>
      </c>
      <c r="E49" s="74">
        <v>583000</v>
      </c>
      <c r="F49" s="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Mathur, Arnie (Student)</dc:creator>
  <cp:keywords/>
  <dc:description/>
  <cp:lastModifiedBy>Arnav Mathur</cp:lastModifiedBy>
  <cp:revision/>
  <dcterms:created xsi:type="dcterms:W3CDTF">2025-12-16T02:35:57Z</dcterms:created>
  <dcterms:modified xsi:type="dcterms:W3CDTF">2026-03-07T22:24:21Z</dcterms:modified>
  <cp:category/>
  <cp:contentStatus/>
</cp:coreProperties>
</file>