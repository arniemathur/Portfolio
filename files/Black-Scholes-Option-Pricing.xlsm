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iemathur/Desktop/Financial Modelling/"/>
    </mc:Choice>
  </mc:AlternateContent>
  <xr:revisionPtr revIDLastSave="2" documentId="13_ncr:1_{4693ED54-2566-D949-95BF-4A8FC6A906BC}" xr6:coauthVersionLast="47" xr6:coauthVersionMax="47" xr10:uidLastSave="{55EF744C-023D-4D9F-858F-3361938C34EF}"/>
  <bookViews>
    <workbookView xWindow="480" yWindow="760" windowWidth="25760" windowHeight="16720" firstSheet="1" activeTab="1" xr2:uid="{2223FBE2-EAD7-FF43-B898-350B031D7CDA}"/>
  </bookViews>
  <sheets>
    <sheet name="Data" sheetId="2" r:id="rId1"/>
    <sheet name="Black-Scholes Model" sheetId="1" r:id="rId2"/>
  </sheets>
  <definedNames>
    <definedName name="_xleta.T" hidden="1" xlm="1">#NAME?</definedName>
    <definedName name="_xleta.TODAY" hidden="1" xlm="1">#NAME?</definedName>
    <definedName name="divYield">'Black-Scholes Model'!$C$6</definedName>
    <definedName name="RiskFree">'Black-Scholes Model'!$C$5</definedName>
    <definedName name="sigma">'Black-Scholes Model'!$C$8</definedName>
    <definedName name="stock">'Black-Scholes Model'!$C$3</definedName>
    <definedName name="stocl">'Black-Scholes Model'!$C$3</definedName>
    <definedName name="strike">'Black-Scholes Model'!$C$4</definedName>
    <definedName name="Time">'Black-Scholes Model'!$C$7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3" i="2" a="1"/>
  <c r="D67" i="2" l="1"/>
  <c r="C3" i="1"/>
  <c r="D9" i="2"/>
  <c r="D53" i="2"/>
  <c r="D57" i="2"/>
  <c r="D60" i="2"/>
  <c r="D25" i="2"/>
  <c r="D15" i="2"/>
  <c r="D11" i="2"/>
  <c r="D55" i="2"/>
  <c r="D10" i="2"/>
  <c r="D64" i="2"/>
  <c r="D41" i="2"/>
  <c r="D26" i="2"/>
  <c r="D35" i="2"/>
  <c r="D12" i="2"/>
  <c r="D36" i="2"/>
  <c r="D65" i="2"/>
  <c r="D42" i="2"/>
  <c r="D46" i="2"/>
  <c r="D7" i="2"/>
  <c r="D13" i="2"/>
  <c r="D56" i="2"/>
  <c r="D62" i="2"/>
  <c r="D27" i="2"/>
  <c r="D43" i="2"/>
  <c r="D52" i="2"/>
  <c r="D34" i="2"/>
  <c r="D48" i="2"/>
  <c r="D54" i="2"/>
  <c r="D6" i="2"/>
  <c r="D49" i="2"/>
  <c r="D24" i="2"/>
  <c r="D28" i="2"/>
  <c r="D45" i="2"/>
  <c r="D38" i="2"/>
  <c r="D8" i="2"/>
  <c r="D5" i="2"/>
  <c r="D30" i="2"/>
  <c r="D58" i="2"/>
  <c r="D50" i="2"/>
  <c r="B3" i="2"/>
  <c r="D21" i="2"/>
  <c r="D19" i="2"/>
  <c r="D51" i="2"/>
  <c r="D31" i="2"/>
  <c r="D29" i="2"/>
  <c r="D22" i="2"/>
  <c r="D61" i="2"/>
  <c r="D17" i="2"/>
  <c r="D39" i="2"/>
  <c r="D33" i="2"/>
  <c r="D66" i="2"/>
  <c r="D32" i="2"/>
  <c r="D59" i="2"/>
  <c r="D63" i="2"/>
  <c r="D18" i="2"/>
  <c r="D37" i="2"/>
  <c r="D14" i="2"/>
  <c r="D23" i="2"/>
  <c r="D40" i="2"/>
  <c r="D16" i="2"/>
  <c r="D20" i="2"/>
  <c r="D47" i="2"/>
  <c r="D44" i="2"/>
  <c r="G3" i="2" l="1"/>
  <c r="G5" i="2" s="1"/>
  <c r="G2" i="2"/>
  <c r="G4" i="2" l="1"/>
  <c r="C8" i="1"/>
  <c r="C11" i="1" a="1"/>
  <c r="C10" i="1" a="1"/>
  <c r="C14" i="1" a="1"/>
  <c r="C16" i="1" a="1"/>
  <c r="C17" i="1" a="1"/>
  <c r="C13" i="1" a="1"/>
  <c r="C14" i="1" l="1"/>
  <c r="C25" i="1" s="1"/>
  <c r="C17" i="1"/>
  <c r="C10" i="1"/>
  <c r="O12" i="1" s="1"/>
  <c r="C11" i="1"/>
  <c r="O13" i="1" s="1"/>
  <c r="D25" i="1" s="1"/>
  <c r="C13" i="1"/>
  <c r="C16" i="1"/>
  <c r="P13" i="1" l="1"/>
  <c r="C24" i="1" s="1"/>
  <c r="N13" i="1"/>
  <c r="N12" i="1"/>
  <c r="C21" i="1"/>
  <c r="D23" i="1"/>
  <c r="C23" i="1" l="1"/>
  <c r="D22" i="1"/>
  <c r="C22" i="1"/>
  <c r="D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tc={E32E361D-6EAA-EA45-813B-5260E7CB2B22}</author>
  </authors>
  <commentList>
    <comment ref="B6" authorId="0" shapeId="0" xr:uid="{E32E361D-6EAA-EA45-813B-5260E7CB2B2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Dividend Yield - Optional
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2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</futureMetadata>
  <cellMetadata count="1">
    <bk>
      <rc t="1" v="0"/>
    </bk>
  </cellMetadata>
  <valueMetadata count="12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</valueMetadata>
</metadata>
</file>

<file path=xl/sharedStrings.xml><?xml version="1.0" encoding="utf-8"?>
<sst xmlns="http://schemas.openxmlformats.org/spreadsheetml/2006/main" count="29" uniqueCount="28">
  <si>
    <t>Ticker</t>
  </si>
  <si>
    <t>TSLA</t>
  </si>
  <si>
    <t>Exp Return</t>
  </si>
  <si>
    <t>Returns</t>
  </si>
  <si>
    <t>Volatility</t>
  </si>
  <si>
    <t>--</t>
  </si>
  <si>
    <t>Annual Volatility</t>
  </si>
  <si>
    <t>Variance</t>
  </si>
  <si>
    <t>S</t>
  </si>
  <si>
    <t>X</t>
  </si>
  <si>
    <t>Rf</t>
  </si>
  <si>
    <t>K</t>
  </si>
  <si>
    <t>T (years)</t>
  </si>
  <si>
    <t>Sigma</t>
  </si>
  <si>
    <t>d1</t>
  </si>
  <si>
    <t>d2</t>
  </si>
  <si>
    <t>N(d1)</t>
  </si>
  <si>
    <t>N(d2)</t>
  </si>
  <si>
    <t>Call price</t>
  </si>
  <si>
    <t>Put Price</t>
  </si>
  <si>
    <t>Greeks</t>
  </si>
  <si>
    <t>Call</t>
  </si>
  <si>
    <t>Put</t>
  </si>
  <si>
    <t>Δ</t>
  </si>
  <si>
    <t>Γ</t>
  </si>
  <si>
    <t>ϴ</t>
  </si>
  <si>
    <t>Vega</t>
  </si>
  <si>
    <t>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</si>
</sst>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&quot;$&quot;#,##0.00"/>
    <numFmt numFmtId="165" formatCode="0.000%"/>
    <numFmt numFmtId="166" formatCode="0.000000"/>
    <numFmt numFmtId="167" formatCode=";;"/>
    <numFmt numFmtId="168" formatCode="0.0000000"/>
    <numFmt numFmtId="169" formatCode="_([$$-409]* #,##0.00_);_([$$-409]* \(#,##0.00\);_([$$-409]* &quot;-&quot;??_);_(@_)"/>
  </numFmts>
  <fonts count="3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165" fontId="0" fillId="0" borderId="0" xfId="1" applyNumberFormat="1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10" fontId="0" fillId="0" borderId="5" xfId="1" applyNumberFormat="1" applyFont="1" applyBorder="1"/>
    <xf numFmtId="0" fontId="0" fillId="0" borderId="6" xfId="0" applyBorder="1"/>
    <xf numFmtId="0" fontId="0" fillId="3" borderId="2" xfId="0" applyFill="1" applyBorder="1"/>
    <xf numFmtId="0" fontId="0" fillId="3" borderId="4" xfId="0" applyFill="1" applyBorder="1"/>
    <xf numFmtId="0" fontId="0" fillId="3" borderId="6" xfId="0" applyFill="1" applyBorder="1"/>
    <xf numFmtId="10" fontId="0" fillId="4" borderId="3" xfId="0" applyNumberFormat="1" applyFill="1" applyBorder="1"/>
    <xf numFmtId="10" fontId="0" fillId="4" borderId="5" xfId="1" applyNumberFormat="1" applyFont="1" applyFill="1" applyBorder="1"/>
    <xf numFmtId="0" fontId="0" fillId="2" borderId="8" xfId="0" applyFill="1" applyBorder="1"/>
    <xf numFmtId="0" fontId="0" fillId="0" borderId="3" xfId="0" applyBorder="1"/>
    <xf numFmtId="0" fontId="0" fillId="0" borderId="5" xfId="0" quotePrefix="1" applyBorder="1" applyAlignment="1">
      <alignment horizontal="center"/>
    </xf>
    <xf numFmtId="0" fontId="0" fillId="0" borderId="9" xfId="0" applyBorder="1"/>
    <xf numFmtId="10" fontId="0" fillId="0" borderId="7" xfId="1" applyNumberFormat="1" applyFont="1" applyBorder="1"/>
    <xf numFmtId="166" fontId="0" fillId="4" borderId="7" xfId="0" applyNumberFormat="1" applyFill="1" applyBorder="1"/>
    <xf numFmtId="8" fontId="0" fillId="0" borderId="0" xfId="0" applyNumberFormat="1"/>
    <xf numFmtId="167" fontId="0" fillId="0" borderId="0" xfId="0" applyNumberFormat="1"/>
    <xf numFmtId="0" fontId="0" fillId="0" borderId="13" xfId="0" applyBorder="1"/>
    <xf numFmtId="168" fontId="0" fillId="0" borderId="5" xfId="0" applyNumberFormat="1" applyBorder="1"/>
    <xf numFmtId="168" fontId="0" fillId="0" borderId="13" xfId="0" applyNumberFormat="1" applyBorder="1"/>
    <xf numFmtId="168" fontId="0" fillId="0" borderId="11" xfId="0" applyNumberFormat="1" applyBorder="1"/>
    <xf numFmtId="168" fontId="0" fillId="0" borderId="7" xfId="0" applyNumberFormat="1" applyBorder="1"/>
    <xf numFmtId="0" fontId="0" fillId="2" borderId="14" xfId="0" applyFill="1" applyBorder="1" applyAlignment="1">
      <alignment horizontal="center" vertical="center"/>
    </xf>
    <xf numFmtId="8" fontId="0" fillId="2" borderId="5" xfId="0" applyNumberFormat="1" applyFill="1" applyBorder="1" applyAlignment="1">
      <alignment horizontal="center" vertical="center"/>
    </xf>
    <xf numFmtId="10" fontId="0" fillId="2" borderId="5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0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0" fontId="2" fillId="3" borderId="1" xfId="0" applyFont="1" applyFill="1" applyBorder="1"/>
    <xf numFmtId="0" fontId="2" fillId="0" borderId="13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10" xfId="0" applyFont="1" applyBorder="1"/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0" fontId="0" fillId="6" borderId="5" xfId="1" applyNumberFormat="1" applyFont="1" applyFill="1" applyBorder="1" applyAlignment="1">
      <alignment horizontal="center" vertical="center"/>
    </xf>
    <xf numFmtId="8" fontId="0" fillId="6" borderId="5" xfId="0" applyNumberFormat="1" applyFill="1" applyBorder="1" applyAlignment="1">
      <alignment horizontal="center" vertical="center"/>
    </xf>
    <xf numFmtId="0" fontId="2" fillId="6" borderId="12" xfId="0" applyFont="1" applyFill="1" applyBorder="1"/>
    <xf numFmtId="0" fontId="2" fillId="6" borderId="10" xfId="0" applyFont="1" applyFill="1" applyBorder="1"/>
    <xf numFmtId="0" fontId="2" fillId="6" borderId="13" xfId="0" applyFont="1" applyFill="1" applyBorder="1"/>
    <xf numFmtId="0" fontId="2" fillId="6" borderId="11" xfId="0" applyFont="1" applyFill="1" applyBorder="1"/>
    <xf numFmtId="0" fontId="2" fillId="6" borderId="1" xfId="0" applyFont="1" applyFill="1" applyBorder="1"/>
    <xf numFmtId="14" fontId="0" fillId="0" borderId="6" xfId="0" applyNumberFormat="1" applyBorder="1"/>
    <xf numFmtId="169" fontId="0" fillId="0" borderId="9" xfId="0" applyNumberFormat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microsoft.com/office/2017/06/relationships/rdRichValueTypes" Target="richData/rdRichValueTypes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Structure" Target="richData/rdsupportingpropertybagstructure.xml"/><Relationship Id="rId5" Type="http://schemas.openxmlformats.org/officeDocument/2006/relationships/sharedStrings" Target="sharedStrings.xml"/><Relationship Id="rId15" Type="http://schemas.openxmlformats.org/officeDocument/2006/relationships/calcChain" Target="calcChain.xml"/><Relationship Id="rId10" Type="http://schemas.microsoft.com/office/2017/06/relationships/richStyles" Target="richData/richStyles.xml"/><Relationship Id="rId4" Type="http://schemas.openxmlformats.org/officeDocument/2006/relationships/styles" Target="styles.xml"/><Relationship Id="rId9" Type="http://schemas.microsoft.com/office/2017/06/relationships/rdArray" Target="richData/rdarray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252061</xdr:colOff>
      <xdr:row>2</xdr:row>
      <xdr:rowOff>58170</xdr:rowOff>
    </xdr:from>
    <xdr:to>
      <xdr:col>11</xdr:col>
      <xdr:colOff>717404</xdr:colOff>
      <xdr:row>17</xdr:row>
      <xdr:rowOff>34000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C0830D5-C12F-9422-C41E-7DE8CBE19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48244" y="261758"/>
          <a:ext cx="5409618" cy="3064490"/>
        </a:xfrm>
        <a:prstGeom prst="rect">
          <a:avLst/>
        </a:prstGeom>
      </xdr:spPr>
    </xdr:pic>
    <xdr:clientData/>
  </xdr:twoCellAnchor>
  <xdr:twoCellAnchor>
    <xdr:from>
      <xdr:col>3</xdr:col>
      <xdr:colOff>29084</xdr:colOff>
      <xdr:row>12</xdr:row>
      <xdr:rowOff>58168</xdr:rowOff>
    </xdr:from>
    <xdr:to>
      <xdr:col>5</xdr:col>
      <xdr:colOff>252061</xdr:colOff>
      <xdr:row>15</xdr:row>
      <xdr:rowOff>106641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7B2FEF6B-58AC-FA36-AD03-0E0CB1965D95}"/>
            </a:ext>
          </a:extLst>
        </xdr:cNvPr>
        <xdr:cNvCxnSpPr/>
      </xdr:nvCxnSpPr>
      <xdr:spPr>
        <a:xfrm flipV="1">
          <a:off x="1677176" y="2297634"/>
          <a:ext cx="1871068" cy="65923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26371</xdr:colOff>
      <xdr:row>15</xdr:row>
      <xdr:rowOff>116336</xdr:rowOff>
    </xdr:from>
    <xdr:to>
      <xdr:col>5</xdr:col>
      <xdr:colOff>271451</xdr:colOff>
      <xdr:row>16</xdr:row>
      <xdr:rowOff>103926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3F2EF47-3A3B-6049-BE56-1E58C3B79309}"/>
            </a:ext>
          </a:extLst>
        </xdr:cNvPr>
        <xdr:cNvCxnSpPr/>
      </xdr:nvCxnSpPr>
      <xdr:spPr>
        <a:xfrm flipV="1">
          <a:off x="1674463" y="2966565"/>
          <a:ext cx="1893171" cy="19117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3014</xdr:colOff>
      <xdr:row>10</xdr:row>
      <xdr:rowOff>1077</xdr:rowOff>
    </xdr:from>
    <xdr:to>
      <xdr:col>5</xdr:col>
      <xdr:colOff>241113</xdr:colOff>
      <xdr:row>13</xdr:row>
      <xdr:rowOff>154700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DD036754-05C9-BB40-9629-95C25B05102E}"/>
            </a:ext>
          </a:extLst>
        </xdr:cNvPr>
        <xdr:cNvCxnSpPr/>
      </xdr:nvCxnSpPr>
      <xdr:spPr>
        <a:xfrm flipV="1">
          <a:off x="1645255" y="1917025"/>
          <a:ext cx="1880341" cy="7776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815905</xdr:colOff>
      <xdr:row>7</xdr:row>
      <xdr:rowOff>174504</xdr:rowOff>
    </xdr:from>
    <xdr:to>
      <xdr:col>5</xdr:col>
      <xdr:colOff>310229</xdr:colOff>
      <xdr:row>12</xdr:row>
      <xdr:rowOff>59718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4866CC0B-44CA-3D4C-9B6E-BC800C2B1319}"/>
            </a:ext>
          </a:extLst>
        </xdr:cNvPr>
        <xdr:cNvCxnSpPr/>
      </xdr:nvCxnSpPr>
      <xdr:spPr>
        <a:xfrm flipV="1">
          <a:off x="1639951" y="1396031"/>
          <a:ext cx="1966461" cy="90315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755022</xdr:colOff>
      <xdr:row>3</xdr:row>
      <xdr:rowOff>48473</xdr:rowOff>
    </xdr:from>
    <xdr:to>
      <xdr:col>5</xdr:col>
      <xdr:colOff>310229</xdr:colOff>
      <xdr:row>9</xdr:row>
      <xdr:rowOff>18225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39F38F9A-29B9-EC43-899A-4AE3F95E8165}"/>
            </a:ext>
          </a:extLst>
        </xdr:cNvPr>
        <xdr:cNvCxnSpPr/>
      </xdr:nvCxnSpPr>
      <xdr:spPr>
        <a:xfrm flipV="1">
          <a:off x="1579068" y="455649"/>
          <a:ext cx="2027344" cy="119127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820170</xdr:colOff>
      <xdr:row>5</xdr:row>
      <xdr:rowOff>106641</xdr:rowOff>
    </xdr:from>
    <xdr:to>
      <xdr:col>5</xdr:col>
      <xdr:colOff>300535</xdr:colOff>
      <xdr:row>10</xdr:row>
      <xdr:rowOff>93067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DD8C1B70-3B0D-CF4E-90FC-7745AE7EAC82}"/>
            </a:ext>
          </a:extLst>
        </xdr:cNvPr>
        <xdr:cNvCxnSpPr/>
      </xdr:nvCxnSpPr>
      <xdr:spPr>
        <a:xfrm flipV="1">
          <a:off x="1644216" y="920992"/>
          <a:ext cx="1952502" cy="100436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hur, Arnie (Student)" id="{77768D82-763E-1B48-817F-7FB9F02B3C8C}" userId="S::amathur@chapman.edu::75f659af-a6ec-4989-964d-4525fe542e28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64">
    <v t="i">0</v>
    <v t="i">1</v>
    <v t="i">2</v>
    <v t="i">3</v>
    <v t="i">4</v>
    <v t="i">7</v>
    <v t="i">8</v>
    <v t="i">9</v>
    <v t="i">10</v>
    <v t="i">11</v>
    <v t="i">14</v>
    <v t="i">15</v>
    <v t="i">16</v>
    <v t="i">17</v>
    <v t="i">18</v>
    <v t="i">21</v>
    <v t="i">22</v>
    <v t="i">23</v>
    <v t="i">24</v>
    <v t="i">25</v>
    <v t="i">28</v>
    <v t="i">29</v>
    <v t="i">30</v>
    <v t="i">31</v>
    <v t="i">32</v>
    <v t="i">35</v>
    <v t="i">36</v>
    <v t="i">37</v>
    <v t="i">38</v>
    <v t="i">39</v>
    <v t="i">42</v>
    <v t="i">43</v>
    <v t="i">44</v>
    <v t="i">45</v>
    <v t="i">46</v>
    <v t="i">49</v>
    <v t="i">50</v>
    <v t="i">51</v>
    <v t="i">52</v>
    <v t="i">53</v>
    <v t="i">56</v>
    <v t="i">57</v>
    <v t="i">58</v>
    <v t="i">59</v>
    <v t="i">60</v>
    <v t="i">63</v>
    <v t="i">64</v>
    <v t="i">65</v>
    <v t="i">66</v>
    <v t="i">67</v>
    <v t="i">70</v>
    <v t="i">71</v>
    <v t="i">72</v>
    <v t="i">74</v>
    <v t="i">77</v>
    <v t="i">78</v>
    <v t="i">79</v>
    <v t="i">80</v>
    <v t="i">81</v>
    <v t="i">84</v>
    <v t="i">85</v>
    <v t="i">86</v>
    <v t="i">87</v>
    <v t="i">88</v>
  </a>
  <a r="1" c="64">
    <v>410.04</v>
    <v>421.62</v>
    <v>425.86</v>
    <v>416.85</v>
    <v>426.07</v>
    <v>434.21</v>
    <v>425.85</v>
    <v>442.79</v>
    <v>423.39</v>
    <v>440.4</v>
    <v>443.21</v>
    <v>444.72</v>
    <v>459.46</v>
    <v>436</v>
    <v>429.83</v>
    <v>453.25</v>
    <v>433.09</v>
    <v>438.69</v>
    <v>435.54</v>
    <v>413.49</v>
    <v>435.9</v>
    <v>429.24</v>
    <v>435.15</v>
    <v>428.75</v>
    <v>439.31</v>
    <v>447.43</v>
    <v>442.6</v>
    <v>438.97</v>
    <v>448.98</v>
    <v>433.72</v>
    <v>452.42</v>
    <v>460.55</v>
    <v>461.51</v>
    <v>440.1</v>
    <v>456.56</v>
    <v>468.37</v>
    <v>444.26</v>
    <v>462.07</v>
    <v>445.91</v>
    <v>429.52</v>
    <v>445.23</v>
    <v>439.62</v>
    <v>430.6</v>
    <v>401.99</v>
    <v>404.35</v>
    <v>408.92</v>
    <v>401.25</v>
    <v>403.99</v>
    <v>395.23</v>
    <v>391.09</v>
    <v>417.78</v>
    <v>419.4</v>
    <v>426.58</v>
    <v>430.17</v>
    <v>430.14</v>
    <v>429.24</v>
    <v>446.74</v>
    <v>454.53</v>
    <v>455</v>
    <v>439.58</v>
    <v>445.17</v>
    <v>451.45</v>
    <v>446.89</v>
    <v>458.96</v>
  </a>
</arrayData>
</file>

<file path=xl/richData/rdrichvalue.xml><?xml version="1.0" encoding="utf-8"?>
<rvData xmlns="http://schemas.microsoft.com/office/spreadsheetml/2017/richdata" count="128">
  <rv s="0">
    <fb>45915</fb>
    <v>0</v>
  </rv>
  <rv s="0">
    <fb>410.04</fb>
    <v>1</v>
  </rv>
  <rv s="0">
    <fb>45916</fb>
    <v>0</v>
  </rv>
  <rv s="0">
    <fb>421.62</fb>
    <v>1</v>
  </rv>
  <rv s="0">
    <fb>45917</fb>
    <v>0</v>
  </rv>
  <rv s="0">
    <fb>425.86</fb>
    <v>1</v>
  </rv>
  <rv s="0">
    <fb>45918</fb>
    <v>0</v>
  </rv>
  <rv s="0">
    <fb>416.85</fb>
    <v>1</v>
  </rv>
  <rv s="0">
    <fb>45919</fb>
    <v>0</v>
  </rv>
  <rv s="0">
    <fb>426.07</fb>
    <v>1</v>
  </rv>
  <rv s="0">
    <fb>45922</fb>
    <v>0</v>
  </rv>
  <rv s="0">
    <fb>434.21</fb>
    <v>1</v>
  </rv>
  <rv s="0">
    <fb>45923</fb>
    <v>0</v>
  </rv>
  <rv s="0">
    <fb>425.85</fb>
    <v>1</v>
  </rv>
  <rv s="0">
    <fb>45924</fb>
    <v>0</v>
  </rv>
  <rv s="0">
    <fb>442.79</fb>
    <v>1</v>
  </rv>
  <rv s="0">
    <fb>45925</fb>
    <v>0</v>
  </rv>
  <rv s="0">
    <fb>423.39</fb>
    <v>1</v>
  </rv>
  <rv s="0">
    <fb>45926</fb>
    <v>0</v>
  </rv>
  <rv s="0">
    <fb>440.4</fb>
    <v>1</v>
  </rv>
  <rv s="0">
    <fb>45929</fb>
    <v>0</v>
  </rv>
  <rv s="0">
    <fb>443.21</fb>
    <v>1</v>
  </rv>
  <rv s="0">
    <fb>45930</fb>
    <v>0</v>
  </rv>
  <rv s="0">
    <fb>444.72</fb>
    <v>1</v>
  </rv>
  <rv s="0">
    <fb>45931</fb>
    <v>0</v>
  </rv>
  <rv s="0">
    <fb>459.46</fb>
    <v>1</v>
  </rv>
  <rv s="0">
    <fb>45932</fb>
    <v>0</v>
  </rv>
  <rv s="0">
    <fb>436</fb>
    <v>1</v>
  </rv>
  <rv s="0">
    <fb>45933</fb>
    <v>0</v>
  </rv>
  <rv s="0">
    <fb>429.83</fb>
    <v>1</v>
  </rv>
  <rv s="0">
    <fb>45936</fb>
    <v>0</v>
  </rv>
  <rv s="0">
    <fb>453.25</fb>
    <v>1</v>
  </rv>
  <rv s="0">
    <fb>45937</fb>
    <v>0</v>
  </rv>
  <rv s="0">
    <fb>433.09</fb>
    <v>1</v>
  </rv>
  <rv s="0">
    <fb>45938</fb>
    <v>0</v>
  </rv>
  <rv s="0">
    <fb>438.69</fb>
    <v>1</v>
  </rv>
  <rv s="0">
    <fb>45939</fb>
    <v>0</v>
  </rv>
  <rv s="0">
    <fb>435.54</fb>
    <v>1</v>
  </rv>
  <rv s="0">
    <fb>45940</fb>
    <v>0</v>
  </rv>
  <rv s="0">
    <fb>413.49</fb>
    <v>1</v>
  </rv>
  <rv s="0">
    <fb>45943</fb>
    <v>0</v>
  </rv>
  <rv s="0">
    <fb>435.9</fb>
    <v>1</v>
  </rv>
  <rv s="0">
    <fb>45944</fb>
    <v>0</v>
  </rv>
  <rv s="0">
    <fb>429.24</fb>
    <v>1</v>
  </rv>
  <rv s="0">
    <fb>45945</fb>
    <v>0</v>
  </rv>
  <rv s="0">
    <fb>435.15</fb>
    <v>1</v>
  </rv>
  <rv s="0">
    <fb>45946</fb>
    <v>0</v>
  </rv>
  <rv s="0">
    <fb>428.75</fb>
    <v>1</v>
  </rv>
  <rv s="0">
    <fb>45947</fb>
    <v>0</v>
  </rv>
  <rv s="0">
    <fb>439.31</fb>
    <v>1</v>
  </rv>
  <rv s="0">
    <fb>45950</fb>
    <v>0</v>
  </rv>
  <rv s="0">
    <fb>447.43</fb>
    <v>1</v>
  </rv>
  <rv s="0">
    <fb>45951</fb>
    <v>0</v>
  </rv>
  <rv s="0">
    <fb>442.6</fb>
    <v>1</v>
  </rv>
  <rv s="0">
    <fb>45952</fb>
    <v>0</v>
  </rv>
  <rv s="0">
    <fb>438.97</fb>
    <v>1</v>
  </rv>
  <rv s="0">
    <fb>45953</fb>
    <v>0</v>
  </rv>
  <rv s="0">
    <fb>448.98</fb>
    <v>1</v>
  </rv>
  <rv s="0">
    <fb>45954</fb>
    <v>0</v>
  </rv>
  <rv s="0">
    <fb>433.72</fb>
    <v>1</v>
  </rv>
  <rv s="0">
    <fb>45957</fb>
    <v>0</v>
  </rv>
  <rv s="0">
    <fb>452.42</fb>
    <v>1</v>
  </rv>
  <rv s="0">
    <fb>45958</fb>
    <v>0</v>
  </rv>
  <rv s="0">
    <fb>460.55</fb>
    <v>1</v>
  </rv>
  <rv s="0">
    <fb>45959</fb>
    <v>0</v>
  </rv>
  <rv s="0">
    <fb>461.51</fb>
    <v>1</v>
  </rv>
  <rv s="0">
    <fb>45960</fb>
    <v>0</v>
  </rv>
  <rv s="0">
    <fb>440.1</fb>
    <v>1</v>
  </rv>
  <rv s="0">
    <fb>45961</fb>
    <v>0</v>
  </rv>
  <rv s="0">
    <fb>456.56</fb>
    <v>1</v>
  </rv>
  <rv s="0">
    <fb>45964</fb>
    <v>0</v>
  </rv>
  <rv s="0">
    <fb>468.37</fb>
    <v>1</v>
  </rv>
  <rv s="0">
    <fb>45965</fb>
    <v>0</v>
  </rv>
  <rv s="0">
    <fb>444.26</fb>
    <v>1</v>
  </rv>
  <rv s="0">
    <fb>45966</fb>
    <v>0</v>
  </rv>
  <rv s="0">
    <fb>462.07</fb>
    <v>1</v>
  </rv>
  <rv s="0">
    <fb>45967</fb>
    <v>0</v>
  </rv>
  <rv s="0">
    <fb>445.91</fb>
    <v>1</v>
  </rv>
  <rv s="0">
    <fb>45968</fb>
    <v>0</v>
  </rv>
  <rv s="0">
    <fb>429.52</fb>
    <v>1</v>
  </rv>
  <rv s="0">
    <fb>45971</fb>
    <v>0</v>
  </rv>
  <rv s="0">
    <fb>445.23</fb>
    <v>1</v>
  </rv>
  <rv s="0">
    <fb>45972</fb>
    <v>0</v>
  </rv>
  <rv s="0">
    <fb>439.62</fb>
    <v>1</v>
  </rv>
  <rv s="0">
    <fb>45973</fb>
    <v>0</v>
  </rv>
  <rv s="0">
    <fb>430.6</fb>
    <v>1</v>
  </rv>
  <rv s="0">
    <fb>45974</fb>
    <v>0</v>
  </rv>
  <rv s="0">
    <fb>401.99</fb>
    <v>1</v>
  </rv>
  <rv s="0">
    <fb>45975</fb>
    <v>0</v>
  </rv>
  <rv s="0">
    <fb>404.35</fb>
    <v>1</v>
  </rv>
  <rv s="0">
    <fb>45978</fb>
    <v>0</v>
  </rv>
  <rv s="0">
    <fb>408.92</fb>
    <v>1</v>
  </rv>
  <rv s="0">
    <fb>45979</fb>
    <v>0</v>
  </rv>
  <rv s="0">
    <fb>401.25</fb>
    <v>1</v>
  </rv>
  <rv s="0">
    <fb>45980</fb>
    <v>0</v>
  </rv>
  <rv s="0">
    <fb>403.99</fb>
    <v>1</v>
  </rv>
  <rv s="0">
    <fb>45981</fb>
    <v>0</v>
  </rv>
  <rv s="0">
    <fb>395.23</fb>
    <v>1</v>
  </rv>
  <rv s="0">
    <fb>45982</fb>
    <v>0</v>
  </rv>
  <rv s="0">
    <fb>391.09</fb>
    <v>1</v>
  </rv>
  <rv s="0">
    <fb>45985</fb>
    <v>0</v>
  </rv>
  <rv s="0">
    <fb>417.78</fb>
    <v>1</v>
  </rv>
  <rv s="0">
    <fb>45986</fb>
    <v>0</v>
  </rv>
  <rv s="0">
    <fb>419.4</fb>
    <v>1</v>
  </rv>
  <rv s="0">
    <fb>45987</fb>
    <v>0</v>
  </rv>
  <rv s="0">
    <fb>426.58</fb>
    <v>1</v>
  </rv>
  <rv s="0">
    <fb>45989</fb>
    <v>0</v>
  </rv>
  <rv s="0">
    <fb>430.17</fb>
    <v>1</v>
  </rv>
  <rv s="0">
    <fb>45992</fb>
    <v>0</v>
  </rv>
  <rv s="0">
    <fb>430.14</fb>
    <v>1</v>
  </rv>
  <rv s="0">
    <fb>45993</fb>
    <v>0</v>
  </rv>
  <rv s="0">
    <fb>45994</fb>
    <v>0</v>
  </rv>
  <rv s="0">
    <fb>446.74</fb>
    <v>1</v>
  </rv>
  <rv s="0">
    <fb>45995</fb>
    <v>0</v>
  </rv>
  <rv s="0">
    <fb>454.53</fb>
    <v>1</v>
  </rv>
  <rv s="0">
    <fb>45996</fb>
    <v>0</v>
  </rv>
  <rv s="0">
    <fb>455</fb>
    <v>1</v>
  </rv>
  <rv s="0">
    <fb>45999</fb>
    <v>0</v>
  </rv>
  <rv s="0">
    <fb>439.58</fb>
    <v>1</v>
  </rv>
  <rv s="0">
    <fb>46000</fb>
    <v>0</v>
  </rv>
  <rv s="0">
    <fb>445.17</fb>
    <v>1</v>
  </rv>
  <rv s="0">
    <fb>46001</fb>
    <v>0</v>
  </rv>
  <rv s="0">
    <fb>451.45</fb>
    <v>1</v>
  </rv>
  <rv s="0">
    <fb>46002</fb>
    <v>0</v>
  </rv>
  <rv s="0">
    <fb>446.89</fb>
    <v>1</v>
  </rv>
  <rv s="0">
    <fb>46003</fb>
    <v>0</v>
  </rv>
  <rv s="0">
    <fb>458.96</fb>
    <v>1</v>
  </rv>
  <rv s="1">
    <v>2</v>
    <v>TSLA</v>
    <v>Daily</v>
    <v>45915</v>
    <v>46006</v>
    <v>0</v>
    <v>1</v>
    <v>639010944000000000,639013852751137476,0</v>
    <v>0</v>
    <v>a24kar</v>
    <v>XNAS:TSLA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5-11-28T20:59:19.07" personId="{77768D82-763E-1B48-817F-7FB9F02B3C8C}" id="{E32E361D-6EAA-EA45-813B-5260E7CB2B22}">
    <text xml:space="preserve">Dividend Yield - Optional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3DA23-1697-2044-AC2B-7D728E0A3CEA}">
  <dimension ref="B1:G67"/>
  <sheetViews>
    <sheetView workbookViewId="0">
      <selection activeCell="G72" sqref="G72"/>
    </sheetView>
  </sheetViews>
  <sheetFormatPr defaultColWidth="11" defaultRowHeight="15.95"/>
  <cols>
    <col min="5" max="5" width="10.625" customWidth="1"/>
    <col min="6" max="6" width="14.125" bestFit="1" customWidth="1"/>
    <col min="7" max="7" width="12.125" bestFit="1" customWidth="1"/>
  </cols>
  <sheetData>
    <row r="1" spans="2:7" ht="17.100000000000001" thickBot="1"/>
    <row r="2" spans="2:7">
      <c r="B2" s="2" t="s">
        <v>0</v>
      </c>
      <c r="C2" s="12" t="s">
        <v>1</v>
      </c>
      <c r="D2" s="13"/>
      <c r="F2" s="7" t="s">
        <v>2</v>
      </c>
      <c r="G2" s="10">
        <f ca="1">AVERAGE(D5:D67)</f>
        <v>2.2321569638064317E-3</v>
      </c>
    </row>
    <row r="3" spans="2:7">
      <c r="B3" s="3" t="str" cm="1">
        <f t="array" aca="1" ref="B3:C67" ca="1">_xlfn.STOCKHISTORY($C$2, TODAY() - 91, TODAY())</f>
        <v>Date</v>
      </c>
      <c r="C3" t="str">
        <f ca="1"/>
        <v>Close</v>
      </c>
      <c r="D3" s="4" t="s">
        <v>3</v>
      </c>
      <c r="F3" s="8" t="s">
        <v>4</v>
      </c>
      <c r="G3" s="11">
        <f ca="1">_xlfn.STDEV.S(D5:D67)</f>
        <v>2.9920149347862517E-2</v>
      </c>
    </row>
    <row r="4" spans="2:7">
      <c r="B4" s="3" vm="1">
        <f ca="1"/>
        <v>45915</v>
      </c>
      <c r="C4" vm="2">
        <f ca="1"/>
        <v>410.04</v>
      </c>
      <c r="D4" s="14" t="s">
        <v>5</v>
      </c>
      <c r="F4" s="8" t="s">
        <v>6</v>
      </c>
      <c r="G4" s="11">
        <f ca="1">G3*SQRT(252)</f>
        <v>0.47496764618613369</v>
      </c>
    </row>
    <row r="5" spans="2:7" ht="17.100000000000001" thickBot="1">
      <c r="B5" s="3" vm="3">
        <f ca="1"/>
        <v>45916</v>
      </c>
      <c r="C5" vm="4">
        <f ca="1"/>
        <v>421.62</v>
      </c>
      <c r="D5" s="5">
        <f ca="1">C5/C4-1</f>
        <v>2.8241147205150696E-2</v>
      </c>
      <c r="F5" s="9" t="s">
        <v>7</v>
      </c>
      <c r="G5" s="17">
        <f ca="1">G3^2</f>
        <v>8.9521533699839782E-4</v>
      </c>
    </row>
    <row r="6" spans="2:7">
      <c r="B6" s="3" vm="5">
        <f ca="1"/>
        <v>45917</v>
      </c>
      <c r="C6" vm="6">
        <f ca="1"/>
        <v>425.86</v>
      </c>
      <c r="D6" s="5">
        <f t="shared" ref="D6:D67" ca="1" si="0">C6/C5-1</f>
        <v>1.0056448935060081E-2</v>
      </c>
      <c r="G6" s="1"/>
    </row>
    <row r="7" spans="2:7">
      <c r="B7" s="3" vm="7">
        <f ca="1"/>
        <v>45918</v>
      </c>
      <c r="C7" vm="8">
        <f ca="1"/>
        <v>416.85</v>
      </c>
      <c r="D7" s="5">
        <f t="shared" ca="1" si="0"/>
        <v>-2.1157187808199862E-2</v>
      </c>
    </row>
    <row r="8" spans="2:7">
      <c r="B8" s="3" vm="9">
        <f ca="1"/>
        <v>45919</v>
      </c>
      <c r="C8" vm="10">
        <f ca="1"/>
        <v>426.07</v>
      </c>
      <c r="D8" s="5">
        <f t="shared" ca="1" si="0"/>
        <v>2.2118267962096594E-2</v>
      </c>
    </row>
    <row r="9" spans="2:7">
      <c r="B9" s="3" vm="11">
        <f ca="1"/>
        <v>45922</v>
      </c>
      <c r="C9" vm="12">
        <f ca="1"/>
        <v>434.21</v>
      </c>
      <c r="D9" s="5">
        <f t="shared" ca="1" si="0"/>
        <v>1.910484192738271E-2</v>
      </c>
    </row>
    <row r="10" spans="2:7">
      <c r="B10" s="3" vm="13">
        <f ca="1"/>
        <v>45923</v>
      </c>
      <c r="C10" vm="14">
        <f ca="1"/>
        <v>425.85</v>
      </c>
      <c r="D10" s="5">
        <f t="shared" ca="1" si="0"/>
        <v>-1.9253356670735244E-2</v>
      </c>
    </row>
    <row r="11" spans="2:7">
      <c r="B11" s="3" vm="15">
        <f ca="1"/>
        <v>45924</v>
      </c>
      <c r="C11" vm="16">
        <f ca="1"/>
        <v>442.79</v>
      </c>
      <c r="D11" s="5">
        <f t="shared" ca="1" si="0"/>
        <v>3.9779264999412867E-2</v>
      </c>
    </row>
    <row r="12" spans="2:7">
      <c r="B12" s="3" vm="17">
        <f ca="1"/>
        <v>45925</v>
      </c>
      <c r="C12" vm="18">
        <f ca="1"/>
        <v>423.39</v>
      </c>
      <c r="D12" s="5">
        <f t="shared" ca="1" si="0"/>
        <v>-4.3813094243320805E-2</v>
      </c>
    </row>
    <row r="13" spans="2:7">
      <c r="B13" s="3" vm="19">
        <f ca="1"/>
        <v>45926</v>
      </c>
      <c r="C13" vm="20">
        <f ca="1"/>
        <v>440.4</v>
      </c>
      <c r="D13" s="5">
        <f t="shared" ca="1" si="0"/>
        <v>4.0175724509317723E-2</v>
      </c>
    </row>
    <row r="14" spans="2:7">
      <c r="B14" s="3" vm="21">
        <f ca="1"/>
        <v>45929</v>
      </c>
      <c r="C14" vm="22">
        <f ca="1"/>
        <v>443.21</v>
      </c>
      <c r="D14" s="5">
        <f t="shared" ca="1" si="0"/>
        <v>6.380563124432248E-3</v>
      </c>
    </row>
    <row r="15" spans="2:7">
      <c r="B15" s="3" vm="23">
        <f ca="1"/>
        <v>45930</v>
      </c>
      <c r="C15" vm="24">
        <f ca="1"/>
        <v>444.72</v>
      </c>
      <c r="D15" s="5">
        <f t="shared" ca="1" si="0"/>
        <v>3.4069628392863205E-3</v>
      </c>
    </row>
    <row r="16" spans="2:7">
      <c r="B16" s="3" vm="25">
        <f ca="1"/>
        <v>45931</v>
      </c>
      <c r="C16" vm="26">
        <f ca="1"/>
        <v>459.46</v>
      </c>
      <c r="D16" s="5">
        <f t="shared" ca="1" si="0"/>
        <v>3.3144450440726558E-2</v>
      </c>
    </row>
    <row r="17" spans="2:4">
      <c r="B17" s="3" vm="27">
        <f ca="1"/>
        <v>45932</v>
      </c>
      <c r="C17" vm="28">
        <f ca="1"/>
        <v>436</v>
      </c>
      <c r="D17" s="5">
        <f t="shared" ca="1" si="0"/>
        <v>-5.1059939929482434E-2</v>
      </c>
    </row>
    <row r="18" spans="2:4">
      <c r="B18" s="3" vm="29">
        <f ca="1"/>
        <v>45933</v>
      </c>
      <c r="C18" vm="30">
        <f ca="1"/>
        <v>429.83</v>
      </c>
      <c r="D18" s="5">
        <f t="shared" ca="1" si="0"/>
        <v>-1.4151376146789074E-2</v>
      </c>
    </row>
    <row r="19" spans="2:4">
      <c r="B19" s="3" vm="31">
        <f ca="1"/>
        <v>45936</v>
      </c>
      <c r="C19" vm="32">
        <f ca="1"/>
        <v>453.25</v>
      </c>
      <c r="D19" s="5">
        <f t="shared" ca="1" si="0"/>
        <v>5.4486657515762094E-2</v>
      </c>
    </row>
    <row r="20" spans="2:4">
      <c r="B20" s="3" vm="33">
        <f ca="1"/>
        <v>45937</v>
      </c>
      <c r="C20" vm="34">
        <f ca="1"/>
        <v>433.09</v>
      </c>
      <c r="D20" s="5">
        <f t="shared" ca="1" si="0"/>
        <v>-4.4478764478764532E-2</v>
      </c>
    </row>
    <row r="21" spans="2:4">
      <c r="B21" s="3" vm="35">
        <f ca="1"/>
        <v>45938</v>
      </c>
      <c r="C21" vm="36">
        <f ca="1"/>
        <v>438.69</v>
      </c>
      <c r="D21" s="5">
        <f t="shared" ca="1" si="0"/>
        <v>1.2930337805075132E-2</v>
      </c>
    </row>
    <row r="22" spans="2:4">
      <c r="B22" s="3" vm="37">
        <f ca="1"/>
        <v>45939</v>
      </c>
      <c r="C22" vm="38">
        <f ca="1"/>
        <v>435.54</v>
      </c>
      <c r="D22" s="5">
        <f t="shared" ca="1" si="0"/>
        <v>-7.1804691239827356E-3</v>
      </c>
    </row>
    <row r="23" spans="2:4">
      <c r="B23" s="3" vm="39">
        <f ca="1"/>
        <v>45940</v>
      </c>
      <c r="C23" vm="40">
        <f ca="1"/>
        <v>413.49</v>
      </c>
      <c r="D23" s="5">
        <f t="shared" ca="1" si="0"/>
        <v>-5.06268081002893E-2</v>
      </c>
    </row>
    <row r="24" spans="2:4">
      <c r="B24" s="3" vm="41">
        <f ca="1"/>
        <v>45943</v>
      </c>
      <c r="C24" vm="42">
        <f ca="1"/>
        <v>435.9</v>
      </c>
      <c r="D24" s="5">
        <f t="shared" ca="1" si="0"/>
        <v>5.4197199448595912E-2</v>
      </c>
    </row>
    <row r="25" spans="2:4">
      <c r="B25" s="3" vm="43">
        <f ca="1"/>
        <v>45944</v>
      </c>
      <c r="C25" vm="44">
        <f ca="1"/>
        <v>429.24</v>
      </c>
      <c r="D25" s="5">
        <f t="shared" ca="1" si="0"/>
        <v>-1.5278733654507826E-2</v>
      </c>
    </row>
    <row r="26" spans="2:4">
      <c r="B26" s="3" vm="45">
        <f ca="1"/>
        <v>45945</v>
      </c>
      <c r="C26" vm="46">
        <f ca="1"/>
        <v>435.15</v>
      </c>
      <c r="D26" s="5">
        <f t="shared" ca="1" si="0"/>
        <v>1.3768521107072829E-2</v>
      </c>
    </row>
    <row r="27" spans="2:4">
      <c r="B27" s="3" vm="47">
        <f ca="1"/>
        <v>45946</v>
      </c>
      <c r="C27" vm="48">
        <f ca="1"/>
        <v>428.75</v>
      </c>
      <c r="D27" s="5">
        <f t="shared" ca="1" si="0"/>
        <v>-1.470757210157414E-2</v>
      </c>
    </row>
    <row r="28" spans="2:4">
      <c r="B28" s="3" vm="49">
        <f ca="1"/>
        <v>45947</v>
      </c>
      <c r="C28" vm="50">
        <f ca="1"/>
        <v>439.31</v>
      </c>
      <c r="D28" s="5">
        <f t="shared" ca="1" si="0"/>
        <v>2.4629737609329405E-2</v>
      </c>
    </row>
    <row r="29" spans="2:4">
      <c r="B29" s="3" vm="51">
        <f ca="1"/>
        <v>45950</v>
      </c>
      <c r="C29" vm="52">
        <f ca="1"/>
        <v>447.43</v>
      </c>
      <c r="D29" s="5">
        <f t="shared" ca="1" si="0"/>
        <v>1.8483530991782571E-2</v>
      </c>
    </row>
    <row r="30" spans="2:4">
      <c r="B30" s="3" vm="53">
        <f ca="1"/>
        <v>45951</v>
      </c>
      <c r="C30" vm="54">
        <f ca="1"/>
        <v>442.6</v>
      </c>
      <c r="D30" s="5">
        <f t="shared" ca="1" si="0"/>
        <v>-1.0794984690342568E-2</v>
      </c>
    </row>
    <row r="31" spans="2:4">
      <c r="B31" s="3" vm="55">
        <f ca="1"/>
        <v>45952</v>
      </c>
      <c r="C31" vm="56">
        <f ca="1"/>
        <v>438.97</v>
      </c>
      <c r="D31" s="5">
        <f t="shared" ca="1" si="0"/>
        <v>-8.2015363759602167E-3</v>
      </c>
    </row>
    <row r="32" spans="2:4">
      <c r="B32" s="3" vm="57">
        <f ca="1"/>
        <v>45953</v>
      </c>
      <c r="C32" vm="58">
        <f ca="1"/>
        <v>448.98</v>
      </c>
      <c r="D32" s="5">
        <f t="shared" ca="1" si="0"/>
        <v>2.2803380641046145E-2</v>
      </c>
    </row>
    <row r="33" spans="2:4">
      <c r="B33" s="3" vm="59">
        <f ca="1"/>
        <v>45954</v>
      </c>
      <c r="C33" vm="60">
        <f ca="1"/>
        <v>433.72</v>
      </c>
      <c r="D33" s="5">
        <f t="shared" ca="1" si="0"/>
        <v>-3.3988150919862736E-2</v>
      </c>
    </row>
    <row r="34" spans="2:4">
      <c r="B34" s="3" vm="61">
        <f ca="1"/>
        <v>45957</v>
      </c>
      <c r="C34" vm="62">
        <f ca="1"/>
        <v>452.42</v>
      </c>
      <c r="D34" s="5">
        <f t="shared" ca="1" si="0"/>
        <v>4.3115373973992455E-2</v>
      </c>
    </row>
    <row r="35" spans="2:4">
      <c r="B35" s="3" vm="63">
        <f ca="1"/>
        <v>45958</v>
      </c>
      <c r="C35" vm="64">
        <f ca="1"/>
        <v>460.55</v>
      </c>
      <c r="D35" s="5">
        <f t="shared" ca="1" si="0"/>
        <v>1.7970027850227721E-2</v>
      </c>
    </row>
    <row r="36" spans="2:4">
      <c r="B36" s="3" vm="65">
        <f ca="1"/>
        <v>45959</v>
      </c>
      <c r="C36" vm="66">
        <f ca="1"/>
        <v>461.51</v>
      </c>
      <c r="D36" s="5">
        <f t="shared" ca="1" si="0"/>
        <v>2.0844642275539282E-3</v>
      </c>
    </row>
    <row r="37" spans="2:4">
      <c r="B37" s="3" vm="67">
        <f ca="1"/>
        <v>45960</v>
      </c>
      <c r="C37" vm="68">
        <f ca="1"/>
        <v>440.1</v>
      </c>
      <c r="D37" s="5">
        <f t="shared" ca="1" si="0"/>
        <v>-4.6391194123637569E-2</v>
      </c>
    </row>
    <row r="38" spans="2:4">
      <c r="B38" s="3" vm="69">
        <f ca="1"/>
        <v>45961</v>
      </c>
      <c r="C38" vm="70">
        <f ca="1"/>
        <v>456.56</v>
      </c>
      <c r="D38" s="5">
        <f t="shared" ca="1" si="0"/>
        <v>3.7400590774823828E-2</v>
      </c>
    </row>
    <row r="39" spans="2:4">
      <c r="B39" s="3" vm="71">
        <f ca="1"/>
        <v>45964</v>
      </c>
      <c r="C39" vm="72">
        <f ca="1"/>
        <v>468.37</v>
      </c>
      <c r="D39" s="5">
        <f t="shared" ca="1" si="0"/>
        <v>2.5867355878745446E-2</v>
      </c>
    </row>
    <row r="40" spans="2:4">
      <c r="B40" s="3" vm="73">
        <f ca="1"/>
        <v>45965</v>
      </c>
      <c r="C40" vm="74">
        <f ca="1"/>
        <v>444.26</v>
      </c>
      <c r="D40" s="5">
        <f t="shared" ca="1" si="0"/>
        <v>-5.1476396865725804E-2</v>
      </c>
    </row>
    <row r="41" spans="2:4">
      <c r="B41" s="3" vm="75">
        <f ca="1"/>
        <v>45966</v>
      </c>
      <c r="C41" vm="76">
        <f ca="1"/>
        <v>462.07</v>
      </c>
      <c r="D41" s="5">
        <f t="shared" ca="1" si="0"/>
        <v>4.0089136991851682E-2</v>
      </c>
    </row>
    <row r="42" spans="2:4">
      <c r="B42" s="3" vm="77">
        <f ca="1"/>
        <v>45967</v>
      </c>
      <c r="C42" vm="78">
        <f ca="1"/>
        <v>445.91</v>
      </c>
      <c r="D42" s="5">
        <f t="shared" ca="1" si="0"/>
        <v>-3.4973056030471517E-2</v>
      </c>
    </row>
    <row r="43" spans="2:4">
      <c r="B43" s="3" vm="79">
        <f ca="1"/>
        <v>45968</v>
      </c>
      <c r="C43" vm="80">
        <f ca="1"/>
        <v>429.52</v>
      </c>
      <c r="D43" s="5">
        <f t="shared" ca="1" si="0"/>
        <v>-3.6756296113565567E-2</v>
      </c>
    </row>
    <row r="44" spans="2:4">
      <c r="B44" s="3" vm="81">
        <f ca="1"/>
        <v>45971</v>
      </c>
      <c r="C44" vm="82">
        <f ca="1"/>
        <v>445.23</v>
      </c>
      <c r="D44" s="5">
        <f t="shared" ca="1" si="0"/>
        <v>3.6575712423170037E-2</v>
      </c>
    </row>
    <row r="45" spans="2:4">
      <c r="B45" s="3" vm="83">
        <f ca="1"/>
        <v>45972</v>
      </c>
      <c r="C45" vm="84">
        <f ca="1"/>
        <v>439.62</v>
      </c>
      <c r="D45" s="5">
        <f t="shared" ca="1" si="0"/>
        <v>-1.2600229095074522E-2</v>
      </c>
    </row>
    <row r="46" spans="2:4">
      <c r="B46" s="3" vm="85">
        <f ca="1"/>
        <v>45973</v>
      </c>
      <c r="C46" vm="86">
        <f ca="1"/>
        <v>430.6</v>
      </c>
      <c r="D46" s="5">
        <f t="shared" ca="1" si="0"/>
        <v>-2.0517719848960447E-2</v>
      </c>
    </row>
    <row r="47" spans="2:4">
      <c r="B47" s="3" vm="87">
        <f ca="1"/>
        <v>45974</v>
      </c>
      <c r="C47" vm="88">
        <f ca="1"/>
        <v>401.99</v>
      </c>
      <c r="D47" s="5">
        <f t="shared" ca="1" si="0"/>
        <v>-6.6442173711100838E-2</v>
      </c>
    </row>
    <row r="48" spans="2:4">
      <c r="B48" s="3" vm="89">
        <f ca="1"/>
        <v>45975</v>
      </c>
      <c r="C48" vm="90">
        <f ca="1"/>
        <v>404.35</v>
      </c>
      <c r="D48" s="5">
        <f t="shared" ca="1" si="0"/>
        <v>5.8707928057912806E-3</v>
      </c>
    </row>
    <row r="49" spans="2:4">
      <c r="B49" s="3" vm="91">
        <f ca="1"/>
        <v>45978</v>
      </c>
      <c r="C49" vm="92">
        <f ca="1"/>
        <v>408.92</v>
      </c>
      <c r="D49" s="5">
        <f t="shared" ca="1" si="0"/>
        <v>1.1302089773710833E-2</v>
      </c>
    </row>
    <row r="50" spans="2:4">
      <c r="B50" s="3" vm="93">
        <f ca="1"/>
        <v>45979</v>
      </c>
      <c r="C50" vm="94">
        <f ca="1"/>
        <v>401.25</v>
      </c>
      <c r="D50" s="5">
        <f t="shared" ca="1" si="0"/>
        <v>-1.8756725031791044E-2</v>
      </c>
    </row>
    <row r="51" spans="2:4">
      <c r="B51" s="3" vm="95">
        <f ca="1"/>
        <v>45980</v>
      </c>
      <c r="C51" vm="96">
        <f ca="1"/>
        <v>403.99</v>
      </c>
      <c r="D51" s="5">
        <f t="shared" ca="1" si="0"/>
        <v>6.8286604361371683E-3</v>
      </c>
    </row>
    <row r="52" spans="2:4">
      <c r="B52" s="3" vm="97">
        <f ca="1"/>
        <v>45981</v>
      </c>
      <c r="C52" vm="98">
        <f ca="1"/>
        <v>395.23</v>
      </c>
      <c r="D52" s="5">
        <f t="shared" ca="1" si="0"/>
        <v>-2.168370504220396E-2</v>
      </c>
    </row>
    <row r="53" spans="2:4">
      <c r="B53" s="3" vm="99">
        <f ca="1"/>
        <v>45982</v>
      </c>
      <c r="C53" vm="100">
        <f ca="1"/>
        <v>391.09</v>
      </c>
      <c r="D53" s="5">
        <f t="shared" ca="1" si="0"/>
        <v>-1.0474913341598668E-2</v>
      </c>
    </row>
    <row r="54" spans="2:4">
      <c r="B54" s="3" vm="101">
        <f ca="1"/>
        <v>45985</v>
      </c>
      <c r="C54" vm="102">
        <f ca="1"/>
        <v>417.78</v>
      </c>
      <c r="D54" s="5">
        <f t="shared" ca="1" si="0"/>
        <v>6.8245160960392681E-2</v>
      </c>
    </row>
    <row r="55" spans="2:4">
      <c r="B55" s="3" vm="103">
        <f ca="1"/>
        <v>45986</v>
      </c>
      <c r="C55" vm="104">
        <f ca="1"/>
        <v>419.4</v>
      </c>
      <c r="D55" s="5">
        <f t="shared" ca="1" si="0"/>
        <v>3.8776389487289453E-3</v>
      </c>
    </row>
    <row r="56" spans="2:4">
      <c r="B56" s="3" vm="105">
        <f ca="1"/>
        <v>45987</v>
      </c>
      <c r="C56" vm="106">
        <f ca="1"/>
        <v>426.58</v>
      </c>
      <c r="D56" s="5">
        <f t="shared" ca="1" si="0"/>
        <v>1.7119694802098184E-2</v>
      </c>
    </row>
    <row r="57" spans="2:4">
      <c r="B57" s="3" vm="107">
        <f ca="1"/>
        <v>45989</v>
      </c>
      <c r="C57" vm="108">
        <f ca="1"/>
        <v>430.17</v>
      </c>
      <c r="D57" s="5">
        <f t="shared" ca="1" si="0"/>
        <v>8.4157719536781528E-3</v>
      </c>
    </row>
    <row r="58" spans="2:4">
      <c r="B58" s="3" vm="109">
        <f ca="1"/>
        <v>45992</v>
      </c>
      <c r="C58" vm="110">
        <f ca="1"/>
        <v>430.14</v>
      </c>
      <c r="D58" s="5">
        <f t="shared" ca="1" si="0"/>
        <v>-6.9739870283913596E-5</v>
      </c>
    </row>
    <row r="59" spans="2:4">
      <c r="B59" s="3" vm="111">
        <f ca="1"/>
        <v>45993</v>
      </c>
      <c r="C59" vm="44">
        <f ca="1"/>
        <v>429.24</v>
      </c>
      <c r="D59" s="5">
        <f t="shared" ca="1" si="0"/>
        <v>-2.0923420281768745E-3</v>
      </c>
    </row>
    <row r="60" spans="2:4">
      <c r="B60" s="3" vm="112">
        <f ca="1"/>
        <v>45994</v>
      </c>
      <c r="C60" vm="113">
        <f ca="1"/>
        <v>446.74</v>
      </c>
      <c r="D60" s="5">
        <f t="shared" ca="1" si="0"/>
        <v>4.0769732550554494E-2</v>
      </c>
    </row>
    <row r="61" spans="2:4">
      <c r="B61" s="3" vm="114">
        <f ca="1"/>
        <v>45995</v>
      </c>
      <c r="C61" vm="115">
        <f ca="1"/>
        <v>454.53</v>
      </c>
      <c r="D61" s="5">
        <f t="shared" ca="1" si="0"/>
        <v>1.7437435644894084E-2</v>
      </c>
    </row>
    <row r="62" spans="2:4">
      <c r="B62" s="3" vm="116">
        <f ca="1"/>
        <v>45996</v>
      </c>
      <c r="C62" vm="117">
        <f ca="1"/>
        <v>455</v>
      </c>
      <c r="D62" s="5">
        <f t="shared" ca="1" si="0"/>
        <v>1.0340351571953565E-3</v>
      </c>
    </row>
    <row r="63" spans="2:4">
      <c r="B63" s="3" vm="118">
        <f ca="1"/>
        <v>45999</v>
      </c>
      <c r="C63" vm="119">
        <f ca="1"/>
        <v>439.58</v>
      </c>
      <c r="D63" s="5">
        <f t="shared" ca="1" si="0"/>
        <v>-3.3890109890109876E-2</v>
      </c>
    </row>
    <row r="64" spans="2:4">
      <c r="B64" s="3" vm="120">
        <f ca="1"/>
        <v>46000</v>
      </c>
      <c r="C64" vm="121">
        <f ca="1"/>
        <v>445.17</v>
      </c>
      <c r="D64" s="5">
        <f t="shared" ca="1" si="0"/>
        <v>1.2716684107557219E-2</v>
      </c>
    </row>
    <row r="65" spans="2:4">
      <c r="B65" s="3" vm="122">
        <f ca="1"/>
        <v>46001</v>
      </c>
      <c r="C65" vm="123">
        <f ca="1"/>
        <v>451.45</v>
      </c>
      <c r="D65" s="5">
        <f t="shared" ca="1" si="0"/>
        <v>1.4106970370869387E-2</v>
      </c>
    </row>
    <row r="66" spans="2:4" ht="17.100000000000001" thickBot="1">
      <c r="B66" s="6" vm="124">
        <f ca="1"/>
        <v>46002</v>
      </c>
      <c r="C66" s="15" vm="125">
        <f ca="1"/>
        <v>446.89</v>
      </c>
      <c r="D66" s="16">
        <f t="shared" ca="1" si="0"/>
        <v>-1.0100786355078051E-2</v>
      </c>
    </row>
    <row r="67" spans="2:4" ht="17.100000000000001" thickBot="1">
      <c r="B67" s="48" vm="126">
        <f ca="1"/>
        <v>46003</v>
      </c>
      <c r="C67" s="49" vm="127">
        <f ca="1"/>
        <v>458.96</v>
      </c>
      <c r="D67" s="16">
        <f t="shared" ca="1" si="0"/>
        <v>2.7008883617892554E-2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73A16-1A16-F846-87A7-4E95967DE121}">
  <sheetPr codeName="Sheet1"/>
  <dimension ref="A1:P202"/>
  <sheetViews>
    <sheetView showGridLines="0" tabSelected="1" zoomScale="120" workbookViewId="0">
      <selection activeCell="F20" sqref="F20"/>
    </sheetView>
  </sheetViews>
  <sheetFormatPr defaultColWidth="11" defaultRowHeight="15.95"/>
  <cols>
    <col min="3" max="3" width="11.625" customWidth="1"/>
    <col min="14" max="15" width="12.875" bestFit="1" customWidth="1"/>
  </cols>
  <sheetData>
    <row r="1" spans="2:16" ht="17.100000000000001" thickBot="1"/>
    <row r="2" spans="2:16" ht="17.100000000000001" thickBot="1">
      <c r="B2" s="34" t="s">
        <v>0</v>
      </c>
      <c r="C2" s="25" t="str">
        <f>Data!C2</f>
        <v>TSLA</v>
      </c>
    </row>
    <row r="3" spans="2:16">
      <c r="B3" s="35" t="s">
        <v>8</v>
      </c>
      <c r="C3" s="42" vm="127">
        <f ca="1">Data!C67</f>
        <v>458.96</v>
      </c>
    </row>
    <row r="4" spans="2:16">
      <c r="B4" s="35" t="s">
        <v>9</v>
      </c>
      <c r="C4" s="26">
        <v>470</v>
      </c>
    </row>
    <row r="5" spans="2:16">
      <c r="B5" s="35" t="s">
        <v>10</v>
      </c>
      <c r="C5" s="41">
        <v>4.0399999999999998E-2</v>
      </c>
    </row>
    <row r="6" spans="2:16">
      <c r="B6" s="35" t="s">
        <v>11</v>
      </c>
      <c r="C6" s="27">
        <v>0</v>
      </c>
    </row>
    <row r="7" spans="2:16">
      <c r="B7" s="35" t="s">
        <v>12</v>
      </c>
      <c r="C7" s="28">
        <v>0.25</v>
      </c>
    </row>
    <row r="8" spans="2:16" ht="17.100000000000001" thickBot="1">
      <c r="B8" s="36" t="s">
        <v>13</v>
      </c>
      <c r="C8" s="29">
        <f ca="1">Data!G4</f>
        <v>0.47496764618613369</v>
      </c>
    </row>
    <row r="9" spans="2:16" ht="17.100000000000001" thickBot="1">
      <c r="B9" s="37"/>
      <c r="C9" s="30"/>
    </row>
    <row r="10" spans="2:16">
      <c r="B10" s="38" t="s">
        <v>14</v>
      </c>
      <c r="C10" s="39" t="e" cm="1">
        <f t="array" aca="1" ref="C10" ca="1">dOne(stock, strike,  RiskFree, divYield, Time, sigma)</f>
        <v>#NAME?</v>
      </c>
    </row>
    <row r="11" spans="2:16">
      <c r="B11" s="35" t="s">
        <v>15</v>
      </c>
      <c r="C11" s="40" t="e" cm="1">
        <f t="array" aca="1" ref="C11" ca="1">dTwo(stock,strike,RiskFree,divYield,Time,sigma)</f>
        <v>#NAME?</v>
      </c>
      <c r="M11" s="19"/>
    </row>
    <row r="12" spans="2:16">
      <c r="B12" s="35"/>
      <c r="C12" s="31"/>
      <c r="M12" s="19"/>
      <c r="N12" s="19" t="e">
        <f ca="1">1-C13</f>
        <v>#NAME?</v>
      </c>
      <c r="O12" s="19" t="e">
        <f ca="1">_xlfn.NORM.S.DIST(-C10,TRUE)</f>
        <v>#NAME?</v>
      </c>
      <c r="P12" s="19"/>
    </row>
    <row r="13" spans="2:16">
      <c r="B13" s="35" t="s">
        <v>16</v>
      </c>
      <c r="C13" s="41" t="e" cm="1">
        <f t="array" aca="1" ref="C13" ca="1">normDist1(stock,strike,RiskFree,divYield,Time,sigma)</f>
        <v>#NAME?</v>
      </c>
      <c r="N13" s="19" t="e">
        <f ca="1">1-C14</f>
        <v>#NAME?</v>
      </c>
      <c r="O13" s="19" t="e">
        <f ca="1">_xlfn.NORM.S.DIST(-C11, TRUE)</f>
        <v>#NAME?</v>
      </c>
      <c r="P13" s="19" t="e">
        <f ca="1">_xlfn.NORM.S.DIST(C10, FALSE)</f>
        <v>#NAME?</v>
      </c>
    </row>
    <row r="14" spans="2:16">
      <c r="B14" s="35" t="s">
        <v>17</v>
      </c>
      <c r="C14" s="41" t="e" cm="1">
        <f t="array" aca="1" ref="C14" ca="1">normDist2(stock, strike,RiskFree,divYield,Time,sigma)</f>
        <v>#NAME?</v>
      </c>
    </row>
    <row r="15" spans="2:16" ht="17.100000000000001" thickBot="1">
      <c r="B15" s="35"/>
      <c r="C15" s="31"/>
    </row>
    <row r="16" spans="2:16">
      <c r="B16" s="35" t="s">
        <v>18</v>
      </c>
      <c r="C16" s="32" t="e" cm="1">
        <f t="array" aca="1" ref="C16" ca="1">BSCall(stock,strike,RiskFree,divYield,Time,sigma)</f>
        <v>#NAME?</v>
      </c>
    </row>
    <row r="17" spans="1:4" ht="17.100000000000001" thickBot="1">
      <c r="B17" s="36" t="s">
        <v>19</v>
      </c>
      <c r="C17" s="33" t="e" cm="1">
        <f t="array" aca="1" ref="C17" ca="1">BSPut(stock,strike,RiskFree,divYield,Time,sigma)</f>
        <v>#NAME?</v>
      </c>
    </row>
    <row r="19" spans="1:4" ht="17.100000000000001" thickBot="1"/>
    <row r="20" spans="1:4" ht="17.100000000000001" thickBot="1">
      <c r="B20" s="43" t="s">
        <v>20</v>
      </c>
      <c r="C20" s="43" t="s">
        <v>21</v>
      </c>
      <c r="D20" s="47" t="s">
        <v>22</v>
      </c>
    </row>
    <row r="21" spans="1:4">
      <c r="B21" s="44" t="s">
        <v>23</v>
      </c>
      <c r="C21" s="21" t="e">
        <f ca="1">EXP(-divYield*Time)*C13</f>
        <v>#NAME?</v>
      </c>
      <c r="D21" s="22" t="e">
        <f ca="1">EXP(-divYield*Time)*(N12)</f>
        <v>#NAME?</v>
      </c>
    </row>
    <row r="22" spans="1:4">
      <c r="B22" s="45" t="s">
        <v>24</v>
      </c>
      <c r="C22" s="21" t="e">
        <f ca="1">(EXP(-divYield*Time)*N12)/(stock*sigma*SQRT(Time))</f>
        <v>#NAME?</v>
      </c>
      <c r="D22" s="21" t="e">
        <f ca="1">(EXP(-divYield*Time)*N12)/(stock*sigma*SQRT(Time))</f>
        <v>#NAME?</v>
      </c>
    </row>
    <row r="23" spans="1:4">
      <c r="B23" s="45" t="s">
        <v>25</v>
      </c>
      <c r="C23" s="4" t="e">
        <f ca="1">(-(stock * EXP(-divYield*Time)*sigma * P13)/ (2*SQRT(Time)) - RiskFree * strike * EXP(-RiskFree*Time)*C14 + divYield*stock*EXP(-divYield * Time)*C13)/252</f>
        <v>#NAME?</v>
      </c>
      <c r="D23" s="20" t="e">
        <f ca="1">(-(stock * EXP(-divYield*Time)*sigma * P13)/ (2*SQRT(Time)) + RiskFree * strike * EXP(-RiskFree*Time) * O13 - divYield*stock*EXP(-divYield*Time)*O12)/252</f>
        <v>#NAME?</v>
      </c>
    </row>
    <row r="24" spans="1:4">
      <c r="B24" s="45" t="s">
        <v>26</v>
      </c>
      <c r="C24" s="50" t="e">
        <f ca="1">stock*EXP(-divYield*Time)*SQRT(Time)*P13</f>
        <v>#NAME?</v>
      </c>
      <c r="D24" s="51"/>
    </row>
    <row r="25" spans="1:4" ht="17.100000000000001" thickBot="1">
      <c r="A25" s="18"/>
      <c r="B25" s="46" t="s">
        <v>27</v>
      </c>
      <c r="C25" s="23" t="e">
        <f ca="1">strike*Time*EXP(-RiskFree*Time)*C14</f>
        <v>#NAME?</v>
      </c>
      <c r="D25" s="24" t="e">
        <f ca="1">strike*Time*EXP(-RiskFree*Time)*O13</f>
        <v>#NAME?</v>
      </c>
    </row>
    <row r="26" spans="1:4">
      <c r="A26" s="18"/>
      <c r="B26" s="18"/>
      <c r="C26" s="18"/>
    </row>
    <row r="27" spans="1:4">
      <c r="A27" s="18"/>
      <c r="B27" s="18"/>
      <c r="C27" s="18"/>
    </row>
    <row r="28" spans="1:4">
      <c r="A28" s="18"/>
      <c r="B28" s="18"/>
      <c r="C28" s="18"/>
    </row>
    <row r="29" spans="1:4">
      <c r="A29" s="18"/>
      <c r="B29" s="18"/>
      <c r="C29" s="18"/>
    </row>
    <row r="30" spans="1:4">
      <c r="A30" s="18"/>
      <c r="B30" s="18"/>
      <c r="C30" s="18"/>
    </row>
    <row r="31" spans="1:4">
      <c r="B31" s="18"/>
      <c r="C31" s="18"/>
    </row>
    <row r="32" spans="1:4">
      <c r="B32" s="18"/>
      <c r="C32" s="18"/>
    </row>
    <row r="33" spans="1:3">
      <c r="B33" s="18"/>
      <c r="C33" s="18"/>
    </row>
    <row r="34" spans="1:3">
      <c r="A34" s="18"/>
      <c r="B34" s="18"/>
      <c r="C34" s="18"/>
    </row>
    <row r="35" spans="1:3">
      <c r="A35" s="18"/>
      <c r="B35" s="18"/>
      <c r="C35" s="18"/>
    </row>
    <row r="36" spans="1:3">
      <c r="A36" s="18"/>
      <c r="B36" s="18"/>
      <c r="C36" s="18"/>
    </row>
    <row r="37" spans="1:3">
      <c r="A37" s="18"/>
      <c r="B37" s="18"/>
      <c r="C37" s="18"/>
    </row>
    <row r="38" spans="1:3">
      <c r="A38" s="18"/>
      <c r="B38" s="18"/>
      <c r="C38" s="18"/>
    </row>
    <row r="39" spans="1:3">
      <c r="A39" s="18"/>
      <c r="B39" s="18"/>
      <c r="C39" s="18"/>
    </row>
    <row r="40" spans="1:3">
      <c r="A40" s="18"/>
      <c r="B40" s="18"/>
      <c r="C40" s="18"/>
    </row>
    <row r="41" spans="1:3">
      <c r="A41" s="18"/>
      <c r="B41" s="18"/>
      <c r="C41" s="18"/>
    </row>
    <row r="42" spans="1:3">
      <c r="A42" s="18"/>
      <c r="B42" s="18"/>
      <c r="C42" s="18"/>
    </row>
    <row r="43" spans="1:3">
      <c r="A43" s="18"/>
      <c r="B43" s="18"/>
      <c r="C43" s="18"/>
    </row>
    <row r="44" spans="1:3">
      <c r="A44" s="18"/>
      <c r="B44" s="18"/>
      <c r="C44" s="18"/>
    </row>
    <row r="45" spans="1:3">
      <c r="A45" s="18"/>
      <c r="B45" s="18"/>
      <c r="C45" s="18"/>
    </row>
    <row r="46" spans="1:3">
      <c r="A46" s="18"/>
      <c r="B46" s="18"/>
      <c r="C46" s="18"/>
    </row>
    <row r="47" spans="1:3">
      <c r="A47" s="18"/>
      <c r="B47" s="18"/>
      <c r="C47" s="18"/>
    </row>
    <row r="48" spans="1:3">
      <c r="A48" s="18"/>
      <c r="B48" s="18"/>
      <c r="C48" s="18"/>
    </row>
    <row r="49" spans="1:3">
      <c r="A49" s="18"/>
      <c r="B49" s="18"/>
      <c r="C49" s="18"/>
    </row>
    <row r="50" spans="1:3">
      <c r="A50" s="18"/>
      <c r="B50" s="18"/>
      <c r="C50" s="18"/>
    </row>
    <row r="51" spans="1:3">
      <c r="A51" s="18"/>
      <c r="B51" s="18"/>
      <c r="C51" s="18"/>
    </row>
    <row r="52" spans="1:3">
      <c r="A52" s="18"/>
      <c r="B52" s="18"/>
      <c r="C52" s="18"/>
    </row>
    <row r="53" spans="1:3">
      <c r="A53" s="18"/>
      <c r="B53" s="18"/>
      <c r="C53" s="18"/>
    </row>
    <row r="54" spans="1:3">
      <c r="A54" s="18"/>
      <c r="B54" s="18"/>
      <c r="C54" s="18"/>
    </row>
    <row r="55" spans="1:3">
      <c r="A55" s="18"/>
      <c r="B55" s="18"/>
      <c r="C55" s="18"/>
    </row>
    <row r="56" spans="1:3">
      <c r="A56" s="18"/>
      <c r="B56" s="18"/>
      <c r="C56" s="18"/>
    </row>
    <row r="57" spans="1:3">
      <c r="A57" s="18"/>
      <c r="B57" s="18"/>
      <c r="C57" s="18"/>
    </row>
    <row r="58" spans="1:3">
      <c r="A58" s="18"/>
      <c r="B58" s="18"/>
      <c r="C58" s="18"/>
    </row>
    <row r="59" spans="1:3">
      <c r="A59" s="18"/>
      <c r="B59" s="18"/>
      <c r="C59" s="18"/>
    </row>
    <row r="60" spans="1:3">
      <c r="A60" s="18"/>
      <c r="B60" s="18"/>
      <c r="C60" s="18"/>
    </row>
    <row r="61" spans="1:3">
      <c r="A61" s="18"/>
      <c r="B61" s="18"/>
      <c r="C61" s="18"/>
    </row>
    <row r="62" spans="1:3">
      <c r="A62" s="18"/>
      <c r="B62" s="18"/>
      <c r="C62" s="18"/>
    </row>
    <row r="63" spans="1:3">
      <c r="A63" s="18"/>
      <c r="B63" s="18"/>
      <c r="C63" s="18"/>
    </row>
    <row r="64" spans="1:3">
      <c r="A64" s="18"/>
      <c r="B64" s="18"/>
      <c r="C64" s="18"/>
    </row>
    <row r="65" spans="1:3">
      <c r="A65" s="18"/>
      <c r="B65" s="18"/>
      <c r="C65" s="18"/>
    </row>
    <row r="66" spans="1:3">
      <c r="A66" s="18"/>
      <c r="B66" s="18"/>
      <c r="C66" s="18"/>
    </row>
    <row r="67" spans="1:3">
      <c r="A67" s="18"/>
      <c r="B67" s="18"/>
      <c r="C67" s="18"/>
    </row>
    <row r="68" spans="1:3">
      <c r="A68" s="18"/>
      <c r="B68" s="18"/>
      <c r="C68" s="18"/>
    </row>
    <row r="69" spans="1:3">
      <c r="A69" s="18"/>
      <c r="B69" s="18"/>
      <c r="C69" s="18"/>
    </row>
    <row r="70" spans="1:3">
      <c r="A70" s="18"/>
      <c r="B70" s="18"/>
      <c r="C70" s="18"/>
    </row>
    <row r="71" spans="1:3">
      <c r="A71" s="18"/>
      <c r="B71" s="18"/>
      <c r="C71" s="18"/>
    </row>
    <row r="72" spans="1:3">
      <c r="A72" s="18"/>
      <c r="B72" s="18"/>
      <c r="C72" s="18"/>
    </row>
    <row r="73" spans="1:3">
      <c r="A73" s="18"/>
      <c r="B73" s="18"/>
      <c r="C73" s="18"/>
    </row>
    <row r="74" spans="1:3">
      <c r="A74" s="18"/>
      <c r="B74" s="18"/>
      <c r="C74" s="18"/>
    </row>
    <row r="75" spans="1:3">
      <c r="A75" s="18"/>
      <c r="B75" s="18"/>
      <c r="C75" s="18"/>
    </row>
    <row r="76" spans="1:3">
      <c r="A76" s="18"/>
      <c r="B76" s="18"/>
      <c r="C76" s="18"/>
    </row>
    <row r="77" spans="1:3">
      <c r="A77" s="18"/>
      <c r="B77" s="18"/>
      <c r="C77" s="18"/>
    </row>
    <row r="78" spans="1:3">
      <c r="A78" s="18"/>
      <c r="B78" s="18"/>
      <c r="C78" s="18"/>
    </row>
    <row r="79" spans="1:3">
      <c r="A79" s="18"/>
      <c r="B79" s="18"/>
      <c r="C79" s="18"/>
    </row>
    <row r="80" spans="1:3">
      <c r="A80" s="18"/>
      <c r="B80" s="18"/>
      <c r="C80" s="18"/>
    </row>
    <row r="81" spans="1:3">
      <c r="A81" s="18"/>
      <c r="B81" s="18"/>
      <c r="C81" s="18"/>
    </row>
    <row r="82" spans="1:3">
      <c r="A82" s="18"/>
      <c r="B82" s="18"/>
      <c r="C82" s="18"/>
    </row>
    <row r="83" spans="1:3">
      <c r="A83" s="18"/>
      <c r="B83" s="18"/>
      <c r="C83" s="18"/>
    </row>
    <row r="84" spans="1:3">
      <c r="A84" s="18"/>
      <c r="B84" s="18"/>
      <c r="C84" s="18"/>
    </row>
    <row r="85" spans="1:3">
      <c r="A85" s="18"/>
      <c r="B85" s="18"/>
      <c r="C85" s="18"/>
    </row>
    <row r="86" spans="1:3">
      <c r="A86" s="18"/>
      <c r="B86" s="18"/>
      <c r="C86" s="18"/>
    </row>
    <row r="87" spans="1:3">
      <c r="A87" s="18"/>
      <c r="B87" s="18"/>
      <c r="C87" s="18"/>
    </row>
    <row r="88" spans="1:3">
      <c r="A88" s="18"/>
      <c r="B88" s="18"/>
      <c r="C88" s="18"/>
    </row>
    <row r="89" spans="1:3">
      <c r="A89" s="18"/>
      <c r="B89" s="18"/>
      <c r="C89" s="18"/>
    </row>
    <row r="90" spans="1:3">
      <c r="A90" s="18"/>
      <c r="B90" s="18"/>
      <c r="C90" s="18"/>
    </row>
    <row r="91" spans="1:3">
      <c r="A91" s="18"/>
      <c r="B91" s="18"/>
      <c r="C91" s="18"/>
    </row>
    <row r="92" spans="1:3">
      <c r="A92" s="18"/>
      <c r="B92" s="18"/>
      <c r="C92" s="18"/>
    </row>
    <row r="93" spans="1:3">
      <c r="A93" s="18"/>
      <c r="B93" s="18"/>
      <c r="C93" s="18"/>
    </row>
    <row r="94" spans="1:3">
      <c r="A94" s="18"/>
      <c r="B94" s="18"/>
      <c r="C94" s="18"/>
    </row>
    <row r="95" spans="1:3">
      <c r="A95" s="18"/>
      <c r="B95" s="18"/>
      <c r="C95" s="18"/>
    </row>
    <row r="96" spans="1:3">
      <c r="A96" s="18"/>
      <c r="B96" s="18"/>
      <c r="C96" s="18"/>
    </row>
    <row r="97" spans="1:3">
      <c r="A97" s="18"/>
      <c r="B97" s="18"/>
      <c r="C97" s="18"/>
    </row>
    <row r="98" spans="1:3">
      <c r="A98" s="18"/>
      <c r="B98" s="18"/>
      <c r="C98" s="18"/>
    </row>
    <row r="99" spans="1:3">
      <c r="A99" s="18"/>
      <c r="B99" s="18"/>
      <c r="C99" s="18"/>
    </row>
    <row r="100" spans="1:3">
      <c r="A100" s="18"/>
      <c r="B100" s="18"/>
      <c r="C100" s="18"/>
    </row>
    <row r="101" spans="1:3">
      <c r="A101" s="18"/>
      <c r="B101" s="18"/>
      <c r="C101" s="18"/>
    </row>
    <row r="102" spans="1:3">
      <c r="A102" s="18"/>
      <c r="B102" s="18"/>
      <c r="C102" s="18"/>
    </row>
    <row r="103" spans="1:3">
      <c r="A103" s="18"/>
      <c r="B103" s="18"/>
      <c r="C103" s="18"/>
    </row>
    <row r="104" spans="1:3">
      <c r="A104" s="18"/>
      <c r="B104" s="18"/>
      <c r="C104" s="18"/>
    </row>
    <row r="105" spans="1:3">
      <c r="A105" s="18"/>
      <c r="B105" s="18"/>
      <c r="C105" s="18"/>
    </row>
    <row r="106" spans="1:3">
      <c r="A106" s="18"/>
      <c r="B106" s="18"/>
      <c r="C106" s="18"/>
    </row>
    <row r="107" spans="1:3">
      <c r="A107" s="18"/>
      <c r="B107" s="18"/>
      <c r="C107" s="18"/>
    </row>
    <row r="108" spans="1:3">
      <c r="A108" s="18"/>
      <c r="B108" s="18"/>
      <c r="C108" s="18"/>
    </row>
    <row r="109" spans="1:3">
      <c r="A109" s="18"/>
      <c r="B109" s="18"/>
      <c r="C109" s="18"/>
    </row>
    <row r="110" spans="1:3">
      <c r="A110" s="18"/>
      <c r="B110" s="18"/>
      <c r="C110" s="18"/>
    </row>
    <row r="111" spans="1:3">
      <c r="A111" s="18"/>
      <c r="B111" s="18"/>
      <c r="C111" s="18"/>
    </row>
    <row r="112" spans="1:3">
      <c r="A112" s="18"/>
      <c r="B112" s="18"/>
      <c r="C112" s="18"/>
    </row>
    <row r="113" spans="1:3">
      <c r="A113" s="18"/>
      <c r="B113" s="18"/>
      <c r="C113" s="18"/>
    </row>
    <row r="114" spans="1:3">
      <c r="A114" s="18"/>
      <c r="B114" s="18"/>
      <c r="C114" s="18"/>
    </row>
    <row r="115" spans="1:3">
      <c r="A115" s="18"/>
      <c r="B115" s="18"/>
      <c r="C115" s="18"/>
    </row>
    <row r="116" spans="1:3">
      <c r="A116" s="18"/>
      <c r="B116" s="18"/>
      <c r="C116" s="18"/>
    </row>
    <row r="117" spans="1:3">
      <c r="A117" s="18"/>
      <c r="B117" s="18"/>
      <c r="C117" s="18"/>
    </row>
    <row r="118" spans="1:3">
      <c r="A118" s="18"/>
      <c r="B118" s="18"/>
      <c r="C118" s="18"/>
    </row>
    <row r="119" spans="1:3">
      <c r="A119" s="18"/>
      <c r="B119" s="18"/>
      <c r="C119" s="18"/>
    </row>
    <row r="120" spans="1:3">
      <c r="A120" s="18"/>
      <c r="B120" s="18"/>
      <c r="C120" s="18"/>
    </row>
    <row r="121" spans="1:3">
      <c r="A121" s="18"/>
      <c r="B121" s="18"/>
      <c r="C121" s="18"/>
    </row>
    <row r="122" spans="1:3">
      <c r="A122" s="18"/>
      <c r="B122" s="18"/>
      <c r="C122" s="18"/>
    </row>
    <row r="123" spans="1:3">
      <c r="A123" s="18"/>
      <c r="B123" s="18"/>
      <c r="C123" s="18"/>
    </row>
    <row r="124" spans="1:3">
      <c r="A124" s="18"/>
      <c r="B124" s="18"/>
      <c r="C124" s="18"/>
    </row>
    <row r="125" spans="1:3">
      <c r="A125" s="18"/>
      <c r="B125" s="18"/>
      <c r="C125" s="18"/>
    </row>
    <row r="126" spans="1:3">
      <c r="A126" s="18"/>
      <c r="B126" s="18"/>
      <c r="C126" s="18"/>
    </row>
    <row r="127" spans="1:3">
      <c r="A127" s="18"/>
      <c r="B127" s="18"/>
      <c r="C127" s="18"/>
    </row>
    <row r="128" spans="1:3">
      <c r="A128" s="18"/>
      <c r="B128" s="18"/>
      <c r="C128" s="18"/>
    </row>
    <row r="129" spans="1:3">
      <c r="A129" s="18"/>
      <c r="B129" s="18"/>
      <c r="C129" s="18"/>
    </row>
    <row r="130" spans="1:3">
      <c r="A130" s="18"/>
      <c r="B130" s="18"/>
      <c r="C130" s="18"/>
    </row>
    <row r="131" spans="1:3">
      <c r="A131" s="18"/>
      <c r="B131" s="18"/>
      <c r="C131" s="18"/>
    </row>
    <row r="132" spans="1:3">
      <c r="A132" s="18"/>
      <c r="B132" s="18"/>
      <c r="C132" s="18"/>
    </row>
    <row r="133" spans="1:3">
      <c r="A133" s="18"/>
      <c r="B133" s="18"/>
      <c r="C133" s="18"/>
    </row>
    <row r="134" spans="1:3">
      <c r="A134" s="18"/>
      <c r="B134" s="18"/>
      <c r="C134" s="18"/>
    </row>
    <row r="135" spans="1:3">
      <c r="A135" s="18"/>
      <c r="B135" s="18"/>
      <c r="C135" s="18"/>
    </row>
    <row r="136" spans="1:3">
      <c r="A136" s="18"/>
      <c r="B136" s="18"/>
      <c r="C136" s="18"/>
    </row>
    <row r="137" spans="1:3">
      <c r="A137" s="18"/>
      <c r="B137" s="18"/>
      <c r="C137" s="18"/>
    </row>
    <row r="138" spans="1:3">
      <c r="A138" s="18"/>
      <c r="B138" s="18"/>
      <c r="C138" s="18"/>
    </row>
    <row r="139" spans="1:3">
      <c r="A139" s="18"/>
      <c r="B139" s="18"/>
      <c r="C139" s="18"/>
    </row>
    <row r="140" spans="1:3">
      <c r="A140" s="18"/>
      <c r="B140" s="18"/>
      <c r="C140" s="18"/>
    </row>
    <row r="141" spans="1:3">
      <c r="A141" s="18"/>
    </row>
    <row r="142" spans="1:3">
      <c r="A142" s="18"/>
    </row>
    <row r="143" spans="1:3">
      <c r="A143" s="18"/>
    </row>
    <row r="144" spans="1:3">
      <c r="A144" s="18"/>
    </row>
    <row r="145" spans="1:1">
      <c r="A145" s="18"/>
    </row>
    <row r="146" spans="1:1">
      <c r="A146" s="18"/>
    </row>
    <row r="147" spans="1:1">
      <c r="A147" s="18"/>
    </row>
    <row r="148" spans="1:1">
      <c r="A148" s="18"/>
    </row>
    <row r="149" spans="1:1">
      <c r="A149" s="18"/>
    </row>
    <row r="150" spans="1:1">
      <c r="A150" s="18"/>
    </row>
    <row r="151" spans="1:1">
      <c r="A151" s="18"/>
    </row>
    <row r="152" spans="1:1">
      <c r="A152" s="18"/>
    </row>
    <row r="153" spans="1:1">
      <c r="A153" s="18"/>
    </row>
    <row r="154" spans="1:1">
      <c r="A154" s="18"/>
    </row>
    <row r="155" spans="1:1">
      <c r="A155" s="18"/>
    </row>
    <row r="156" spans="1:1">
      <c r="A156" s="18"/>
    </row>
    <row r="157" spans="1:1">
      <c r="A157" s="18"/>
    </row>
    <row r="158" spans="1:1">
      <c r="A158" s="18"/>
    </row>
    <row r="159" spans="1:1">
      <c r="A159" s="18"/>
    </row>
    <row r="160" spans="1:1">
      <c r="A160" s="18"/>
    </row>
    <row r="161" spans="1:1">
      <c r="A161" s="18"/>
    </row>
    <row r="162" spans="1:1">
      <c r="A162" s="18"/>
    </row>
    <row r="163" spans="1:1">
      <c r="A163" s="18"/>
    </row>
    <row r="164" spans="1:1">
      <c r="A164" s="18"/>
    </row>
    <row r="165" spans="1:1">
      <c r="A165" s="18"/>
    </row>
    <row r="166" spans="1:1">
      <c r="A166" s="18"/>
    </row>
    <row r="167" spans="1:1">
      <c r="A167" s="18"/>
    </row>
    <row r="168" spans="1:1">
      <c r="A168" s="18"/>
    </row>
    <row r="169" spans="1:1">
      <c r="A169" s="18"/>
    </row>
    <row r="170" spans="1:1">
      <c r="A170" s="18"/>
    </row>
    <row r="171" spans="1:1">
      <c r="A171" s="18"/>
    </row>
    <row r="172" spans="1:1">
      <c r="A172" s="18"/>
    </row>
    <row r="173" spans="1:1">
      <c r="A173" s="18"/>
    </row>
    <row r="174" spans="1:1">
      <c r="A174" s="18"/>
    </row>
    <row r="175" spans="1:1">
      <c r="A175" s="18"/>
    </row>
    <row r="176" spans="1:1">
      <c r="A176" s="18"/>
    </row>
    <row r="177" spans="1:1">
      <c r="A177" s="18"/>
    </row>
    <row r="178" spans="1:1">
      <c r="A178" s="18"/>
    </row>
    <row r="179" spans="1:1">
      <c r="A179" s="18"/>
    </row>
    <row r="180" spans="1:1">
      <c r="A180" s="18"/>
    </row>
    <row r="181" spans="1:1">
      <c r="A181" s="18"/>
    </row>
    <row r="182" spans="1:1">
      <c r="A182" s="18"/>
    </row>
    <row r="183" spans="1:1">
      <c r="A183" s="18"/>
    </row>
    <row r="184" spans="1:1">
      <c r="A184" s="18"/>
    </row>
    <row r="185" spans="1:1">
      <c r="A185" s="18"/>
    </row>
    <row r="186" spans="1:1">
      <c r="A186" s="18"/>
    </row>
    <row r="187" spans="1:1">
      <c r="A187" s="18"/>
    </row>
    <row r="188" spans="1:1">
      <c r="A188" s="18"/>
    </row>
    <row r="189" spans="1:1">
      <c r="A189" s="18"/>
    </row>
    <row r="190" spans="1:1">
      <c r="A190" s="18"/>
    </row>
    <row r="191" spans="1:1">
      <c r="A191" s="18"/>
    </row>
    <row r="192" spans="1:1">
      <c r="A192" s="18"/>
    </row>
    <row r="193" spans="1:1">
      <c r="A193" s="18"/>
    </row>
    <row r="194" spans="1:1">
      <c r="A194" s="18"/>
    </row>
    <row r="195" spans="1:1">
      <c r="A195" s="18"/>
    </row>
    <row r="196" spans="1:1">
      <c r="A196" s="18"/>
    </row>
    <row r="197" spans="1:1">
      <c r="A197" s="18"/>
    </row>
    <row r="198" spans="1:1">
      <c r="A198" s="18"/>
    </row>
    <row r="199" spans="1:1">
      <c r="A199" s="18"/>
    </row>
    <row r="200" spans="1:1">
      <c r="A200" s="18"/>
    </row>
    <row r="201" spans="1:1">
      <c r="A201" s="18"/>
    </row>
    <row r="202" spans="1:1">
      <c r="A202" s="18"/>
    </row>
  </sheetData>
  <mergeCells count="1">
    <mergeCell ref="C24:D24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Mathur, Arnie (Student)</dc:creator>
  <cp:keywords/>
  <dc:description/>
  <cp:lastModifiedBy>Arnav Mathur</cp:lastModifiedBy>
  <cp:revision/>
  <dcterms:created xsi:type="dcterms:W3CDTF">2025-11-28T20:54:10Z</dcterms:created>
  <dcterms:modified xsi:type="dcterms:W3CDTF">2025-12-15T22:15:29Z</dcterms:modified>
  <cp:category/>
  <cp:contentStatus/>
</cp:coreProperties>
</file>