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7" documentId="13_ncr:1_{5D75DA39-ED67-EC4F-A101-904072E9E9F3}" xr6:coauthVersionLast="47" xr6:coauthVersionMax="47" xr10:uidLastSave="{1D581E5B-F911-416F-A0E3-0406BD0FA4D3}"/>
  <bookViews>
    <workbookView xWindow="0" yWindow="760" windowWidth="29400" windowHeight="17060" xr2:uid="{9744EEB6-02B4-7749-9A22-EA011504E08E}"/>
  </bookViews>
  <sheets>
    <sheet name="Output" sheetId="1" r:id="rId1"/>
    <sheet name="Inpu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Y17" i="1"/>
  <c r="Z17" i="1"/>
  <c r="AA17" i="1"/>
  <c r="AB17" i="1"/>
  <c r="AC17" i="1"/>
  <c r="X11" i="1"/>
  <c r="Y11" i="1"/>
  <c r="Z11" i="1"/>
  <c r="AA11" i="1"/>
  <c r="AB11" i="1"/>
  <c r="AC11" i="1"/>
  <c r="X12" i="1"/>
  <c r="Y12" i="1"/>
  <c r="Z12" i="1"/>
  <c r="AA12" i="1"/>
  <c r="AB12" i="1"/>
  <c r="AC12" i="1"/>
  <c r="Q24" i="1" l="1" a="1"/>
  <c r="Q24" i="1" s="1"/>
  <c r="Q25" i="1" a="1"/>
  <c r="Q25" i="1" s="1"/>
  <c r="Q26" i="1" a="1"/>
  <c r="Q26" i="1" s="1"/>
  <c r="Q23" i="1" a="1"/>
  <c r="Q23" i="1" s="1"/>
  <c r="G5" i="2" a="1"/>
  <c r="G5" i="2" s="1"/>
  <c r="G10" i="1" s="1"/>
  <c r="G6" i="2" a="1"/>
  <c r="G6" i="2" s="1"/>
  <c r="G11" i="1" s="1"/>
  <c r="G7" i="2" a="1"/>
  <c r="G7" i="2" s="1"/>
  <c r="G12" i="1" s="1"/>
  <c r="G8" i="2" a="1"/>
  <c r="G8" i="2" s="1"/>
  <c r="G13" i="1" s="1"/>
  <c r="G9" i="2" a="1"/>
  <c r="G9" i="2" s="1"/>
  <c r="G14" i="1" s="1"/>
  <c r="G10" i="2" a="1"/>
  <c r="G10" i="2" s="1"/>
  <c r="G15" i="1" s="1"/>
  <c r="G11" i="2" a="1"/>
  <c r="G11" i="2" s="1"/>
  <c r="G16" i="1" s="1"/>
  <c r="G12" i="2" a="1"/>
  <c r="G12" i="2" s="1"/>
  <c r="G17" i="1" s="1"/>
  <c r="G4" i="2" a="1"/>
  <c r="G4" i="2" s="1"/>
  <c r="G9" i="1" s="1"/>
  <c r="F5" i="2" a="1"/>
  <c r="F5" i="2" s="1"/>
  <c r="F10" i="1" s="1"/>
  <c r="F6" i="2" a="1"/>
  <c r="F6" i="2" s="1"/>
  <c r="F11" i="1" s="1"/>
  <c r="F7" i="2" a="1"/>
  <c r="F7" i="2" s="1"/>
  <c r="F12" i="1" s="1"/>
  <c r="F8" i="2" a="1"/>
  <c r="F8" i="2" s="1"/>
  <c r="F13" i="1" s="1"/>
  <c r="F9" i="2" a="1"/>
  <c r="F9" i="2" s="1"/>
  <c r="F14" i="1" s="1"/>
  <c r="F10" i="2" a="1"/>
  <c r="F10" i="2" s="1"/>
  <c r="F15" i="1" s="1"/>
  <c r="F11" i="2" a="1"/>
  <c r="F11" i="2" s="1"/>
  <c r="F16" i="1" s="1"/>
  <c r="F12" i="2" a="1"/>
  <c r="F12" i="2" s="1"/>
  <c r="F17" i="1" s="1"/>
  <c r="F4" i="2" a="1"/>
  <c r="F4" i="2" s="1"/>
  <c r="F9" i="1" s="1"/>
  <c r="E5" i="2" a="1"/>
  <c r="E5" i="2" s="1"/>
  <c r="E10" i="1" s="1"/>
  <c r="E6" i="2" a="1"/>
  <c r="E6" i="2" s="1"/>
  <c r="E11" i="1" s="1"/>
  <c r="E7" i="2" a="1"/>
  <c r="E7" i="2" s="1"/>
  <c r="E12" i="1" s="1"/>
  <c r="E8" i="2" a="1"/>
  <c r="E8" i="2" s="1"/>
  <c r="E13" i="1" s="1"/>
  <c r="E9" i="2" a="1"/>
  <c r="E9" i="2" s="1"/>
  <c r="E14" i="1" s="1"/>
  <c r="E10" i="2" a="1"/>
  <c r="E10" i="2" s="1"/>
  <c r="E15" i="1" s="1"/>
  <c r="E11" i="2" a="1"/>
  <c r="E11" i="2" s="1"/>
  <c r="E16" i="1" s="1"/>
  <c r="E12" i="2" a="1"/>
  <c r="E12" i="2" s="1"/>
  <c r="E17" i="1" s="1"/>
  <c r="E4" i="2" a="1"/>
  <c r="E4" i="2" s="1"/>
  <c r="E9" i="1" s="1"/>
  <c r="R26" i="1" s="1"/>
  <c r="B10" i="1"/>
  <c r="B11" i="1"/>
  <c r="B12" i="1"/>
  <c r="B13" i="1"/>
  <c r="B14" i="1"/>
  <c r="B15" i="1"/>
  <c r="B16" i="1"/>
  <c r="B17" i="1"/>
  <c r="B9" i="1"/>
  <c r="P26" i="1" s="1" a="1"/>
  <c r="P26" i="1" s="1"/>
  <c r="I4" i="2" a="1"/>
  <c r="I4" i="2" s="1"/>
  <c r="I9" i="1" s="1"/>
  <c r="I5" i="2" a="1"/>
  <c r="I5" i="2" s="1"/>
  <c r="I10" i="1" s="1"/>
  <c r="I6" i="2" a="1"/>
  <c r="I6" i="2" s="1"/>
  <c r="I11" i="1" s="1"/>
  <c r="I7" i="2" a="1"/>
  <c r="I7" i="2" s="1"/>
  <c r="I12" i="1" s="1"/>
  <c r="I8" i="2" a="1"/>
  <c r="I8" i="2" s="1"/>
  <c r="I13" i="1" s="1"/>
  <c r="I9" i="2" a="1"/>
  <c r="I9" i="2" s="1"/>
  <c r="I14" i="1" s="1"/>
  <c r="I10" i="2" a="1"/>
  <c r="I10" i="2" s="1"/>
  <c r="I15" i="1" s="1"/>
  <c r="I11" i="2" a="1"/>
  <c r="I11" i="2" s="1"/>
  <c r="I16" i="1" s="1"/>
  <c r="I12" i="2" a="1"/>
  <c r="I12" i="2" s="1"/>
  <c r="I17" i="1" s="1"/>
  <c r="O5" i="2" a="1"/>
  <c r="O5" i="2" s="1"/>
  <c r="O10" i="1" s="1"/>
  <c r="O6" i="2" a="1"/>
  <c r="O6" i="2" s="1"/>
  <c r="O11" i="1" s="1"/>
  <c r="O7" i="2" a="1"/>
  <c r="O7" i="2" s="1"/>
  <c r="O12" i="1" s="1"/>
  <c r="O8" i="2" a="1"/>
  <c r="O8" i="2" s="1"/>
  <c r="O13" i="1" s="1"/>
  <c r="V13" i="1" s="1"/>
  <c r="O9" i="2" a="1"/>
  <c r="O9" i="2" s="1"/>
  <c r="O14" i="1" s="1"/>
  <c r="O10" i="2" a="1"/>
  <c r="O10" i="2" s="1"/>
  <c r="O15" i="1" s="1"/>
  <c r="O11" i="2" a="1"/>
  <c r="O11" i="2" s="1"/>
  <c r="O16" i="1" s="1"/>
  <c r="O12" i="2" a="1"/>
  <c r="O12" i="2" s="1"/>
  <c r="O17" i="1" s="1"/>
  <c r="O4" i="2" a="1"/>
  <c r="O4" i="2" s="1"/>
  <c r="O9" i="1" s="1"/>
  <c r="N5" i="2" a="1"/>
  <c r="N5" i="2" s="1"/>
  <c r="N10" i="1" s="1"/>
  <c r="N6" i="2" a="1"/>
  <c r="N6" i="2" s="1"/>
  <c r="N11" i="1" s="1"/>
  <c r="N7" i="2" a="1"/>
  <c r="N7" i="2" s="1"/>
  <c r="N12" i="1" s="1"/>
  <c r="N8" i="2" a="1"/>
  <c r="N8" i="2" s="1"/>
  <c r="N13" i="1" s="1"/>
  <c r="N9" i="2" a="1"/>
  <c r="N9" i="2" s="1"/>
  <c r="N14" i="1" s="1"/>
  <c r="N10" i="2" a="1"/>
  <c r="N10" i="2" s="1"/>
  <c r="N15" i="1" s="1"/>
  <c r="N11" i="2" a="1"/>
  <c r="N11" i="2" s="1"/>
  <c r="N16" i="1" s="1"/>
  <c r="N12" i="2" a="1"/>
  <c r="N12" i="2" s="1"/>
  <c r="N17" i="1" s="1"/>
  <c r="N4" i="2" a="1"/>
  <c r="N4" i="2" s="1"/>
  <c r="N9" i="1" s="1"/>
  <c r="M5" i="2" a="1"/>
  <c r="M5" i="2" s="1"/>
  <c r="M10" i="1" s="1"/>
  <c r="M6" i="2" a="1"/>
  <c r="M6" i="2" s="1"/>
  <c r="M11" i="1" s="1"/>
  <c r="M7" i="2" a="1"/>
  <c r="M7" i="2" s="1"/>
  <c r="M12" i="1" s="1"/>
  <c r="M8" i="2" a="1"/>
  <c r="M8" i="2" s="1"/>
  <c r="M13" i="1" s="1"/>
  <c r="T13" i="1" s="1"/>
  <c r="M9" i="2" a="1"/>
  <c r="M9" i="2" s="1"/>
  <c r="M14" i="1" s="1"/>
  <c r="M10" i="2" a="1"/>
  <c r="M10" i="2" s="1"/>
  <c r="M15" i="1" s="1"/>
  <c r="M11" i="2" a="1"/>
  <c r="M11" i="2" s="1"/>
  <c r="M16" i="1" s="1"/>
  <c r="M12" i="2" a="1"/>
  <c r="M12" i="2" s="1"/>
  <c r="M17" i="1" s="1"/>
  <c r="M4" i="2" a="1"/>
  <c r="M4" i="2" s="1"/>
  <c r="M9" i="1" s="1"/>
  <c r="L5" i="2" a="1"/>
  <c r="L5" i="2" s="1"/>
  <c r="L10" i="1" s="1"/>
  <c r="L6" i="2" a="1"/>
  <c r="L6" i="2" s="1"/>
  <c r="L11" i="1" s="1"/>
  <c r="L7" i="2" a="1"/>
  <c r="L7" i="2" s="1"/>
  <c r="L12" i="1" s="1"/>
  <c r="L8" i="2" a="1"/>
  <c r="L8" i="2" s="1"/>
  <c r="L13" i="1" s="1"/>
  <c r="L9" i="2" a="1"/>
  <c r="L9" i="2" s="1"/>
  <c r="L14" i="1" s="1"/>
  <c r="L10" i="2" a="1"/>
  <c r="L10" i="2" s="1"/>
  <c r="L15" i="1" s="1"/>
  <c r="L11" i="2" a="1"/>
  <c r="L11" i="2" s="1"/>
  <c r="L16" i="1" s="1"/>
  <c r="L12" i="2" a="1"/>
  <c r="L12" i="2" s="1"/>
  <c r="L17" i="1" s="1"/>
  <c r="L4" i="2" a="1"/>
  <c r="L4" i="2" s="1"/>
  <c r="L9" i="1" s="1"/>
  <c r="K5" i="2" a="1"/>
  <c r="K5" i="2" s="1"/>
  <c r="K10" i="1" s="1"/>
  <c r="K6" i="2" a="1"/>
  <c r="K6" i="2" s="1"/>
  <c r="K11" i="1" s="1"/>
  <c r="K7" i="2" a="1"/>
  <c r="K7" i="2" s="1"/>
  <c r="K12" i="1" s="1"/>
  <c r="K8" i="2" a="1"/>
  <c r="K8" i="2" s="1"/>
  <c r="K13" i="1" s="1"/>
  <c r="K9" i="2" a="1"/>
  <c r="K9" i="2" s="1"/>
  <c r="K14" i="1" s="1"/>
  <c r="K10" i="2" a="1"/>
  <c r="K10" i="2" s="1"/>
  <c r="K15" i="1" s="1"/>
  <c r="K11" i="2" a="1"/>
  <c r="K11" i="2" s="1"/>
  <c r="K16" i="1" s="1"/>
  <c r="K12" i="2" a="1"/>
  <c r="K12" i="2" s="1"/>
  <c r="K17" i="1" s="1"/>
  <c r="K4" i="2" a="1"/>
  <c r="K4" i="2" s="1"/>
  <c r="K9" i="1" s="1"/>
  <c r="J9" i="2" a="1"/>
  <c r="J9" i="2" s="1"/>
  <c r="J14" i="1" s="1"/>
  <c r="J5" i="2" a="1"/>
  <c r="J5" i="2" s="1"/>
  <c r="J10" i="1" s="1"/>
  <c r="J6" i="2" a="1"/>
  <c r="J6" i="2" s="1"/>
  <c r="J11" i="1" s="1"/>
  <c r="J7" i="2" a="1"/>
  <c r="J7" i="2" s="1"/>
  <c r="J12" i="1" s="1"/>
  <c r="J8" i="2" a="1"/>
  <c r="J8" i="2" s="1"/>
  <c r="J13" i="1" s="1"/>
  <c r="J10" i="2" a="1"/>
  <c r="J10" i="2" s="1"/>
  <c r="J15" i="1" s="1"/>
  <c r="J11" i="2" a="1"/>
  <c r="J11" i="2" s="1"/>
  <c r="J16" i="1" s="1"/>
  <c r="J12" i="2" a="1"/>
  <c r="J12" i="2" s="1"/>
  <c r="J17" i="1" s="1"/>
  <c r="J4" i="2" a="1"/>
  <c r="J4" i="2" s="1"/>
  <c r="J9" i="1" s="1"/>
  <c r="D5" i="2" a="1"/>
  <c r="D5" i="2" s="1"/>
  <c r="D10" i="1" s="1"/>
  <c r="D6" i="2" a="1"/>
  <c r="D6" i="2" s="1"/>
  <c r="D11" i="1" s="1"/>
  <c r="D7" i="2" a="1"/>
  <c r="D7" i="2" s="1"/>
  <c r="D12" i="1" s="1"/>
  <c r="D8" i="2" a="1"/>
  <c r="D8" i="2" s="1"/>
  <c r="D13" i="1" s="1"/>
  <c r="D9" i="2" a="1"/>
  <c r="D9" i="2" s="1"/>
  <c r="D14" i="1" s="1"/>
  <c r="D10" i="2" a="1"/>
  <c r="D10" i="2" s="1"/>
  <c r="D15" i="1" s="1"/>
  <c r="D11" i="2" a="1"/>
  <c r="D11" i="2" s="1"/>
  <c r="D16" i="1" s="1"/>
  <c r="D12" i="2" a="1"/>
  <c r="D12" i="2" s="1"/>
  <c r="D17" i="1" s="1"/>
  <c r="D4" i="2" a="1"/>
  <c r="D4" i="2" s="1"/>
  <c r="D9" i="1" s="1"/>
  <c r="C5" i="2" a="1"/>
  <c r="C5" i="2" s="1"/>
  <c r="C10" i="1" s="1"/>
  <c r="C6" i="2" a="1"/>
  <c r="C6" i="2" s="1"/>
  <c r="C11" i="1" s="1"/>
  <c r="C7" i="2" a="1"/>
  <c r="C7" i="2" s="1"/>
  <c r="C12" i="1" s="1"/>
  <c r="C8" i="2" a="1"/>
  <c r="C8" i="2" s="1"/>
  <c r="C13" i="1" s="1"/>
  <c r="C9" i="2" a="1"/>
  <c r="C9" i="2" s="1"/>
  <c r="C14" i="1" s="1"/>
  <c r="C10" i="2" a="1"/>
  <c r="C10" i="2" s="1"/>
  <c r="C15" i="1" s="1"/>
  <c r="C11" i="2" a="1"/>
  <c r="C11" i="2" s="1"/>
  <c r="C16" i="1" s="1"/>
  <c r="C12" i="2" a="1"/>
  <c r="C12" i="2" s="1"/>
  <c r="C17" i="1" s="1"/>
  <c r="C4" i="2" a="1"/>
  <c r="C4" i="2" s="1"/>
  <c r="C9" i="1" s="1"/>
  <c r="Q10" i="1" l="1"/>
  <c r="U17" i="1"/>
  <c r="V14" i="1"/>
  <c r="AB16" i="1"/>
  <c r="AA16" i="1"/>
  <c r="U15" i="1"/>
  <c r="R14" i="1"/>
  <c r="U12" i="1"/>
  <c r="T11" i="1"/>
  <c r="S11" i="1"/>
  <c r="V11" i="1"/>
  <c r="Q9" i="1"/>
  <c r="Z9" i="1"/>
  <c r="Q17" i="1"/>
  <c r="R17" i="1"/>
  <c r="R16" i="1"/>
  <c r="Q16" i="1"/>
  <c r="S16" i="1"/>
  <c r="S14" i="1"/>
  <c r="T15" i="1"/>
  <c r="U14" i="1"/>
  <c r="Q13" i="1"/>
  <c r="R12" i="1"/>
  <c r="Q11" i="1"/>
  <c r="O19" i="1"/>
  <c r="N19" i="1"/>
  <c r="M19" i="1"/>
  <c r="L19" i="1"/>
  <c r="G19" i="1"/>
  <c r="F18" i="1"/>
  <c r="D19" i="1"/>
  <c r="E18" i="1"/>
  <c r="I19" i="1"/>
  <c r="R10" i="1"/>
  <c r="O18" i="1"/>
  <c r="D18" i="1"/>
  <c r="F19" i="1"/>
  <c r="N18" i="1"/>
  <c r="E19" i="1"/>
  <c r="M18" i="1"/>
  <c r="L18" i="1"/>
  <c r="K18" i="1"/>
  <c r="J18" i="1"/>
  <c r="I18" i="1"/>
  <c r="K19" i="1"/>
  <c r="G18" i="1"/>
  <c r="J19" i="1"/>
  <c r="AC9" i="1"/>
  <c r="X9" i="1"/>
  <c r="P23" i="1" a="1"/>
  <c r="P23" i="1" s="1"/>
  <c r="P25" i="1" a="1"/>
  <c r="P25" i="1" s="1"/>
  <c r="P24" i="1" a="1"/>
  <c r="P24" i="1" s="1"/>
  <c r="T17" i="1"/>
  <c r="S17" i="1"/>
  <c r="V17" i="1"/>
  <c r="T16" i="1"/>
  <c r="U16" i="1"/>
  <c r="V16" i="1"/>
  <c r="Z16" i="1"/>
  <c r="X16" i="1"/>
  <c r="Y16" i="1"/>
  <c r="AC16" i="1"/>
  <c r="Q15" i="1"/>
  <c r="AB15" i="1"/>
  <c r="R15" i="1"/>
  <c r="X15" i="1"/>
  <c r="S15" i="1"/>
  <c r="V15" i="1"/>
  <c r="Z15" i="1"/>
  <c r="Y15" i="1"/>
  <c r="AC15" i="1"/>
  <c r="AA15" i="1"/>
  <c r="T14" i="1"/>
  <c r="Q14" i="1"/>
  <c r="Q19" i="1" s="1"/>
  <c r="R13" i="1"/>
  <c r="R18" i="1" s="1"/>
  <c r="U13" i="1"/>
  <c r="S13" i="1"/>
  <c r="T12" i="1"/>
  <c r="S12" i="1"/>
  <c r="Q12" i="1"/>
  <c r="V12" i="1"/>
  <c r="R11" i="1"/>
  <c r="U11" i="1"/>
  <c r="U10" i="1"/>
  <c r="T10" i="1"/>
  <c r="V10" i="1"/>
  <c r="S10" i="1"/>
  <c r="S9" i="1"/>
  <c r="V9" i="1"/>
  <c r="AB9" i="1"/>
  <c r="U9" i="1"/>
  <c r="I24" i="1"/>
  <c r="I25" i="1"/>
  <c r="T9" i="1"/>
  <c r="I26" i="1"/>
  <c r="I23" i="1"/>
  <c r="H24" i="1"/>
  <c r="R9" i="1"/>
  <c r="H25" i="1"/>
  <c r="H26" i="1"/>
  <c r="H23" i="1"/>
  <c r="AA9" i="1"/>
  <c r="R25" i="1"/>
  <c r="R24" i="1"/>
  <c r="R23" i="1"/>
  <c r="Y9" i="1"/>
  <c r="S19" i="1" l="1"/>
  <c r="S18" i="1"/>
  <c r="V19" i="1"/>
  <c r="Q18" i="1"/>
  <c r="R19" i="1"/>
  <c r="T19" i="1"/>
  <c r="AB18" i="1"/>
  <c r="AB19" i="1" s="1"/>
  <c r="U18" i="1"/>
  <c r="U19" i="1"/>
  <c r="T18" i="1"/>
  <c r="V18" i="1"/>
  <c r="Z18" i="1"/>
  <c r="Z19" i="1" s="1"/>
  <c r="X18" i="1"/>
  <c r="X19" i="1" s="1"/>
  <c r="F24" i="1"/>
  <c r="V24" i="1" s="1"/>
  <c r="Z24" i="1" s="1"/>
  <c r="F26" i="1"/>
  <c r="V26" i="1" s="1"/>
  <c r="Z26" i="1" s="1"/>
  <c r="F23" i="1"/>
  <c r="E24" i="1"/>
  <c r="M24" i="1" s="1"/>
  <c r="U24" i="1" s="1"/>
  <c r="Y24" i="1" s="1"/>
  <c r="AA18" i="1"/>
  <c r="AA19" i="1" s="1"/>
  <c r="E23" i="1"/>
  <c r="M23" i="1" s="1"/>
  <c r="U23" i="1" s="1"/>
  <c r="Y23" i="1" s="1"/>
  <c r="E26" i="1"/>
  <c r="M26" i="1" s="1"/>
  <c r="U26" i="1" s="1"/>
  <c r="Y26" i="1" s="1"/>
  <c r="AC18" i="1"/>
  <c r="AC19" i="1" s="1"/>
  <c r="F25" i="1"/>
  <c r="V25" i="1" s="1"/>
  <c r="Z25" i="1" s="1"/>
  <c r="D26" i="1"/>
  <c r="L26" i="1" s="1"/>
  <c r="T26" i="1" s="1"/>
  <c r="X26" i="1" s="1"/>
  <c r="Y18" i="1"/>
  <c r="Y19" i="1" s="1"/>
  <c r="D25" i="1"/>
  <c r="L25" i="1" s="1"/>
  <c r="T25" i="1" s="1"/>
  <c r="X25" i="1" s="1"/>
  <c r="D24" i="1"/>
  <c r="L24" i="1" s="1"/>
  <c r="T24" i="1" s="1"/>
  <c r="X24" i="1" s="1"/>
  <c r="D23" i="1"/>
  <c r="L23" i="1" s="1"/>
  <c r="T23" i="1" s="1"/>
  <c r="X23" i="1" s="1"/>
  <c r="E25" i="1"/>
  <c r="M25" i="1" s="1"/>
  <c r="U25" i="1" s="1"/>
  <c r="Y25" i="1" s="1"/>
  <c r="V23" i="1" l="1"/>
  <c r="Z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<sst xmlns="http://schemas.openxmlformats.org/spreadsheetml/2006/main" count="77" uniqueCount="54">
  <si>
    <t>Date</t>
  </si>
  <si>
    <t>Currency</t>
  </si>
  <si>
    <t>USD</t>
  </si>
  <si>
    <t>Trading Multiples</t>
  </si>
  <si>
    <t>Revenue</t>
  </si>
  <si>
    <t>EBITDA</t>
  </si>
  <si>
    <t>Net income</t>
  </si>
  <si>
    <t>Revenue Growth</t>
  </si>
  <si>
    <t>EBITDA Margin</t>
  </si>
  <si>
    <t>Profit Margin</t>
  </si>
  <si>
    <t>EV / Revenue</t>
  </si>
  <si>
    <t>EV / EBITDA</t>
  </si>
  <si>
    <t>P / E</t>
  </si>
  <si>
    <t>Ticker</t>
  </si>
  <si>
    <t>Company Name</t>
  </si>
  <si>
    <t>Current Price</t>
  </si>
  <si>
    <t>Share Count</t>
  </si>
  <si>
    <t>Enterprise Value</t>
  </si>
  <si>
    <t>Market Cap</t>
  </si>
  <si>
    <t>2023-2024</t>
  </si>
  <si>
    <t>2024-2025</t>
  </si>
  <si>
    <t>Mean:</t>
  </si>
  <si>
    <t>Median:</t>
  </si>
  <si>
    <t>2025 Trading Multiple</t>
  </si>
  <si>
    <t>2025 Financial Metric</t>
  </si>
  <si>
    <t>Equity Value</t>
  </si>
  <si>
    <t>Implied Share Price</t>
  </si>
  <si>
    <t>Calculating Implied Share Price</t>
  </si>
  <si>
    <t>EBITA</t>
  </si>
  <si>
    <t>P/E</t>
  </si>
  <si>
    <t>EPS</t>
  </si>
  <si>
    <t>Net Income</t>
  </si>
  <si>
    <t>Cash</t>
  </si>
  <si>
    <t>Debt</t>
  </si>
  <si>
    <t>Shares</t>
  </si>
  <si>
    <t>Minimum</t>
  </si>
  <si>
    <t>--</t>
  </si>
  <si>
    <t>Mean</t>
  </si>
  <si>
    <t>Median</t>
  </si>
  <si>
    <t>Maximum</t>
  </si>
  <si>
    <t>All figures are measured in USD millions</t>
  </si>
  <si>
    <t>Share Count (millions)</t>
  </si>
  <si>
    <t>Enterprise Value (millions)</t>
  </si>
  <si>
    <t>Market Cap (millions)</t>
  </si>
  <si>
    <t>TC</t>
  </si>
  <si>
    <t>BA</t>
  </si>
  <si>
    <t>AXON</t>
  </si>
  <si>
    <t>NOC</t>
  </si>
  <si>
    <t>LMT</t>
  </si>
  <si>
    <t>TXN</t>
  </si>
  <si>
    <t>RTX</t>
  </si>
  <si>
    <t xml:space="preserve">AAL </t>
  </si>
  <si>
    <t>GD</t>
  </si>
  <si>
    <t>LHX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</si>
</sst>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0.0\x"/>
  </numFmts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ADE8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5" fontId="0" fillId="0" borderId="0" xfId="1" applyNumberFormat="1" applyFont="1"/>
    <xf numFmtId="0" fontId="1" fillId="0" borderId="3" xfId="0" applyFont="1" applyBorder="1" applyAlignment="1">
      <alignment horizontal="center" vertical="center"/>
    </xf>
    <xf numFmtId="10" fontId="0" fillId="0" borderId="0" xfId="2" applyNumberFormat="1" applyFont="1"/>
    <xf numFmtId="166" fontId="0" fillId="0" borderId="0" xfId="0" applyNumberFormat="1"/>
    <xf numFmtId="0" fontId="0" fillId="0" borderId="3" xfId="0" applyBorder="1"/>
    <xf numFmtId="164" fontId="0" fillId="0" borderId="3" xfId="0" applyNumberFormat="1" applyBorder="1"/>
    <xf numFmtId="3" fontId="0" fillId="0" borderId="3" xfId="0" applyNumberFormat="1" applyBorder="1"/>
    <xf numFmtId="165" fontId="0" fillId="0" borderId="3" xfId="0" applyNumberFormat="1" applyBorder="1"/>
    <xf numFmtId="10" fontId="0" fillId="0" borderId="3" xfId="2" applyNumberFormat="1" applyFont="1" applyBorder="1"/>
    <xf numFmtId="166" fontId="0" fillId="0" borderId="3" xfId="0" applyNumberFormat="1" applyBorder="1"/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0" fontId="1" fillId="3" borderId="2" xfId="0" applyNumberFormat="1" applyFont="1" applyFill="1" applyBorder="1"/>
    <xf numFmtId="10" fontId="1" fillId="3" borderId="1" xfId="0" applyNumberFormat="1" applyFont="1" applyFill="1" applyBorder="1"/>
    <xf numFmtId="166" fontId="1" fillId="3" borderId="2" xfId="0" applyNumberFormat="1" applyFont="1" applyFill="1" applyBorder="1"/>
    <xf numFmtId="166" fontId="1" fillId="3" borderId="1" xfId="0" applyNumberFormat="1" applyFont="1" applyFill="1" applyBorder="1"/>
    <xf numFmtId="0" fontId="1" fillId="2" borderId="0" xfId="0" applyFont="1" applyFill="1" applyAlignment="1">
      <alignment horizontal="center"/>
    </xf>
    <xf numFmtId="0" fontId="1" fillId="0" borderId="0" xfId="0" applyFont="1"/>
    <xf numFmtId="7" fontId="3" fillId="0" borderId="0" xfId="1" applyNumberFormat="1" applyFont="1"/>
    <xf numFmtId="165" fontId="3" fillId="0" borderId="0" xfId="0" applyNumberFormat="1" applyFont="1"/>
    <xf numFmtId="3" fontId="3" fillId="0" borderId="0" xfId="0" applyNumberFormat="1" applyFont="1"/>
    <xf numFmtId="5" fontId="0" fillId="0" borderId="0" xfId="0" applyNumberFormat="1"/>
    <xf numFmtId="0" fontId="0" fillId="0" borderId="0" xfId="0" quotePrefix="1" applyAlignment="1">
      <alignment horizontal="center"/>
    </xf>
    <xf numFmtId="164" fontId="0" fillId="3" borderId="2" xfId="0" applyNumberFormat="1" applyFill="1" applyBorder="1"/>
    <xf numFmtId="164" fontId="0" fillId="3" borderId="1" xfId="0" applyNumberFormat="1" applyFill="1" applyBorder="1"/>
    <xf numFmtId="165" fontId="0" fillId="3" borderId="2" xfId="0" applyNumberFormat="1" applyFill="1" applyBorder="1"/>
    <xf numFmtId="165" fontId="0" fillId="3" borderId="1" xfId="0" applyNumberFormat="1" applyFill="1" applyBorder="1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6" fontId="0" fillId="0" borderId="0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ADE8E"/>
      <color rgb="FFF443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259900-0A10-774E-9B07-42A76C7A84BD}">
  <we:reference id="wa200005656" version="1.7.0.0" store="en-US" storeType="OMEX"/>
  <we:alternateReferences>
    <we:reference id="wa200005656" version="1.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_xldudf_QFS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A4A6-161E-AE42-B763-D976D89DBEDF}">
  <dimension ref="A2:AC27"/>
  <sheetViews>
    <sheetView showGridLines="0" tabSelected="1" topLeftCell="F6" zoomScale="75" zoomScaleNormal="100" workbookViewId="0">
      <selection activeCell="N23" sqref="N23"/>
    </sheetView>
  </sheetViews>
  <sheetFormatPr defaultColWidth="11" defaultRowHeight="15.95"/>
  <cols>
    <col min="1" max="1" width="2.125" style="39" bestFit="1" customWidth="1"/>
    <col min="2" max="2" width="9.375" bestFit="1" customWidth="1"/>
    <col min="3" max="3" width="24.375" bestFit="1" customWidth="1"/>
    <col min="5" max="5" width="6.875" bestFit="1" customWidth="1"/>
    <col min="6" max="6" width="10.375" bestFit="1" customWidth="1"/>
    <col min="7" max="7" width="10.875" bestFit="1" customWidth="1"/>
    <col min="8" max="8" width="8.5" bestFit="1" customWidth="1"/>
    <col min="9" max="11" width="9.875" bestFit="1" customWidth="1"/>
    <col min="12" max="13" width="11.375" bestFit="1" customWidth="1"/>
    <col min="14" max="14" width="10.25" bestFit="1" customWidth="1"/>
    <col min="15" max="15" width="8.875" bestFit="1" customWidth="1"/>
    <col min="16" max="16" width="8.125" bestFit="1" customWidth="1"/>
    <col min="17" max="18" width="10" bestFit="1" customWidth="1"/>
    <col min="19" max="19" width="8.125" bestFit="1" customWidth="1"/>
    <col min="20" max="21" width="11.375" bestFit="1" customWidth="1"/>
    <col min="22" max="22" width="12" bestFit="1" customWidth="1"/>
    <col min="23" max="23" width="3.5" customWidth="1"/>
    <col min="24" max="24" width="10" bestFit="1" customWidth="1"/>
    <col min="25" max="25" width="10.375" bestFit="1" customWidth="1"/>
    <col min="26" max="26" width="10.875" bestFit="1" customWidth="1"/>
    <col min="27" max="27" width="7" bestFit="1" customWidth="1"/>
    <col min="28" max="29" width="8.125" bestFit="1" customWidth="1"/>
  </cols>
  <sheetData>
    <row r="2" spans="1:29">
      <c r="B2" t="s">
        <v>0</v>
      </c>
      <c r="C2" s="22">
        <v>45968</v>
      </c>
    </row>
    <row r="3" spans="1:29">
      <c r="B3" t="s">
        <v>1</v>
      </c>
      <c r="C3" s="23" t="s">
        <v>2</v>
      </c>
    </row>
    <row r="6" spans="1:29" ht="17.100000000000001" thickBot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40" t="s">
        <v>3</v>
      </c>
      <c r="Y6" s="40"/>
      <c r="Z6" s="40"/>
      <c r="AA6" s="40"/>
      <c r="AB6" s="40"/>
      <c r="AC6" s="40"/>
    </row>
    <row r="7" spans="1:29" ht="17.100000000000001" thickBot="1">
      <c r="B7" s="2"/>
      <c r="C7" s="2"/>
      <c r="D7" s="2"/>
      <c r="E7" s="2"/>
      <c r="F7" s="2"/>
      <c r="G7" s="2"/>
      <c r="H7" s="2"/>
      <c r="I7" s="40" t="s">
        <v>4</v>
      </c>
      <c r="J7" s="40"/>
      <c r="K7" s="40"/>
      <c r="L7" s="40" t="s">
        <v>5</v>
      </c>
      <c r="M7" s="40"/>
      <c r="N7" s="40" t="s">
        <v>6</v>
      </c>
      <c r="O7" s="40"/>
      <c r="P7" s="2"/>
      <c r="Q7" s="40" t="s">
        <v>7</v>
      </c>
      <c r="R7" s="40"/>
      <c r="S7" s="40" t="s">
        <v>8</v>
      </c>
      <c r="T7" s="40"/>
      <c r="U7" s="40" t="s">
        <v>9</v>
      </c>
      <c r="V7" s="40"/>
      <c r="W7" s="2"/>
      <c r="X7" s="40" t="s">
        <v>10</v>
      </c>
      <c r="Y7" s="40"/>
      <c r="Z7" s="40" t="s">
        <v>11</v>
      </c>
      <c r="AA7" s="40"/>
      <c r="AB7" s="40" t="s">
        <v>12</v>
      </c>
      <c r="AC7" s="40"/>
    </row>
    <row r="8" spans="1:29" ht="33.950000000000003">
      <c r="B8" s="8" t="s">
        <v>13</v>
      </c>
      <c r="C8" s="8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8"/>
      <c r="I8" s="8">
        <v>2023</v>
      </c>
      <c r="J8" s="8">
        <v>2024</v>
      </c>
      <c r="K8" s="8">
        <v>2025</v>
      </c>
      <c r="L8" s="8">
        <v>2024</v>
      </c>
      <c r="M8" s="8">
        <v>2025</v>
      </c>
      <c r="N8" s="8">
        <v>2024</v>
      </c>
      <c r="O8" s="8">
        <v>2025</v>
      </c>
      <c r="P8" s="8"/>
      <c r="Q8" s="8" t="s">
        <v>19</v>
      </c>
      <c r="R8" s="8" t="s">
        <v>20</v>
      </c>
      <c r="S8" s="8">
        <v>2024</v>
      </c>
      <c r="T8" s="8">
        <v>2025</v>
      </c>
      <c r="U8" s="8">
        <v>2024</v>
      </c>
      <c r="V8" s="8">
        <v>2025</v>
      </c>
      <c r="W8" s="8"/>
      <c r="X8" s="8" t="s">
        <v>19</v>
      </c>
      <c r="Y8" s="8" t="s">
        <v>20</v>
      </c>
      <c r="Z8" s="8">
        <v>2024</v>
      </c>
      <c r="AA8" s="8">
        <v>2025</v>
      </c>
      <c r="AB8" s="8">
        <v>2024</v>
      </c>
      <c r="AC8" s="8">
        <v>2025</v>
      </c>
    </row>
    <row r="9" spans="1:29" ht="15.75">
      <c r="B9" s="16" t="str">
        <f>Input!B4</f>
        <v>BA</v>
      </c>
      <c r="C9" s="16" t="str">
        <f>Input!C4</f>
        <v>The Boeing Company</v>
      </c>
      <c r="D9" s="17">
        <f>Input!D4</f>
        <v>195.21</v>
      </c>
      <c r="E9" s="18">
        <f>Input!E4</f>
        <v>760.1</v>
      </c>
      <c r="F9" s="19">
        <f>Input!F4</f>
        <v>170005</v>
      </c>
      <c r="G9" s="19">
        <f>Input!G4</f>
        <v>148378</v>
      </c>
      <c r="H9" s="16"/>
      <c r="I9" s="19">
        <f>Input!I4</f>
        <v>77794</v>
      </c>
      <c r="J9" s="19">
        <f>Input!J4</f>
        <v>66517</v>
      </c>
      <c r="K9" s="19">
        <f>Input!K4</f>
        <v>80757</v>
      </c>
      <c r="L9" s="19">
        <f>Input!L4</f>
        <v>-8988</v>
      </c>
      <c r="M9" s="19">
        <f>Input!M4</f>
        <v>-6498</v>
      </c>
      <c r="N9" s="19">
        <f>Input!N4</f>
        <v>-11817</v>
      </c>
      <c r="O9" s="19">
        <f>Input!O4</f>
        <v>-9850</v>
      </c>
      <c r="P9" s="16"/>
      <c r="Q9" s="20">
        <f>(J9/I9-1)</f>
        <v>-0.14495976553461709</v>
      </c>
      <c r="R9" s="20">
        <f>(K9/J9-1)</f>
        <v>0.21408061097163134</v>
      </c>
      <c r="S9" s="20">
        <f>L9/J9</f>
        <v>-0.1351233519250718</v>
      </c>
      <c r="T9" s="20">
        <f>M9/K9</f>
        <v>-8.0463613061406439E-2</v>
      </c>
      <c r="U9" s="20">
        <f>N9/J9</f>
        <v>-0.17765383285475894</v>
      </c>
      <c r="V9" s="20">
        <f>O9/K9</f>
        <v>-0.12197085082407717</v>
      </c>
      <c r="W9" s="16"/>
      <c r="X9" s="21">
        <f>$F9/I9</f>
        <v>2.1853227755353881</v>
      </c>
      <c r="Y9" s="21">
        <f>$F9/J9</f>
        <v>2.5558127997354059</v>
      </c>
      <c r="Z9" s="21">
        <f>$F9/L9</f>
        <v>-18.914663996439696</v>
      </c>
      <c r="AA9" s="21">
        <f>$F9/M9</f>
        <v>-26.162665435518623</v>
      </c>
      <c r="AB9" s="21">
        <f>$G9/N9</f>
        <v>-12.556317170178556</v>
      </c>
      <c r="AC9" s="21">
        <f>$G9/O9</f>
        <v>-15.063756345177666</v>
      </c>
    </row>
    <row r="10" spans="1:29" ht="15.75">
      <c r="A10" s="39">
        <v>1</v>
      </c>
      <c r="B10" t="str">
        <f>Input!B5</f>
        <v>AXON</v>
      </c>
      <c r="C10" t="str">
        <f>Input!C5</f>
        <v>Axon Enterprise Inc.</v>
      </c>
      <c r="D10" s="9">
        <f>Input!D5</f>
        <v>572.17999999999995</v>
      </c>
      <c r="E10" s="10">
        <f>Input!E5</f>
        <v>78.415999999999997</v>
      </c>
      <c r="F10" s="11">
        <f>Input!F5</f>
        <v>44435</v>
      </c>
      <c r="G10" s="11">
        <f>Input!G5</f>
        <v>45150</v>
      </c>
      <c r="I10" s="11">
        <f>Input!I5</f>
        <v>1560.6990000000001</v>
      </c>
      <c r="J10" s="11">
        <f>Input!J5</f>
        <v>2082.5259999999998</v>
      </c>
      <c r="K10" s="11">
        <f>Input!K5</f>
        <v>2557.9569999999999</v>
      </c>
      <c r="L10" s="11">
        <f>Input!L5</f>
        <v>106.965</v>
      </c>
      <c r="M10" s="11">
        <f>Input!M5</f>
        <v>46.183</v>
      </c>
      <c r="N10" s="11">
        <f>Input!N5</f>
        <v>377.03399999999999</v>
      </c>
      <c r="O10" s="11">
        <f>Input!O5</f>
        <v>257.09500000000003</v>
      </c>
      <c r="Q10" s="14">
        <f t="shared" ref="Q10:Q17" si="0">(J10/I10-1)</f>
        <v>0.33435467056748269</v>
      </c>
      <c r="R10" s="14">
        <f t="shared" ref="R10:R17" si="1">(K10/J10-1)</f>
        <v>0.2282953490136499</v>
      </c>
      <c r="S10" s="14">
        <f t="shared" ref="S10:S17" si="2">L10/J10</f>
        <v>5.1363104230151273E-2</v>
      </c>
      <c r="T10" s="14">
        <f t="shared" ref="T10:T17" si="3">M10/K10</f>
        <v>1.805464282628676E-2</v>
      </c>
      <c r="U10" s="14">
        <f t="shared" ref="U10:V17" si="4">N10/J10</f>
        <v>0.18104647913159308</v>
      </c>
      <c r="V10" s="14">
        <f t="shared" si="4"/>
        <v>0.10050794442596182</v>
      </c>
      <c r="X10" s="44"/>
      <c r="Y10" s="44"/>
      <c r="Z10" s="44"/>
      <c r="AA10" s="44"/>
      <c r="AB10" s="44"/>
      <c r="AC10" s="44"/>
    </row>
    <row r="11" spans="1:29" ht="15.75">
      <c r="A11" s="39">
        <v>2</v>
      </c>
      <c r="B11" t="str">
        <f>Input!B6</f>
        <v>NOC</v>
      </c>
      <c r="C11" t="str">
        <f>Input!C6</f>
        <v>Northrop Grumman Corporation</v>
      </c>
      <c r="D11" s="9">
        <f>Input!D6</f>
        <v>566.74</v>
      </c>
      <c r="E11" s="10">
        <f>Input!E6</f>
        <v>143.1</v>
      </c>
      <c r="F11" s="11">
        <f>Input!F6</f>
        <v>94090</v>
      </c>
      <c r="G11" s="11">
        <f>Input!G6</f>
        <v>80885</v>
      </c>
      <c r="I11" s="11">
        <f>Input!I6</f>
        <v>39290</v>
      </c>
      <c r="J11" s="11">
        <f>Input!J6</f>
        <v>41033</v>
      </c>
      <c r="K11" s="11">
        <f>Input!K6</f>
        <v>40928</v>
      </c>
      <c r="L11" s="11">
        <f>Input!L6</f>
        <v>5740</v>
      </c>
      <c r="M11" s="11">
        <f>Input!M6</f>
        <v>5578</v>
      </c>
      <c r="N11" s="11">
        <f>Input!N6</f>
        <v>4174</v>
      </c>
      <c r="O11" s="11">
        <f>Input!O6</f>
        <v>4019</v>
      </c>
      <c r="Q11" s="14">
        <f t="shared" si="0"/>
        <v>4.4362433189106598E-2</v>
      </c>
      <c r="R11" s="14">
        <f t="shared" si="1"/>
        <v>-2.558915994443467E-3</v>
      </c>
      <c r="S11" s="14">
        <f t="shared" si="2"/>
        <v>0.1398874076962445</v>
      </c>
      <c r="T11" s="14">
        <f t="shared" si="3"/>
        <v>0.13628811571540267</v>
      </c>
      <c r="U11" s="14">
        <f t="shared" si="4"/>
        <v>0.10172300343625862</v>
      </c>
      <c r="V11" s="14">
        <f t="shared" si="4"/>
        <v>9.8196833463643468E-2</v>
      </c>
      <c r="X11" s="44">
        <f t="shared" ref="X11:X13" si="5">$F11/I11</f>
        <v>2.3947569356070249</v>
      </c>
      <c r="Y11" s="44">
        <f t="shared" ref="Y11:Y13" si="6">$F11/J11</f>
        <v>2.2930324373065583</v>
      </c>
      <c r="Z11" s="44">
        <f t="shared" ref="Z11:Z13" si="7">$F11/L11</f>
        <v>16.39198606271777</v>
      </c>
      <c r="AA11" s="44">
        <f t="shared" ref="AA11:AA13" si="8">$F11/M11</f>
        <v>16.868053065614916</v>
      </c>
      <c r="AB11" s="44">
        <f t="shared" ref="AB11:AB13" si="9">$G11/N11</f>
        <v>19.37829420220412</v>
      </c>
      <c r="AC11" s="44">
        <f t="shared" ref="AC11:AC13" si="10">$G11/O11</f>
        <v>20.125653147549141</v>
      </c>
    </row>
    <row r="12" spans="1:29" ht="15.75">
      <c r="A12" s="39">
        <v>3</v>
      </c>
      <c r="B12" t="str">
        <f>Input!B7</f>
        <v>LMT</v>
      </c>
      <c r="C12" t="str">
        <f>Input!C7</f>
        <v>Lockheed Martin Corporation</v>
      </c>
      <c r="D12" s="9">
        <f>Input!D7</f>
        <v>457.07</v>
      </c>
      <c r="E12" s="10">
        <f>Input!E7</f>
        <v>231.9</v>
      </c>
      <c r="F12" s="11">
        <f>Input!F7</f>
        <v>122814</v>
      </c>
      <c r="G12" s="11">
        <f>Input!G7</f>
        <v>105764</v>
      </c>
      <c r="I12" s="11">
        <f>Input!I7</f>
        <v>67571</v>
      </c>
      <c r="J12" s="11">
        <f>Input!J7</f>
        <v>71043</v>
      </c>
      <c r="K12" s="11">
        <f>Input!K7</f>
        <v>73349</v>
      </c>
      <c r="L12" s="11">
        <f>Input!L7</f>
        <v>8572</v>
      </c>
      <c r="M12" s="11">
        <f>Input!M7</f>
        <v>7680</v>
      </c>
      <c r="N12" s="11">
        <f>Input!N7</f>
        <v>5336</v>
      </c>
      <c r="O12" s="11">
        <f>Input!O7</f>
        <v>4200</v>
      </c>
      <c r="Q12" s="14">
        <f t="shared" si="0"/>
        <v>5.1382989744120922E-2</v>
      </c>
      <c r="R12" s="14">
        <f t="shared" si="1"/>
        <v>3.2459214841715545E-2</v>
      </c>
      <c r="S12" s="14">
        <f t="shared" si="2"/>
        <v>0.12065931900398351</v>
      </c>
      <c r="T12" s="14">
        <f t="shared" si="3"/>
        <v>0.10470490395233746</v>
      </c>
      <c r="U12" s="14">
        <f t="shared" si="4"/>
        <v>7.5109440761229121E-2</v>
      </c>
      <c r="V12" s="14">
        <f t="shared" si="4"/>
        <v>5.7260494348934543E-2</v>
      </c>
      <c r="X12" s="44">
        <f t="shared" si="5"/>
        <v>1.8175548682126947</v>
      </c>
      <c r="Y12" s="44">
        <f t="shared" si="6"/>
        <v>1.728727671973312</v>
      </c>
      <c r="Z12" s="44">
        <f t="shared" si="7"/>
        <v>14.327344843677087</v>
      </c>
      <c r="AA12" s="44">
        <f t="shared" si="8"/>
        <v>15.991406250000001</v>
      </c>
      <c r="AB12" s="44">
        <f t="shared" si="9"/>
        <v>19.820839580209896</v>
      </c>
      <c r="AC12" s="44">
        <f t="shared" si="10"/>
        <v>25.181904761904761</v>
      </c>
    </row>
    <row r="13" spans="1:29" ht="15.75">
      <c r="A13" s="39">
        <v>4</v>
      </c>
      <c r="B13" t="str">
        <f>Input!B8</f>
        <v>TXN</v>
      </c>
      <c r="C13" t="str">
        <f>Input!C8</f>
        <v>Texas Instruments Incorporated</v>
      </c>
      <c r="D13" s="9">
        <f>Input!D8</f>
        <v>159.72999999999999</v>
      </c>
      <c r="E13" s="10">
        <f>Input!E8</f>
        <v>909</v>
      </c>
      <c r="F13" s="11">
        <f>Input!F8</f>
        <v>153494</v>
      </c>
      <c r="G13" s="11">
        <f>Input!G8</f>
        <v>145134</v>
      </c>
      <c r="I13" s="11">
        <f>Input!I8</f>
        <v>17519</v>
      </c>
      <c r="J13" s="11">
        <f>Input!J8</f>
        <v>15641</v>
      </c>
      <c r="K13" s="11">
        <f>Input!K8</f>
        <v>17266</v>
      </c>
      <c r="L13" s="11">
        <f>Input!L8</f>
        <v>6921</v>
      </c>
      <c r="M13" s="11">
        <f>Input!M8</f>
        <v>7889</v>
      </c>
      <c r="N13" s="11">
        <f>Input!N8</f>
        <v>4799</v>
      </c>
      <c r="O13" s="11">
        <f>Input!O8</f>
        <v>5043</v>
      </c>
      <c r="Q13" s="14">
        <f t="shared" si="0"/>
        <v>-0.10719789942348312</v>
      </c>
      <c r="R13" s="14">
        <f t="shared" si="1"/>
        <v>0.10389361294034916</v>
      </c>
      <c r="S13" s="14">
        <f t="shared" si="2"/>
        <v>0.44249088932932679</v>
      </c>
      <c r="T13" s="14">
        <f t="shared" si="3"/>
        <v>0.45690953318660954</v>
      </c>
      <c r="U13" s="14">
        <f t="shared" si="4"/>
        <v>0.30682181446199092</v>
      </c>
      <c r="V13" s="14">
        <f t="shared" si="4"/>
        <v>0.29207691416657011</v>
      </c>
      <c r="X13" s="44"/>
      <c r="Y13" s="44"/>
      <c r="Z13" s="44"/>
      <c r="AA13" s="44"/>
      <c r="AB13" s="44"/>
      <c r="AC13" s="44"/>
    </row>
    <row r="14" spans="1:29" ht="15.75">
      <c r="A14" s="39">
        <v>5</v>
      </c>
      <c r="B14" t="str">
        <f>Input!B9</f>
        <v>RTX</v>
      </c>
      <c r="C14" t="str">
        <f>Input!C9</f>
        <v>Raytheon Technologies Corp</v>
      </c>
      <c r="D14" s="9">
        <f>Input!D9</f>
        <v>179.22</v>
      </c>
      <c r="E14" s="10">
        <f>Input!E9</f>
        <v>1343.1</v>
      </c>
      <c r="F14" s="11">
        <f>Input!F9</f>
        <v>272587</v>
      </c>
      <c r="G14" s="11">
        <f>Input!G9</f>
        <v>240293</v>
      </c>
      <c r="I14" s="11">
        <f>Input!I9</f>
        <v>68920</v>
      </c>
      <c r="J14" s="11">
        <f>Input!J9</f>
        <v>80738</v>
      </c>
      <c r="K14" s="11">
        <f>Input!K9</f>
        <v>85988</v>
      </c>
      <c r="L14" s="11">
        <f>Input!L9</f>
        <v>10902</v>
      </c>
      <c r="M14" s="11">
        <f>Input!M9</f>
        <v>13173</v>
      </c>
      <c r="N14" s="11">
        <f>Input!N9</f>
        <v>4774</v>
      </c>
      <c r="O14" s="11">
        <f>Input!O9</f>
        <v>6592</v>
      </c>
      <c r="Q14" s="14">
        <f t="shared" si="0"/>
        <v>0.17147417295414979</v>
      </c>
      <c r="R14" s="14">
        <f t="shared" si="1"/>
        <v>6.5025143055314816E-2</v>
      </c>
      <c r="S14" s="14">
        <f t="shared" si="2"/>
        <v>0.13502935420743639</v>
      </c>
      <c r="T14" s="14">
        <f t="shared" si="3"/>
        <v>0.15319579476205983</v>
      </c>
      <c r="U14" s="14">
        <f t="shared" si="4"/>
        <v>5.9129530084966186E-2</v>
      </c>
      <c r="V14" s="14">
        <f t="shared" si="4"/>
        <v>7.6661859794389914E-2</v>
      </c>
      <c r="X14" s="15"/>
      <c r="Y14" s="15"/>
      <c r="Z14" s="15"/>
      <c r="AA14" s="15"/>
      <c r="AB14" s="15"/>
      <c r="AC14" s="15"/>
    </row>
    <row r="15" spans="1:29">
      <c r="A15" s="39">
        <v>6</v>
      </c>
      <c r="B15" t="str">
        <f>Input!B10</f>
        <v xml:space="preserve">AAL </v>
      </c>
      <c r="C15" t="str">
        <f>Input!C10</f>
        <v>American Airlines Group</v>
      </c>
      <c r="D15" s="9">
        <f>Input!D10</f>
        <v>12.99</v>
      </c>
      <c r="E15" s="10">
        <f>Input!E10</f>
        <v>660.35799999999995</v>
      </c>
      <c r="F15" s="11">
        <f>Input!F10</f>
        <v>26829</v>
      </c>
      <c r="G15" s="11">
        <f>Input!G10</f>
        <v>8574</v>
      </c>
      <c r="I15" s="11">
        <f>Input!I10</f>
        <v>52788</v>
      </c>
      <c r="J15" s="11">
        <f>Input!J10</f>
        <v>54211</v>
      </c>
      <c r="K15" s="11">
        <f>Input!K10</f>
        <v>54294</v>
      </c>
      <c r="L15" s="11">
        <f>Input!L10</f>
        <v>5469</v>
      </c>
      <c r="M15" s="11">
        <f>Input!M10</f>
        <v>2259</v>
      </c>
      <c r="N15" s="11">
        <f>Input!N10</f>
        <v>846</v>
      </c>
      <c r="O15" s="11">
        <f>Input!O10</f>
        <v>602</v>
      </c>
      <c r="Q15" s="14">
        <f t="shared" si="0"/>
        <v>2.6956884140334925E-2</v>
      </c>
      <c r="R15" s="14">
        <f t="shared" si="1"/>
        <v>1.5310545830182765E-3</v>
      </c>
      <c r="S15" s="14">
        <f t="shared" si="2"/>
        <v>0.10088358451236834</v>
      </c>
      <c r="T15" s="14">
        <f t="shared" si="3"/>
        <v>4.1606807382031166E-2</v>
      </c>
      <c r="U15" s="14">
        <f t="shared" si="4"/>
        <v>1.5605688882330155E-2</v>
      </c>
      <c r="V15" s="14">
        <f t="shared" si="4"/>
        <v>1.1087781338637788E-2</v>
      </c>
      <c r="X15" s="15">
        <f t="shared" ref="X12:X17" si="11">$F15/I15</f>
        <v>0.50824050920663788</v>
      </c>
      <c r="Y15" s="15">
        <f t="shared" ref="Y12:Y17" si="12">$F15/J15</f>
        <v>0.49489955913006584</v>
      </c>
      <c r="Z15" s="15">
        <f t="shared" ref="Z12:Z17" si="13">$F15/L15</f>
        <v>4.9056500274273178</v>
      </c>
      <c r="AA15" s="15">
        <f t="shared" ref="AA12:AA17" si="14">$F15/M15</f>
        <v>11.876494023904382</v>
      </c>
      <c r="AB15" s="15">
        <f t="shared" ref="AB12:AB17" si="15">$G15/N15</f>
        <v>10.134751773049645</v>
      </c>
      <c r="AC15" s="15">
        <f t="shared" ref="AC12:AC17" si="16">$G15/O15</f>
        <v>14.242524916943522</v>
      </c>
    </row>
    <row r="16" spans="1:29">
      <c r="A16" s="39">
        <v>7</v>
      </c>
      <c r="B16" t="str">
        <f>Input!B11</f>
        <v>GD</v>
      </c>
      <c r="C16" t="str">
        <f>Input!C11</f>
        <v>General Dynamics Corporation</v>
      </c>
      <c r="D16" s="9">
        <f>Input!D11</f>
        <v>352.42</v>
      </c>
      <c r="E16" s="10">
        <f>Input!E11</f>
        <v>269.23200000000003</v>
      </c>
      <c r="F16" s="11">
        <f>Input!F11</f>
        <v>99683</v>
      </c>
      <c r="G16" s="11">
        <f>Input!G11</f>
        <v>95195</v>
      </c>
      <c r="I16" s="11">
        <f>Input!I11</f>
        <v>42272</v>
      </c>
      <c r="J16" s="11">
        <f>Input!J11</f>
        <v>47716</v>
      </c>
      <c r="K16" s="11">
        <f>Input!K11</f>
        <v>51509</v>
      </c>
      <c r="L16" s="11">
        <f>Input!L11</f>
        <v>5682</v>
      </c>
      <c r="M16" s="11">
        <f>Input!M11</f>
        <v>6239</v>
      </c>
      <c r="N16" s="11">
        <f>Input!N11</f>
        <v>3782</v>
      </c>
      <c r="O16" s="11">
        <f>Input!O11</f>
        <v>4215</v>
      </c>
      <c r="Q16" s="14">
        <f t="shared" si="0"/>
        <v>0.12878501135503417</v>
      </c>
      <c r="R16" s="14">
        <f t="shared" si="1"/>
        <v>7.9491156006371133E-2</v>
      </c>
      <c r="S16" s="14">
        <f t="shared" si="2"/>
        <v>0.119079554027999</v>
      </c>
      <c r="T16" s="14">
        <f t="shared" si="3"/>
        <v>0.12112446368595779</v>
      </c>
      <c r="U16" s="14">
        <f t="shared" si="4"/>
        <v>7.9260625366753296E-2</v>
      </c>
      <c r="V16" s="14">
        <f t="shared" si="4"/>
        <v>8.1830359742957548E-2</v>
      </c>
      <c r="X16" s="15">
        <f t="shared" si="11"/>
        <v>2.3581330431491296</v>
      </c>
      <c r="Y16" s="15">
        <f t="shared" si="12"/>
        <v>2.0890896135468187</v>
      </c>
      <c r="Z16" s="15">
        <f t="shared" si="13"/>
        <v>17.543646603308694</v>
      </c>
      <c r="AA16" s="15">
        <f t="shared" si="14"/>
        <v>15.977400224394936</v>
      </c>
      <c r="AB16" s="15">
        <f t="shared" si="15"/>
        <v>25.170544685351665</v>
      </c>
      <c r="AC16" s="15">
        <f t="shared" si="16"/>
        <v>22.584816132858837</v>
      </c>
    </row>
    <row r="17" spans="1:29">
      <c r="A17" s="39">
        <v>8</v>
      </c>
      <c r="B17" t="str">
        <f>Input!B12</f>
        <v>LHX</v>
      </c>
      <c r="C17" t="str">
        <f>Input!C12</f>
        <v>L3Harris Technologies Inc</v>
      </c>
      <c r="D17" s="9">
        <f>Input!D12</f>
        <v>301.68</v>
      </c>
      <c r="E17" s="10">
        <f>Input!E12</f>
        <v>187.1</v>
      </c>
      <c r="F17" s="11">
        <f>Input!F12</f>
        <v>67088</v>
      </c>
      <c r="G17" s="11">
        <f>Input!G12</f>
        <v>56430</v>
      </c>
      <c r="I17" s="11">
        <f>Input!I12</f>
        <v>19419</v>
      </c>
      <c r="J17" s="11">
        <f>Input!J12</f>
        <v>21325</v>
      </c>
      <c r="K17" s="11">
        <f>Input!K12</f>
        <v>21740</v>
      </c>
      <c r="L17" s="11">
        <f>Input!L12</f>
        <v>3366</v>
      </c>
      <c r="M17" s="11">
        <f>Input!M12</f>
        <v>3602</v>
      </c>
      <c r="N17" s="11">
        <f>Input!N12</f>
        <v>1502</v>
      </c>
      <c r="O17" s="11">
        <f>Input!O12</f>
        <v>1759</v>
      </c>
      <c r="Q17" s="14">
        <f t="shared" si="0"/>
        <v>9.815129512333276E-2</v>
      </c>
      <c r="R17" s="14">
        <f t="shared" si="1"/>
        <v>1.9460726846424414E-2</v>
      </c>
      <c r="S17" s="14">
        <f t="shared" si="2"/>
        <v>0.15784290738569753</v>
      </c>
      <c r="T17" s="14">
        <f t="shared" si="3"/>
        <v>0.16568537258509661</v>
      </c>
      <c r="U17" s="14">
        <f t="shared" si="4"/>
        <v>7.0433763188745599E-2</v>
      </c>
      <c r="V17" s="14">
        <f t="shared" si="4"/>
        <v>8.0910763569457228E-2</v>
      </c>
      <c r="X17" s="15">
        <f t="shared" si="11"/>
        <v>3.4547608012770996</v>
      </c>
      <c r="Y17" s="15">
        <f t="shared" si="12"/>
        <v>3.145978898007034</v>
      </c>
      <c r="Z17" s="15">
        <f t="shared" si="13"/>
        <v>19.931075460487225</v>
      </c>
      <c r="AA17" s="15">
        <f t="shared" si="14"/>
        <v>18.625208217656859</v>
      </c>
      <c r="AB17" s="15">
        <f t="shared" si="15"/>
        <v>37.569906790945403</v>
      </c>
      <c r="AC17" s="15">
        <f t="shared" si="16"/>
        <v>32.080727686185334</v>
      </c>
    </row>
    <row r="18" spans="1:29">
      <c r="B18" s="5" t="s">
        <v>21</v>
      </c>
      <c r="C18" s="5"/>
      <c r="D18" s="35">
        <f>AVERAGE(D10:D17)</f>
        <v>325.25374999999997</v>
      </c>
      <c r="E18" s="37">
        <f t="shared" ref="E18:O18" si="17">AVERAGE(E10:E17)</f>
        <v>477.77574999999996</v>
      </c>
      <c r="F18" s="37">
        <f t="shared" si="17"/>
        <v>110127.5</v>
      </c>
      <c r="G18" s="37">
        <f t="shared" si="17"/>
        <v>97178.125</v>
      </c>
      <c r="H18" s="37"/>
      <c r="I18" s="37">
        <f t="shared" si="17"/>
        <v>38667.462375000003</v>
      </c>
      <c r="J18" s="37">
        <f t="shared" si="17"/>
        <v>41723.690750000002</v>
      </c>
      <c r="K18" s="37">
        <f t="shared" si="17"/>
        <v>43453.994624999999</v>
      </c>
      <c r="L18" s="37">
        <f t="shared" si="17"/>
        <v>5844.8706249999996</v>
      </c>
      <c r="M18" s="37">
        <f t="shared" si="17"/>
        <v>5808.2728750000006</v>
      </c>
      <c r="N18" s="37">
        <f t="shared" si="17"/>
        <v>3198.75425</v>
      </c>
      <c r="O18" s="37">
        <f t="shared" si="17"/>
        <v>3335.8868750000001</v>
      </c>
      <c r="P18" s="5"/>
      <c r="Q18" s="24">
        <f>AVERAGE(Q10:Q17)</f>
        <v>9.3533694706259843E-2</v>
      </c>
      <c r="R18" s="24">
        <f t="shared" ref="R18:V18" si="18">AVERAGE(R10:R17)</f>
        <v>6.5949667661549971E-2</v>
      </c>
      <c r="S18" s="24">
        <f t="shared" si="18"/>
        <v>0.1584045150491509</v>
      </c>
      <c r="T18" s="24">
        <f t="shared" si="18"/>
        <v>0.14969620426197272</v>
      </c>
      <c r="U18" s="24">
        <f t="shared" si="18"/>
        <v>0.11114129316423338</v>
      </c>
      <c r="V18" s="24">
        <f t="shared" si="18"/>
        <v>9.9816618856319039E-2</v>
      </c>
      <c r="W18" s="5"/>
      <c r="X18" s="26">
        <f>AVERAGE(X10:X17)</f>
        <v>2.1066892314905177</v>
      </c>
      <c r="Y18" s="26">
        <f t="shared" ref="Y18:AC18" si="19">AVERAGE(Y10:Y17)</f>
        <v>1.9503456359927576</v>
      </c>
      <c r="Z18" s="26">
        <f t="shared" si="19"/>
        <v>14.61994059952362</v>
      </c>
      <c r="AA18" s="26">
        <f t="shared" si="19"/>
        <v>15.867712356314218</v>
      </c>
      <c r="AB18" s="26">
        <f t="shared" si="19"/>
        <v>22.414867406352148</v>
      </c>
      <c r="AC18" s="26">
        <f t="shared" si="19"/>
        <v>22.84312532908832</v>
      </c>
    </row>
    <row r="19" spans="1:29">
      <c r="B19" s="4" t="s">
        <v>22</v>
      </c>
      <c r="C19" s="4"/>
      <c r="D19" s="36">
        <f>MEDIAN(D10:D17)</f>
        <v>327.05</v>
      </c>
      <c r="E19" s="38">
        <f t="shared" ref="E19:O19" si="20">MEDIAN(E10:E17)</f>
        <v>250.56600000000003</v>
      </c>
      <c r="F19" s="38">
        <f t="shared" si="20"/>
        <v>96886.5</v>
      </c>
      <c r="G19" s="38">
        <f t="shared" si="20"/>
        <v>88040</v>
      </c>
      <c r="H19" s="38"/>
      <c r="I19" s="38">
        <f t="shared" si="20"/>
        <v>40781</v>
      </c>
      <c r="J19" s="38">
        <f t="shared" si="20"/>
        <v>44374.5</v>
      </c>
      <c r="K19" s="38">
        <f t="shared" si="20"/>
        <v>46218.5</v>
      </c>
      <c r="L19" s="38">
        <f t="shared" si="20"/>
        <v>5711</v>
      </c>
      <c r="M19" s="38">
        <f t="shared" si="20"/>
        <v>5908.5</v>
      </c>
      <c r="N19" s="38">
        <f t="shared" si="20"/>
        <v>3978</v>
      </c>
      <c r="O19" s="38">
        <f t="shared" si="20"/>
        <v>4109.5</v>
      </c>
      <c r="P19" s="4"/>
      <c r="Q19" s="25">
        <f>MEDIAN(Q10:Q17)</f>
        <v>7.4767142433726841E-2</v>
      </c>
      <c r="R19" s="25">
        <f t="shared" ref="R19:V19" si="21">MEDIAN(R10:R17)</f>
        <v>4.874217894851518E-2</v>
      </c>
      <c r="S19" s="25">
        <f t="shared" si="21"/>
        <v>0.12784433660570996</v>
      </c>
      <c r="T19" s="25">
        <f t="shared" si="21"/>
        <v>0.12870628970068024</v>
      </c>
      <c r="U19" s="25">
        <f t="shared" si="21"/>
        <v>7.7185033063991215E-2</v>
      </c>
      <c r="V19" s="25">
        <f t="shared" si="21"/>
        <v>8.1370561656207388E-2</v>
      </c>
      <c r="W19" s="4"/>
      <c r="X19" s="27">
        <f>AVERAGE(X11:X18)</f>
        <v>2.1066892314905172</v>
      </c>
      <c r="Y19" s="27">
        <f t="shared" ref="Y19:AC19" si="22">AVERAGE(Y11:Y18)</f>
        <v>1.9503456359927576</v>
      </c>
      <c r="Z19" s="27">
        <f t="shared" si="22"/>
        <v>14.619940599523618</v>
      </c>
      <c r="AA19" s="27">
        <f t="shared" si="22"/>
        <v>15.867712356314216</v>
      </c>
      <c r="AB19" s="27">
        <f t="shared" si="22"/>
        <v>22.414867406352148</v>
      </c>
      <c r="AC19" s="27">
        <f t="shared" si="22"/>
        <v>22.84312532908832</v>
      </c>
    </row>
    <row r="21" spans="1:29" ht="17.100000000000001" thickBot="1">
      <c r="B21" s="1"/>
      <c r="C21" s="1"/>
      <c r="D21" s="40" t="s">
        <v>23</v>
      </c>
      <c r="E21" s="40"/>
      <c r="F21" s="40"/>
      <c r="G21" s="1"/>
      <c r="H21" s="40" t="s">
        <v>24</v>
      </c>
      <c r="I21" s="40"/>
      <c r="J21" s="40"/>
      <c r="K21" s="1"/>
      <c r="L21" s="40" t="s">
        <v>17</v>
      </c>
      <c r="M21" s="40"/>
      <c r="N21" s="40"/>
      <c r="O21" s="1"/>
      <c r="P21" s="1"/>
      <c r="Q21" s="1"/>
      <c r="R21" s="1"/>
      <c r="S21" s="1"/>
      <c r="T21" s="40" t="s">
        <v>25</v>
      </c>
      <c r="U21" s="40"/>
      <c r="V21" s="40"/>
      <c r="W21" s="1"/>
      <c r="X21" s="40" t="s">
        <v>26</v>
      </c>
      <c r="Y21" s="40"/>
      <c r="Z21" s="40"/>
    </row>
    <row r="22" spans="1:29">
      <c r="B22" s="41" t="s">
        <v>27</v>
      </c>
      <c r="C22" s="41"/>
      <c r="D22" s="28" t="s">
        <v>4</v>
      </c>
      <c r="E22" s="28" t="s">
        <v>28</v>
      </c>
      <c r="F22" s="28" t="s">
        <v>29</v>
      </c>
      <c r="G22" s="28"/>
      <c r="H22" s="28" t="s">
        <v>4</v>
      </c>
      <c r="I22" s="28" t="s">
        <v>5</v>
      </c>
      <c r="J22" s="28" t="s">
        <v>30</v>
      </c>
      <c r="K22" s="28"/>
      <c r="L22" s="28" t="s">
        <v>4</v>
      </c>
      <c r="M22" s="28" t="s">
        <v>5</v>
      </c>
      <c r="N22" s="28" t="s">
        <v>31</v>
      </c>
      <c r="O22" s="28"/>
      <c r="P22" s="28" t="s">
        <v>32</v>
      </c>
      <c r="Q22" s="28" t="s">
        <v>33</v>
      </c>
      <c r="R22" s="28" t="s">
        <v>34</v>
      </c>
      <c r="S22" s="28"/>
      <c r="T22" s="28" t="s">
        <v>4</v>
      </c>
      <c r="U22" s="28" t="s">
        <v>5</v>
      </c>
      <c r="V22" s="28" t="s">
        <v>31</v>
      </c>
      <c r="W22" s="28"/>
      <c r="X22" s="28" t="s">
        <v>4</v>
      </c>
      <c r="Y22" s="28" t="s">
        <v>5</v>
      </c>
      <c r="Z22" s="28" t="s">
        <v>31</v>
      </c>
    </row>
    <row r="23" spans="1:29">
      <c r="B23" s="29" t="s">
        <v>35</v>
      </c>
      <c r="D23" s="15">
        <f>MIN(Y10:Y17)</f>
        <v>0.49489955913006584</v>
      </c>
      <c r="E23" s="15">
        <f>MIN(AA10:AA17)</f>
        <v>11.876494023904382</v>
      </c>
      <c r="F23" s="15">
        <f>MIN(AC10:AC17)</f>
        <v>14.242524916943522</v>
      </c>
      <c r="H23" s="11">
        <f>$K$9</f>
        <v>80757</v>
      </c>
      <c r="I23" s="11">
        <f>$M$9</f>
        <v>-6498</v>
      </c>
      <c r="J23" s="30">
        <v>7.45</v>
      </c>
      <c r="L23" s="11">
        <f>D23*H23</f>
        <v>39966.603696666723</v>
      </c>
      <c r="M23" s="11">
        <f>E23*I23</f>
        <v>-77173.458167330667</v>
      </c>
      <c r="N23" s="34" t="s">
        <v>36</v>
      </c>
      <c r="P23" s="31" cm="1">
        <f t="array" ref="P23">_xldudf_QFS($B$9, "cash_and_equiv", "TTM")</f>
        <v>13801</v>
      </c>
      <c r="Q23" s="31" cm="1">
        <f t="array" ref="Q23">-_xldudf_QFS($B$9, "net_debt", "TTM")</f>
        <v>-47180</v>
      </c>
      <c r="R23" s="32">
        <f>$E$9</f>
        <v>760.1</v>
      </c>
      <c r="T23" s="11">
        <f>L23+P23-Q23</f>
        <v>100947.60369666672</v>
      </c>
      <c r="U23" s="11">
        <f>M23+Q23-R23</f>
        <v>-125113.55816733067</v>
      </c>
      <c r="V23" s="33">
        <f>J23*R23*F23</f>
        <v>80651.786760797346</v>
      </c>
      <c r="X23" s="9">
        <f>T23/$R23</f>
        <v>132.80831955883005</v>
      </c>
      <c r="Y23" s="9">
        <f>U23/$R23</f>
        <v>-164.60144476691312</v>
      </c>
      <c r="Z23" s="9">
        <f>V23/$R23</f>
        <v>106.10681063122924</v>
      </c>
    </row>
    <row r="24" spans="1:29">
      <c r="B24" s="29" t="s">
        <v>37</v>
      </c>
      <c r="D24" s="15">
        <f>AVERAGE(Y10:Y17)</f>
        <v>1.9503456359927576</v>
      </c>
      <c r="E24" s="15">
        <f>AVERAGE(AA10:AA17)</f>
        <v>15.867712356314218</v>
      </c>
      <c r="F24" s="15">
        <f>AVERAGE(AC10:AC17)</f>
        <v>22.84312532908832</v>
      </c>
      <c r="H24" s="11">
        <f t="shared" ref="H24:H26" si="23">$K$9</f>
        <v>80757</v>
      </c>
      <c r="I24" s="11">
        <f t="shared" ref="I24:I26" si="24">$M$9</f>
        <v>-6498</v>
      </c>
      <c r="J24" s="30">
        <v>7.45</v>
      </c>
      <c r="L24" s="11">
        <f t="shared" ref="L24:L26" si="25">D24*H24</f>
        <v>157504.06252586714</v>
      </c>
      <c r="M24" s="11">
        <f t="shared" ref="M24:M26" si="26">E24*I24</f>
        <v>-103108.39489132979</v>
      </c>
      <c r="N24" s="34" t="s">
        <v>36</v>
      </c>
      <c r="P24" s="31" cm="1">
        <f t="array" ref="P24">_xldudf_QFS($B$9, "cash_and_equiv", "TTM")</f>
        <v>13801</v>
      </c>
      <c r="Q24" s="31" cm="1">
        <f t="array" ref="Q24">-_xldudf_QFS($B$9, "net_debt", "TTM")</f>
        <v>-47180</v>
      </c>
      <c r="R24" s="32">
        <f t="shared" ref="R24:R26" si="27">$E$9</f>
        <v>760.1</v>
      </c>
      <c r="T24" s="11">
        <f t="shared" ref="T24:T26" si="28">L24+P24-Q24</f>
        <v>218485.06252586714</v>
      </c>
      <c r="U24" s="11">
        <f t="shared" ref="U24:U26" si="29">M24+Q24-R24</f>
        <v>-151048.49489132981</v>
      </c>
      <c r="V24" s="33">
        <f t="shared" ref="V24:V26" si="30">J24*R24*F24</f>
        <v>129354.79374166824</v>
      </c>
      <c r="X24" s="9">
        <f t="shared" ref="X24:X26" si="31">T24/$R24</f>
        <v>287.44252404402988</v>
      </c>
      <c r="Y24" s="9">
        <f t="shared" ref="Y24:Y26" si="32">U24/$R24</f>
        <v>-198.72187197912092</v>
      </c>
      <c r="Z24" s="9">
        <f t="shared" ref="Z24:Z25" si="33">V24/$R24</f>
        <v>170.18128370170797</v>
      </c>
    </row>
    <row r="25" spans="1:29">
      <c r="B25" s="29" t="s">
        <v>38</v>
      </c>
      <c r="D25" s="15">
        <f>MEDIAN(Y10:Y17)</f>
        <v>2.0890896135468187</v>
      </c>
      <c r="E25" s="15">
        <f>MEDIAN(AA10:AA17)</f>
        <v>15.991406250000001</v>
      </c>
      <c r="F25" s="15">
        <f>MEDIAN(AC10:AC17)</f>
        <v>22.584816132858837</v>
      </c>
      <c r="H25" s="11">
        <f t="shared" si="23"/>
        <v>80757</v>
      </c>
      <c r="I25" s="11">
        <f t="shared" si="24"/>
        <v>-6498</v>
      </c>
      <c r="J25" s="30">
        <v>7.45</v>
      </c>
      <c r="L25" s="11">
        <f t="shared" si="25"/>
        <v>168708.60992120043</v>
      </c>
      <c r="M25" s="11">
        <f t="shared" si="26"/>
        <v>-103912.15781250001</v>
      </c>
      <c r="N25" s="34" t="s">
        <v>36</v>
      </c>
      <c r="P25" s="31" cm="1">
        <f t="array" ref="P25">_xldudf_QFS($B$9, "cash_and_equiv", "TTM")</f>
        <v>13801</v>
      </c>
      <c r="Q25" s="31" cm="1">
        <f t="array" ref="Q25">-_xldudf_QFS($B$9, "net_debt", "TTM")</f>
        <v>-47180</v>
      </c>
      <c r="R25" s="32">
        <f t="shared" si="27"/>
        <v>760.1</v>
      </c>
      <c r="T25" s="11">
        <f t="shared" si="28"/>
        <v>229689.60992120043</v>
      </c>
      <c r="U25" s="11">
        <f t="shared" si="29"/>
        <v>-151852.25781250003</v>
      </c>
      <c r="V25" s="33">
        <f t="shared" si="30"/>
        <v>127892.05463226572</v>
      </c>
      <c r="X25" s="9">
        <f t="shared" si="31"/>
        <v>302.18340997395137</v>
      </c>
      <c r="Y25" s="9">
        <f t="shared" si="32"/>
        <v>-199.77931563281152</v>
      </c>
      <c r="Z25" s="9">
        <f t="shared" si="33"/>
        <v>168.25688018979832</v>
      </c>
    </row>
    <row r="26" spans="1:29">
      <c r="B26" s="29" t="s">
        <v>39</v>
      </c>
      <c r="D26" s="15">
        <f>MAX(Y10:Y17)</f>
        <v>3.145978898007034</v>
      </c>
      <c r="E26" s="15">
        <f>MAX(AA10:AA17)</f>
        <v>18.625208217656859</v>
      </c>
      <c r="F26" s="15">
        <f>MAX(AC10:AC17)</f>
        <v>32.080727686185334</v>
      </c>
      <c r="H26" s="11">
        <f t="shared" si="23"/>
        <v>80757</v>
      </c>
      <c r="I26" s="11">
        <f t="shared" si="24"/>
        <v>-6498</v>
      </c>
      <c r="J26" s="30">
        <v>7.45</v>
      </c>
      <c r="L26" s="11">
        <f t="shared" si="25"/>
        <v>254059.81786635405</v>
      </c>
      <c r="M26" s="11">
        <f t="shared" si="26"/>
        <v>-121026.60299833426</v>
      </c>
      <c r="N26" s="34" t="s">
        <v>36</v>
      </c>
      <c r="P26" s="31" cm="1">
        <f t="array" ref="P26">_xldudf_QFS($B$9, "cash_and_equiv", "TTM")</f>
        <v>13801</v>
      </c>
      <c r="Q26" s="31" cm="1">
        <f t="array" ref="Q26">-_xldudf_QFS($B$9, "net_debt", "TTM")</f>
        <v>-47180</v>
      </c>
      <c r="R26" s="32">
        <f t="shared" si="27"/>
        <v>760.1</v>
      </c>
      <c r="T26" s="11">
        <f t="shared" si="28"/>
        <v>315040.81786635402</v>
      </c>
      <c r="U26" s="11">
        <f t="shared" si="29"/>
        <v>-168966.70299833428</v>
      </c>
      <c r="V26" s="33">
        <f t="shared" si="30"/>
        <v>181664.98030130757</v>
      </c>
      <c r="X26" s="9">
        <f t="shared" si="31"/>
        <v>414.47285602730432</v>
      </c>
      <c r="Y26" s="9">
        <f t="shared" si="32"/>
        <v>-222.29535981888472</v>
      </c>
      <c r="Z26" s="9">
        <f>V26/$R26</f>
        <v>239.00142126208073</v>
      </c>
    </row>
    <row r="27" spans="1:29">
      <c r="H27" s="11"/>
      <c r="I27" s="11"/>
    </row>
  </sheetData>
  <mergeCells count="16">
    <mergeCell ref="X21:Z21"/>
    <mergeCell ref="X7:Y7"/>
    <mergeCell ref="Z7:AA7"/>
    <mergeCell ref="AB7:AC7"/>
    <mergeCell ref="X6:AC6"/>
    <mergeCell ref="B22:C22"/>
    <mergeCell ref="D21:F21"/>
    <mergeCell ref="H21:J21"/>
    <mergeCell ref="L21:N21"/>
    <mergeCell ref="T21:V21"/>
    <mergeCell ref="U7:V7"/>
    <mergeCell ref="I7:K7"/>
    <mergeCell ref="L7:M7"/>
    <mergeCell ref="N7:O7"/>
    <mergeCell ref="Q7:R7"/>
    <mergeCell ref="S7:T7"/>
  </mergeCells>
  <conditionalFormatting sqref="Q9:Q17">
    <cfRule type="colorScale" priority="12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R9:R17">
    <cfRule type="colorScale" priority="11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S9:S17">
    <cfRule type="colorScale" priority="10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T9:T17">
    <cfRule type="colorScale" priority="9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U9:U17">
    <cfRule type="colorScale" priority="8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V9:V17">
    <cfRule type="colorScale" priority="7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X9:X17">
    <cfRule type="colorScale" priority="6">
      <colorScale>
        <cfvo type="min"/>
        <cfvo type="percentile" val="50"/>
        <cfvo type="max"/>
        <color theme="9"/>
        <color rgb="FFEADE8E"/>
        <color rgb="FFF44315"/>
      </colorScale>
    </cfRule>
  </conditionalFormatting>
  <conditionalFormatting sqref="Y9:Y17">
    <cfRule type="colorScale" priority="5">
      <colorScale>
        <cfvo type="min"/>
        <cfvo type="percentile" val="50"/>
        <cfvo type="max"/>
        <color theme="9"/>
        <color rgb="FFEADE8E"/>
        <color rgb="FFF44315"/>
      </colorScale>
    </cfRule>
  </conditionalFormatting>
  <conditionalFormatting sqref="Z9:Z17">
    <cfRule type="colorScale" priority="4">
      <colorScale>
        <cfvo type="min"/>
        <cfvo type="percentile" val="50"/>
        <cfvo type="max"/>
        <color theme="9"/>
        <color rgb="FFEADE8E"/>
        <color rgb="FFF44315"/>
      </colorScale>
    </cfRule>
  </conditionalFormatting>
  <conditionalFormatting sqref="AA9:AA17">
    <cfRule type="colorScale" priority="3">
      <colorScale>
        <cfvo type="min"/>
        <cfvo type="percentile" val="50"/>
        <cfvo type="max"/>
        <color theme="9"/>
        <color rgb="FFEADE8E"/>
        <color rgb="FFF44315"/>
      </colorScale>
    </cfRule>
  </conditionalFormatting>
  <conditionalFormatting sqref="AB9:AB17">
    <cfRule type="colorScale" priority="2">
      <colorScale>
        <cfvo type="min"/>
        <cfvo type="percentile" val="50"/>
        <cfvo type="max"/>
        <color theme="9"/>
        <color rgb="FFEADE8E"/>
        <color rgb="FFF44315"/>
      </colorScale>
    </cfRule>
  </conditionalFormatting>
  <conditionalFormatting sqref="AC9:AC17">
    <cfRule type="colorScale" priority="1">
      <colorScale>
        <cfvo type="min"/>
        <cfvo type="percentile" val="50"/>
        <cfvo type="max"/>
        <color theme="9"/>
        <color rgb="FFEADE8E"/>
        <color rgb="FFF44315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7545-E776-824A-8DD2-BB1F607E5B84}">
  <dimension ref="A1:O12"/>
  <sheetViews>
    <sheetView showGridLines="0" zoomScale="92" workbookViewId="0">
      <selection activeCell="G15" sqref="G15"/>
    </sheetView>
  </sheetViews>
  <sheetFormatPr defaultColWidth="11" defaultRowHeight="15.95"/>
  <cols>
    <col min="1" max="1" width="4" customWidth="1"/>
    <col min="2" max="2" width="11.375" bestFit="1" customWidth="1"/>
    <col min="3" max="3" width="23.5" bestFit="1" customWidth="1"/>
    <col min="6" max="6" width="11.125" bestFit="1" customWidth="1"/>
    <col min="7" max="7" width="11.125" customWidth="1"/>
    <col min="8" max="8" width="2.625" customWidth="1"/>
    <col min="9" max="11" width="9.375" bestFit="1" customWidth="1"/>
    <col min="12" max="13" width="8.625" bestFit="1" customWidth="1"/>
    <col min="14" max="14" width="9.375" bestFit="1" customWidth="1"/>
    <col min="15" max="15" width="8.625" bestFit="1" customWidth="1"/>
  </cols>
  <sheetData>
    <row r="1" spans="1:15" ht="17.100000000000001" thickBot="1">
      <c r="I1" s="42" t="s">
        <v>4</v>
      </c>
      <c r="J1" s="42"/>
      <c r="K1" s="42"/>
      <c r="L1" s="42" t="s">
        <v>5</v>
      </c>
      <c r="M1" s="42"/>
      <c r="N1" s="42" t="s">
        <v>31</v>
      </c>
      <c r="O1" s="42"/>
    </row>
    <row r="2" spans="1:15" ht="17.100000000000001" thickBot="1">
      <c r="I2" s="43" t="s">
        <v>40</v>
      </c>
      <c r="J2" s="43"/>
      <c r="K2" s="43"/>
      <c r="L2" s="43"/>
      <c r="M2" s="43"/>
      <c r="N2" s="43"/>
      <c r="O2" s="43"/>
    </row>
    <row r="3" spans="1:15" ht="51.95" thickBot="1">
      <c r="B3" s="6" t="s">
        <v>13</v>
      </c>
      <c r="C3" s="6" t="s">
        <v>14</v>
      </c>
      <c r="D3" s="7" t="s">
        <v>15</v>
      </c>
      <c r="E3" s="7" t="s">
        <v>41</v>
      </c>
      <c r="F3" s="7" t="s">
        <v>42</v>
      </c>
      <c r="G3" s="7" t="s">
        <v>43</v>
      </c>
      <c r="H3" s="6"/>
      <c r="I3" s="13">
        <v>2023</v>
      </c>
      <c r="J3" s="13">
        <v>2024</v>
      </c>
      <c r="K3" s="13">
        <v>2025</v>
      </c>
      <c r="L3" s="13">
        <v>2024</v>
      </c>
      <c r="M3" s="13">
        <v>2025</v>
      </c>
      <c r="N3" s="13">
        <v>2024</v>
      </c>
      <c r="O3" s="13">
        <v>2025</v>
      </c>
    </row>
    <row r="4" spans="1:15">
      <c r="A4" t="s">
        <v>44</v>
      </c>
      <c r="B4" t="s">
        <v>45</v>
      </c>
      <c r="C4" t="str" cm="1">
        <f t="array" ref="C4">_xldudf_QFS(B4, "name")</f>
        <v>The Boeing Company</v>
      </c>
      <c r="D4" s="9" cm="1">
        <f t="array" ref="D4">_xldudf_QFS(B4, "price")</f>
        <v>195.21</v>
      </c>
      <c r="E4" s="10" cm="1">
        <f t="array" ref="E4">_xldudf_QFS(B4, "shares_basic", "FQ")</f>
        <v>760.1</v>
      </c>
      <c r="F4" s="12" cm="1">
        <f t="array" ref="F4">_xldudf_QFS($B4, "ev")</f>
        <v>170005</v>
      </c>
      <c r="G4" s="11" cm="1">
        <f t="array" ref="G4">_xldudf_QFS(B4, "mkt_cap")</f>
        <v>148378</v>
      </c>
      <c r="I4" s="11" cm="1">
        <f t="array" ref="I4">_xldudf_QFS($B4, "revenue", "FY2023")</f>
        <v>77794</v>
      </c>
      <c r="J4" s="11" cm="1">
        <f t="array" ref="J4">_xldudf_QFS(B4, "revenue", "FY2024")</f>
        <v>66517</v>
      </c>
      <c r="K4" s="11" cm="1">
        <f t="array" ref="K4">_xldudf_QFS(B4, "revenue", "TTM")</f>
        <v>80757</v>
      </c>
      <c r="L4" s="11" cm="1">
        <f t="array" ref="L4">_xldudf_QFS(B4, "EBITDA", "FY2024")</f>
        <v>-8988</v>
      </c>
      <c r="M4" s="11" cm="1">
        <f t="array" ref="M4">_xldudf_QFS(B4, "EBITDA", "TTM")</f>
        <v>-6498</v>
      </c>
      <c r="N4" s="12" cm="1">
        <f t="array" ref="N4">_xldudf_QFS(B4, "net_income", "FY2024")</f>
        <v>-11817</v>
      </c>
      <c r="O4" s="11" cm="1">
        <f t="array" ref="O4">_xldudf_QFS(B4,"net_income","TTM")</f>
        <v>-9850</v>
      </c>
    </row>
    <row r="5" spans="1:15">
      <c r="A5">
        <v>1</v>
      </c>
      <c r="B5" t="s">
        <v>46</v>
      </c>
      <c r="C5" t="str" cm="1">
        <f t="array" ref="C5">_xldudf_QFS(B5, "name")</f>
        <v>Axon Enterprise Inc.</v>
      </c>
      <c r="D5" s="9" cm="1">
        <f t="array" ref="D5">_xldudf_QFS(B5, "price")</f>
        <v>572.17999999999995</v>
      </c>
      <c r="E5" s="10" cm="1">
        <f t="array" ref="E5">_xldudf_QFS(B5, "shares_basic", "FQ")</f>
        <v>78.415999999999997</v>
      </c>
      <c r="F5" s="12" cm="1">
        <f t="array" ref="F5">_xldudf_QFS($B5, "ev")</f>
        <v>44435</v>
      </c>
      <c r="G5" s="11" cm="1">
        <f t="array" ref="G5">_xldudf_QFS(B5, "mkt_cap")</f>
        <v>45150</v>
      </c>
      <c r="I5" s="11" cm="1">
        <f t="array" ref="I5">_xldudf_QFS($B5, "revenue", "FY2023")</f>
        <v>1560.6990000000001</v>
      </c>
      <c r="J5" s="11" cm="1">
        <f t="array" ref="J5">_xldudf_QFS(B5, "revenue", "FY2024")</f>
        <v>2082.5259999999998</v>
      </c>
      <c r="K5" s="11" cm="1">
        <f t="array" ref="K5">_xldudf_QFS(B5, "revenue", "TTM")</f>
        <v>2557.9569999999999</v>
      </c>
      <c r="L5" s="11" cm="1">
        <f t="array" ref="L5">_xldudf_QFS(B5, "EBITDA", "FY2024")</f>
        <v>106.965</v>
      </c>
      <c r="M5" s="11" cm="1">
        <f t="array" ref="M5">_xldudf_QFS(B5, "EBITDA", "TTM")</f>
        <v>46.183</v>
      </c>
      <c r="N5" s="12" cm="1">
        <f t="array" ref="N5">_xldudf_QFS(B5, "net_income", "FY2024")</f>
        <v>377.03399999999999</v>
      </c>
      <c r="O5" s="11" cm="1">
        <f t="array" ref="O5">_xldudf_QFS(B5,"net_income","TTM")</f>
        <v>257.09500000000003</v>
      </c>
    </row>
    <row r="6" spans="1:15">
      <c r="A6">
        <v>2</v>
      </c>
      <c r="B6" t="s">
        <v>47</v>
      </c>
      <c r="C6" t="str" cm="1">
        <f t="array" ref="C6">_xldudf_QFS(B6, "name")</f>
        <v>Northrop Grumman Corporation</v>
      </c>
      <c r="D6" s="9" cm="1">
        <f t="array" ref="D6">_xldudf_QFS(B6, "price")</f>
        <v>566.74</v>
      </c>
      <c r="E6" s="10" cm="1">
        <f t="array" ref="E6">_xldudf_QFS(B6, "shares_basic", "FQ")</f>
        <v>143.1</v>
      </c>
      <c r="F6" s="12" cm="1">
        <f t="array" ref="F6">_xldudf_QFS($B6, "ev")</f>
        <v>94090</v>
      </c>
      <c r="G6" s="11" cm="1">
        <f t="array" ref="G6">_xldudf_QFS(B6, "mkt_cap")</f>
        <v>80885</v>
      </c>
      <c r="I6" s="11" cm="1">
        <f t="array" ref="I6">_xldudf_QFS($B6, "revenue", "FY2023")</f>
        <v>39290</v>
      </c>
      <c r="J6" s="11" cm="1">
        <f t="array" ref="J6">_xldudf_QFS(B6, "revenue", "FY2024")</f>
        <v>41033</v>
      </c>
      <c r="K6" s="11" cm="1">
        <f t="array" ref="K6">_xldudf_QFS(B6, "revenue", "TTM")</f>
        <v>40928</v>
      </c>
      <c r="L6" s="11" cm="1">
        <f t="array" ref="L6">_xldudf_QFS(B6, "EBITDA", "FY2024")</f>
        <v>5740</v>
      </c>
      <c r="M6" s="11" cm="1">
        <f t="array" ref="M6">_xldudf_QFS(B6, "EBITDA", "TTM")</f>
        <v>5578</v>
      </c>
      <c r="N6" s="12" cm="1">
        <f t="array" ref="N6">_xldudf_QFS(B6, "net_income", "FY2024")</f>
        <v>4174</v>
      </c>
      <c r="O6" s="11" cm="1">
        <f t="array" ref="O6">_xldudf_QFS(B6,"net_income","TTM")</f>
        <v>4019</v>
      </c>
    </row>
    <row r="7" spans="1:15">
      <c r="A7">
        <v>3</v>
      </c>
      <c r="B7" t="s">
        <v>48</v>
      </c>
      <c r="C7" t="str" cm="1">
        <f t="array" ref="C7">_xldudf_QFS(B7, "name")</f>
        <v>Lockheed Martin Corporation</v>
      </c>
      <c r="D7" s="9" cm="1">
        <f t="array" ref="D7">_xldudf_QFS(B7, "price")</f>
        <v>457.07</v>
      </c>
      <c r="E7" s="10" cm="1">
        <f t="array" ref="E7">_xldudf_QFS(B7, "shares_basic", "FQ")</f>
        <v>231.9</v>
      </c>
      <c r="F7" s="12" cm="1">
        <f t="array" ref="F7">_xldudf_QFS($B7, "ev")</f>
        <v>122814</v>
      </c>
      <c r="G7" s="11" cm="1">
        <f t="array" ref="G7">_xldudf_QFS(B7, "mkt_cap")</f>
        <v>105764</v>
      </c>
      <c r="I7" s="11" cm="1">
        <f t="array" ref="I7">_xldudf_QFS($B7, "revenue", "FY2023")</f>
        <v>67571</v>
      </c>
      <c r="J7" s="11" cm="1">
        <f t="array" ref="J7">_xldudf_QFS(B7, "revenue", "FY2024")</f>
        <v>71043</v>
      </c>
      <c r="K7" s="11" cm="1">
        <f t="array" ref="K7">_xldudf_QFS(B7, "revenue", "TTM")</f>
        <v>73349</v>
      </c>
      <c r="L7" s="11" cm="1">
        <f t="array" ref="L7">_xldudf_QFS(B7, "EBITDA", "FY2024")</f>
        <v>8572</v>
      </c>
      <c r="M7" s="11" cm="1">
        <f t="array" ref="M7">_xldudf_QFS(B7, "EBITDA", "TTM")</f>
        <v>7680</v>
      </c>
      <c r="N7" s="12" cm="1">
        <f t="array" ref="N7">_xldudf_QFS(B7, "net_income", "FY2024")</f>
        <v>5336</v>
      </c>
      <c r="O7" s="11" cm="1">
        <f t="array" ref="O7">_xldudf_QFS(B7,"net_income","TTM")</f>
        <v>4200</v>
      </c>
    </row>
    <row r="8" spans="1:15">
      <c r="A8">
        <v>4</v>
      </c>
      <c r="B8" t="s">
        <v>49</v>
      </c>
      <c r="C8" t="str" cm="1">
        <f t="array" ref="C8">_xldudf_QFS(B8, "name")</f>
        <v>Texas Instruments Incorporated</v>
      </c>
      <c r="D8" s="9" cm="1">
        <f t="array" ref="D8">_xldudf_QFS(B8, "price")</f>
        <v>159.72999999999999</v>
      </c>
      <c r="E8" s="10" cm="1">
        <f t="array" ref="E8">_xldudf_QFS(B8, "shares_basic", "FQ")</f>
        <v>909</v>
      </c>
      <c r="F8" s="12" cm="1">
        <f t="array" ref="F8">_xldudf_QFS($B8, "ev")</f>
        <v>153494</v>
      </c>
      <c r="G8" s="11" cm="1">
        <f t="array" ref="G8">_xldudf_QFS(B8, "mkt_cap")</f>
        <v>145134</v>
      </c>
      <c r="I8" s="11" cm="1">
        <f t="array" ref="I8">_xldudf_QFS($B8, "revenue", "FY2023")</f>
        <v>17519</v>
      </c>
      <c r="J8" s="11" cm="1">
        <f t="array" ref="J8">_xldudf_QFS(B8, "revenue", "FY2024")</f>
        <v>15641</v>
      </c>
      <c r="K8" s="11" cm="1">
        <f t="array" ref="K8">_xldudf_QFS(B8, "revenue", "TTM")</f>
        <v>17266</v>
      </c>
      <c r="L8" s="11" cm="1">
        <f t="array" ref="L8">_xldudf_QFS(B8, "EBITDA", "FY2024")</f>
        <v>6921</v>
      </c>
      <c r="M8" s="11" cm="1">
        <f t="array" ref="M8">_xldudf_QFS(B8, "EBITDA", "TTM")</f>
        <v>7889</v>
      </c>
      <c r="N8" s="12" cm="1">
        <f t="array" ref="N8">_xldudf_QFS(B8, "net_income", "FY2024")</f>
        <v>4799</v>
      </c>
      <c r="O8" s="11" cm="1">
        <f t="array" ref="O8">_xldudf_QFS(B8,"net_income","TTM")</f>
        <v>5043</v>
      </c>
    </row>
    <row r="9" spans="1:15">
      <c r="A9">
        <v>5</v>
      </c>
      <c r="B9" t="s">
        <v>50</v>
      </c>
      <c r="C9" t="str" cm="1">
        <f t="array" ref="C9">_xldudf_QFS(B9, "name")</f>
        <v>Raytheon Technologies Corp</v>
      </c>
      <c r="D9" s="9" cm="1">
        <f t="array" ref="D9">_xldudf_QFS(B9, "price")</f>
        <v>179.22</v>
      </c>
      <c r="E9" s="10" cm="1">
        <f t="array" ref="E9">_xldudf_QFS(B9, "shares_basic", "FQ")</f>
        <v>1343.1</v>
      </c>
      <c r="F9" s="12" cm="1">
        <f t="array" ref="F9">_xldudf_QFS($B9, "ev")</f>
        <v>272587</v>
      </c>
      <c r="G9" s="11" cm="1">
        <f t="array" ref="G9">_xldudf_QFS(B9, "mkt_cap")</f>
        <v>240293</v>
      </c>
      <c r="I9" s="11" cm="1">
        <f t="array" ref="I9">_xldudf_QFS($B9, "revenue", "FY2023")</f>
        <v>68920</v>
      </c>
      <c r="J9" s="11" cm="1">
        <f t="array" ref="J9">_xldudf_QFS(B9, "revenue", "FY2024")</f>
        <v>80738</v>
      </c>
      <c r="K9" s="11" cm="1">
        <f t="array" ref="K9">_xldudf_QFS(B9, "revenue", "TTM")</f>
        <v>85988</v>
      </c>
      <c r="L9" s="11" cm="1">
        <f t="array" ref="L9">_xldudf_QFS(B9, "EBITDA", "FY2024")</f>
        <v>10902</v>
      </c>
      <c r="M9" s="11" cm="1">
        <f t="array" ref="M9">_xldudf_QFS(B9, "EBITDA", "TTM")</f>
        <v>13173</v>
      </c>
      <c r="N9" s="12" cm="1">
        <f t="array" ref="N9">_xldudf_QFS(B9, "net_income", "FY2024")</f>
        <v>4774</v>
      </c>
      <c r="O9" s="11" cm="1">
        <f t="array" ref="O9">_xldudf_QFS(B9,"net_income","TTM")</f>
        <v>6592</v>
      </c>
    </row>
    <row r="10" spans="1:15">
      <c r="A10">
        <v>6</v>
      </c>
      <c r="B10" t="s">
        <v>51</v>
      </c>
      <c r="C10" t="str" cm="1">
        <f t="array" ref="C10">_xldudf_QFS(B10, "name")</f>
        <v>American Airlines Group</v>
      </c>
      <c r="D10" s="9" cm="1">
        <f t="array" ref="D10">_xldudf_QFS(B10, "price")</f>
        <v>12.99</v>
      </c>
      <c r="E10" s="10" cm="1">
        <f t="array" ref="E10">_xldudf_QFS(B10, "shares_basic", "FQ")</f>
        <v>660.35799999999995</v>
      </c>
      <c r="F10" s="12" cm="1">
        <f t="array" ref="F10">_xldudf_QFS($B10, "ev")</f>
        <v>26829</v>
      </c>
      <c r="G10" s="11" cm="1">
        <f t="array" ref="G10">_xldudf_QFS(B10, "mkt_cap")</f>
        <v>8574</v>
      </c>
      <c r="I10" s="11" cm="1">
        <f t="array" ref="I10">_xldudf_QFS($B10, "revenue", "FY2023")</f>
        <v>52788</v>
      </c>
      <c r="J10" s="11" cm="1">
        <f t="array" ref="J10">_xldudf_QFS(B10, "revenue", "FY2024")</f>
        <v>54211</v>
      </c>
      <c r="K10" s="11" cm="1">
        <f t="array" ref="K10">_xldudf_QFS(B10, "revenue", "TTM")</f>
        <v>54294</v>
      </c>
      <c r="L10" s="11" cm="1">
        <f t="array" ref="L10">_xldudf_QFS(B10, "EBITDA", "FY2024")</f>
        <v>5469</v>
      </c>
      <c r="M10" s="11" cm="1">
        <f t="array" ref="M10">_xldudf_QFS(B10, "EBITDA", "TTM")</f>
        <v>2259</v>
      </c>
      <c r="N10" s="12" cm="1">
        <f t="array" ref="N10">_xldudf_QFS(B10, "net_income", "FY2024")</f>
        <v>846</v>
      </c>
      <c r="O10" s="11" cm="1">
        <f t="array" ref="O10">_xldudf_QFS(B10,"net_income","TTM")</f>
        <v>602</v>
      </c>
    </row>
    <row r="11" spans="1:15">
      <c r="A11">
        <v>7</v>
      </c>
      <c r="B11" t="s">
        <v>52</v>
      </c>
      <c r="C11" t="str" cm="1">
        <f t="array" ref="C11">_xldudf_QFS(B11, "name")</f>
        <v>General Dynamics Corporation</v>
      </c>
      <c r="D11" s="9" cm="1">
        <f t="array" ref="D11">_xldudf_QFS(B11, "price")</f>
        <v>352.42</v>
      </c>
      <c r="E11" s="10" cm="1">
        <f t="array" ref="E11">_xldudf_QFS(B11, "shares_basic", "FQ")</f>
        <v>269.23200000000003</v>
      </c>
      <c r="F11" s="12" cm="1">
        <f t="array" ref="F11">_xldudf_QFS($B11, "ev")</f>
        <v>99683</v>
      </c>
      <c r="G11" s="11" cm="1">
        <f t="array" ref="G11">_xldudf_QFS(B11, "mkt_cap")</f>
        <v>95195</v>
      </c>
      <c r="I11" s="11" cm="1">
        <f t="array" ref="I11">_xldudf_QFS($B11, "revenue", "FY2023")</f>
        <v>42272</v>
      </c>
      <c r="J11" s="11" cm="1">
        <f t="array" ref="J11">_xldudf_QFS(B11, "revenue", "FY2024")</f>
        <v>47716</v>
      </c>
      <c r="K11" s="11" cm="1">
        <f t="array" ref="K11">_xldudf_QFS(B11, "revenue", "TTM")</f>
        <v>51509</v>
      </c>
      <c r="L11" s="11" cm="1">
        <f t="array" ref="L11">_xldudf_QFS(B11, "EBITDA", "FY2024")</f>
        <v>5682</v>
      </c>
      <c r="M11" s="11" cm="1">
        <f t="array" ref="M11">_xldudf_QFS(B11, "EBITDA", "TTM")</f>
        <v>6239</v>
      </c>
      <c r="N11" s="12" cm="1">
        <f t="array" ref="N11">_xldudf_QFS(B11, "net_income", "FY2024")</f>
        <v>3782</v>
      </c>
      <c r="O11" s="11" cm="1">
        <f t="array" ref="O11">_xldudf_QFS(B11,"net_income","TTM")</f>
        <v>4215</v>
      </c>
    </row>
    <row r="12" spans="1:15">
      <c r="A12">
        <v>8</v>
      </c>
      <c r="B12" t="s">
        <v>53</v>
      </c>
      <c r="C12" t="str" cm="1">
        <f t="array" ref="C12">_xldudf_QFS(B12, "name")</f>
        <v>L3Harris Technologies Inc</v>
      </c>
      <c r="D12" s="9" cm="1">
        <f t="array" ref="D12">_xldudf_QFS(B12, "price")</f>
        <v>301.68</v>
      </c>
      <c r="E12" s="10" cm="1">
        <f t="array" ref="E12">_xldudf_QFS(B12, "shares_basic", "FQ")</f>
        <v>187.1</v>
      </c>
      <c r="F12" s="12" cm="1">
        <f t="array" ref="F12">_xldudf_QFS($B12, "ev")</f>
        <v>67088</v>
      </c>
      <c r="G12" s="11" cm="1">
        <f t="array" ref="G12">_xldudf_QFS(B12, "mkt_cap")</f>
        <v>56430</v>
      </c>
      <c r="I12" s="11" cm="1">
        <f t="array" ref="I12">_xldudf_QFS($B12, "revenue", "FY2023")</f>
        <v>19419</v>
      </c>
      <c r="J12" s="11" cm="1">
        <f t="array" ref="J12">_xldudf_QFS(B12, "revenue", "FY2024")</f>
        <v>21325</v>
      </c>
      <c r="K12" s="11" cm="1">
        <f t="array" ref="K12">_xldudf_QFS(B12, "revenue", "TTM")</f>
        <v>21740</v>
      </c>
      <c r="L12" s="11" cm="1">
        <f t="array" ref="L12">_xldudf_QFS(B12, "EBITDA", "FY2024")</f>
        <v>3366</v>
      </c>
      <c r="M12" s="11" cm="1">
        <f t="array" ref="M12">_xldudf_QFS(B12, "EBITDA", "TTM")</f>
        <v>3602</v>
      </c>
      <c r="N12" s="12" cm="1">
        <f t="array" ref="N12">_xldudf_QFS(B12, "net_income", "FY2024")</f>
        <v>1502</v>
      </c>
      <c r="O12" s="11" cm="1">
        <f t="array" ref="O12">_xldudf_QFS(B12,"net_income","TTM")</f>
        <v>1759</v>
      </c>
    </row>
  </sheetData>
  <mergeCells count="4">
    <mergeCell ref="I1:K1"/>
    <mergeCell ref="L1:M1"/>
    <mergeCell ref="N1:O1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2025-11-04T20:06:16Z</dcterms:created>
  <dcterms:modified xsi:type="dcterms:W3CDTF">2025-11-23T00:51:56Z</dcterms:modified>
  <cp:category/>
  <cp:contentStatus/>
</cp:coreProperties>
</file>