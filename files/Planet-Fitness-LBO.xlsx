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1" documentId="13_ncr:1_{7FE2DD68-22CF-054A-A21D-70FA3D74051B}" xr6:coauthVersionLast="47" xr6:coauthVersionMax="47" xr10:uidLastSave="{67038372-1347-4902-8ECB-8AE28762BE1A}"/>
  <bookViews>
    <workbookView xWindow="0" yWindow="760" windowWidth="24380" windowHeight="16140" xr2:uid="{22856FAE-5750-F942-9DA9-71329CDE7055}"/>
  </bookViews>
  <sheets>
    <sheet name="LB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6" i="1" l="1"/>
  <c r="O12" i="1" s="1"/>
  <c r="O105" i="1"/>
  <c r="O103" i="1"/>
  <c r="O101" i="1"/>
  <c r="O100" i="1"/>
  <c r="O99" i="1"/>
  <c r="O98" i="1"/>
  <c r="O97" i="1"/>
  <c r="L44" i="1"/>
  <c r="K44" i="1"/>
  <c r="K91" i="1"/>
  <c r="K90" i="1"/>
  <c r="J93" i="1"/>
  <c r="K85" i="1"/>
  <c r="K84" i="1"/>
  <c r="J87" i="1"/>
  <c r="K79" i="1"/>
  <c r="K78" i="1"/>
  <c r="J81" i="1"/>
  <c r="L50" i="1"/>
  <c r="M50" i="1"/>
  <c r="N50" i="1"/>
  <c r="O50" i="1"/>
  <c r="K50" i="1"/>
  <c r="J11" i="1" a="1"/>
  <c r="J11" i="1" s="1"/>
  <c r="J63" i="1" s="1"/>
  <c r="J16" i="1" a="1"/>
  <c r="J16" i="1" s="1"/>
  <c r="M26" i="1"/>
  <c r="F24" i="1"/>
  <c r="F23" i="1"/>
  <c r="N9" i="1"/>
  <c r="E10" i="1" a="1"/>
  <c r="E10" i="1" s="1"/>
  <c r="M23" i="1" s="1"/>
  <c r="J15" i="1" a="1"/>
  <c r="J15" i="1" s="1"/>
  <c r="M36" i="1" s="1"/>
  <c r="J12" i="1" a="1"/>
  <c r="J12" i="1" s="1"/>
  <c r="J59" i="1" s="1"/>
  <c r="J60" i="1" s="1"/>
  <c r="K60" i="1" s="1"/>
  <c r="J10" i="1" a="1"/>
  <c r="J10" i="1" s="1"/>
  <c r="J56" i="1" s="1"/>
  <c r="J57" i="1" s="1"/>
  <c r="K57" i="1" s="1"/>
  <c r="L57" i="1" s="1"/>
  <c r="M57" i="1" s="1"/>
  <c r="N57" i="1" s="1"/>
  <c r="O57" i="1" s="1"/>
  <c r="J9" i="1" a="1"/>
  <c r="J9" i="1" s="1"/>
  <c r="E7" i="1" s="1"/>
  <c r="E9" i="1" s="1"/>
  <c r="J8" i="1" a="1"/>
  <c r="J8" i="1" s="1"/>
  <c r="J35" i="1" s="1"/>
  <c r="B24" i="1"/>
  <c r="B23" i="1"/>
  <c r="E16" i="1"/>
  <c r="N26" i="1" l="1"/>
  <c r="L60" i="1"/>
  <c r="N23" i="1"/>
  <c r="M29" i="1"/>
  <c r="E23" i="1"/>
  <c r="L36" i="1"/>
  <c r="O36" i="1"/>
  <c r="E24" i="1"/>
  <c r="J38" i="1"/>
  <c r="J64" i="1"/>
  <c r="K64" i="1" s="1"/>
  <c r="E11" i="1"/>
  <c r="M24" i="1" s="1"/>
  <c r="K36" i="1"/>
  <c r="K35" i="1" s="1"/>
  <c r="N36" i="1"/>
  <c r="J39" i="1" l="1"/>
  <c r="K39" i="1" s="1"/>
  <c r="L39" i="1" s="1"/>
  <c r="M39" i="1" s="1"/>
  <c r="N39" i="1" s="1"/>
  <c r="O39" i="1" s="1"/>
  <c r="J41" i="1"/>
  <c r="J42" i="1" s="1"/>
  <c r="E25" i="1"/>
  <c r="O29" i="1"/>
  <c r="E29" i="1"/>
  <c r="O26" i="1"/>
  <c r="N29" i="1"/>
  <c r="O23" i="1"/>
  <c r="K56" i="1"/>
  <c r="K68" i="1" s="1"/>
  <c r="L35" i="1"/>
  <c r="L59" i="1" s="1"/>
  <c r="O24" i="1"/>
  <c r="N24" i="1"/>
  <c r="M60" i="1"/>
  <c r="L64" i="1"/>
  <c r="K63" i="1"/>
  <c r="K69" i="1" s="1"/>
  <c r="K59" i="1"/>
  <c r="K61" i="1" s="1"/>
  <c r="K70" i="1" s="1"/>
  <c r="M64" i="1" l="1"/>
  <c r="L63" i="1"/>
  <c r="L69" i="1" s="1"/>
  <c r="G29" i="1"/>
  <c r="E27" i="1"/>
  <c r="F29" i="1"/>
  <c r="M35" i="1"/>
  <c r="M59" i="1" s="1"/>
  <c r="M61" i="1" s="1"/>
  <c r="M70" i="1" s="1"/>
  <c r="L38" i="1"/>
  <c r="L56" i="1"/>
  <c r="L68" i="1" s="1"/>
  <c r="G25" i="1"/>
  <c r="F25" i="1"/>
  <c r="K38" i="1"/>
  <c r="K41" i="1" s="1"/>
  <c r="L61" i="1"/>
  <c r="L70" i="1" s="1"/>
  <c r="N60" i="1"/>
  <c r="G23" i="1"/>
  <c r="G24" i="1"/>
  <c r="L41" i="1" l="1"/>
  <c r="N35" i="1"/>
  <c r="M56" i="1"/>
  <c r="M68" i="1" s="1"/>
  <c r="M38" i="1"/>
  <c r="M41" i="1" s="1"/>
  <c r="G27" i="1"/>
  <c r="F27" i="1"/>
  <c r="O60" i="1"/>
  <c r="N59" i="1"/>
  <c r="N61" i="1" s="1"/>
  <c r="N70" i="1" s="1"/>
  <c r="K42" i="1"/>
  <c r="K46" i="1"/>
  <c r="N64" i="1"/>
  <c r="M63" i="1"/>
  <c r="M69" i="1" s="1"/>
  <c r="M42" i="1" l="1"/>
  <c r="O64" i="1"/>
  <c r="N63" i="1"/>
  <c r="N69" i="1" s="1"/>
  <c r="O35" i="1"/>
  <c r="N38" i="1"/>
  <c r="N56" i="1"/>
  <c r="N68" i="1" s="1"/>
  <c r="K47" i="1"/>
  <c r="K49" i="1"/>
  <c r="K52" i="1" s="1"/>
  <c r="L42" i="1"/>
  <c r="L46" i="1"/>
  <c r="N41" i="1" l="1"/>
  <c r="N42" i="1"/>
  <c r="L49" i="1"/>
  <c r="L52" i="1" s="1"/>
  <c r="L47" i="1"/>
  <c r="O38" i="1"/>
  <c r="O56" i="1"/>
  <c r="O68" i="1" s="1"/>
  <c r="O63" i="1"/>
  <c r="O69" i="1" s="1"/>
  <c r="K53" i="1"/>
  <c r="K67" i="1"/>
  <c r="K71" i="1" s="1"/>
  <c r="O59" i="1"/>
  <c r="O61" i="1" s="1"/>
  <c r="O70" i="1" s="1"/>
  <c r="K80" i="1" l="1"/>
  <c r="K86" i="1" s="1"/>
  <c r="K87" i="1" s="1"/>
  <c r="L84" i="1" s="1"/>
  <c r="L85" i="1" s="1"/>
  <c r="O41" i="1"/>
  <c r="L67" i="1"/>
  <c r="L71" i="1" s="1"/>
  <c r="L53" i="1"/>
  <c r="O42" i="1"/>
  <c r="K81" i="1" l="1"/>
  <c r="K92" i="1"/>
  <c r="K93" i="1" l="1"/>
  <c r="L78" i="1"/>
  <c r="L90" i="1" l="1"/>
  <c r="L79" i="1"/>
  <c r="L91" i="1" s="1"/>
  <c r="L80" i="1"/>
  <c r="L81" i="1" l="1"/>
  <c r="L86" i="1"/>
  <c r="L87" i="1" s="1"/>
  <c r="M84" i="1" s="1"/>
  <c r="M85" i="1" l="1"/>
  <c r="L92" i="1"/>
  <c r="M78" i="1"/>
  <c r="L93" i="1"/>
  <c r="M90" i="1" l="1"/>
  <c r="M79" i="1"/>
  <c r="M91" i="1" s="1"/>
  <c r="M44" i="1" s="1"/>
  <c r="M46" i="1" s="1"/>
  <c r="M49" i="1" l="1"/>
  <c r="M52" i="1" s="1"/>
  <c r="M47" i="1"/>
  <c r="M53" i="1" l="1"/>
  <c r="M67" i="1"/>
  <c r="M71" i="1" s="1"/>
  <c r="M80" i="1" l="1"/>
  <c r="M86" i="1"/>
  <c r="M87" i="1" s="1"/>
  <c r="N84" i="1" s="1"/>
  <c r="N85" i="1" s="1"/>
  <c r="M81" i="1" l="1"/>
  <c r="M92" i="1"/>
  <c r="M93" i="1" l="1"/>
  <c r="N78" i="1"/>
  <c r="N90" i="1" l="1"/>
  <c r="N79" i="1"/>
  <c r="N91" i="1" s="1"/>
  <c r="N44" i="1" s="1"/>
  <c r="N46" i="1" s="1"/>
  <c r="N49" i="1" l="1"/>
  <c r="N52" i="1" s="1"/>
  <c r="N47" i="1"/>
  <c r="N67" i="1" l="1"/>
  <c r="N71" i="1" s="1"/>
  <c r="N53" i="1"/>
  <c r="N80" i="1" l="1"/>
  <c r="N86" i="1"/>
  <c r="N87" i="1" s="1"/>
  <c r="O84" i="1" s="1"/>
  <c r="O85" i="1" s="1"/>
  <c r="N92" i="1" l="1"/>
  <c r="N81" i="1"/>
  <c r="O78" i="1" l="1"/>
  <c r="N93" i="1"/>
  <c r="O90" i="1" l="1"/>
  <c r="O79" i="1"/>
  <c r="O91" i="1" s="1"/>
  <c r="O44" i="1" s="1"/>
  <c r="O46" i="1" s="1"/>
  <c r="O47" i="1" l="1"/>
  <c r="O49" i="1"/>
  <c r="O52" i="1" s="1"/>
  <c r="O53" i="1" l="1"/>
  <c r="O67" i="1"/>
  <c r="O71" i="1" s="1"/>
  <c r="O80" i="1" l="1"/>
  <c r="O86" i="1"/>
  <c r="O87" i="1" s="1"/>
  <c r="O92" i="1" l="1"/>
  <c r="O81" i="1"/>
  <c r="O9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<sst xmlns="http://schemas.openxmlformats.org/spreadsheetml/2006/main" count="133" uniqueCount="76">
  <si>
    <t>Planet Fitness LBO</t>
  </si>
  <si>
    <t>x</t>
  </si>
  <si>
    <t>Assumptions</t>
  </si>
  <si>
    <t>Entry ($MM)</t>
  </si>
  <si>
    <t>Financials</t>
  </si>
  <si>
    <t>Capital Structure</t>
  </si>
  <si>
    <t>Amount</t>
  </si>
  <si>
    <t>Cost</t>
  </si>
  <si>
    <t>LTM EBITDA</t>
  </si>
  <si>
    <t>LTM Financials</t>
  </si>
  <si>
    <t>Bank Debt</t>
  </si>
  <si>
    <t>EBITDA Multiple</t>
  </si>
  <si>
    <t>Revenue</t>
  </si>
  <si>
    <t>Senior Notes</t>
  </si>
  <si>
    <t>Enterprise Value</t>
  </si>
  <si>
    <t>EBITDA</t>
  </si>
  <si>
    <t>Total Leverage</t>
  </si>
  <si>
    <t>Existing Net Debt</t>
  </si>
  <si>
    <t>D&amp;A</t>
  </si>
  <si>
    <t>Equity Value</t>
  </si>
  <si>
    <t>Capex</t>
  </si>
  <si>
    <t>For Reference</t>
  </si>
  <si>
    <t>NWC</t>
  </si>
  <si>
    <t>IRR</t>
  </si>
  <si>
    <t>Fees &amp; Expenses</t>
  </si>
  <si>
    <t>Operating Assumptions</t>
  </si>
  <si>
    <t>Exit ($MM)</t>
  </si>
  <si>
    <t>Revenue Growth</t>
  </si>
  <si>
    <t>YoY margin expansion</t>
  </si>
  <si>
    <t>Tax Rate</t>
  </si>
  <si>
    <t>Sources and Uses</t>
  </si>
  <si>
    <t>Sources</t>
  </si>
  <si>
    <t>Uses</t>
  </si>
  <si>
    <t>xEBITDA</t>
  </si>
  <si>
    <t>% Capital</t>
  </si>
  <si>
    <t>Debt Retirement</t>
  </si>
  <si>
    <t>Equity Payment</t>
  </si>
  <si>
    <t>Total Debt</t>
  </si>
  <si>
    <t>Fees and Expenses</t>
  </si>
  <si>
    <t>Sponsor Equity</t>
  </si>
  <si>
    <t>Total Sources</t>
  </si>
  <si>
    <t>Total Uses</t>
  </si>
  <si>
    <t>Operating Model</t>
  </si>
  <si>
    <t>Year 0</t>
  </si>
  <si>
    <t>Year 1</t>
  </si>
  <si>
    <t>Year 2</t>
  </si>
  <si>
    <t>Year 3</t>
  </si>
  <si>
    <t>Year 4</t>
  </si>
  <si>
    <t>Year 5</t>
  </si>
  <si>
    <t xml:space="preserve">   % growth</t>
  </si>
  <si>
    <t xml:space="preserve">   % sales</t>
  </si>
  <si>
    <t>EBIT</t>
  </si>
  <si>
    <t>Interest</t>
  </si>
  <si>
    <t>EBT</t>
  </si>
  <si>
    <t>Taxes</t>
  </si>
  <si>
    <t xml:space="preserve">   % tax rate</t>
  </si>
  <si>
    <t>Net Income</t>
  </si>
  <si>
    <t>Cash flow Items</t>
  </si>
  <si>
    <t>Net Working Capital</t>
  </si>
  <si>
    <t>Change in Net Working Capital</t>
  </si>
  <si>
    <t>CapEx</t>
  </si>
  <si>
    <t>Levered Cash Flow</t>
  </si>
  <si>
    <t>Change in NWC</t>
  </si>
  <si>
    <t xml:space="preserve"> </t>
  </si>
  <si>
    <t>Debt Schedule</t>
  </si>
  <si>
    <t xml:space="preserve">   Beginning Balance</t>
  </si>
  <si>
    <t xml:space="preserve">   Interest</t>
  </si>
  <si>
    <t xml:space="preserve">   Paydown</t>
  </si>
  <si>
    <t xml:space="preserve">   Ending Balance</t>
  </si>
  <si>
    <t>Sr. Notes</t>
  </si>
  <si>
    <t>EBITDA at Exit</t>
  </si>
  <si>
    <t>Exit Multiple</t>
  </si>
  <si>
    <t>Net Debt</t>
  </si>
  <si>
    <t>Sponsor Equity Value</t>
  </si>
  <si>
    <t>Sponsor Equity at Entry</t>
  </si>
  <si>
    <t>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</si>
</sst>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x_)"/>
    <numFmt numFmtId="165" formatCode="0.0%_)"/>
    <numFmt numFmtId="166" formatCode="0_);\(0\)"/>
    <numFmt numFmtId="167" formatCode="#,##0_);\(#,##0\);\-_)"/>
    <numFmt numFmtId="168" formatCode="#,##0.0%_);\(#,##0.0%\)"/>
    <numFmt numFmtId="169" formatCode="#,##0.0\x;&quot;NM&quot;_x"/>
    <numFmt numFmtId="170" formatCode=".0\x"/>
  </numFmts>
  <fonts count="2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indexed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rgb="FF7030A0"/>
      <name val="Calibri"/>
      <family val="2"/>
    </font>
    <font>
      <b/>
      <sz val="11"/>
      <color indexed="8"/>
      <name val="Calibri"/>
      <family val="2"/>
    </font>
    <font>
      <i/>
      <sz val="11"/>
      <color theme="1"/>
      <name val="Calibri"/>
      <family val="2"/>
    </font>
    <font>
      <i/>
      <sz val="11"/>
      <color rgb="FF7030A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indexed="8"/>
      <name val="Calibri"/>
      <family val="2"/>
    </font>
    <font>
      <sz val="11"/>
      <name val="Calibri"/>
      <family val="2"/>
    </font>
    <font>
      <b/>
      <sz val="11"/>
      <color rgb="FF7030A0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37" fontId="5" fillId="0" borderId="0" xfId="0" applyNumberFormat="1" applyFont="1"/>
    <xf numFmtId="0" fontId="6" fillId="0" borderId="0" xfId="0" applyFont="1"/>
    <xf numFmtId="164" fontId="7" fillId="4" borderId="2" xfId="0" applyNumberFormat="1" applyFont="1" applyFill="1" applyBorder="1"/>
    <xf numFmtId="165" fontId="7" fillId="4" borderId="2" xfId="0" applyNumberFormat="1" applyFont="1" applyFill="1" applyBorder="1"/>
    <xf numFmtId="164" fontId="7" fillId="4" borderId="3" xfId="0" applyNumberFormat="1" applyFont="1" applyFill="1" applyBorder="1"/>
    <xf numFmtId="166" fontId="7" fillId="4" borderId="2" xfId="0" applyNumberFormat="1" applyFont="1" applyFill="1" applyBorder="1"/>
    <xf numFmtId="0" fontId="8" fillId="0" borderId="0" xfId="0" applyFont="1"/>
    <xf numFmtId="167" fontId="9" fillId="0" borderId="0" xfId="0" applyNumberFormat="1" applyFont="1"/>
    <xf numFmtId="168" fontId="7" fillId="0" borderId="0" xfId="0" applyNumberFormat="1" applyFont="1" applyAlignment="1">
      <alignment horizontal="right"/>
    </xf>
    <xf numFmtId="166" fontId="7" fillId="4" borderId="3" xfId="0" applyNumberFormat="1" applyFont="1" applyFill="1" applyBorder="1"/>
    <xf numFmtId="168" fontId="5" fillId="0" borderId="0" xfId="0" applyNumberFormat="1" applyFont="1"/>
    <xf numFmtId="167" fontId="7" fillId="0" borderId="0" xfId="0" applyNumberFormat="1" applyFont="1"/>
    <xf numFmtId="164" fontId="5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67" fontId="10" fillId="0" borderId="0" xfId="0" applyNumberFormat="1" applyFont="1"/>
    <xf numFmtId="169" fontId="5" fillId="0" borderId="0" xfId="0" applyNumberFormat="1" applyFont="1"/>
    <xf numFmtId="168" fontId="0" fillId="0" borderId="0" xfId="0" applyNumberFormat="1"/>
    <xf numFmtId="167" fontId="11" fillId="0" borderId="0" xfId="0" applyNumberFormat="1" applyFont="1"/>
    <xf numFmtId="169" fontId="0" fillId="0" borderId="0" xfId="0" applyNumberFormat="1"/>
    <xf numFmtId="167" fontId="10" fillId="0" borderId="1" xfId="0" applyNumberFormat="1" applyFont="1" applyBorder="1"/>
    <xf numFmtId="169" fontId="5" fillId="0" borderId="1" xfId="0" applyNumberFormat="1" applyFont="1" applyBorder="1"/>
    <xf numFmtId="168" fontId="0" fillId="0" borderId="1" xfId="0" applyNumberFormat="1" applyBorder="1"/>
    <xf numFmtId="167" fontId="12" fillId="0" borderId="0" xfId="0" applyNumberFormat="1" applyFont="1"/>
    <xf numFmtId="169" fontId="8" fillId="0" borderId="0" xfId="0" applyNumberFormat="1" applyFont="1"/>
    <xf numFmtId="168" fontId="8" fillId="0" borderId="0" xfId="0" applyNumberFormat="1" applyFont="1"/>
    <xf numFmtId="0" fontId="10" fillId="0" borderId="0" xfId="0" applyFont="1"/>
    <xf numFmtId="0" fontId="8" fillId="5" borderId="4" xfId="0" applyFont="1" applyFill="1" applyBorder="1"/>
    <xf numFmtId="0" fontId="8" fillId="5" borderId="5" xfId="0" applyFont="1" applyFill="1" applyBorder="1"/>
    <xf numFmtId="167" fontId="12" fillId="5" borderId="5" xfId="0" applyNumberFormat="1" applyFont="1" applyFill="1" applyBorder="1"/>
    <xf numFmtId="164" fontId="8" fillId="5" borderId="5" xfId="0" applyNumberFormat="1" applyFont="1" applyFill="1" applyBorder="1"/>
    <xf numFmtId="168" fontId="8" fillId="5" borderId="6" xfId="0" applyNumberFormat="1" applyFont="1" applyFill="1" applyBorder="1"/>
    <xf numFmtId="167" fontId="11" fillId="0" borderId="7" xfId="0" applyNumberFormat="1" applyFont="1" applyBorder="1"/>
    <xf numFmtId="0" fontId="13" fillId="0" borderId="0" xfId="0" applyFont="1"/>
    <xf numFmtId="0" fontId="0" fillId="0" borderId="7" xfId="0" applyBorder="1"/>
    <xf numFmtId="165" fontId="14" fillId="0" borderId="0" xfId="0" applyNumberFormat="1" applyFont="1"/>
    <xf numFmtId="167" fontId="0" fillId="0" borderId="0" xfId="0" applyNumberFormat="1"/>
    <xf numFmtId="165" fontId="15" fillId="0" borderId="7" xfId="0" applyNumberFormat="1" applyFont="1" applyBorder="1"/>
    <xf numFmtId="168" fontId="16" fillId="0" borderId="0" xfId="0" applyNumberFormat="1" applyFont="1"/>
    <xf numFmtId="167" fontId="17" fillId="0" borderId="7" xfId="0" applyNumberFormat="1" applyFont="1" applyBorder="1"/>
    <xf numFmtId="167" fontId="17" fillId="0" borderId="0" xfId="0" applyNumberFormat="1" applyFont="1"/>
    <xf numFmtId="165" fontId="15" fillId="0" borderId="0" xfId="0" applyNumberFormat="1" applyFont="1"/>
    <xf numFmtId="167" fontId="5" fillId="4" borderId="0" xfId="0" applyNumberFormat="1" applyFont="1" applyFill="1"/>
    <xf numFmtId="167" fontId="0" fillId="0" borderId="7" xfId="0" applyNumberFormat="1" applyBorder="1"/>
    <xf numFmtId="165" fontId="14" fillId="0" borderId="7" xfId="0" applyNumberFormat="1" applyFont="1" applyBorder="1"/>
    <xf numFmtId="168" fontId="13" fillId="0" borderId="7" xfId="0" applyNumberFormat="1" applyFont="1" applyBorder="1"/>
    <xf numFmtId="167" fontId="10" fillId="0" borderId="7" xfId="0" applyNumberFormat="1" applyFont="1" applyBorder="1"/>
    <xf numFmtId="167" fontId="5" fillId="0" borderId="0" xfId="0" applyNumberFormat="1" applyFont="1"/>
    <xf numFmtId="0" fontId="0" fillId="0" borderId="8" xfId="0" applyBorder="1"/>
    <xf numFmtId="167" fontId="5" fillId="0" borderId="1" xfId="0" applyNumberFormat="1" applyFont="1" applyBorder="1"/>
    <xf numFmtId="0" fontId="8" fillId="5" borderId="6" xfId="0" applyFont="1" applyFill="1" applyBorder="1"/>
    <xf numFmtId="167" fontId="8" fillId="5" borderId="5" xfId="0" applyNumberFormat="1" applyFont="1" applyFill="1" applyBorder="1"/>
    <xf numFmtId="167" fontId="8" fillId="5" borderId="6" xfId="0" applyNumberFormat="1" applyFont="1" applyFill="1" applyBorder="1"/>
    <xf numFmtId="167" fontId="0" fillId="0" borderId="1" xfId="0" applyNumberFormat="1" applyBorder="1"/>
    <xf numFmtId="167" fontId="8" fillId="0" borderId="0" xfId="0" applyNumberFormat="1" applyFont="1"/>
    <xf numFmtId="167" fontId="18" fillId="0" borderId="7" xfId="0" applyNumberFormat="1" applyFont="1" applyBorder="1"/>
    <xf numFmtId="37" fontId="0" fillId="0" borderId="1" xfId="0" applyNumberFormat="1" applyBorder="1"/>
    <xf numFmtId="0" fontId="19" fillId="0" borderId="7" xfId="0" applyFont="1" applyBorder="1"/>
    <xf numFmtId="0" fontId="19" fillId="0" borderId="8" xfId="0" applyFont="1" applyBorder="1"/>
    <xf numFmtId="167" fontId="20" fillId="0" borderId="7" xfId="0" applyNumberFormat="1" applyFont="1" applyBorder="1"/>
    <xf numFmtId="164" fontId="11" fillId="0" borderId="1" xfId="0" applyNumberFormat="1" applyFont="1" applyBorder="1"/>
    <xf numFmtId="167" fontId="11" fillId="0" borderId="1" xfId="0" applyNumberFormat="1" applyFont="1" applyBorder="1"/>
    <xf numFmtId="0" fontId="21" fillId="5" borderId="9" xfId="0" applyFont="1" applyFill="1" applyBorder="1"/>
    <xf numFmtId="0" fontId="21" fillId="5" borderId="10" xfId="0" applyFont="1" applyFill="1" applyBorder="1"/>
    <xf numFmtId="169" fontId="21" fillId="5" borderId="11" xfId="0" applyNumberFormat="1" applyFont="1" applyFill="1" applyBorder="1"/>
    <xf numFmtId="0" fontId="21" fillId="5" borderId="12" xfId="0" applyFont="1" applyFill="1" applyBorder="1"/>
    <xf numFmtId="0" fontId="21" fillId="5" borderId="1" xfId="0" applyFont="1" applyFill="1" applyBorder="1"/>
    <xf numFmtId="168" fontId="21" fillId="5" borderId="8" xfId="0" applyNumberFormat="1" applyFont="1" applyFill="1" applyBorder="1"/>
    <xf numFmtId="0" fontId="1" fillId="0" borderId="0" xfId="0" applyFont="1"/>
    <xf numFmtId="170" fontId="8" fillId="0" borderId="0" xfId="0" applyNumberFormat="1" applyFont="1"/>
    <xf numFmtId="169" fontId="0" fillId="0" borderId="1" xfId="0" applyNumberFormat="1" applyBorder="1"/>
    <xf numFmtId="167" fontId="17" fillId="0" borderId="12" xfId="0" applyNumberFormat="1" applyFont="1" applyBorder="1"/>
    <xf numFmtId="167" fontId="17" fillId="0" borderId="1" xfId="0" applyNumberFormat="1" applyFont="1" applyBorder="1"/>
    <xf numFmtId="167" fontId="2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B7D04E-6BDC-B446-A1F6-3018989EC8AF}">
  <we:reference id="wa200005656" version="1.7.0.0" store="en-US" storeType="OMEX"/>
  <we:alternateReferences>
    <we:reference id="wa200005656" version="1.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_xldudf_QFS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BEEB-233B-DE48-ADC7-61AD4E2C865A}">
  <dimension ref="A2:Q106"/>
  <sheetViews>
    <sheetView showGridLines="0" tabSelected="1" workbookViewId="0">
      <selection activeCell="K7" sqref="K7"/>
    </sheetView>
  </sheetViews>
  <sheetFormatPr defaultColWidth="8.875" defaultRowHeight="15.95"/>
  <cols>
    <col min="1" max="1" width="3.625" style="4" customWidth="1"/>
  </cols>
  <sheetData>
    <row r="2" spans="1:15" s="3" customFormat="1" ht="21.95">
      <c r="A2" s="1"/>
      <c r="B2" s="2" t="s">
        <v>0</v>
      </c>
    </row>
    <row r="4" spans="1:15">
      <c r="A4" s="4" t="s">
        <v>1</v>
      </c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5.0999999999999996" customHeight="1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B6" s="9" t="s">
        <v>3</v>
      </c>
      <c r="C6" s="9"/>
      <c r="D6" s="9"/>
      <c r="E6" s="9"/>
      <c r="G6" s="9" t="s">
        <v>4</v>
      </c>
      <c r="H6" s="9"/>
      <c r="I6" s="9"/>
      <c r="J6" s="10"/>
      <c r="L6" s="9" t="s">
        <v>5</v>
      </c>
      <c r="M6" s="9"/>
      <c r="N6" s="10" t="s">
        <v>6</v>
      </c>
      <c r="O6" s="10" t="s">
        <v>7</v>
      </c>
    </row>
    <row r="7" spans="1:15">
      <c r="B7" t="s">
        <v>8</v>
      </c>
      <c r="E7" s="11">
        <f>J9</f>
        <v>484.54399999999998</v>
      </c>
      <c r="G7" s="12" t="s">
        <v>9</v>
      </c>
      <c r="L7" t="s">
        <v>10</v>
      </c>
      <c r="N7" s="13">
        <v>4</v>
      </c>
      <c r="O7" s="14">
        <v>0.06</v>
      </c>
    </row>
    <row r="8" spans="1:15">
      <c r="B8" s="3" t="s">
        <v>11</v>
      </c>
      <c r="C8" s="3"/>
      <c r="D8" s="3"/>
      <c r="E8" s="15">
        <v>10</v>
      </c>
      <c r="G8" t="s">
        <v>12</v>
      </c>
      <c r="J8" s="16" cm="1">
        <f t="array" ref="J8">_xldudf_QFS("PLNT", "revenue", "FY")</f>
        <v>1181.654</v>
      </c>
      <c r="L8" t="s">
        <v>13</v>
      </c>
      <c r="N8" s="13">
        <v>2</v>
      </c>
      <c r="O8" s="14">
        <v>0.12</v>
      </c>
    </row>
    <row r="9" spans="1:15">
      <c r="B9" s="17" t="s">
        <v>14</v>
      </c>
      <c r="C9" s="17"/>
      <c r="D9" s="17"/>
      <c r="E9" s="18">
        <f>E7*E8</f>
        <v>4845.4399999999996</v>
      </c>
      <c r="G9" t="s">
        <v>15</v>
      </c>
      <c r="J9" s="16" cm="1">
        <f t="array" ref="J9">_xldudf_QFS("PLNT", "EBITDA", "FY")</f>
        <v>484.54399999999998</v>
      </c>
      <c r="K9" s="19"/>
      <c r="L9" s="79" t="s">
        <v>16</v>
      </c>
      <c r="M9" s="17"/>
      <c r="N9" s="80">
        <f>SUM(N7:N8)</f>
        <v>6</v>
      </c>
      <c r="O9" s="17"/>
    </row>
    <row r="10" spans="1:15">
      <c r="B10" s="3" t="s">
        <v>17</v>
      </c>
      <c r="C10" s="3"/>
      <c r="D10" s="3"/>
      <c r="E10" s="20" cm="1">
        <f t="array" ref="E10">_xldudf_QFS("PLNT", "net_debt", "FY")</f>
        <v>1877.3789999999999</v>
      </c>
      <c r="G10" t="s">
        <v>18</v>
      </c>
      <c r="J10" s="16" cm="1">
        <f t="array" ref="J10">_xldudf_QFS("PLNT", "da_income_statement_supplemental", "FY")</f>
        <v>160.346</v>
      </c>
    </row>
    <row r="11" spans="1:15">
      <c r="B11" s="17" t="s">
        <v>19</v>
      </c>
      <c r="C11" s="17"/>
      <c r="D11" s="17"/>
      <c r="E11" s="18">
        <f>E9-E10</f>
        <v>2968.0609999999997</v>
      </c>
      <c r="G11" t="s">
        <v>20</v>
      </c>
      <c r="J11" s="16" cm="1">
        <f t="array" ref="J11">-_xldudf_QFS("PLNT", "CAPEX", "FY")</f>
        <v>153.66499999999999</v>
      </c>
      <c r="L11" s="9" t="s">
        <v>21</v>
      </c>
      <c r="M11" s="9"/>
      <c r="N11" s="10"/>
      <c r="O11" s="10"/>
    </row>
    <row r="12" spans="1:15">
      <c r="G12" t="s">
        <v>22</v>
      </c>
      <c r="J12" s="16" cm="1">
        <f t="array" ref="J12">_xldudf_QFS("PLNT", "working_capital", "FY")</f>
        <v>305.524</v>
      </c>
      <c r="L12" t="s">
        <v>23</v>
      </c>
      <c r="O12" s="21">
        <f>O106</f>
        <v>0.31300110738694364</v>
      </c>
    </row>
    <row r="13" spans="1:15">
      <c r="B13" t="s">
        <v>24</v>
      </c>
      <c r="E13" s="16">
        <v>50</v>
      </c>
    </row>
    <row r="14" spans="1:15">
      <c r="E14" s="22"/>
      <c r="G14" s="12" t="s">
        <v>25</v>
      </c>
    </row>
    <row r="15" spans="1:15">
      <c r="B15" s="9" t="s">
        <v>26</v>
      </c>
      <c r="C15" s="9"/>
      <c r="D15" s="9"/>
      <c r="E15" s="9"/>
      <c r="G15" t="s">
        <v>27</v>
      </c>
      <c r="J15" s="14" cm="1">
        <f t="array" ref="J15">_xldudf_QFS("PLNT", "revenue_growth", "FY")</f>
        <v>0.10299999999999999</v>
      </c>
    </row>
    <row r="16" spans="1:15">
      <c r="B16" t="s">
        <v>11</v>
      </c>
      <c r="E16" s="23">
        <f>E8</f>
        <v>10</v>
      </c>
      <c r="G16" t="s">
        <v>28</v>
      </c>
      <c r="J16" s="14" cm="1">
        <f t="array" ref="J16">_xldudf_QFS("PLNT", "ebitda_margin", "FY")/_xldudf_QFS("PLNT", "ebitda_margin", "FY2023") - 1</f>
        <v>4.0334855403348691E-2</v>
      </c>
    </row>
    <row r="17" spans="1:15">
      <c r="G17" t="s">
        <v>29</v>
      </c>
      <c r="J17" s="14">
        <v>0.25</v>
      </c>
    </row>
    <row r="18" spans="1:15">
      <c r="J18" s="24"/>
    </row>
    <row r="19" spans="1:15">
      <c r="A19" s="4" t="s">
        <v>1</v>
      </c>
      <c r="B19" s="5" t="s">
        <v>30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5.0999999999999996" customHeight="1">
      <c r="J20" s="24"/>
    </row>
    <row r="21" spans="1:15">
      <c r="B21" s="9" t="s">
        <v>31</v>
      </c>
      <c r="C21" s="9"/>
      <c r="D21" s="9"/>
      <c r="E21" s="9"/>
      <c r="F21" s="9"/>
      <c r="G21" s="9"/>
      <c r="J21" s="9" t="s">
        <v>32</v>
      </c>
      <c r="K21" s="9"/>
      <c r="L21" s="9"/>
      <c r="M21" s="9"/>
      <c r="N21" s="9"/>
      <c r="O21" s="9"/>
    </row>
    <row r="22" spans="1:15">
      <c r="E22" s="25" t="s">
        <v>6</v>
      </c>
      <c r="F22" s="25" t="s">
        <v>33</v>
      </c>
      <c r="G22" s="25" t="s">
        <v>34</v>
      </c>
      <c r="M22" s="25" t="s">
        <v>6</v>
      </c>
      <c r="N22" s="25" t="s">
        <v>33</v>
      </c>
      <c r="O22" s="25" t="s">
        <v>34</v>
      </c>
    </row>
    <row r="23" spans="1:15">
      <c r="B23" t="str">
        <f>L7</f>
        <v>Bank Debt</v>
      </c>
      <c r="E23" s="26">
        <f>F23*$J$9</f>
        <v>1938.1759999999999</v>
      </c>
      <c r="F23" s="27">
        <f>N7</f>
        <v>4</v>
      </c>
      <c r="G23" s="28">
        <f t="shared" ref="G23:G29" si="0">E23/$E$29</f>
        <v>0.39591456539146636</v>
      </c>
      <c r="J23" t="s">
        <v>35</v>
      </c>
      <c r="M23" s="29">
        <f>E10</f>
        <v>1877.3789999999999</v>
      </c>
      <c r="N23" s="30">
        <f>M23/J9</f>
        <v>3.8745273907013602</v>
      </c>
      <c r="O23" s="28">
        <f>M23/$M$29</f>
        <v>0.38349545699671533</v>
      </c>
    </row>
    <row r="24" spans="1:15">
      <c r="B24" s="3" t="str">
        <f>L8</f>
        <v>Senior Notes</v>
      </c>
      <c r="C24" s="31"/>
      <c r="D24" s="31"/>
      <c r="E24" s="31">
        <f>F24*$J$9</f>
        <v>969.08799999999997</v>
      </c>
      <c r="F24" s="32">
        <f>N8</f>
        <v>2</v>
      </c>
      <c r="G24" s="33">
        <f t="shared" si="0"/>
        <v>0.19795728269573318</v>
      </c>
      <c r="J24" s="3" t="s">
        <v>36</v>
      </c>
      <c r="K24" s="3"/>
      <c r="L24" s="3"/>
      <c r="M24" s="72">
        <f>E11</f>
        <v>2968.0609999999997</v>
      </c>
      <c r="N24" s="81">
        <f>M24/J9</f>
        <v>6.1254726092986393</v>
      </c>
      <c r="O24" s="33">
        <f>M24/$M$29</f>
        <v>0.60629095648195053</v>
      </c>
    </row>
    <row r="25" spans="1:15">
      <c r="B25" s="17" t="s">
        <v>37</v>
      </c>
      <c r="C25" s="17"/>
      <c r="D25" s="17"/>
      <c r="E25" s="34">
        <f>SUM(E23:E24)</f>
        <v>2907.2640000000001</v>
      </c>
      <c r="F25" s="35">
        <f>E25/J9</f>
        <v>6.0000000000000009</v>
      </c>
      <c r="G25" s="36">
        <f t="shared" si="0"/>
        <v>0.59387184808719962</v>
      </c>
      <c r="M25" s="26"/>
      <c r="O25" s="28"/>
    </row>
    <row r="26" spans="1:15">
      <c r="J26" t="s">
        <v>38</v>
      </c>
      <c r="M26" s="29">
        <f>E13</f>
        <v>50</v>
      </c>
      <c r="N26" s="30">
        <f>M26/J9</f>
        <v>0.10318980319640735</v>
      </c>
      <c r="O26" s="28">
        <f>M26/$M$29</f>
        <v>1.0213586521334141E-2</v>
      </c>
    </row>
    <row r="27" spans="1:15">
      <c r="B27" t="s">
        <v>39</v>
      </c>
      <c r="E27" s="26">
        <f>E29-E25</f>
        <v>1988.1759999999995</v>
      </c>
      <c r="F27" s="30">
        <f>E27/J9</f>
        <v>4.1031898031964067</v>
      </c>
      <c r="G27" s="28">
        <f t="shared" si="0"/>
        <v>0.40612815191280038</v>
      </c>
      <c r="M27" s="37"/>
    </row>
    <row r="28" spans="1:15">
      <c r="E28" s="26"/>
      <c r="F28" s="30"/>
      <c r="G28" s="28"/>
      <c r="M28" s="26"/>
      <c r="N28" s="30"/>
      <c r="O28" s="28"/>
    </row>
    <row r="29" spans="1:15">
      <c r="B29" s="38" t="s">
        <v>40</v>
      </c>
      <c r="C29" s="39"/>
      <c r="D29" s="39"/>
      <c r="E29" s="40">
        <f>M29</f>
        <v>4895.4399999999996</v>
      </c>
      <c r="F29" s="41">
        <f>E29/J9</f>
        <v>10.103189803196408</v>
      </c>
      <c r="G29" s="42">
        <f t="shared" si="0"/>
        <v>1</v>
      </c>
      <c r="J29" s="38" t="s">
        <v>41</v>
      </c>
      <c r="K29" s="39"/>
      <c r="L29" s="39"/>
      <c r="M29" s="40">
        <f>SUM(M23:M26)</f>
        <v>4895.4399999999996</v>
      </c>
      <c r="N29" s="41">
        <f>M29/J9</f>
        <v>10.103189803196408</v>
      </c>
      <c r="O29" s="42">
        <f>M29/$M$29</f>
        <v>1</v>
      </c>
    </row>
    <row r="30" spans="1:15">
      <c r="E30" s="26"/>
      <c r="F30" s="30"/>
      <c r="G30" s="28"/>
      <c r="L30" s="26"/>
      <c r="M30" s="30"/>
      <c r="N30" s="28"/>
    </row>
    <row r="32" spans="1:15" collapsed="1">
      <c r="A32" s="4" t="s">
        <v>1</v>
      </c>
      <c r="B32" s="5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2:15" ht="3" customHeight="1"/>
    <row r="34" spans="2:15">
      <c r="B34" s="9" t="s">
        <v>42</v>
      </c>
      <c r="C34" s="9"/>
      <c r="D34" s="9"/>
      <c r="E34" s="9"/>
      <c r="F34" s="9"/>
      <c r="G34" s="9"/>
      <c r="H34" s="9"/>
      <c r="I34" s="9"/>
      <c r="J34" s="10" t="s">
        <v>43</v>
      </c>
      <c r="K34" s="10" t="s">
        <v>44</v>
      </c>
      <c r="L34" s="10" t="s">
        <v>45</v>
      </c>
      <c r="M34" s="10" t="s">
        <v>46</v>
      </c>
      <c r="N34" s="10" t="s">
        <v>47</v>
      </c>
      <c r="O34" s="10" t="s">
        <v>48</v>
      </c>
    </row>
    <row r="35" spans="2:15">
      <c r="B35" t="s">
        <v>12</v>
      </c>
      <c r="J35" s="43">
        <f>J8</f>
        <v>1181.654</v>
      </c>
      <c r="K35" s="26">
        <f>J35*(1+K36)</f>
        <v>1303.364362</v>
      </c>
      <c r="L35" s="26">
        <f t="shared" ref="L35:O35" si="1">K35*(1+L36)</f>
        <v>1437.610891286</v>
      </c>
      <c r="M35" s="26">
        <f t="shared" si="1"/>
        <v>1585.684813088458</v>
      </c>
      <c r="N35" s="26">
        <f t="shared" si="1"/>
        <v>1749.0103488365692</v>
      </c>
      <c r="O35" s="26">
        <f t="shared" si="1"/>
        <v>1929.1584147667359</v>
      </c>
    </row>
    <row r="36" spans="2:15" ht="14.45" customHeight="1">
      <c r="B36" s="44" t="s">
        <v>49</v>
      </c>
      <c r="J36" s="45"/>
      <c r="K36" s="46">
        <f>$J$15</f>
        <v>0.10299999999999999</v>
      </c>
      <c r="L36" s="46">
        <f t="shared" ref="L36:O36" si="2">$J$15</f>
        <v>0.10299999999999999</v>
      </c>
      <c r="M36" s="46">
        <f t="shared" si="2"/>
        <v>0.10299999999999999</v>
      </c>
      <c r="N36" s="46">
        <f t="shared" si="2"/>
        <v>0.10299999999999999</v>
      </c>
      <c r="O36" s="46">
        <f t="shared" si="2"/>
        <v>0.10299999999999999</v>
      </c>
    </row>
    <row r="37" spans="2:15">
      <c r="J37" s="45"/>
    </row>
    <row r="38" spans="2:15" ht="14.45" customHeight="1">
      <c r="B38" s="47" t="s">
        <v>15</v>
      </c>
      <c r="J38" s="43">
        <f>J9</f>
        <v>484.54399999999998</v>
      </c>
      <c r="K38" s="47">
        <f>K35*K39</f>
        <v>556.00907743074583</v>
      </c>
      <c r="L38" s="47">
        <f t="shared" ref="L38:O38" si="3">L35*L39</f>
        <v>638.01449235856626</v>
      </c>
      <c r="M38" s="47">
        <f t="shared" si="3"/>
        <v>732.11483226235828</v>
      </c>
      <c r="N38" s="47">
        <f t="shared" si="3"/>
        <v>840.09396971081901</v>
      </c>
      <c r="O38" s="47">
        <f t="shared" si="3"/>
        <v>963.99887947027617</v>
      </c>
    </row>
    <row r="39" spans="2:15">
      <c r="B39" s="44" t="s">
        <v>50</v>
      </c>
      <c r="J39" s="48">
        <f>J38/J35</f>
        <v>0.41005573543524582</v>
      </c>
      <c r="K39" s="49">
        <f>J39*(1+$J$16)</f>
        <v>0.42659527423134025</v>
      </c>
      <c r="L39" s="49">
        <f t="shared" ref="L39:O39" si="4">K39*(1+$J$16)</f>
        <v>0.44380193293321324</v>
      </c>
      <c r="M39" s="49">
        <f t="shared" si="4"/>
        <v>0.46170261972580107</v>
      </c>
      <c r="N39" s="49">
        <f t="shared" si="4"/>
        <v>0.48032532813178852</v>
      </c>
      <c r="O39" s="49">
        <f t="shared" si="4"/>
        <v>0.49969918078855025</v>
      </c>
    </row>
    <row r="40" spans="2:15">
      <c r="J40" s="45"/>
    </row>
    <row r="41" spans="2:15">
      <c r="B41" t="s">
        <v>51</v>
      </c>
      <c r="J41" s="50">
        <f>J38-J56</f>
        <v>324.19799999999998</v>
      </c>
      <c r="K41" s="51">
        <f>K38-K56</f>
        <v>379.14743943074586</v>
      </c>
      <c r="L41" s="51">
        <f t="shared" ref="L41:O41" si="5">L38-L56</f>
        <v>442.93610564456628</v>
      </c>
      <c r="M41" s="51">
        <f t="shared" si="5"/>
        <v>516.94337171681627</v>
      </c>
      <c r="N41" s="51">
        <f t="shared" si="5"/>
        <v>602.75984872908612</v>
      </c>
      <c r="O41" s="51">
        <f t="shared" si="5"/>
        <v>702.21934402742477</v>
      </c>
    </row>
    <row r="42" spans="2:15">
      <c r="B42" s="44" t="s">
        <v>50</v>
      </c>
      <c r="J42" s="48">
        <f>J41/J35</f>
        <v>0.27435949948123561</v>
      </c>
      <c r="K42" s="52">
        <f>K41/K35</f>
        <v>0.29089903827733005</v>
      </c>
      <c r="L42" s="52">
        <f t="shared" ref="L42:O42" si="6">L41/L35</f>
        <v>0.30810569697920304</v>
      </c>
      <c r="M42" s="52">
        <f t="shared" si="6"/>
        <v>0.32600638377179086</v>
      </c>
      <c r="N42" s="52">
        <f t="shared" si="6"/>
        <v>0.34462909217777826</v>
      </c>
      <c r="O42" s="52">
        <f t="shared" si="6"/>
        <v>0.36400294483453999</v>
      </c>
    </row>
    <row r="43" spans="2:15">
      <c r="B43" s="44"/>
      <c r="J43" s="48"/>
      <c r="K43" s="52"/>
      <c r="L43" s="52"/>
      <c r="M43" s="52"/>
      <c r="N43" s="52"/>
      <c r="O43" s="52"/>
    </row>
    <row r="44" spans="2:15">
      <c r="B44" t="s">
        <v>52</v>
      </c>
      <c r="J44" s="45"/>
      <c r="K44" s="53">
        <f>K91</f>
        <v>232.58111999999997</v>
      </c>
      <c r="L44" s="53">
        <f t="shared" ref="L44:O44" si="7">L91</f>
        <v>227.43162536561641</v>
      </c>
      <c r="M44" s="53">
        <f t="shared" si="7"/>
        <v>219.32885043628366</v>
      </c>
      <c r="N44" s="53">
        <f t="shared" si="7"/>
        <v>207.69540111025137</v>
      </c>
      <c r="O44" s="53">
        <f t="shared" si="7"/>
        <v>191.85790312454941</v>
      </c>
    </row>
    <row r="45" spans="2:15">
      <c r="J45" s="43"/>
      <c r="K45" s="47"/>
      <c r="L45" s="47"/>
      <c r="M45" s="47"/>
      <c r="N45" s="47"/>
      <c r="O45" s="47"/>
    </row>
    <row r="46" spans="2:15">
      <c r="B46" t="s">
        <v>53</v>
      </c>
      <c r="J46" s="54"/>
      <c r="K46" s="47">
        <f>K41-K44</f>
        <v>146.56631943074589</v>
      </c>
      <c r="L46" s="47">
        <f t="shared" ref="L46:O46" si="8">L41-L44</f>
        <v>215.50448027894987</v>
      </c>
      <c r="M46" s="47">
        <f t="shared" si="8"/>
        <v>297.61452128053259</v>
      </c>
      <c r="N46" s="47">
        <f t="shared" si="8"/>
        <v>395.06444761883472</v>
      </c>
      <c r="O46" s="47">
        <f t="shared" si="8"/>
        <v>510.36144090287536</v>
      </c>
    </row>
    <row r="47" spans="2:15">
      <c r="B47" s="44" t="s">
        <v>50</v>
      </c>
      <c r="J47" s="55"/>
      <c r="K47" s="46">
        <f>K46/K35</f>
        <v>0.11245229937531918</v>
      </c>
      <c r="L47" s="46">
        <f t="shared" ref="L47:O47" si="9">L46/L35</f>
        <v>0.14990459628903657</v>
      </c>
      <c r="M47" s="46">
        <f t="shared" si="9"/>
        <v>0.18768832167905114</v>
      </c>
      <c r="N47" s="46">
        <f t="shared" si="9"/>
        <v>0.22587885079218034</v>
      </c>
      <c r="O47" s="46">
        <f t="shared" si="9"/>
        <v>0.26455133855069424</v>
      </c>
    </row>
    <row r="48" spans="2:15">
      <c r="J48" s="54"/>
      <c r="K48" s="47"/>
      <c r="L48" s="47"/>
      <c r="M48" s="47"/>
      <c r="N48" s="47"/>
      <c r="O48" s="47"/>
    </row>
    <row r="49" spans="1:15">
      <c r="B49" t="s">
        <v>54</v>
      </c>
      <c r="J49" s="43"/>
      <c r="K49" s="51">
        <f>K46*K50</f>
        <v>36.641579857686473</v>
      </c>
      <c r="L49" s="51">
        <f t="shared" ref="L49:O49" si="10">L46*L50</f>
        <v>53.876120069737468</v>
      </c>
      <c r="M49" s="51">
        <f t="shared" si="10"/>
        <v>74.403630320133146</v>
      </c>
      <c r="N49" s="51">
        <f t="shared" si="10"/>
        <v>98.76611190470868</v>
      </c>
      <c r="O49" s="51">
        <f t="shared" si="10"/>
        <v>127.59036022571884</v>
      </c>
    </row>
    <row r="50" spans="1:15">
      <c r="B50" s="44" t="s">
        <v>55</v>
      </c>
      <c r="J50" s="55"/>
      <c r="K50" s="46">
        <f>$J$17</f>
        <v>0.25</v>
      </c>
      <c r="L50" s="46">
        <f t="shared" ref="L50:O50" si="11">$J$17</f>
        <v>0.25</v>
      </c>
      <c r="M50" s="46">
        <f t="shared" si="11"/>
        <v>0.25</v>
      </c>
      <c r="N50" s="46">
        <f t="shared" si="11"/>
        <v>0.25</v>
      </c>
      <c r="O50" s="46">
        <f t="shared" si="11"/>
        <v>0.25</v>
      </c>
    </row>
    <row r="51" spans="1:15">
      <c r="B51" s="44"/>
      <c r="J51" s="55"/>
      <c r="K51" s="46"/>
      <c r="L51" s="46"/>
      <c r="M51" s="46"/>
      <c r="N51" s="46"/>
      <c r="O51" s="46"/>
    </row>
    <row r="52" spans="1:15">
      <c r="B52" t="s">
        <v>56</v>
      </c>
      <c r="J52" s="54"/>
      <c r="K52" s="47">
        <f>K46-K49</f>
        <v>109.92473957305941</v>
      </c>
      <c r="L52" s="47">
        <f t="shared" ref="L52:O52" si="12">L46-L49</f>
        <v>161.62836020921242</v>
      </c>
      <c r="M52" s="47">
        <f t="shared" si="12"/>
        <v>223.21089096039944</v>
      </c>
      <c r="N52" s="47">
        <f t="shared" si="12"/>
        <v>296.29833571412604</v>
      </c>
      <c r="O52" s="47">
        <f t="shared" si="12"/>
        <v>382.77108067715653</v>
      </c>
    </row>
    <row r="53" spans="1:15">
      <c r="B53" s="44" t="s">
        <v>50</v>
      </c>
      <c r="J53" s="55"/>
      <c r="K53" s="52">
        <f>K52/K35</f>
        <v>8.4339224531489385E-2</v>
      </c>
      <c r="L53" s="52">
        <f t="shared" ref="L53:O53" si="13">L52/L35</f>
        <v>0.11242844721677744</v>
      </c>
      <c r="M53" s="52">
        <f t="shared" si="13"/>
        <v>0.14076624125928835</v>
      </c>
      <c r="N53" s="52">
        <f t="shared" si="13"/>
        <v>0.16940913809413527</v>
      </c>
      <c r="O53" s="52">
        <f t="shared" si="13"/>
        <v>0.19841350391302068</v>
      </c>
    </row>
    <row r="54" spans="1:15">
      <c r="B54" s="44"/>
      <c r="J54" s="45"/>
    </row>
    <row r="55" spans="1:15">
      <c r="A55" s="4" t="s">
        <v>1</v>
      </c>
      <c r="B55" s="9" t="s">
        <v>57</v>
      </c>
      <c r="C55" s="9"/>
      <c r="D55" s="9"/>
      <c r="E55" s="9"/>
      <c r="F55" s="9"/>
      <c r="G55" s="9"/>
      <c r="H55" s="9"/>
      <c r="I55" s="9"/>
      <c r="J55" s="10" t="s">
        <v>43</v>
      </c>
      <c r="K55" s="10" t="s">
        <v>44</v>
      </c>
      <c r="L55" s="10" t="s">
        <v>45</v>
      </c>
      <c r="M55" s="10" t="s">
        <v>46</v>
      </c>
      <c r="N55" s="10" t="s">
        <v>47</v>
      </c>
      <c r="O55" s="10" t="s">
        <v>48</v>
      </c>
    </row>
    <row r="56" spans="1:15">
      <c r="B56" t="s">
        <v>18</v>
      </c>
      <c r="J56" s="43">
        <f>J10</f>
        <v>160.346</v>
      </c>
      <c r="K56" s="47">
        <f>K35*K57</f>
        <v>176.861638</v>
      </c>
      <c r="L56" s="47">
        <f t="shared" ref="L56:O56" si="14">L35*L57</f>
        <v>195.078386714</v>
      </c>
      <c r="M56" s="47">
        <f t="shared" si="14"/>
        <v>215.171460545542</v>
      </c>
      <c r="N56" s="47">
        <f t="shared" si="14"/>
        <v>237.33412098173284</v>
      </c>
      <c r="O56" s="47">
        <f t="shared" si="14"/>
        <v>261.77953544285134</v>
      </c>
    </row>
    <row r="57" spans="1:15">
      <c r="B57" s="44" t="s">
        <v>50</v>
      </c>
      <c r="J57" s="48">
        <f>J56/J35</f>
        <v>0.13569623595401023</v>
      </c>
      <c r="K57" s="46">
        <f>J57</f>
        <v>0.13569623595401023</v>
      </c>
      <c r="L57" s="46">
        <f t="shared" ref="L57:O57" si="15">K57</f>
        <v>0.13569623595401023</v>
      </c>
      <c r="M57" s="46">
        <f t="shared" si="15"/>
        <v>0.13569623595401023</v>
      </c>
      <c r="N57" s="46">
        <f t="shared" si="15"/>
        <v>0.13569623595401023</v>
      </c>
      <c r="O57" s="46">
        <f t="shared" si="15"/>
        <v>0.13569623595401023</v>
      </c>
    </row>
    <row r="58" spans="1:15">
      <c r="B58" s="44"/>
      <c r="J58" s="45"/>
    </row>
    <row r="59" spans="1:15">
      <c r="B59" t="s">
        <v>58</v>
      </c>
      <c r="J59" s="43">
        <f>J12</f>
        <v>305.524</v>
      </c>
      <c r="K59" s="47">
        <f>K60*K35</f>
        <v>336.99297200000001</v>
      </c>
      <c r="L59" s="47">
        <f t="shared" ref="L59:O59" si="16">L60*L35</f>
        <v>371.703248116</v>
      </c>
      <c r="M59" s="47">
        <f t="shared" si="16"/>
        <v>409.98868267194797</v>
      </c>
      <c r="N59" s="47">
        <f t="shared" si="16"/>
        <v>452.2175169871586</v>
      </c>
      <c r="O59" s="47">
        <f t="shared" si="16"/>
        <v>498.79592123683597</v>
      </c>
    </row>
    <row r="60" spans="1:15">
      <c r="B60" s="44" t="s">
        <v>50</v>
      </c>
      <c r="J60" s="56">
        <f>J59/J35</f>
        <v>0.25855622711893667</v>
      </c>
      <c r="K60" s="46">
        <f>J60</f>
        <v>0.25855622711893667</v>
      </c>
      <c r="L60" s="46">
        <f t="shared" ref="L60:O60" si="17">K60</f>
        <v>0.25855622711893667</v>
      </c>
      <c r="M60" s="46">
        <f t="shared" si="17"/>
        <v>0.25855622711893667</v>
      </c>
      <c r="N60" s="46">
        <f t="shared" si="17"/>
        <v>0.25855622711893667</v>
      </c>
      <c r="O60" s="46">
        <f t="shared" si="17"/>
        <v>0.25855622711893667</v>
      </c>
    </row>
    <row r="61" spans="1:15">
      <c r="B61" t="s">
        <v>59</v>
      </c>
      <c r="J61" s="56"/>
      <c r="K61" s="47">
        <f>K59-J59</f>
        <v>31.468972000000008</v>
      </c>
      <c r="L61" s="47">
        <f t="shared" ref="L61:O61" si="18">L59-K59</f>
        <v>34.710276115999989</v>
      </c>
      <c r="M61" s="47">
        <f t="shared" si="18"/>
        <v>38.285434555947973</v>
      </c>
      <c r="N61" s="47">
        <f t="shared" si="18"/>
        <v>42.228834315210634</v>
      </c>
      <c r="O61" s="47">
        <f t="shared" si="18"/>
        <v>46.578404249677362</v>
      </c>
    </row>
    <row r="62" spans="1:15">
      <c r="B62" s="44"/>
      <c r="J62" s="45"/>
      <c r="K62" s="47"/>
      <c r="L62" s="47"/>
      <c r="M62" s="47"/>
      <c r="N62" s="47"/>
      <c r="O62" s="47"/>
    </row>
    <row r="63" spans="1:15">
      <c r="B63" t="s">
        <v>60</v>
      </c>
      <c r="J63" s="57">
        <f>J11</f>
        <v>153.66499999999999</v>
      </c>
      <c r="K63" s="47">
        <f>K64*K35</f>
        <v>169.49249499999999</v>
      </c>
      <c r="L63" s="47">
        <f t="shared" ref="L63:O63" si="19">L64*L35</f>
        <v>186.95022198499998</v>
      </c>
      <c r="M63" s="47">
        <f t="shared" si="19"/>
        <v>206.20609484945498</v>
      </c>
      <c r="N63" s="47">
        <f t="shared" si="19"/>
        <v>227.44532261894886</v>
      </c>
      <c r="O63" s="47">
        <f t="shared" si="19"/>
        <v>250.8721908487006</v>
      </c>
    </row>
    <row r="64" spans="1:15">
      <c r="B64" s="44" t="s">
        <v>50</v>
      </c>
      <c r="J64" s="56">
        <f>J63/J35</f>
        <v>0.13004229664521086</v>
      </c>
      <c r="K64" s="46">
        <f>J64</f>
        <v>0.13004229664521086</v>
      </c>
      <c r="L64" s="46">
        <f t="shared" ref="L64:O64" si="20">K64</f>
        <v>0.13004229664521086</v>
      </c>
      <c r="M64" s="46">
        <f t="shared" si="20"/>
        <v>0.13004229664521086</v>
      </c>
      <c r="N64" s="46">
        <f t="shared" si="20"/>
        <v>0.13004229664521086</v>
      </c>
      <c r="O64" s="46">
        <f t="shared" si="20"/>
        <v>0.13004229664521086</v>
      </c>
    </row>
    <row r="65" spans="1:17" collapsed="1">
      <c r="C65" s="44"/>
      <c r="J65" s="45"/>
    </row>
    <row r="66" spans="1:17">
      <c r="A66" s="4" t="s">
        <v>1</v>
      </c>
      <c r="B66" s="9" t="s">
        <v>61</v>
      </c>
      <c r="C66" s="9"/>
      <c r="D66" s="9"/>
      <c r="E66" s="9"/>
      <c r="F66" s="9"/>
      <c r="G66" s="9"/>
      <c r="H66" s="9"/>
      <c r="I66" s="9"/>
      <c r="J66" s="10" t="s">
        <v>43</v>
      </c>
      <c r="K66" s="10" t="s">
        <v>44</v>
      </c>
      <c r="L66" s="10" t="s">
        <v>45</v>
      </c>
      <c r="M66" s="10" t="s">
        <v>46</v>
      </c>
      <c r="N66" s="10" t="s">
        <v>47</v>
      </c>
      <c r="O66" s="10" t="s">
        <v>48</v>
      </c>
    </row>
    <row r="67" spans="1:17">
      <c r="B67" t="s">
        <v>56</v>
      </c>
      <c r="J67" s="45"/>
      <c r="K67" s="58">
        <f>K52</f>
        <v>109.92473957305941</v>
      </c>
      <c r="L67" s="58">
        <f t="shared" ref="L67:O67" si="21">L52</f>
        <v>161.62836020921242</v>
      </c>
      <c r="M67" s="58">
        <f t="shared" si="21"/>
        <v>223.21089096039944</v>
      </c>
      <c r="N67" s="58">
        <f t="shared" si="21"/>
        <v>296.29833571412604</v>
      </c>
      <c r="O67" s="58">
        <f t="shared" si="21"/>
        <v>382.77108067715653</v>
      </c>
    </row>
    <row r="68" spans="1:17">
      <c r="B68" t="s">
        <v>18</v>
      </c>
      <c r="J68" s="45"/>
      <c r="K68" s="58">
        <f>K56</f>
        <v>176.861638</v>
      </c>
      <c r="L68" s="58">
        <f t="shared" ref="L68:O68" si="22">L56</f>
        <v>195.078386714</v>
      </c>
      <c r="M68" s="58">
        <f t="shared" si="22"/>
        <v>215.171460545542</v>
      </c>
      <c r="N68" s="58">
        <f t="shared" si="22"/>
        <v>237.33412098173284</v>
      </c>
      <c r="O68" s="58">
        <f t="shared" si="22"/>
        <v>261.77953544285134</v>
      </c>
    </row>
    <row r="69" spans="1:17">
      <c r="B69" t="s">
        <v>60</v>
      </c>
      <c r="J69" s="45"/>
      <c r="K69" s="58">
        <f>K63</f>
        <v>169.49249499999999</v>
      </c>
      <c r="L69" s="58">
        <f t="shared" ref="L69:O69" si="23">L63</f>
        <v>186.95022198499998</v>
      </c>
      <c r="M69" s="58">
        <f t="shared" si="23"/>
        <v>206.20609484945498</v>
      </c>
      <c r="N69" s="58">
        <f t="shared" si="23"/>
        <v>227.44532261894886</v>
      </c>
      <c r="O69" s="58">
        <f t="shared" si="23"/>
        <v>250.8721908487006</v>
      </c>
    </row>
    <row r="70" spans="1:17">
      <c r="B70" s="3" t="s">
        <v>62</v>
      </c>
      <c r="C70" s="3"/>
      <c r="D70" s="3"/>
      <c r="E70" s="3"/>
      <c r="F70" s="3"/>
      <c r="G70" s="3"/>
      <c r="H70" s="3"/>
      <c r="I70" s="3"/>
      <c r="J70" s="59"/>
      <c r="K70" s="60">
        <f>K61</f>
        <v>31.468972000000008</v>
      </c>
      <c r="L70" s="60">
        <f t="shared" ref="L70:O70" si="24">L61</f>
        <v>34.710276115999989</v>
      </c>
      <c r="M70" s="60">
        <f t="shared" si="24"/>
        <v>38.285434555947973</v>
      </c>
      <c r="N70" s="60">
        <f t="shared" si="24"/>
        <v>42.228834315210634</v>
      </c>
      <c r="O70" s="60">
        <f t="shared" si="24"/>
        <v>46.578404249677362</v>
      </c>
      <c r="Q70" t="s">
        <v>63</v>
      </c>
    </row>
    <row r="71" spans="1:17">
      <c r="B71" s="38" t="s">
        <v>61</v>
      </c>
      <c r="C71" s="39"/>
      <c r="D71" s="39"/>
      <c r="E71" s="39"/>
      <c r="F71" s="39"/>
      <c r="G71" s="39"/>
      <c r="H71" s="39"/>
      <c r="I71" s="39"/>
      <c r="J71" s="61"/>
      <c r="K71" s="62">
        <f>K67+K68-K69-K70</f>
        <v>85.824910573059441</v>
      </c>
      <c r="L71" s="62">
        <f t="shared" ref="L71:O71" si="25">L67+L68-L69-L70</f>
        <v>135.04624882221248</v>
      </c>
      <c r="M71" s="62">
        <f t="shared" si="25"/>
        <v>193.89082210053846</v>
      </c>
      <c r="N71" s="62">
        <f t="shared" si="25"/>
        <v>263.95829976169938</v>
      </c>
      <c r="O71" s="62">
        <f t="shared" si="25"/>
        <v>347.10002102162986</v>
      </c>
    </row>
    <row r="74" spans="1:17">
      <c r="A74" s="4" t="s">
        <v>1</v>
      </c>
      <c r="B74" s="5" t="s">
        <v>64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7" ht="3" customHeight="1"/>
    <row r="76" spans="1:17">
      <c r="B76" s="9"/>
      <c r="C76" s="9"/>
      <c r="D76" s="9"/>
      <c r="E76" s="9"/>
      <c r="F76" s="9"/>
      <c r="G76" s="9"/>
      <c r="H76" s="9"/>
      <c r="I76" s="9"/>
      <c r="J76" s="10" t="s">
        <v>43</v>
      </c>
      <c r="K76" s="10" t="s">
        <v>44</v>
      </c>
      <c r="L76" s="10" t="s">
        <v>45</v>
      </c>
      <c r="M76" s="10" t="s">
        <v>46</v>
      </c>
      <c r="N76" s="10" t="s">
        <v>47</v>
      </c>
      <c r="O76" s="10" t="s">
        <v>48</v>
      </c>
    </row>
    <row r="77" spans="1:17">
      <c r="B77" s="17" t="s">
        <v>10</v>
      </c>
      <c r="J77" s="45"/>
    </row>
    <row r="78" spans="1:17">
      <c r="B78" t="s">
        <v>65</v>
      </c>
      <c r="D78" s="47"/>
      <c r="E78" s="47"/>
      <c r="F78" s="47"/>
      <c r="G78" s="47"/>
      <c r="H78" s="47"/>
      <c r="J78" s="45"/>
      <c r="K78" s="29">
        <f>J81</f>
        <v>1938.1759999999999</v>
      </c>
      <c r="L78" s="29">
        <f t="shared" ref="L78:O78" si="26">K81</f>
        <v>1852.3510894269405</v>
      </c>
      <c r="M78" s="29">
        <f t="shared" si="26"/>
        <v>1717.304840604728</v>
      </c>
      <c r="N78" s="29">
        <f t="shared" si="26"/>
        <v>1523.4140185041897</v>
      </c>
      <c r="O78" s="29">
        <f t="shared" si="26"/>
        <v>1259.4557187424903</v>
      </c>
    </row>
    <row r="79" spans="1:17">
      <c r="B79" t="s">
        <v>66</v>
      </c>
      <c r="D79" s="47"/>
      <c r="E79" s="47"/>
      <c r="F79" s="47"/>
      <c r="G79" s="47"/>
      <c r="H79" s="47"/>
      <c r="J79" s="45"/>
      <c r="K79" s="51">
        <f>K78*$O$7</f>
        <v>116.29055999999999</v>
      </c>
      <c r="L79" s="51">
        <f t="shared" ref="L79:O79" si="27">L78*$O$7</f>
        <v>111.14106536561643</v>
      </c>
      <c r="M79" s="51">
        <f t="shared" si="27"/>
        <v>103.03829043628367</v>
      </c>
      <c r="N79" s="51">
        <f t="shared" si="27"/>
        <v>91.404841110251382</v>
      </c>
      <c r="O79" s="51">
        <f t="shared" si="27"/>
        <v>75.56734312454941</v>
      </c>
    </row>
    <row r="80" spans="1:17">
      <c r="B80" s="3" t="s">
        <v>67</v>
      </c>
      <c r="C80" s="3"/>
      <c r="D80" s="64"/>
      <c r="E80" s="64"/>
      <c r="F80" s="64"/>
      <c r="G80" s="64"/>
      <c r="H80" s="64"/>
      <c r="I80" s="3"/>
      <c r="J80" s="59"/>
      <c r="K80" s="64">
        <f>MIN(K71, K78)</f>
        <v>85.824910573059441</v>
      </c>
      <c r="L80" s="64">
        <f t="shared" ref="L80:O80" si="28">MIN(L71, L78)</f>
        <v>135.04624882221248</v>
      </c>
      <c r="M80" s="64">
        <f t="shared" si="28"/>
        <v>193.89082210053846</v>
      </c>
      <c r="N80" s="64">
        <f t="shared" si="28"/>
        <v>263.95829976169938</v>
      </c>
      <c r="O80" s="64">
        <f t="shared" si="28"/>
        <v>347.10002102162986</v>
      </c>
    </row>
    <row r="81" spans="1:16">
      <c r="B81" s="17" t="s">
        <v>68</v>
      </c>
      <c r="C81" s="17"/>
      <c r="D81" s="65"/>
      <c r="E81" s="65"/>
      <c r="F81" s="65"/>
      <c r="G81" s="65"/>
      <c r="H81" s="65"/>
      <c r="I81" s="17"/>
      <c r="J81" s="66">
        <f>E23</f>
        <v>1938.1759999999999</v>
      </c>
      <c r="K81" s="65">
        <f>K78-K80</f>
        <v>1852.3510894269405</v>
      </c>
      <c r="L81" s="65">
        <f t="shared" ref="L81:O81" si="29">L78-L80</f>
        <v>1717.304840604728</v>
      </c>
      <c r="M81" s="65">
        <f t="shared" si="29"/>
        <v>1523.4140185041897</v>
      </c>
      <c r="N81" s="65">
        <f t="shared" si="29"/>
        <v>1259.4557187424903</v>
      </c>
      <c r="O81" s="65">
        <f t="shared" si="29"/>
        <v>912.35569772086046</v>
      </c>
    </row>
    <row r="82" spans="1:16">
      <c r="J82" s="45"/>
    </row>
    <row r="83" spans="1:16">
      <c r="B83" s="17" t="s">
        <v>69</v>
      </c>
      <c r="J83" s="45"/>
    </row>
    <row r="84" spans="1:16">
      <c r="B84" t="s">
        <v>65</v>
      </c>
      <c r="D84" s="47"/>
      <c r="E84" s="47"/>
      <c r="F84" s="47"/>
      <c r="G84" s="47"/>
      <c r="H84" s="47"/>
      <c r="J84" s="45"/>
      <c r="K84" s="29">
        <f>J87</f>
        <v>969.08799999999997</v>
      </c>
      <c r="L84" s="29">
        <f t="shared" ref="L84:O84" si="30">K87</f>
        <v>969.08799999999997</v>
      </c>
      <c r="M84" s="29">
        <f t="shared" si="30"/>
        <v>969.08799999999997</v>
      </c>
      <c r="N84" s="29">
        <f t="shared" si="30"/>
        <v>969.08799999999997</v>
      </c>
      <c r="O84" s="29">
        <f t="shared" si="30"/>
        <v>969.08799999999997</v>
      </c>
    </row>
    <row r="85" spans="1:16">
      <c r="B85" t="s">
        <v>66</v>
      </c>
      <c r="D85" s="47"/>
      <c r="E85" s="47"/>
      <c r="F85" s="47"/>
      <c r="G85" s="47"/>
      <c r="H85" s="47"/>
      <c r="J85" s="45"/>
      <c r="K85" s="51">
        <f>K84*$O$8</f>
        <v>116.29055999999999</v>
      </c>
      <c r="L85" s="51">
        <f t="shared" ref="L85:O85" si="31">L84*$O$8</f>
        <v>116.29055999999999</v>
      </c>
      <c r="M85" s="51">
        <f t="shared" si="31"/>
        <v>116.29055999999999</v>
      </c>
      <c r="N85" s="51">
        <f t="shared" si="31"/>
        <v>116.29055999999999</v>
      </c>
      <c r="O85" s="51">
        <f t="shared" si="31"/>
        <v>116.29055999999999</v>
      </c>
    </row>
    <row r="86" spans="1:16">
      <c r="B86" t="s">
        <v>67</v>
      </c>
      <c r="D86" s="26"/>
      <c r="E86" s="26"/>
      <c r="F86" s="26"/>
      <c r="G86" s="26"/>
      <c r="H86" s="26"/>
      <c r="J86" s="59"/>
      <c r="K86" s="67">
        <f>MIN(K71, K71-K80)</f>
        <v>0</v>
      </c>
      <c r="L86" s="67">
        <f t="shared" ref="L86:O86" si="32">MIN(L71, L71-L80)</f>
        <v>0</v>
      </c>
      <c r="M86" s="67">
        <f t="shared" si="32"/>
        <v>0</v>
      </c>
      <c r="N86" s="67">
        <f t="shared" si="32"/>
        <v>0</v>
      </c>
      <c r="O86" s="67">
        <f t="shared" si="32"/>
        <v>0</v>
      </c>
      <c r="P86" s="47"/>
    </row>
    <row r="87" spans="1:16">
      <c r="B87" t="s">
        <v>68</v>
      </c>
      <c r="D87" s="47"/>
      <c r="E87" s="47"/>
      <c r="F87" s="47"/>
      <c r="G87" s="47"/>
      <c r="H87" s="47"/>
      <c r="J87" s="66">
        <f>E24</f>
        <v>969.08799999999997</v>
      </c>
      <c r="K87" s="65">
        <f>K84-K86</f>
        <v>969.08799999999997</v>
      </c>
      <c r="L87" s="65">
        <f t="shared" ref="L87:O87" si="33">L84-L86</f>
        <v>969.08799999999997</v>
      </c>
      <c r="M87" s="65">
        <f t="shared" si="33"/>
        <v>969.08799999999997</v>
      </c>
      <c r="N87" s="65">
        <f t="shared" si="33"/>
        <v>969.08799999999997</v>
      </c>
      <c r="O87" s="65">
        <f t="shared" si="33"/>
        <v>969.08799999999997</v>
      </c>
    </row>
    <row r="88" spans="1:16">
      <c r="J88" s="45"/>
    </row>
    <row r="89" spans="1:16">
      <c r="B89" s="17" t="s">
        <v>37</v>
      </c>
      <c r="J89" s="45"/>
    </row>
    <row r="90" spans="1:16">
      <c r="B90" t="s">
        <v>65</v>
      </c>
      <c r="D90" s="47"/>
      <c r="E90" s="47"/>
      <c r="F90" s="47"/>
      <c r="G90" s="47"/>
      <c r="H90" s="47"/>
      <c r="J90" s="68"/>
      <c r="K90" s="51">
        <f>K78+K84</f>
        <v>2907.2640000000001</v>
      </c>
      <c r="L90" s="51">
        <f t="shared" ref="L90:O90" si="34">L78+L84</f>
        <v>2821.4390894269404</v>
      </c>
      <c r="M90" s="51">
        <f t="shared" si="34"/>
        <v>2686.392840604728</v>
      </c>
      <c r="N90" s="51">
        <f t="shared" si="34"/>
        <v>2492.5020185041894</v>
      </c>
      <c r="O90" s="51">
        <f t="shared" si="34"/>
        <v>2228.5437187424905</v>
      </c>
    </row>
    <row r="91" spans="1:16">
      <c r="B91" t="s">
        <v>66</v>
      </c>
      <c r="D91" s="47"/>
      <c r="E91" s="47"/>
      <c r="F91" s="47"/>
      <c r="G91" s="47"/>
      <c r="H91" s="47"/>
      <c r="J91" s="68"/>
      <c r="K91" s="51">
        <f>K79+K85</f>
        <v>232.58111999999997</v>
      </c>
      <c r="L91" s="51">
        <f t="shared" ref="K91:O91" si="35">L79+L85</f>
        <v>227.43162536561641</v>
      </c>
      <c r="M91" s="51">
        <f t="shared" si="35"/>
        <v>219.32885043628366</v>
      </c>
      <c r="N91" s="51">
        <f t="shared" si="35"/>
        <v>207.69540111025137</v>
      </c>
      <c r="O91" s="51">
        <f t="shared" si="35"/>
        <v>191.85790312454941</v>
      </c>
    </row>
    <row r="92" spans="1:16">
      <c r="B92" t="s">
        <v>67</v>
      </c>
      <c r="D92" s="47"/>
      <c r="E92" s="47"/>
      <c r="F92" s="47"/>
      <c r="G92" s="47"/>
      <c r="H92" s="47"/>
      <c r="J92" s="69"/>
      <c r="K92" s="82">
        <f t="shared" ref="K92:O92" si="36">K80+K86</f>
        <v>85.824910573059441</v>
      </c>
      <c r="L92" s="83">
        <f t="shared" si="36"/>
        <v>135.04624882221248</v>
      </c>
      <c r="M92" s="83">
        <f t="shared" si="36"/>
        <v>193.89082210053846</v>
      </c>
      <c r="N92" s="83">
        <f t="shared" si="36"/>
        <v>263.95829976169938</v>
      </c>
      <c r="O92" s="83">
        <f t="shared" si="36"/>
        <v>347.10002102162986</v>
      </c>
    </row>
    <row r="93" spans="1:16">
      <c r="B93" t="s">
        <v>68</v>
      </c>
      <c r="D93" s="47"/>
      <c r="E93" s="47"/>
      <c r="F93" s="47"/>
      <c r="G93" s="47"/>
      <c r="H93" s="47"/>
      <c r="J93" s="70">
        <f>J81+J87</f>
        <v>2907.2640000000001</v>
      </c>
      <c r="K93" s="84">
        <f t="shared" ref="K93:O93" si="37">K81+K87</f>
        <v>2821.4390894269404</v>
      </c>
      <c r="L93" s="84">
        <f t="shared" si="37"/>
        <v>2686.392840604728</v>
      </c>
      <c r="M93" s="84">
        <f t="shared" si="37"/>
        <v>2492.5020185041894</v>
      </c>
      <c r="N93" s="84">
        <f t="shared" si="37"/>
        <v>2228.5437187424905</v>
      </c>
      <c r="O93" s="84">
        <f t="shared" si="37"/>
        <v>1881.4436977208604</v>
      </c>
    </row>
    <row r="95" spans="1:16">
      <c r="A95" s="4" t="s">
        <v>1</v>
      </c>
      <c r="B95" s="5" t="s">
        <v>23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6" ht="3" customHeight="1">
      <c r="D96" s="47"/>
      <c r="E96" s="47"/>
      <c r="F96" s="47"/>
      <c r="G96" s="47"/>
      <c r="H96" s="47"/>
      <c r="O96" s="29"/>
    </row>
    <row r="97" spans="1:15">
      <c r="B97" t="s">
        <v>70</v>
      </c>
      <c r="O97" s="47">
        <f>O38</f>
        <v>963.99887947027617</v>
      </c>
    </row>
    <row r="98" spans="1:15">
      <c r="B98" s="3" t="s">
        <v>71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71">
        <f>E16</f>
        <v>10</v>
      </c>
    </row>
    <row r="99" spans="1:15">
      <c r="B99" t="s">
        <v>14</v>
      </c>
      <c r="O99" s="47">
        <f>O97*O98</f>
        <v>9639.9887947027619</v>
      </c>
    </row>
    <row r="100" spans="1:15">
      <c r="B100" s="3" t="s">
        <v>72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72">
        <f>O93</f>
        <v>1881.4436977208604</v>
      </c>
    </row>
    <row r="101" spans="1:15">
      <c r="B101" s="38" t="s">
        <v>73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63">
        <f>O99-O100</f>
        <v>7758.5450969819012</v>
      </c>
    </row>
    <row r="103" spans="1:15">
      <c r="B103" t="s">
        <v>74</v>
      </c>
      <c r="O103" s="47">
        <f>E27</f>
        <v>1988.1759999999995</v>
      </c>
    </row>
    <row r="104" spans="1:15">
      <c r="O104" s="47"/>
    </row>
    <row r="105" spans="1:15">
      <c r="B105" s="73" t="s">
        <v>75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5">
        <f>O101/O103</f>
        <v>3.9023432014982089</v>
      </c>
    </row>
    <row r="106" spans="1:15">
      <c r="A106" s="4" t="s">
        <v>1</v>
      </c>
      <c r="B106" s="76" t="s">
        <v>23</v>
      </c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8">
        <f>O105^(1/5)-1</f>
        <v>0.31300110738694364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2025-12-15T22:21:51Z</dcterms:created>
  <dcterms:modified xsi:type="dcterms:W3CDTF">2025-12-16T02:23:27Z</dcterms:modified>
  <cp:category/>
  <cp:contentStatus/>
</cp:coreProperties>
</file>