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0b8253723396d9f3/Desktop/Financial Analysis/"/>
    </mc:Choice>
  </mc:AlternateContent>
  <xr:revisionPtr revIDLastSave="266" documentId="8_{CDFD0321-2C28-422D-B5DD-482590F78317}" xr6:coauthVersionLast="47" xr6:coauthVersionMax="47" xr10:uidLastSave="{C9127792-FC6E-4513-9795-3CE24208450D}"/>
  <bookViews>
    <workbookView xWindow="-120" yWindow="-120" windowWidth="29040" windowHeight="15720" firstSheet="1" activeTab="1" xr2:uid="{711EEADA-253C-438E-AEBF-C2A0A2D2E6B6}"/>
  </bookViews>
  <sheets>
    <sheet name="FSM Complete" sheetId="4" r:id="rId1"/>
    <sheet name="FSM" sheetId="1" r:id="rId2"/>
    <sheet name="DCF" sheetId="2" r:id="rId3"/>
    <sheet name="MVA" sheetId="3" r:id="rId4"/>
  </sheets>
  <externalReferences>
    <externalReference r:id="rId5"/>
  </externalReferences>
  <definedNames>
    <definedName name="CIQWBGuid" localSheetId="2" hidden="1">"DCF_complete.xlsx"</definedName>
    <definedName name="CIQWBGuid" hidden="1">"a611639b-bab1-425e-aaa5-008c326fdfdb"</definedName>
    <definedName name="IQ_CH">110000</definedName>
    <definedName name="IQ_CQ">5000</definedName>
    <definedName name="IQ_CY">10000</definedName>
    <definedName name="IQ_DAILY">500000</definedName>
    <definedName name="IQ_DNTM" hidden="1">700000</definedName>
    <definedName name="IQ_EXPENSE_CODE_" hidden="1">"019802400"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2" hidden="1">43549.6880671296</definedName>
    <definedName name="IQ_NAMES_REVISION_DATE_" localSheetId="0" hidden="1">43967.6848263889</definedName>
    <definedName name="IQ_NAMES_REVISION_DATE_" hidden="1">43967.6848263889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LNK841c85bef3244d5c8fb6b3f84988d79e" localSheetId="2" hidden="1">#REF!</definedName>
    <definedName name="MLNK841c85bef3244d5c8fb6b3f84988d79e" hidden="1">#REF!</definedName>
    <definedName name="MLNKa7775792bf444a4785f8ed5c82461a24" localSheetId="2" hidden="1">#REF!</definedName>
    <definedName name="MLNKa7775792bf444a4785f8ed5c82461a24" hidden="1">#REF!</definedName>
    <definedName name="_xlnm.Print_Area" localSheetId="1">FSM!$C$2:$T$158</definedName>
    <definedName name="_xlnm.Print_Area" localSheetId="0">'FSM Complete'!$C$2:$T$158</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D14" i="2"/>
  <c r="E47" i="4"/>
  <c r="H23" i="4"/>
  <c r="I23" i="4"/>
  <c r="J23" i="4"/>
  <c r="K23" i="4"/>
  <c r="G23" i="4"/>
  <c r="H21" i="4"/>
  <c r="I21" i="4"/>
  <c r="J21" i="4"/>
  <c r="K21" i="4"/>
  <c r="G21" i="4"/>
  <c r="D40" i="4"/>
  <c r="E40" i="4"/>
  <c r="F40" i="4"/>
  <c r="E38" i="4"/>
  <c r="F38" i="4"/>
  <c r="D38" i="4"/>
  <c r="F19" i="4"/>
  <c r="F23" i="4" s="1"/>
  <c r="E19" i="4"/>
  <c r="E23" i="4" s="1"/>
  <c r="E32" i="4" s="1"/>
  <c r="E34" i="4" s="1"/>
  <c r="D19" i="4"/>
  <c r="C2" i="4"/>
  <c r="F14" i="4"/>
  <c r="F124" i="4" s="1"/>
  <c r="F15" i="4"/>
  <c r="E15" i="4" s="1"/>
  <c r="G17" i="4"/>
  <c r="G22" i="4" s="1"/>
  <c r="G26" i="4"/>
  <c r="H26" i="4" s="1"/>
  <c r="I26" i="4" s="1"/>
  <c r="J26" i="4" s="1"/>
  <c r="K26" i="4" s="1"/>
  <c r="E37" i="4"/>
  <c r="F37" i="4"/>
  <c r="D39" i="4"/>
  <c r="E39" i="4"/>
  <c r="F39" i="4"/>
  <c r="E41" i="4"/>
  <c r="F41" i="4"/>
  <c r="C45" i="4"/>
  <c r="C46" i="4"/>
  <c r="F47" i="4"/>
  <c r="G48" i="4"/>
  <c r="H48" i="4" s="1"/>
  <c r="I48" i="4" s="1"/>
  <c r="J48" i="4" s="1"/>
  <c r="E50" i="4"/>
  <c r="F50" i="4"/>
  <c r="G50" i="4" s="1"/>
  <c r="H50" i="4" s="1"/>
  <c r="I50" i="4" s="1"/>
  <c r="G52" i="4"/>
  <c r="G114" i="4" s="1"/>
  <c r="G56" i="4"/>
  <c r="H56" i="4" s="1"/>
  <c r="I56" i="4" s="1"/>
  <c r="E57" i="4"/>
  <c r="F57" i="4"/>
  <c r="G57" i="4" s="1"/>
  <c r="H57" i="4" s="1"/>
  <c r="I57" i="4" s="1"/>
  <c r="E59" i="4"/>
  <c r="E152" i="4" s="1"/>
  <c r="F59" i="4"/>
  <c r="F152" i="4" s="1"/>
  <c r="G60" i="4"/>
  <c r="G80" i="4" s="1"/>
  <c r="E64" i="4"/>
  <c r="E66" i="4" s="1"/>
  <c r="G65" i="4"/>
  <c r="H65" i="4" s="1"/>
  <c r="I65" i="4" s="1"/>
  <c r="J65" i="4" s="1"/>
  <c r="K65" i="4" s="1"/>
  <c r="F66" i="4"/>
  <c r="C71" i="4"/>
  <c r="C72" i="4"/>
  <c r="G83" i="4"/>
  <c r="G84" i="4" s="1"/>
  <c r="H83" i="4"/>
  <c r="H84" i="4" s="1"/>
  <c r="I83" i="4"/>
  <c r="I84" i="4" s="1"/>
  <c r="C95" i="4"/>
  <c r="C96" i="4"/>
  <c r="E101" i="4"/>
  <c r="F101" i="4"/>
  <c r="G98" i="4" s="1"/>
  <c r="D103" i="4"/>
  <c r="E103" i="4"/>
  <c r="F103" i="4"/>
  <c r="G103" i="4" s="1"/>
  <c r="D108" i="4"/>
  <c r="D106" i="4" s="1"/>
  <c r="D107" i="4" s="1"/>
  <c r="E108" i="4"/>
  <c r="E106" i="4" s="1"/>
  <c r="E107" i="4" s="1"/>
  <c r="F108" i="4"/>
  <c r="F106" i="4" s="1"/>
  <c r="F107" i="4" s="1"/>
  <c r="G107" i="4" s="1"/>
  <c r="H107" i="4" s="1"/>
  <c r="E114" i="4"/>
  <c r="F114" i="4"/>
  <c r="G111" i="4" s="1"/>
  <c r="G119" i="4"/>
  <c r="H119" i="4" s="1"/>
  <c r="I119" i="4" s="1"/>
  <c r="J119" i="4" s="1"/>
  <c r="K119" i="4" s="1"/>
  <c r="K89" i="4" s="1"/>
  <c r="G120" i="4"/>
  <c r="G88" i="4" s="1"/>
  <c r="H120" i="4"/>
  <c r="H88" i="4" s="1"/>
  <c r="F121" i="4"/>
  <c r="G117" i="4" s="1"/>
  <c r="C124" i="4"/>
  <c r="C125" i="4"/>
  <c r="D137" i="4"/>
  <c r="E137" i="4"/>
  <c r="F137" i="4"/>
  <c r="G134" i="4" s="1"/>
  <c r="C141" i="4"/>
  <c r="C142" i="4"/>
  <c r="D144" i="4"/>
  <c r="E144" i="4"/>
  <c r="F144" i="4"/>
  <c r="G147" i="4"/>
  <c r="H147" i="4" s="1"/>
  <c r="I147" i="4" s="1"/>
  <c r="J147" i="4" s="1"/>
  <c r="K147" i="4" s="1"/>
  <c r="E148" i="4"/>
  <c r="E149" i="4" s="1"/>
  <c r="F148" i="4"/>
  <c r="G157" i="4"/>
  <c r="H157" i="4" s="1"/>
  <c r="I157" i="4" s="1"/>
  <c r="J157" i="4" s="1"/>
  <c r="K157" i="4" s="1"/>
  <c r="H60" i="4" l="1"/>
  <c r="H80" i="4" s="1"/>
  <c r="G18" i="4"/>
  <c r="F125" i="4"/>
  <c r="G59" i="4"/>
  <c r="G152" i="4" s="1"/>
  <c r="F32" i="4"/>
  <c r="F34" i="4" s="1"/>
  <c r="F27" i="4"/>
  <c r="F29" i="4" s="1"/>
  <c r="E27" i="4"/>
  <c r="E29" i="4" s="1"/>
  <c r="I120" i="4"/>
  <c r="I88" i="4" s="1"/>
  <c r="I89" i="4"/>
  <c r="F45" i="4"/>
  <c r="H52" i="4"/>
  <c r="F53" i="4"/>
  <c r="K48" i="4"/>
  <c r="F141" i="4"/>
  <c r="E121" i="4"/>
  <c r="I60" i="4"/>
  <c r="I80" i="4" s="1"/>
  <c r="F95" i="4"/>
  <c r="E53" i="4"/>
  <c r="E158" i="4"/>
  <c r="E154" i="4"/>
  <c r="E153" i="4" s="1"/>
  <c r="H17" i="4"/>
  <c r="F149" i="4"/>
  <c r="F154" i="4" s="1"/>
  <c r="F153" i="4" s="1"/>
  <c r="G153" i="4" s="1"/>
  <c r="J57" i="4"/>
  <c r="K57" i="4" s="1"/>
  <c r="J50" i="4"/>
  <c r="K50" i="4" s="1"/>
  <c r="J89" i="4"/>
  <c r="J56" i="4"/>
  <c r="K56" i="4" s="1"/>
  <c r="H89" i="4"/>
  <c r="G89" i="4"/>
  <c r="J99" i="4"/>
  <c r="F158" i="4"/>
  <c r="G20" i="4"/>
  <c r="G15" i="4"/>
  <c r="G96" i="4" s="1"/>
  <c r="G100" i="4"/>
  <c r="G101" i="4" s="1"/>
  <c r="H103" i="4"/>
  <c r="I107" i="4"/>
  <c r="E96" i="4"/>
  <c r="E142" i="4"/>
  <c r="E46" i="4"/>
  <c r="E125" i="4"/>
  <c r="D15" i="4"/>
  <c r="G106" i="4"/>
  <c r="G112" i="4" s="1"/>
  <c r="G113" i="4" s="1"/>
  <c r="G79" i="4" s="1"/>
  <c r="H111" i="4"/>
  <c r="E61" i="4"/>
  <c r="F142" i="4"/>
  <c r="F46" i="4"/>
  <c r="F96" i="4"/>
  <c r="G128" i="4"/>
  <c r="F61" i="4"/>
  <c r="G14" i="4"/>
  <c r="E14" i="4"/>
  <c r="H18" i="4" l="1"/>
  <c r="I17" i="4"/>
  <c r="J120" i="4"/>
  <c r="J88" i="4" s="1"/>
  <c r="G86" i="4"/>
  <c r="H59" i="4"/>
  <c r="F68" i="4"/>
  <c r="H114" i="4"/>
  <c r="I111" i="4" s="1"/>
  <c r="I52" i="4"/>
  <c r="H106" i="4"/>
  <c r="H112" i="4" s="1"/>
  <c r="H20" i="4"/>
  <c r="H22" i="4"/>
  <c r="E68" i="4"/>
  <c r="J60" i="4"/>
  <c r="G154" i="4"/>
  <c r="H153" i="4"/>
  <c r="I153" i="4" s="1"/>
  <c r="J83" i="4"/>
  <c r="J84" i="4" s="1"/>
  <c r="K99" i="4"/>
  <c r="K83" i="4" s="1"/>
  <c r="K84" i="4" s="1"/>
  <c r="G46" i="4"/>
  <c r="G72" i="4"/>
  <c r="G142" i="4"/>
  <c r="I22" i="4"/>
  <c r="J17" i="4"/>
  <c r="D158" i="4"/>
  <c r="G33" i="4"/>
  <c r="G108" i="4"/>
  <c r="G31" i="4" s="1"/>
  <c r="G75" i="4" s="1"/>
  <c r="H15" i="4"/>
  <c r="G125" i="4"/>
  <c r="J107" i="4"/>
  <c r="I106" i="4"/>
  <c r="I112" i="4" s="1"/>
  <c r="F118" i="4"/>
  <c r="F42" i="4"/>
  <c r="E118" i="4"/>
  <c r="E42" i="4"/>
  <c r="H14" i="4"/>
  <c r="G124" i="4"/>
  <c r="G71" i="4"/>
  <c r="G141" i="4"/>
  <c r="G95" i="4"/>
  <c r="G45" i="4"/>
  <c r="H100" i="4"/>
  <c r="I103" i="4"/>
  <c r="D96" i="4"/>
  <c r="D142" i="4"/>
  <c r="D125" i="4"/>
  <c r="D14" i="4"/>
  <c r="E124" i="4"/>
  <c r="E141" i="4"/>
  <c r="E95" i="4"/>
  <c r="E45" i="4"/>
  <c r="G51" i="4"/>
  <c r="H98" i="4"/>
  <c r="J18" i="4" l="1"/>
  <c r="H108" i="4"/>
  <c r="H31" i="4" s="1"/>
  <c r="H75" i="4" s="1"/>
  <c r="K120" i="4"/>
  <c r="K88" i="4" s="1"/>
  <c r="I18" i="4"/>
  <c r="I20" i="4"/>
  <c r="J20" i="4"/>
  <c r="H113" i="4"/>
  <c r="H79" i="4" s="1"/>
  <c r="I59" i="4"/>
  <c r="H152" i="4"/>
  <c r="H154" i="4" s="1"/>
  <c r="H86" i="4"/>
  <c r="I114" i="4"/>
  <c r="J111" i="4" s="1"/>
  <c r="J52" i="4"/>
  <c r="K17" i="4"/>
  <c r="I113" i="4"/>
  <c r="I79" i="4" s="1"/>
  <c r="J80" i="4"/>
  <c r="K60" i="4"/>
  <c r="K80" i="4" s="1"/>
  <c r="J22" i="4"/>
  <c r="H101" i="4"/>
  <c r="H51" i="4" s="1"/>
  <c r="G76" i="4"/>
  <c r="H33" i="4"/>
  <c r="G63" i="4"/>
  <c r="H125" i="4"/>
  <c r="I15" i="4"/>
  <c r="H96" i="4"/>
  <c r="H46" i="4"/>
  <c r="H72" i="4"/>
  <c r="H142" i="4"/>
  <c r="H124" i="4"/>
  <c r="I14" i="4"/>
  <c r="H141" i="4"/>
  <c r="H95" i="4"/>
  <c r="H71" i="4"/>
  <c r="H45" i="4"/>
  <c r="D124" i="4"/>
  <c r="D141" i="4"/>
  <c r="D95" i="4"/>
  <c r="I100" i="4"/>
  <c r="I108" i="4" s="1"/>
  <c r="I31" i="4" s="1"/>
  <c r="J103" i="4"/>
  <c r="J153" i="4"/>
  <c r="K107" i="4"/>
  <c r="J106" i="4"/>
  <c r="J112" i="4" s="1"/>
  <c r="K20" i="4" l="1"/>
  <c r="K18" i="4"/>
  <c r="K22" i="4"/>
  <c r="K106" i="4"/>
  <c r="K112" i="4" s="1"/>
  <c r="J59" i="4"/>
  <c r="I86" i="4"/>
  <c r="I152" i="4"/>
  <c r="I154" i="4" s="1"/>
  <c r="J114" i="4"/>
  <c r="K111" i="4" s="1"/>
  <c r="K52" i="4"/>
  <c r="K114" i="4" s="1"/>
  <c r="H63" i="4"/>
  <c r="I98" i="4"/>
  <c r="I101" i="4" s="1"/>
  <c r="H76" i="4"/>
  <c r="I33" i="4"/>
  <c r="I142" i="4"/>
  <c r="I96" i="4"/>
  <c r="J15" i="4"/>
  <c r="I72" i="4"/>
  <c r="I125" i="4"/>
  <c r="I46" i="4"/>
  <c r="J100" i="4"/>
  <c r="J108" i="4" s="1"/>
  <c r="J31" i="4" s="1"/>
  <c r="J75" i="4" s="1"/>
  <c r="K103" i="4"/>
  <c r="K100" i="4" s="1"/>
  <c r="I45" i="4"/>
  <c r="J14" i="4"/>
  <c r="I124" i="4"/>
  <c r="I141" i="4"/>
  <c r="I95" i="4"/>
  <c r="I71" i="4"/>
  <c r="K153" i="4"/>
  <c r="I75" i="4"/>
  <c r="J113" i="4" l="1"/>
  <c r="J79" i="4" s="1"/>
  <c r="K113" i="4"/>
  <c r="K79" i="4" s="1"/>
  <c r="K108" i="4"/>
  <c r="K31" i="4" s="1"/>
  <c r="K75" i="4" s="1"/>
  <c r="K59" i="4"/>
  <c r="J152" i="4"/>
  <c r="J154" i="4" s="1"/>
  <c r="J86" i="4"/>
  <c r="J33" i="4"/>
  <c r="I76" i="4"/>
  <c r="I63" i="4"/>
  <c r="J96" i="4"/>
  <c r="J72" i="4"/>
  <c r="J142" i="4"/>
  <c r="J46" i="4"/>
  <c r="K15" i="4"/>
  <c r="J125" i="4"/>
  <c r="J45" i="4"/>
  <c r="K14" i="4"/>
  <c r="J95" i="4"/>
  <c r="J124" i="4"/>
  <c r="J141" i="4"/>
  <c r="J71" i="4"/>
  <c r="I51" i="4"/>
  <c r="J98" i="4"/>
  <c r="J101" i="4" s="1"/>
  <c r="K152" i="4" l="1"/>
  <c r="K154" i="4" s="1"/>
  <c r="K86" i="4"/>
  <c r="J63" i="4"/>
  <c r="J76" i="4"/>
  <c r="K33" i="4"/>
  <c r="K76" i="4" s="1"/>
  <c r="K125" i="4"/>
  <c r="K72" i="4"/>
  <c r="K46" i="4"/>
  <c r="K142" i="4"/>
  <c r="K96" i="4"/>
  <c r="K71" i="4"/>
  <c r="K141" i="4"/>
  <c r="K45" i="4"/>
  <c r="K124" i="4"/>
  <c r="K95" i="4"/>
  <c r="J51" i="4"/>
  <c r="K98" i="4"/>
  <c r="K101" i="4" s="1"/>
  <c r="K51" i="4" s="1"/>
  <c r="K63" i="4" l="1"/>
  <c r="G17" i="1" l="1"/>
  <c r="E6" i="3"/>
  <c r="F6" i="3"/>
  <c r="G6" i="3" s="1"/>
  <c r="H6" i="3" s="1"/>
  <c r="I6" i="3" s="1"/>
  <c r="E8" i="3"/>
  <c r="F8" i="3"/>
  <c r="F12" i="3" s="1"/>
  <c r="E10" i="3"/>
  <c r="F10" i="3"/>
  <c r="E12" i="3"/>
  <c r="E16" i="3"/>
  <c r="D18" i="3"/>
  <c r="D19" i="3"/>
  <c r="E19" i="3" s="1"/>
  <c r="F19" i="3" s="1"/>
  <c r="G19" i="3" s="1"/>
  <c r="H19" i="3" s="1"/>
  <c r="I19" i="3" s="1"/>
  <c r="B3" i="2"/>
  <c r="H4" i="2"/>
  <c r="D5" i="2"/>
  <c r="D8" i="2" s="1"/>
  <c r="C38" i="2" s="1"/>
  <c r="E38" i="2" s="1"/>
  <c r="H9" i="2"/>
  <c r="C12" i="2"/>
  <c r="D12" i="2"/>
  <c r="E12" i="2" s="1"/>
  <c r="E15" i="2"/>
  <c r="F15" i="2"/>
  <c r="G15" i="2"/>
  <c r="H15" i="2"/>
  <c r="I15" i="2"/>
  <c r="E17" i="2"/>
  <c r="F17" i="2"/>
  <c r="G17" i="2"/>
  <c r="H17" i="2"/>
  <c r="I17" i="2"/>
  <c r="E19" i="2"/>
  <c r="F19" i="2"/>
  <c r="G19" i="2"/>
  <c r="H19" i="2"/>
  <c r="I19" i="2"/>
  <c r="B35" i="2"/>
  <c r="D37" i="2"/>
  <c r="F38" i="2"/>
  <c r="G38" i="2"/>
  <c r="H38" i="2"/>
  <c r="I38" i="2"/>
  <c r="C43" i="2" s="1"/>
  <c r="I42" i="2"/>
  <c r="I44" i="2" s="1"/>
  <c r="C55" i="2"/>
  <c r="C57" i="2"/>
  <c r="C58" i="2"/>
  <c r="I58" i="2"/>
  <c r="C59" i="2"/>
  <c r="I59" i="2"/>
  <c r="C60" i="2"/>
  <c r="I60" i="2"/>
  <c r="I61" i="2"/>
  <c r="C72" i="2" s="1"/>
  <c r="D72" i="2" s="1"/>
  <c r="C62" i="2"/>
  <c r="C65" i="2"/>
  <c r="C70" i="2"/>
  <c r="D70" i="2" s="1"/>
  <c r="F90" i="2"/>
  <c r="E90" i="2" s="1"/>
  <c r="B129" i="2" s="1"/>
  <c r="H90" i="2"/>
  <c r="I90" i="2"/>
  <c r="L90" i="2"/>
  <c r="M90" i="2"/>
  <c r="N90" i="2"/>
  <c r="P90" i="2"/>
  <c r="Q90" i="2" s="1"/>
  <c r="G128" i="2" s="1"/>
  <c r="D92" i="2"/>
  <c r="D91" i="2" s="1"/>
  <c r="L92" i="2"/>
  <c r="L91" i="2" s="1"/>
  <c r="D94" i="2"/>
  <c r="L94" i="2"/>
  <c r="D95" i="2"/>
  <c r="L95" i="2"/>
  <c r="F99" i="2"/>
  <c r="E99" i="2" s="1"/>
  <c r="B128" i="2" s="1"/>
  <c r="H99" i="2"/>
  <c r="I99" i="2"/>
  <c r="L99" i="2"/>
  <c r="M99" i="2"/>
  <c r="N99" i="2"/>
  <c r="P99" i="2"/>
  <c r="Q99" i="2"/>
  <c r="L100" i="2"/>
  <c r="D101" i="2"/>
  <c r="D100" i="2" s="1"/>
  <c r="L101" i="2"/>
  <c r="D103" i="2"/>
  <c r="L103" i="2"/>
  <c r="D104" i="2"/>
  <c r="L104" i="2"/>
  <c r="C128" i="2"/>
  <c r="E128" i="2"/>
  <c r="O128" i="2"/>
  <c r="Q128" i="2"/>
  <c r="P128" i="2" s="1"/>
  <c r="C129" i="2"/>
  <c r="E129" i="2"/>
  <c r="G129" i="2"/>
  <c r="O129" i="2"/>
  <c r="Q129" i="2"/>
  <c r="P129" i="2" s="1"/>
  <c r="D130" i="2"/>
  <c r="G130" i="2"/>
  <c r="O130" i="2"/>
  <c r="Q130" i="2"/>
  <c r="P130" i="2" s="1"/>
  <c r="C3" i="1"/>
  <c r="F14" i="1"/>
  <c r="F45" i="1" s="1"/>
  <c r="D15" i="1"/>
  <c r="D162" i="1" s="1"/>
  <c r="F15" i="1"/>
  <c r="G15" i="1" s="1"/>
  <c r="G19" i="1"/>
  <c r="D19" i="1"/>
  <c r="D23" i="1" s="1"/>
  <c r="D32" i="1" s="1"/>
  <c r="D34" i="1" s="1"/>
  <c r="E19" i="1"/>
  <c r="F19" i="1"/>
  <c r="F38" i="1" s="1"/>
  <c r="G20" i="1"/>
  <c r="G22" i="1"/>
  <c r="F23" i="1"/>
  <c r="G26" i="1"/>
  <c r="H26" i="1"/>
  <c r="I26" i="1"/>
  <c r="J26" i="1"/>
  <c r="K26" i="1" s="1"/>
  <c r="D27" i="1"/>
  <c r="D29" i="1" s="1"/>
  <c r="D118" i="1" s="1"/>
  <c r="G33" i="1"/>
  <c r="G172" i="1" s="1"/>
  <c r="D37" i="1"/>
  <c r="E37" i="1"/>
  <c r="F37" i="1"/>
  <c r="D39" i="1"/>
  <c r="E39" i="1"/>
  <c r="F39" i="1"/>
  <c r="D40" i="1"/>
  <c r="E40" i="1"/>
  <c r="F40" i="1"/>
  <c r="D41" i="1"/>
  <c r="E41" i="1"/>
  <c r="F41" i="1"/>
  <c r="C45" i="1"/>
  <c r="C46" i="1"/>
  <c r="E46" i="1"/>
  <c r="G48" i="1"/>
  <c r="H48" i="1" s="1"/>
  <c r="I48" i="1" s="1"/>
  <c r="J48" i="1" s="1"/>
  <c r="K48" i="1" s="1"/>
  <c r="G50" i="1"/>
  <c r="H50" i="1" s="1"/>
  <c r="I50" i="1" s="1"/>
  <c r="J50" i="1" s="1"/>
  <c r="K50" i="1" s="1"/>
  <c r="G52" i="1"/>
  <c r="H52" i="1" s="1"/>
  <c r="D53" i="1"/>
  <c r="E53" i="1"/>
  <c r="G56" i="1"/>
  <c r="H56" i="1" s="1"/>
  <c r="I56" i="1" s="1"/>
  <c r="J56" i="1" s="1"/>
  <c r="K56" i="1" s="1"/>
  <c r="D61" i="1"/>
  <c r="G57" i="1"/>
  <c r="H57" i="1"/>
  <c r="I57" i="1"/>
  <c r="J57" i="1" s="1"/>
  <c r="K57" i="1" s="1"/>
  <c r="F152" i="1"/>
  <c r="G59" i="1"/>
  <c r="G86" i="1" s="1"/>
  <c r="G60" i="1"/>
  <c r="H60" i="1" s="1"/>
  <c r="F61" i="1"/>
  <c r="D64" i="1"/>
  <c r="D121" i="1" s="1"/>
  <c r="G65" i="1"/>
  <c r="H65" i="1"/>
  <c r="I65" i="1" s="1"/>
  <c r="J65" i="1" s="1"/>
  <c r="K65" i="1" s="1"/>
  <c r="E66" i="1"/>
  <c r="F66" i="1"/>
  <c r="C71" i="1"/>
  <c r="C72" i="1"/>
  <c r="G83" i="1"/>
  <c r="G84" i="1" s="1"/>
  <c r="H83" i="1"/>
  <c r="H84" i="1" s="1"/>
  <c r="I83" i="1"/>
  <c r="I84" i="1" s="1"/>
  <c r="J83" i="1"/>
  <c r="J84" i="1" s="1"/>
  <c r="C95" i="1"/>
  <c r="C96" i="1"/>
  <c r="D96" i="1"/>
  <c r="E96" i="1"/>
  <c r="K83" i="1"/>
  <c r="K84" i="1" s="1"/>
  <c r="D101" i="1"/>
  <c r="E101" i="1"/>
  <c r="F101" i="1"/>
  <c r="G98" i="1" s="1"/>
  <c r="D103" i="1"/>
  <c r="E103" i="1"/>
  <c r="F103" i="1"/>
  <c r="D108" i="1"/>
  <c r="D106" i="1" s="1"/>
  <c r="D107" i="1" s="1"/>
  <c r="E108" i="1"/>
  <c r="E106" i="1" s="1"/>
  <c r="E107" i="1" s="1"/>
  <c r="F108" i="1"/>
  <c r="F106" i="1" s="1"/>
  <c r="F107" i="1" s="1"/>
  <c r="G107" i="1" s="1"/>
  <c r="H107" i="1" s="1"/>
  <c r="D114" i="1"/>
  <c r="E114" i="1"/>
  <c r="F114" i="1"/>
  <c r="G111" i="1" s="1"/>
  <c r="G114" i="1"/>
  <c r="G117" i="1"/>
  <c r="G120" i="1"/>
  <c r="G88" i="1" s="1"/>
  <c r="G171" i="1" s="1"/>
  <c r="E121" i="1"/>
  <c r="F121" i="1"/>
  <c r="C124" i="1"/>
  <c r="C125" i="1"/>
  <c r="E125" i="1"/>
  <c r="D137" i="1"/>
  <c r="E137" i="1"/>
  <c r="F137" i="1"/>
  <c r="G134" i="1" s="1"/>
  <c r="C141" i="1"/>
  <c r="C142" i="1"/>
  <c r="E142" i="1"/>
  <c r="D144" i="1"/>
  <c r="E144" i="1"/>
  <c r="F144" i="1"/>
  <c r="G147" i="1"/>
  <c r="H147" i="1" s="1"/>
  <c r="I147" i="1" s="1"/>
  <c r="J147" i="1" s="1"/>
  <c r="K147" i="1" s="1"/>
  <c r="D148" i="1"/>
  <c r="D149" i="1" s="1"/>
  <c r="E148" i="1"/>
  <c r="F148" i="1"/>
  <c r="D152" i="1"/>
  <c r="G157" i="1"/>
  <c r="H157" i="1" s="1"/>
  <c r="I157" i="1" s="1"/>
  <c r="J157" i="1" s="1"/>
  <c r="K157" i="1" s="1"/>
  <c r="D158" i="1"/>
  <c r="E158" i="1"/>
  <c r="F158" i="1"/>
  <c r="E162" i="1"/>
  <c r="G176" i="1"/>
  <c r="G185" i="1"/>
  <c r="H185" i="1"/>
  <c r="G186" i="1"/>
  <c r="L186" i="1"/>
  <c r="G187" i="1"/>
  <c r="G188" i="1"/>
  <c r="H191" i="1"/>
  <c r="I191" i="1"/>
  <c r="J192" i="1"/>
  <c r="J191" i="1" s="1"/>
  <c r="K192" i="1"/>
  <c r="K193" i="1" s="1"/>
  <c r="K185" i="1" s="1"/>
  <c r="H193" i="1"/>
  <c r="I193" i="1"/>
  <c r="I185" i="1" s="1"/>
  <c r="J193" i="1"/>
  <c r="J185" i="1" s="1"/>
  <c r="H195" i="1"/>
  <c r="I195" i="1"/>
  <c r="J195" i="1"/>
  <c r="K195" i="1"/>
  <c r="L195" i="1"/>
  <c r="H197" i="1"/>
  <c r="H186" i="1" s="1"/>
  <c r="I197" i="1"/>
  <c r="I186" i="1" s="1"/>
  <c r="J197" i="1"/>
  <c r="J186" i="1" s="1"/>
  <c r="K197" i="1"/>
  <c r="K186" i="1" s="1"/>
  <c r="L197" i="1"/>
  <c r="H199" i="1"/>
  <c r="I199" i="1"/>
  <c r="J199" i="1"/>
  <c r="K199" i="1"/>
  <c r="L199" i="1"/>
  <c r="H201" i="1"/>
  <c r="H187" i="1" s="1"/>
  <c r="I201" i="1"/>
  <c r="I187" i="1" s="1"/>
  <c r="J201" i="1"/>
  <c r="J187" i="1" s="1"/>
  <c r="K201" i="1"/>
  <c r="K187" i="1" s="1"/>
  <c r="L201" i="1"/>
  <c r="L187" i="1" s="1"/>
  <c r="H203" i="1"/>
  <c r="I203" i="1"/>
  <c r="J203" i="1"/>
  <c r="K203" i="1"/>
  <c r="L203" i="1"/>
  <c r="H205" i="1"/>
  <c r="H188" i="1" s="1"/>
  <c r="I205" i="1"/>
  <c r="I188" i="1" s="1"/>
  <c r="J205" i="1"/>
  <c r="J188" i="1" s="1"/>
  <c r="K205" i="1"/>
  <c r="K188" i="1" s="1"/>
  <c r="L205" i="1"/>
  <c r="L188" i="1" s="1"/>
  <c r="G96" i="1" l="1"/>
  <c r="G142" i="1"/>
  <c r="G72" i="1"/>
  <c r="H184" i="1"/>
  <c r="G162" i="1"/>
  <c r="G46" i="1"/>
  <c r="D66" i="1"/>
  <c r="D68" i="1" s="1"/>
  <c r="F161" i="1"/>
  <c r="F32" i="1"/>
  <c r="F34" i="1" s="1"/>
  <c r="D16" i="2" s="1"/>
  <c r="D17" i="2" s="1"/>
  <c r="D18" i="2"/>
  <c r="D19" i="2" s="1"/>
  <c r="F141" i="1"/>
  <c r="F95" i="1"/>
  <c r="L192" i="1"/>
  <c r="L193" i="1" s="1"/>
  <c r="L185" i="1" s="1"/>
  <c r="H33" i="1"/>
  <c r="I33" i="1" s="1"/>
  <c r="I172" i="1" s="1"/>
  <c r="H15" i="1"/>
  <c r="I15" i="1" s="1"/>
  <c r="D154" i="1"/>
  <c r="D153" i="1" s="1"/>
  <c r="G76" i="1"/>
  <c r="K191" i="1"/>
  <c r="F27" i="1"/>
  <c r="F42" i="1" s="1"/>
  <c r="G42" i="1" s="1"/>
  <c r="F12" i="2"/>
  <c r="E37" i="2"/>
  <c r="E39" i="2"/>
  <c r="G165" i="1"/>
  <c r="G168" i="1" s="1"/>
  <c r="G177" i="1"/>
  <c r="G178" i="1" s="1"/>
  <c r="G179" i="1" s="1"/>
  <c r="H120" i="1"/>
  <c r="G106" i="1"/>
  <c r="G112" i="1" s="1"/>
  <c r="G113" i="1" s="1"/>
  <c r="G79" i="1" s="1"/>
  <c r="G103" i="1"/>
  <c r="H103" i="1" s="1"/>
  <c r="I60" i="1"/>
  <c r="H80" i="1"/>
  <c r="G80" i="1"/>
  <c r="G152" i="1"/>
  <c r="F149" i="1"/>
  <c r="F154" i="1" s="1"/>
  <c r="H114" i="1"/>
  <c r="I52" i="1"/>
  <c r="D128" i="2"/>
  <c r="D129" i="2"/>
  <c r="C44" i="2"/>
  <c r="C51" i="2" s="1"/>
  <c r="G8" i="3"/>
  <c r="F37" i="2"/>
  <c r="F39" i="2" s="1"/>
  <c r="G12" i="2"/>
  <c r="I51" i="2"/>
  <c r="H176" i="1"/>
  <c r="H106" i="1"/>
  <c r="H112" i="1" s="1"/>
  <c r="I107" i="1"/>
  <c r="F29" i="1"/>
  <c r="F142" i="1"/>
  <c r="F46" i="1"/>
  <c r="F96" i="1"/>
  <c r="F162" i="1"/>
  <c r="H59" i="1"/>
  <c r="D142" i="1"/>
  <c r="D46" i="1"/>
  <c r="D125" i="1"/>
  <c r="G23" i="1"/>
  <c r="G18" i="1"/>
  <c r="E149" i="1"/>
  <c r="E154" i="1" s="1"/>
  <c r="D164" i="1"/>
  <c r="E152" i="1"/>
  <c r="E61" i="1"/>
  <c r="E68" i="1" s="1"/>
  <c r="G128" i="1"/>
  <c r="L191" i="1"/>
  <c r="F124" i="1"/>
  <c r="E14" i="1"/>
  <c r="G14" i="1"/>
  <c r="D38" i="1"/>
  <c r="G125" i="1"/>
  <c r="G63" i="1"/>
  <c r="E38" i="1"/>
  <c r="E23" i="1"/>
  <c r="F125" i="1"/>
  <c r="F53" i="1"/>
  <c r="F68" i="1" s="1"/>
  <c r="D42" i="1"/>
  <c r="H111" i="1"/>
  <c r="H17" i="1"/>
  <c r="I76" i="1" l="1"/>
  <c r="H46" i="1"/>
  <c r="H172" i="1"/>
  <c r="H96" i="1"/>
  <c r="H72" i="1"/>
  <c r="H125" i="1"/>
  <c r="H113" i="1"/>
  <c r="H79" i="1" s="1"/>
  <c r="J33" i="1"/>
  <c r="J172" i="1" s="1"/>
  <c r="H162" i="1"/>
  <c r="H142" i="1"/>
  <c r="I184" i="1"/>
  <c r="H76" i="1"/>
  <c r="I111" i="1"/>
  <c r="H88" i="1"/>
  <c r="H171" i="1" s="1"/>
  <c r="I120" i="1"/>
  <c r="G100" i="1"/>
  <c r="I103" i="1"/>
  <c r="H100" i="1"/>
  <c r="H108" i="1" s="1"/>
  <c r="H31" i="1" s="1"/>
  <c r="H75" i="1" s="1"/>
  <c r="I80" i="1"/>
  <c r="J60" i="1"/>
  <c r="E153" i="1"/>
  <c r="I114" i="1"/>
  <c r="J111" i="1" s="1"/>
  <c r="J52" i="1"/>
  <c r="G12" i="3"/>
  <c r="G10" i="3"/>
  <c r="H8" i="3"/>
  <c r="G37" i="2"/>
  <c r="G39" i="2" s="1"/>
  <c r="H12" i="2"/>
  <c r="E32" i="1"/>
  <c r="E34" i="1" s="1"/>
  <c r="E27" i="1"/>
  <c r="I59" i="1"/>
  <c r="H152" i="1"/>
  <c r="H86" i="1"/>
  <c r="H63" i="1"/>
  <c r="G49" i="1"/>
  <c r="G55" i="1"/>
  <c r="H42" i="1"/>
  <c r="J107" i="1"/>
  <c r="J184" i="1"/>
  <c r="J15" i="1"/>
  <c r="I72" i="1"/>
  <c r="I46" i="1"/>
  <c r="I96" i="1"/>
  <c r="I125" i="1"/>
  <c r="I142" i="1"/>
  <c r="I162" i="1"/>
  <c r="F153" i="1"/>
  <c r="G153" i="1" s="1"/>
  <c r="D166" i="1"/>
  <c r="D169" i="1"/>
  <c r="H19" i="1"/>
  <c r="H20" i="1"/>
  <c r="I17" i="1"/>
  <c r="H22" i="1"/>
  <c r="G71" i="1"/>
  <c r="G161" i="1"/>
  <c r="G124" i="1"/>
  <c r="H14" i="1"/>
  <c r="G141" i="1"/>
  <c r="G183" i="1"/>
  <c r="G45" i="1"/>
  <c r="G95" i="1"/>
  <c r="E124" i="1"/>
  <c r="E141" i="1"/>
  <c r="E161" i="1"/>
  <c r="E45" i="1"/>
  <c r="E95" i="1"/>
  <c r="D14" i="1"/>
  <c r="F164" i="1"/>
  <c r="F118" i="1"/>
  <c r="J76" i="1" l="1"/>
  <c r="K33" i="1"/>
  <c r="I88" i="1"/>
  <c r="I171" i="1" s="1"/>
  <c r="J120" i="1"/>
  <c r="G101" i="1"/>
  <c r="G108" i="1"/>
  <c r="G31" i="1" s="1"/>
  <c r="I100" i="1"/>
  <c r="J103" i="1"/>
  <c r="J80" i="1"/>
  <c r="K60" i="1"/>
  <c r="K80" i="1" s="1"/>
  <c r="K52" i="1"/>
  <c r="K114" i="1" s="1"/>
  <c r="J114" i="1"/>
  <c r="K111" i="1" s="1"/>
  <c r="H12" i="3"/>
  <c r="I8" i="3"/>
  <c r="H10" i="3"/>
  <c r="I12" i="2"/>
  <c r="H37" i="2"/>
  <c r="H39" i="2" s="1"/>
  <c r="I19" i="1"/>
  <c r="I20" i="1"/>
  <c r="I22" i="1"/>
  <c r="J17" i="1"/>
  <c r="F169" i="1"/>
  <c r="F166" i="1"/>
  <c r="H23" i="1"/>
  <c r="H18" i="1"/>
  <c r="H49" i="1" s="1"/>
  <c r="J106" i="1"/>
  <c r="J112" i="1" s="1"/>
  <c r="K107" i="1"/>
  <c r="K172" i="1"/>
  <c r="K76" i="1"/>
  <c r="H95" i="1"/>
  <c r="H161" i="1"/>
  <c r="H71" i="1"/>
  <c r="I14" i="1"/>
  <c r="H141" i="1"/>
  <c r="H183" i="1"/>
  <c r="H45" i="1"/>
  <c r="H124" i="1"/>
  <c r="H153" i="1"/>
  <c r="G154" i="1"/>
  <c r="G77" i="1"/>
  <c r="I63" i="1"/>
  <c r="D141" i="1"/>
  <c r="D45" i="1"/>
  <c r="D161" i="1"/>
  <c r="D124" i="1"/>
  <c r="D95" i="1"/>
  <c r="E42" i="1"/>
  <c r="E29" i="1"/>
  <c r="K184" i="1"/>
  <c r="K15" i="1"/>
  <c r="J46" i="1"/>
  <c r="J72" i="1"/>
  <c r="J96" i="1"/>
  <c r="J125" i="1"/>
  <c r="J142" i="1"/>
  <c r="J162" i="1"/>
  <c r="I106" i="1"/>
  <c r="I42" i="1"/>
  <c r="G78" i="1"/>
  <c r="J59" i="1"/>
  <c r="I86" i="1"/>
  <c r="I152" i="1"/>
  <c r="H55" i="1" l="1"/>
  <c r="J113" i="1"/>
  <c r="J79" i="1" s="1"/>
  <c r="J88" i="1"/>
  <c r="J171" i="1" s="1"/>
  <c r="K120" i="1"/>
  <c r="K88" i="1" s="1"/>
  <c r="K171" i="1" s="1"/>
  <c r="G75" i="1"/>
  <c r="G32" i="1"/>
  <c r="G34" i="1" s="1"/>
  <c r="G51" i="1"/>
  <c r="H98" i="1"/>
  <c r="H101" i="1" s="1"/>
  <c r="K103" i="1"/>
  <c r="K100" i="1" s="1"/>
  <c r="J100" i="1"/>
  <c r="J108" i="1" s="1"/>
  <c r="J31" i="1" s="1"/>
  <c r="J75" i="1" s="1"/>
  <c r="I12" i="3"/>
  <c r="I10" i="3"/>
  <c r="B43" i="2"/>
  <c r="E44" i="2"/>
  <c r="B44" i="2"/>
  <c r="I37" i="2"/>
  <c r="H77" i="1"/>
  <c r="I161" i="1"/>
  <c r="I95" i="1"/>
  <c r="I71" i="1"/>
  <c r="I141" i="1"/>
  <c r="I183" i="1"/>
  <c r="J14" i="1"/>
  <c r="I45" i="1"/>
  <c r="I124" i="1"/>
  <c r="I112" i="1"/>
  <c r="I113" i="1" s="1"/>
  <c r="I79" i="1" s="1"/>
  <c r="I108" i="1"/>
  <c r="I31" i="1" s="1"/>
  <c r="I75" i="1" s="1"/>
  <c r="J86" i="1"/>
  <c r="K59" i="1"/>
  <c r="J152" i="1"/>
  <c r="K142" i="1"/>
  <c r="K46" i="1"/>
  <c r="K162" i="1"/>
  <c r="K96" i="1"/>
  <c r="L184" i="1"/>
  <c r="K125" i="1"/>
  <c r="K72" i="1"/>
  <c r="H78" i="1"/>
  <c r="J42" i="1"/>
  <c r="J63" i="1"/>
  <c r="H32" i="1"/>
  <c r="H34" i="1" s="1"/>
  <c r="I153" i="1"/>
  <c r="H154" i="1"/>
  <c r="J19" i="1"/>
  <c r="K17" i="1"/>
  <c r="K106" i="1" s="1"/>
  <c r="J20" i="1"/>
  <c r="J22" i="1"/>
  <c r="E164" i="1"/>
  <c r="E118" i="1"/>
  <c r="I23" i="1"/>
  <c r="I18" i="1"/>
  <c r="I49" i="1" s="1"/>
  <c r="H51" i="1" l="1"/>
  <c r="I98" i="1"/>
  <c r="I101" i="1" s="1"/>
  <c r="I39" i="2"/>
  <c r="C46" i="2" s="1"/>
  <c r="C45" i="2"/>
  <c r="I45" i="2"/>
  <c r="I77" i="1"/>
  <c r="I32" i="1"/>
  <c r="I34" i="1" s="1"/>
  <c r="K42" i="1"/>
  <c r="E169" i="1"/>
  <c r="E166" i="1"/>
  <c r="K22" i="1"/>
  <c r="K19" i="1"/>
  <c r="K20" i="1"/>
  <c r="J23" i="1"/>
  <c r="J18" i="1"/>
  <c r="J49" i="1" s="1"/>
  <c r="J95" i="1"/>
  <c r="J71" i="1"/>
  <c r="K14" i="1"/>
  <c r="J45" i="1"/>
  <c r="J141" i="1"/>
  <c r="J161" i="1"/>
  <c r="J183" i="1"/>
  <c r="J124" i="1"/>
  <c r="K86" i="1"/>
  <c r="K152" i="1"/>
  <c r="K112" i="1"/>
  <c r="K113" i="1" s="1"/>
  <c r="K79" i="1" s="1"/>
  <c r="K108" i="1"/>
  <c r="K31" i="1" s="1"/>
  <c r="K75" i="1" s="1"/>
  <c r="I55" i="1"/>
  <c r="J153" i="1"/>
  <c r="I154" i="1"/>
  <c r="K63" i="1"/>
  <c r="J98" i="1" l="1"/>
  <c r="J101" i="1" s="1"/>
  <c r="I51" i="1"/>
  <c r="C47" i="2"/>
  <c r="C69" i="2" s="1"/>
  <c r="C71" i="2" s="1"/>
  <c r="C73" i="2" s="1"/>
  <c r="D90" i="2" s="1"/>
  <c r="I46" i="2"/>
  <c r="I47" i="2" s="1"/>
  <c r="J77" i="1"/>
  <c r="K153" i="1"/>
  <c r="K154" i="1" s="1"/>
  <c r="J154" i="1"/>
  <c r="J32" i="1"/>
  <c r="J34" i="1" s="1"/>
  <c r="I78" i="1"/>
  <c r="J55" i="1"/>
  <c r="K23" i="1"/>
  <c r="K18" i="1"/>
  <c r="K49" i="1" s="1"/>
  <c r="K77" i="1" s="1"/>
  <c r="K124" i="1"/>
  <c r="K183" i="1"/>
  <c r="K95" i="1"/>
  <c r="K141" i="1"/>
  <c r="K161" i="1"/>
  <c r="K71" i="1"/>
  <c r="K45" i="1"/>
  <c r="K98" i="1" l="1"/>
  <c r="K101" i="1" s="1"/>
  <c r="K51" i="1" s="1"/>
  <c r="J51" i="1"/>
  <c r="D69" i="2"/>
  <c r="D71" i="2" s="1"/>
  <c r="D73" i="2" s="1"/>
  <c r="D99" i="2" s="1"/>
  <c r="I49" i="2"/>
  <c r="I50" i="2" s="1"/>
  <c r="C49" i="2"/>
  <c r="C50" i="2" s="1"/>
  <c r="K32" i="1"/>
  <c r="K34" i="1" s="1"/>
  <c r="J78" i="1"/>
  <c r="K55" i="1"/>
  <c r="K78" i="1" l="1"/>
  <c r="H178" i="1"/>
  <c r="I176" i="1" s="1"/>
  <c r="I178" i="1" s="1"/>
  <c r="H179" i="1"/>
  <c r="J176" i="1" l="1"/>
  <c r="J178" i="1" s="1"/>
  <c r="I179" i="1"/>
  <c r="J179" i="1" l="1"/>
  <c r="K176" i="1"/>
  <c r="K178" i="1" s="1"/>
  <c r="K179" i="1" s="1"/>
  <c r="G49" i="4"/>
  <c r="G19" i="4"/>
  <c r="G77" i="4"/>
  <c r="G55" i="4" l="1"/>
  <c r="G32" i="4"/>
  <c r="G34" i="4" s="1"/>
  <c r="G78" i="4" l="1"/>
  <c r="H19" i="4"/>
  <c r="H32" i="4" s="1"/>
  <c r="H34" i="4" s="1"/>
  <c r="H49" i="4"/>
  <c r="H77" i="4" s="1"/>
  <c r="H55" i="4"/>
  <c r="H78" i="4" s="1"/>
  <c r="I19" i="4"/>
  <c r="I32" i="4" s="1"/>
  <c r="I34" i="4" s="1"/>
  <c r="K19" i="4"/>
  <c r="I55" i="4" l="1"/>
  <c r="I78" i="4" s="1"/>
  <c r="I49" i="4"/>
  <c r="I77" i="4" s="1"/>
  <c r="K32" i="4"/>
  <c r="K34" i="4" s="1"/>
  <c r="J19" i="4"/>
  <c r="J32" i="4" s="1"/>
  <c r="J34" i="4" s="1"/>
  <c r="J55" i="4" l="1"/>
  <c r="K55" i="4" s="1"/>
  <c r="K78" i="4" s="1"/>
  <c r="J49" i="4"/>
  <c r="J78" i="4"/>
  <c r="K49" i="4" l="1"/>
  <c r="K77" i="4" s="1"/>
  <c r="J77" i="4"/>
  <c r="D23" i="4"/>
  <c r="D27" i="4" s="1"/>
  <c r="D41" i="4"/>
  <c r="D42" i="4" l="1"/>
  <c r="D29" i="4"/>
  <c r="D118" i="4" s="1"/>
  <c r="D32" i="4"/>
  <c r="D34" i="4" s="1"/>
  <c r="G27" i="4"/>
  <c r="G28" i="4" s="1"/>
  <c r="G29" i="4" l="1"/>
  <c r="G74" i="4" l="1"/>
  <c r="G81" i="4" s="1"/>
  <c r="G118" i="4"/>
  <c r="G121" i="4" s="1"/>
  <c r="G64" i="4" l="1"/>
  <c r="G66" i="4" s="1"/>
  <c r="H117" i="4"/>
  <c r="G130" i="4"/>
  <c r="G131" i="4" s="1"/>
  <c r="G135" i="4" s="1"/>
  <c r="G137" i="4" s="1"/>
  <c r="G138" i="4" l="1"/>
  <c r="H134" i="4"/>
  <c r="G58" i="4"/>
  <c r="G148" i="4" l="1"/>
  <c r="G61" i="4"/>
  <c r="G87" i="4"/>
  <c r="G90" i="4" s="1"/>
  <c r="G92" i="4" s="1"/>
  <c r="G47" i="4" s="1"/>
  <c r="G53" i="4" l="1"/>
  <c r="G68" i="4" s="1"/>
  <c r="G158" i="4"/>
  <c r="H128" i="4"/>
  <c r="G149" i="4"/>
  <c r="G144" i="4" s="1"/>
  <c r="H27" i="4"/>
  <c r="H28" i="4" l="1"/>
  <c r="H29" i="4"/>
  <c r="H74" i="4" l="1"/>
  <c r="H81" i="4" s="1"/>
  <c r="H118" i="4"/>
  <c r="H121" i="4" s="1"/>
  <c r="I117" i="4" l="1"/>
  <c r="H64" i="4"/>
  <c r="H66" i="4" s="1"/>
  <c r="H130" i="4"/>
  <c r="H131" i="4" s="1"/>
  <c r="H135" i="4" s="1"/>
  <c r="H137" i="4" s="1"/>
  <c r="I134" i="4" l="1"/>
  <c r="H58" i="4"/>
  <c r="H138" i="4"/>
  <c r="H148" i="4" l="1"/>
  <c r="H61" i="4"/>
  <c r="H87" i="4"/>
  <c r="H90" i="4" s="1"/>
  <c r="H92" i="4" s="1"/>
  <c r="H47" i="4" s="1"/>
  <c r="I128" i="4" l="1"/>
  <c r="H53" i="4"/>
  <c r="H68" i="4" s="1"/>
  <c r="H158" i="4"/>
  <c r="H149" i="4"/>
  <c r="H144" i="4" s="1"/>
  <c r="I27" i="4"/>
  <c r="I28" i="4" s="1"/>
  <c r="I29" i="4" l="1"/>
  <c r="I74" i="4" l="1"/>
  <c r="I81" i="4" s="1"/>
  <c r="I118" i="4"/>
  <c r="I121" i="4" s="1"/>
  <c r="I64" i="4" l="1"/>
  <c r="I66" i="4" s="1"/>
  <c r="J117" i="4"/>
  <c r="I130" i="4"/>
  <c r="I131" i="4" s="1"/>
  <c r="I135" i="4" s="1"/>
  <c r="I137" i="4" s="1"/>
  <c r="I138" i="4" l="1"/>
  <c r="J134" i="4"/>
  <c r="I58" i="4"/>
  <c r="I87" i="4" l="1"/>
  <c r="I90" i="4" s="1"/>
  <c r="I92" i="4" s="1"/>
  <c r="I47" i="4" s="1"/>
  <c r="I148" i="4"/>
  <c r="I61" i="4"/>
  <c r="I149" i="4" l="1"/>
  <c r="I144" i="4" s="1"/>
  <c r="J128" i="4"/>
  <c r="I53" i="4"/>
  <c r="I68" i="4" s="1"/>
  <c r="I158" i="4"/>
  <c r="J27" i="4"/>
  <c r="J28" i="4" l="1"/>
  <c r="J29" i="4" s="1"/>
  <c r="J74" i="4" l="1"/>
  <c r="J81" i="4" s="1"/>
  <c r="J118" i="4"/>
  <c r="J121" i="4" s="1"/>
  <c r="J64" i="4" l="1"/>
  <c r="J66" i="4" s="1"/>
  <c r="K117" i="4"/>
  <c r="J130" i="4"/>
  <c r="J131" i="4" s="1"/>
  <c r="J135" i="4" s="1"/>
  <c r="J137" i="4" s="1"/>
  <c r="K134" i="4" l="1"/>
  <c r="J138" i="4"/>
  <c r="J58" i="4"/>
  <c r="J87" i="4" l="1"/>
  <c r="J90" i="4" s="1"/>
  <c r="J92" i="4" s="1"/>
  <c r="J47" i="4" s="1"/>
  <c r="J61" i="4"/>
  <c r="J148" i="4"/>
  <c r="J149" i="4" l="1"/>
  <c r="J144" i="4" s="1"/>
  <c r="J158" i="4"/>
  <c r="J53" i="4"/>
  <c r="J68" i="4" s="1"/>
  <c r="K128" i="4"/>
  <c r="K27" i="4"/>
  <c r="K28" i="4" s="1"/>
  <c r="K29" i="4" l="1"/>
  <c r="K74" i="4"/>
  <c r="K81" i="4" s="1"/>
  <c r="K118" i="4"/>
  <c r="K121" i="4" s="1"/>
  <c r="K64" i="4" s="1"/>
  <c r="K66" i="4" s="1"/>
  <c r="K130" i="4" l="1"/>
  <c r="K131" i="4" s="1"/>
  <c r="K135" i="4" s="1"/>
  <c r="K137" i="4" s="1"/>
  <c r="K138" i="4" l="1"/>
  <c r="K58" i="4"/>
  <c r="K87" i="4" l="1"/>
  <c r="K90" i="4" s="1"/>
  <c r="K92" i="4" s="1"/>
  <c r="K47" i="4" s="1"/>
  <c r="K148" i="4"/>
  <c r="K149" i="4" s="1"/>
  <c r="K144" i="4" s="1"/>
  <c r="K61" i="4"/>
  <c r="K158" i="4" l="1"/>
  <c r="K53" i="4"/>
  <c r="K68" i="4" s="1"/>
  <c r="G24" i="1"/>
  <c r="H24" i="1"/>
  <c r="I24" i="1"/>
  <c r="J24" i="1"/>
  <c r="K24" i="1"/>
  <c r="G25" i="1"/>
  <c r="H25" i="1"/>
  <c r="I25" i="1"/>
  <c r="J25" i="1"/>
  <c r="K25" i="1"/>
  <c r="G27" i="1"/>
  <c r="H27" i="1"/>
  <c r="I27" i="1"/>
  <c r="J27" i="1"/>
  <c r="K27" i="1"/>
  <c r="G28" i="1"/>
  <c r="H28" i="1"/>
  <c r="I28" i="1"/>
  <c r="J28" i="1"/>
  <c r="K28" i="1"/>
  <c r="G29" i="1"/>
  <c r="H29" i="1"/>
  <c r="I29" i="1"/>
  <c r="J29" i="1"/>
  <c r="K29" i="1"/>
  <c r="G47" i="1"/>
  <c r="H47" i="1"/>
  <c r="I47" i="1"/>
  <c r="J47" i="1"/>
  <c r="K47" i="1"/>
  <c r="G53" i="1"/>
  <c r="H53" i="1"/>
  <c r="I53" i="1"/>
  <c r="J53" i="1"/>
  <c r="K53" i="1"/>
  <c r="G58" i="1"/>
  <c r="H58" i="1"/>
  <c r="I58" i="1"/>
  <c r="J58" i="1"/>
  <c r="K58" i="1"/>
  <c r="G61" i="1"/>
  <c r="H61" i="1"/>
  <c r="I61" i="1"/>
  <c r="J61" i="1"/>
  <c r="K61" i="1"/>
  <c r="G64" i="1"/>
  <c r="H64" i="1"/>
  <c r="I64" i="1"/>
  <c r="J64" i="1"/>
  <c r="K64" i="1"/>
  <c r="G66" i="1"/>
  <c r="H66" i="1"/>
  <c r="I66" i="1"/>
  <c r="J66" i="1"/>
  <c r="K66" i="1"/>
  <c r="G68" i="1"/>
  <c r="H68" i="1"/>
  <c r="I68" i="1"/>
  <c r="J68" i="1"/>
  <c r="K68" i="1"/>
  <c r="G74" i="1"/>
  <c r="H74" i="1"/>
  <c r="I74" i="1"/>
  <c r="J74" i="1"/>
  <c r="K74" i="1"/>
  <c r="G81" i="1"/>
  <c r="H81" i="1"/>
  <c r="I81" i="1"/>
  <c r="J81" i="1"/>
  <c r="K81" i="1"/>
  <c r="G87" i="1"/>
  <c r="H87" i="1"/>
  <c r="I87" i="1"/>
  <c r="J87" i="1"/>
  <c r="K87" i="1"/>
  <c r="G89" i="1"/>
  <c r="H89" i="1"/>
  <c r="I89" i="1"/>
  <c r="J89" i="1"/>
  <c r="K89" i="1"/>
  <c r="G90" i="1"/>
  <c r="H90" i="1"/>
  <c r="I90" i="1"/>
  <c r="J90" i="1"/>
  <c r="K90" i="1"/>
  <c r="G92" i="1"/>
  <c r="H92" i="1"/>
  <c r="I92" i="1"/>
  <c r="J92" i="1"/>
  <c r="K92" i="1"/>
  <c r="H117" i="1"/>
  <c r="I117" i="1"/>
  <c r="J117" i="1"/>
  <c r="K117" i="1"/>
  <c r="G118" i="1"/>
  <c r="H118" i="1"/>
  <c r="I118" i="1"/>
  <c r="J118" i="1"/>
  <c r="K118" i="1"/>
  <c r="G119" i="1"/>
  <c r="H119" i="1"/>
  <c r="I119" i="1"/>
  <c r="J119" i="1"/>
  <c r="K119" i="1"/>
  <c r="G121" i="1"/>
  <c r="H121" i="1"/>
  <c r="I121" i="1"/>
  <c r="J121" i="1"/>
  <c r="K121" i="1"/>
  <c r="H128" i="1"/>
  <c r="I128" i="1"/>
  <c r="J128" i="1"/>
  <c r="K128" i="1"/>
  <c r="G130" i="1"/>
  <c r="H130" i="1"/>
  <c r="I130" i="1"/>
  <c r="J130" i="1"/>
  <c r="K130" i="1"/>
  <c r="G131" i="1"/>
  <c r="H131" i="1"/>
  <c r="I131" i="1"/>
  <c r="J131" i="1"/>
  <c r="K131" i="1"/>
  <c r="H134" i="1"/>
  <c r="I134" i="1"/>
  <c r="J134" i="1"/>
  <c r="K134" i="1"/>
  <c r="G135" i="1"/>
  <c r="H135" i="1"/>
  <c r="I135" i="1"/>
  <c r="J135" i="1"/>
  <c r="K135" i="1"/>
  <c r="G137" i="1"/>
  <c r="H137" i="1"/>
  <c r="I137" i="1"/>
  <c r="J137" i="1"/>
  <c r="K137" i="1"/>
  <c r="G138" i="1"/>
  <c r="H138" i="1"/>
  <c r="I138" i="1"/>
  <c r="J138" i="1"/>
  <c r="K138" i="1"/>
  <c r="G144" i="1"/>
  <c r="H144" i="1"/>
  <c r="I144" i="1"/>
  <c r="J144" i="1"/>
  <c r="K144" i="1"/>
  <c r="G148" i="1"/>
  <c r="H148" i="1"/>
  <c r="I148" i="1"/>
  <c r="J148" i="1"/>
  <c r="K148" i="1"/>
  <c r="G149" i="1"/>
  <c r="H149" i="1"/>
  <c r="I149" i="1"/>
  <c r="J149" i="1"/>
  <c r="K149" i="1"/>
  <c r="G158" i="1"/>
  <c r="H158" i="1"/>
  <c r="I158" i="1"/>
  <c r="J158" i="1"/>
  <c r="K158" i="1"/>
  <c r="G164" i="1"/>
  <c r="H164" i="1"/>
  <c r="I164" i="1"/>
  <c r="J164" i="1"/>
  <c r="K164" i="1"/>
  <c r="H165" i="1"/>
  <c r="I165" i="1"/>
  <c r="J165" i="1"/>
  <c r="K165" i="1"/>
  <c r="G166" i="1"/>
  <c r="H166" i="1"/>
  <c r="I166" i="1"/>
  <c r="J166" i="1"/>
  <c r="K166" i="1"/>
  <c r="H168" i="1"/>
  <c r="I168" i="1"/>
  <c r="J168" i="1"/>
  <c r="K168" i="1"/>
  <c r="G169" i="1"/>
  <c r="H169" i="1"/>
  <c r="I169" i="1"/>
  <c r="J169" i="1"/>
  <c r="K169" i="1"/>
  <c r="H173" i="1"/>
  <c r="I173" i="1"/>
  <c r="J173" i="1"/>
  <c r="K173" i="1"/>
  <c r="H174" i="1"/>
  <c r="I174" i="1"/>
  <c r="J174" i="1"/>
  <c r="K174" i="1"/>
  <c r="H177" i="1"/>
  <c r="I177" i="1"/>
  <c r="J177" i="1"/>
  <c r="K17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792A7A81-4615-49D1-8AF9-52008656317F}">
      <text>
        <r>
          <rPr>
            <sz val="9"/>
            <color indexed="81"/>
            <rFont val="Tahoma"/>
            <family val="2"/>
          </rPr>
          <t>Front cover of Apple 2018 10K</t>
        </r>
      </text>
    </comment>
    <comment ref="C50" authorId="0" shapeId="0" xr:uid="{8CE91676-6EBE-4749-8ED5-47A50CCE7EB1}">
      <text>
        <r>
          <rPr>
            <sz val="9"/>
            <color indexed="81"/>
            <rFont val="Tahoma"/>
            <family val="2"/>
          </rPr>
          <t>Includes vendor non-trade receivables</t>
        </r>
      </text>
    </comment>
    <comment ref="C52" authorId="0" shapeId="0" xr:uid="{03A72056-A48D-4BF9-B6BB-7FDE9569B7B5}">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3" authorId="0" shapeId="0" xr:uid="{25E561F6-1F64-4320-BCFA-DF0A69148F1E}">
      <text>
        <r>
          <rPr>
            <sz val="9"/>
            <color indexed="81"/>
            <rFont val="Tahoma"/>
            <family val="2"/>
          </rPr>
          <t>WSP estimate</t>
        </r>
      </text>
    </comment>
    <comment ref="C119" authorId="0" shapeId="0" xr:uid="{035537AD-DC47-48F5-B243-58088961148A}">
      <text>
        <r>
          <rPr>
            <sz val="9"/>
            <color indexed="81"/>
            <rFont val="Tahoma"/>
            <family val="2"/>
          </rPr>
          <t>Statement of shareholders equity schedule, p.41 Apple 2018 10K</t>
        </r>
      </text>
    </comment>
    <comment ref="C120" authorId="0" shapeId="0" xr:uid="{A2CE926B-AEB4-4023-8023-CE896D5C5AC8}">
      <text>
        <r>
          <rPr>
            <sz val="9"/>
            <color indexed="81"/>
            <rFont val="Tahoma"/>
            <family val="2"/>
          </rPr>
          <t>Statement of shareholders equity schedule, p.41 Apple 2018 10K</t>
        </r>
      </text>
    </comment>
    <comment ref="E147" authorId="0" shapeId="0" xr:uid="{647F3BC0-88E4-431D-B352-AFE9E4F642D2}">
      <text>
        <r>
          <rPr>
            <sz val="9"/>
            <color indexed="81"/>
            <rFont val="Tahoma"/>
            <family val="2"/>
          </rPr>
          <t>2018 Note 5 - Debt. 10K p55</t>
        </r>
      </text>
    </comment>
    <comment ref="F147" authorId="0" shapeId="0" xr:uid="{3C3FCC15-717C-4D90-A73C-FD1F17481166}">
      <text>
        <r>
          <rPr>
            <sz val="9"/>
            <color indexed="81"/>
            <rFont val="Tahoma"/>
            <family val="2"/>
          </rPr>
          <t>2018 Note 5 - Debt. 10K p55</t>
        </r>
      </text>
    </comment>
    <comment ref="C153" authorId="0" shapeId="0" xr:uid="{8E52F96C-C7F7-478A-943D-322FB5CC13E7}">
      <text>
        <r>
          <rPr>
            <sz val="9"/>
            <color indexed="81"/>
            <rFont val="Tahoma"/>
            <family val="2"/>
          </rPr>
          <t xml:space="preserve">We estimate the historical interest rate (though not explicitly disclosed by Apple). </t>
        </r>
      </text>
    </comment>
    <comment ref="C154" authorId="0" shapeId="0" xr:uid="{7A8056A5-EB2D-4E14-8BEB-D236F671A2EA}">
      <text>
        <r>
          <rPr>
            <sz val="9"/>
            <color indexed="81"/>
            <rFont val="Tahoma"/>
            <family val="2"/>
          </rPr>
          <t>Although Apple doesn't disclose interest expense specifically, it does disclose the interest rate on commercial paper which enables us to back into interest expense for LTD</t>
        </r>
      </text>
    </comment>
    <comment ref="D157" authorId="0" shapeId="0" xr:uid="{6CAF3666-4CFD-4364-8439-0F9603B06440}">
      <text>
        <r>
          <rPr>
            <sz val="9"/>
            <color indexed="81"/>
            <rFont val="Tahoma"/>
            <family val="2"/>
          </rPr>
          <t>2018 p.27 in the 'Other Income/(Expense), Net' section.</t>
        </r>
      </text>
    </comment>
    <comment ref="E157" authorId="0" shapeId="0" xr:uid="{AE794FFB-0139-4F93-B042-08DF4C72B2B0}">
      <text>
        <r>
          <rPr>
            <sz val="9"/>
            <color indexed="81"/>
            <rFont val="Tahoma"/>
            <family val="2"/>
          </rPr>
          <t>2018 p.27 in the 'Other Income/(Expense), Net' section.</t>
        </r>
      </text>
    </comment>
    <comment ref="F157" authorId="0" shapeId="0" xr:uid="{38851720-6585-452E-8CD5-200B4904453F}">
      <text>
        <r>
          <rPr>
            <sz val="9"/>
            <color indexed="81"/>
            <rFont val="Tahoma"/>
            <family val="2"/>
          </rPr>
          <t>2018 p.27 in the 'Other Income/(Expense), Net' section.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G99" authorId="0" shapeId="0" xr:uid="{6E6A908B-7154-4079-872F-8D5A3853C830}">
      <text>
        <r>
          <rPr>
            <b/>
            <sz val="9"/>
            <color indexed="81"/>
            <rFont val="Tahoma"/>
            <family val="2"/>
          </rPr>
          <t>Matan Feldman:</t>
        </r>
        <r>
          <rPr>
            <sz val="9"/>
            <color indexed="81"/>
            <rFont val="Tahoma"/>
            <family val="2"/>
          </rPr>
          <t xml:space="preserve">
consensus per 1/2/19 source CIQ</t>
        </r>
      </text>
    </comment>
    <comment ref="H99" authorId="0" shapeId="0" xr:uid="{8F3B5971-DA7F-4B45-8D81-E55C1A6D581E}">
      <text>
        <r>
          <rPr>
            <b/>
            <sz val="9"/>
            <color indexed="81"/>
            <rFont val="Tahoma"/>
            <family val="2"/>
          </rPr>
          <t>Matan Feldman:</t>
        </r>
        <r>
          <rPr>
            <sz val="9"/>
            <color indexed="81"/>
            <rFont val="Tahoma"/>
            <family val="2"/>
          </rPr>
          <t xml:space="preserve">
consensus per 1/2/19 source CIQ</t>
        </r>
      </text>
    </comment>
    <comment ref="M103" authorId="0" shapeId="0" xr:uid="{4C74C6FD-7B4A-43F1-842F-6784AC67FA9B}">
      <text>
        <r>
          <rPr>
            <sz val="9"/>
            <color indexed="81"/>
            <rFont val="Tahoma"/>
            <family val="2"/>
          </rPr>
          <t>WSP estimate</t>
        </r>
      </text>
    </comment>
    <comment ref="C119" authorId="0" shapeId="0" xr:uid="{3A758A67-74C8-41B3-BA63-D09D9AF6A948}">
      <text>
        <r>
          <rPr>
            <sz val="9"/>
            <color indexed="81"/>
            <rFont val="Tahoma"/>
            <family val="2"/>
          </rPr>
          <t>Statement of shareholders equity schedule, p.41 Apple 2018 10K</t>
        </r>
      </text>
    </comment>
    <comment ref="C120" authorId="0" shapeId="0" xr:uid="{6C77543D-1D86-4469-A984-367DE2C4FFF8}">
      <text>
        <r>
          <rPr>
            <sz val="9"/>
            <color indexed="81"/>
            <rFont val="Tahoma"/>
            <family val="2"/>
          </rPr>
          <t>Statement of shareholders equity schedule, p.41 Apple 2018 10K</t>
        </r>
      </text>
    </comment>
    <comment ref="D147" authorId="0" shapeId="0" xr:uid="{ABDCBA3B-1B4B-48D0-8E91-A1FF2FEF8712}">
      <text>
        <r>
          <rPr>
            <sz val="9"/>
            <color indexed="81"/>
            <rFont val="Tahoma"/>
            <family val="2"/>
          </rPr>
          <t>2018 Note 5 - Debt. 10K p55</t>
        </r>
      </text>
    </comment>
    <comment ref="E147" authorId="0" shapeId="0" xr:uid="{397006C9-033E-47F4-B7ED-FC0049685F1B}">
      <text>
        <r>
          <rPr>
            <b/>
            <sz val="9"/>
            <color indexed="81"/>
            <rFont val="Tahoma"/>
            <family val="2"/>
          </rPr>
          <t>Matan Feldman:</t>
        </r>
        <r>
          <rPr>
            <sz val="9"/>
            <color indexed="81"/>
            <rFont val="Tahoma"/>
            <family val="2"/>
          </rPr>
          <t xml:space="preserve">
2019 10k p.47</t>
        </r>
      </text>
    </comment>
    <comment ref="F147" authorId="0" shapeId="0" xr:uid="{334DFBEC-3047-450D-AEB1-59FCBD3E9F6B}">
      <text>
        <r>
          <rPr>
            <b/>
            <sz val="9"/>
            <color indexed="81"/>
            <rFont val="Tahoma"/>
            <family val="2"/>
          </rPr>
          <t>Matan Feldman:</t>
        </r>
        <r>
          <rPr>
            <sz val="9"/>
            <color indexed="81"/>
            <rFont val="Tahoma"/>
            <family val="2"/>
          </rPr>
          <t xml:space="preserve">
2019 10k p.47</t>
        </r>
      </text>
    </comment>
    <comment ref="C153" authorId="0" shapeId="0" xr:uid="{C878D2D9-0CD3-4492-8BA1-F0951DC1FEB4}">
      <text>
        <r>
          <rPr>
            <sz val="9"/>
            <color indexed="81"/>
            <rFont val="Tahoma"/>
            <family val="2"/>
          </rPr>
          <t xml:space="preserve">We estimate the historical interest rate (though not explicitly disclosed by Apple). </t>
        </r>
      </text>
    </comment>
    <comment ref="C154" authorId="0" shapeId="0" xr:uid="{8A86929A-57E9-48E2-A126-A5722FD08D33}">
      <text>
        <r>
          <rPr>
            <sz val="9"/>
            <color indexed="81"/>
            <rFont val="Tahoma"/>
            <family val="2"/>
          </rPr>
          <t>Although Apple doesn't disclose interest expense specifically, it does disclose the interest rate on commercial paper which enables us to back into interest expense for LTD</t>
        </r>
      </text>
    </comment>
    <comment ref="D157" authorId="0" shapeId="0" xr:uid="{1B0C31B2-3911-4547-90FE-761249472713}">
      <text>
        <r>
          <rPr>
            <sz val="9"/>
            <color indexed="81"/>
            <rFont val="Tahoma"/>
            <family val="2"/>
          </rPr>
          <t>2018 p.27 in the 'Other Income/(Expense), Net' section.</t>
        </r>
      </text>
    </comment>
    <comment ref="E157" authorId="0" shapeId="0" xr:uid="{3CC21265-D6C3-4FD5-BCA6-2EBBDB139F13}">
      <text>
        <r>
          <rPr>
            <b/>
            <sz val="9"/>
            <color indexed="81"/>
            <rFont val="Tahoma"/>
            <family val="2"/>
          </rPr>
          <t>Matan Feldman:</t>
        </r>
        <r>
          <rPr>
            <sz val="9"/>
            <color indexed="81"/>
            <rFont val="Tahoma"/>
            <family val="2"/>
          </rPr>
          <t xml:space="preserve">
2019 10k p.22</t>
        </r>
      </text>
    </comment>
    <comment ref="F157" authorId="0" shapeId="0" xr:uid="{D0131A04-8AC5-4C98-A6F1-7803A3A3E7AB}">
      <text>
        <r>
          <rPr>
            <b/>
            <sz val="9"/>
            <color indexed="81"/>
            <rFont val="Tahoma"/>
            <family val="2"/>
          </rPr>
          <t>Matan Feldman:</t>
        </r>
        <r>
          <rPr>
            <sz val="9"/>
            <color indexed="81"/>
            <rFont val="Tahoma"/>
            <family val="2"/>
          </rPr>
          <t xml:space="preserve">
2019 10k p.22</t>
        </r>
      </text>
    </comment>
    <comment ref="C168" authorId="0" shapeId="0" xr:uid="{A832C1D7-FC98-46B3-ACA7-5B71E831174E}">
      <text>
        <r>
          <rPr>
            <sz val="9"/>
            <color indexed="81"/>
            <rFont val="Tahoma"/>
            <family val="2"/>
          </rPr>
          <t>We straight line last actual year's dilutive securities (calculated as diluted - basic shares) and add this number to the basic share count to arrive at diluted shares</t>
        </r>
      </text>
    </comment>
    <comment ref="C172" authorId="0" shapeId="0" xr:uid="{23BF8F2F-8B41-47AB-866A-B65640C75706}">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simplicity, we are using the SBC expense as a proxy for the current value of common stock issuance.</t>
        </r>
      </text>
    </comment>
    <comment ref="G173" authorId="0" shapeId="0" xr:uid="{35B6BA47-9C5D-4A3C-ABBB-31D75DB15546}">
      <text>
        <r>
          <rPr>
            <sz val="9"/>
            <color indexed="81"/>
            <rFont val="Tahoma"/>
            <family val="2"/>
          </rPr>
          <t xml:space="preserve">Use latest share count or last 12 month average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Wall Street Prep</author>
  </authors>
  <commentList>
    <comment ref="D7" authorId="0" shapeId="0" xr:uid="{853953E1-F17E-4837-902D-3F618D762338}">
      <text>
        <r>
          <rPr>
            <b/>
            <sz val="9"/>
            <color indexed="81"/>
            <rFont val="Tahoma"/>
            <family val="2"/>
          </rPr>
          <t>Matan Feldman:</t>
        </r>
        <r>
          <rPr>
            <sz val="9"/>
            <color indexed="81"/>
            <rFont val="Tahoma"/>
            <family val="2"/>
          </rPr>
          <t xml:space="preserve">
In practice can use the NOW() function to keep current date active</t>
        </r>
      </text>
    </comment>
    <comment ref="H7" authorId="0" shapeId="0" xr:uid="{E4FF4073-C062-467A-9D4A-0AF37EC55040}">
      <text>
        <r>
          <rPr>
            <b/>
            <sz val="9"/>
            <color indexed="81"/>
            <rFont val="Tahoma"/>
            <family val="2"/>
          </rPr>
          <t>Matan Feldman:</t>
        </r>
        <r>
          <rPr>
            <sz val="9"/>
            <color indexed="81"/>
            <rFont val="Tahoma"/>
            <family val="2"/>
          </rPr>
          <t xml:space="preserve">
Midyear convention? (1=Yes,0=No)</t>
        </r>
      </text>
    </comment>
    <comment ref="B23" authorId="0" shapeId="0" xr:uid="{63F7DD08-8540-44D3-955F-55DE5E724661}">
      <text>
        <r>
          <rPr>
            <b/>
            <sz val="9"/>
            <color indexed="81"/>
            <rFont val="Tahoma"/>
            <family val="2"/>
          </rPr>
          <t>Matan Feldman:</t>
        </r>
        <r>
          <rPr>
            <sz val="9"/>
            <color indexed="81"/>
            <rFont val="Tahoma"/>
            <family val="2"/>
          </rPr>
          <t xml:space="preserve">
NOPAT stands for net operating profit after taxes.  It represents a company's operating profits less tax expense on operations.  This means that the tax deductions due to interest expense are ignored in this buildup and are instead captured in the discount rate.</t>
        </r>
      </text>
    </comment>
    <comment ref="E38" authorId="0" shapeId="0" xr:uid="{17E10637-FEB2-44A6-8F3E-EAA4F7038FB5}">
      <text>
        <r>
          <rPr>
            <b/>
            <sz val="9"/>
            <color indexed="81"/>
            <rFont val="Tahoma"/>
            <family val="2"/>
          </rPr>
          <t>Matan Feldman:</t>
        </r>
        <r>
          <rPr>
            <sz val="9"/>
            <color indexed="81"/>
            <rFont val="Tahoma"/>
            <family val="2"/>
          </rPr>
          <t xml:space="preserve">
Stub year adjusted</t>
        </r>
      </text>
    </comment>
    <comment ref="I51" authorId="1" shapeId="0" xr:uid="{055AF01C-F7BA-4862-A36D-8B518280D9B8}">
      <text>
        <r>
          <rPr>
            <b/>
            <sz val="9"/>
            <color indexed="81"/>
            <rFont val="Tahoma"/>
            <family val="2"/>
          </rPr>
          <t>Wall Street Prep:</t>
        </r>
        <r>
          <rPr>
            <sz val="9"/>
            <color indexed="81"/>
            <rFont val="Tahoma"/>
            <family val="2"/>
          </rPr>
          <t xml:space="preserve">
Implied g = [r -FCF(t)/TV]/(1+FCF(t)/TV)</t>
        </r>
      </text>
    </comment>
    <comment ref="I57" authorId="0" shapeId="0" xr:uid="{32453A56-C9DE-4931-AFFF-54839F313417}">
      <text>
        <r>
          <rPr>
            <b/>
            <sz val="9"/>
            <color indexed="81"/>
            <rFont val="Tahoma"/>
            <family val="2"/>
          </rPr>
          <t>Matan Feldman:</t>
        </r>
        <r>
          <rPr>
            <sz val="9"/>
            <color indexed="81"/>
            <rFont val="Tahoma"/>
            <family val="2"/>
          </rPr>
          <t xml:space="preserve">
Source: Q1 2020 10Q p.19 </t>
        </r>
      </text>
    </comment>
    <comment ref="B62" authorId="0" shapeId="0" xr:uid="{E9590E70-9EB9-4A6D-8C22-EFA28FB5F021}">
      <text>
        <r>
          <rPr>
            <b/>
            <sz val="9"/>
            <color indexed="81"/>
            <rFont val="Tahoma"/>
            <family val="2"/>
          </rPr>
          <t>Matan Feldman:</t>
        </r>
        <r>
          <rPr>
            <sz val="9"/>
            <color indexed="81"/>
            <rFont val="Tahoma"/>
            <family val="2"/>
          </rPr>
          <t xml:space="preserve">
Include cash &amp; equivalents, short term and long term marketable securites and investments</t>
        </r>
      </text>
    </comment>
  </commentList>
</comments>
</file>

<file path=xl/sharedStrings.xml><?xml version="1.0" encoding="utf-8"?>
<sst xmlns="http://schemas.openxmlformats.org/spreadsheetml/2006/main" count="457" uniqueCount="239">
  <si>
    <t>$ mm except per share</t>
  </si>
  <si>
    <t>Company name</t>
  </si>
  <si>
    <t>Apple</t>
  </si>
  <si>
    <t>Ticker</t>
  </si>
  <si>
    <t>AAPL</t>
  </si>
  <si>
    <t>Circ break 1=off, 0=on</t>
  </si>
  <si>
    <t>Latest closing share price</t>
  </si>
  <si>
    <t>Latest closing share price date</t>
  </si>
  <si>
    <t>Latest fiscal year end date</t>
  </si>
  <si>
    <t>Shares outstanding (millions)</t>
  </si>
  <si>
    <t>x</t>
  </si>
  <si>
    <t>INCOME STATEMENT</t>
  </si>
  <si>
    <t xml:space="preserve">Fiscal year  </t>
  </si>
  <si>
    <t>Fiscal year end date</t>
  </si>
  <si>
    <t>Revenue</t>
  </si>
  <si>
    <t>Cost of sales (enter as -)</t>
  </si>
  <si>
    <t>Gross Profit</t>
  </si>
  <si>
    <t>Research &amp; development (enter as -)</t>
  </si>
  <si>
    <t>Sales &amp; Marketing Expenses</t>
  </si>
  <si>
    <t>Selling, general &amp; administrative (enter as -)</t>
  </si>
  <si>
    <t>Operating profit (EBIT)</t>
  </si>
  <si>
    <t>Interest income</t>
  </si>
  <si>
    <t>Interest expense (enter as -)</t>
  </si>
  <si>
    <t>Other expense, net (enter as -)</t>
  </si>
  <si>
    <t>Pretax profit</t>
  </si>
  <si>
    <t>Taxes (enter expense as -)</t>
  </si>
  <si>
    <t>Net income</t>
  </si>
  <si>
    <t>Depreciation &amp; amortization</t>
  </si>
  <si>
    <t>EBITDA</t>
  </si>
  <si>
    <t>Stock based compensation</t>
  </si>
  <si>
    <t>Adjusted EBITDA</t>
  </si>
  <si>
    <t>Growth rates &amp; margins</t>
  </si>
  <si>
    <t>Revenue growth</t>
  </si>
  <si>
    <t>COGS % of Sales</t>
  </si>
  <si>
    <t>R&amp;D % of sales</t>
  </si>
  <si>
    <t>S&amp;M % of sales</t>
  </si>
  <si>
    <t>SG&amp;A % of sales</t>
  </si>
  <si>
    <t>Tax rate</t>
  </si>
  <si>
    <t>BALANCE SHEET</t>
  </si>
  <si>
    <t>Cash &amp; equivalents, ST and LT marketable securities</t>
  </si>
  <si>
    <t>Accounts receivable</t>
  </si>
  <si>
    <t>Inventories</t>
  </si>
  <si>
    <t>Operating &amp; Finance Lease</t>
  </si>
  <si>
    <t>Property, plant &amp; equipment</t>
  </si>
  <si>
    <t>Other non current assets</t>
  </si>
  <si>
    <t>Total assets</t>
  </si>
  <si>
    <t>Accounts payable</t>
  </si>
  <si>
    <t>Other current liabilities</t>
  </si>
  <si>
    <t>Deferred revenue (current and non current)</t>
  </si>
  <si>
    <t>Commercial paper / revolver</t>
  </si>
  <si>
    <t>Long term debt (includes current portion)</t>
  </si>
  <si>
    <t>Other non current liabilities</t>
  </si>
  <si>
    <t>Total liabilities</t>
  </si>
  <si>
    <t>Common stock</t>
  </si>
  <si>
    <t xml:space="preserve">Retained earnings </t>
  </si>
  <si>
    <t>Other comprehensive income</t>
  </si>
  <si>
    <t>Total equity</t>
  </si>
  <si>
    <t>Balance check</t>
  </si>
  <si>
    <t>CASH FLOW STATEMENT</t>
  </si>
  <si>
    <t>Depreciation and amortization</t>
  </si>
  <si>
    <t>Decreases / (Increases) in working capital assets</t>
  </si>
  <si>
    <t>Increases / (Decreases) in working capital liabilities</t>
  </si>
  <si>
    <t>Cash from operating activities</t>
  </si>
  <si>
    <t>Capital expenditures</t>
  </si>
  <si>
    <t>Cash from investing activities</t>
  </si>
  <si>
    <t>Long term debt</t>
  </si>
  <si>
    <t>Revolver</t>
  </si>
  <si>
    <t>Share repurchases</t>
  </si>
  <si>
    <t>Common dividends</t>
  </si>
  <si>
    <t>Cash from financing activities</t>
  </si>
  <si>
    <t>Net change in cash during period</t>
  </si>
  <si>
    <t>PROPERTY, PLANT &amp; EQUIPMENT</t>
  </si>
  <si>
    <t>Forecast</t>
  </si>
  <si>
    <t>Beginning of period</t>
  </si>
  <si>
    <t>Plus: Capital expenditures</t>
  </si>
  <si>
    <t>Less: Depreciation</t>
  </si>
  <si>
    <t>End of period</t>
  </si>
  <si>
    <t>Step</t>
  </si>
  <si>
    <t>D&amp;A related to PP&amp;E as a % of capex</t>
  </si>
  <si>
    <t>IMPUTING TOTAL DEPRECIATION &amp; AMORTIZATION</t>
  </si>
  <si>
    <r>
      <t xml:space="preserve">D&amp;A </t>
    </r>
    <r>
      <rPr>
        <u/>
        <sz val="11"/>
        <color theme="1"/>
        <rFont val="Calibri"/>
        <family val="2"/>
        <scheme val="minor"/>
      </rPr>
      <t>not</t>
    </r>
    <r>
      <rPr>
        <sz val="11"/>
        <color theme="1"/>
        <rFont val="Calibri"/>
        <family val="2"/>
        <scheme val="minor"/>
      </rPr>
      <t xml:space="preserve"> related to PP&amp;E</t>
    </r>
  </si>
  <si>
    <t>as % of revenue</t>
  </si>
  <si>
    <t xml:space="preserve">Depreciation &amp; Amortization - Total </t>
  </si>
  <si>
    <t>OTHER NON-CURRENT ASSETS</t>
  </si>
  <si>
    <t>Less: Amortization of intangible assets</t>
  </si>
  <si>
    <t xml:space="preserve">Plus: Additions </t>
  </si>
  <si>
    <t>RETAINED EARNINGS</t>
  </si>
  <si>
    <t>Plus: Net income</t>
  </si>
  <si>
    <t>Less: Dividends</t>
  </si>
  <si>
    <t>Less: Repurchases</t>
  </si>
  <si>
    <t>REVOLVER</t>
  </si>
  <si>
    <t>Revolver needs analysis</t>
  </si>
  <si>
    <t>Cash at beginning of period (BOP)</t>
  </si>
  <si>
    <t>Less: Minimum cash balance</t>
  </si>
  <si>
    <t>Plus: Free cash flows generated during period</t>
  </si>
  <si>
    <t>Equals: Cash available (needed) to pay down (draw from) revolver</t>
  </si>
  <si>
    <t>Commercial paper / Revolver</t>
  </si>
  <si>
    <t>Draw / (paydown)</t>
  </si>
  <si>
    <t>Discretionary borrowing / (paydown)</t>
  </si>
  <si>
    <t>Debt balance:</t>
  </si>
  <si>
    <t>INTEREST EXPENSE AND INTEREST INCOME</t>
  </si>
  <si>
    <t>Total interest expense (from I/S)</t>
  </si>
  <si>
    <t>Commercial Paper / Revolver</t>
  </si>
  <si>
    <t>Weighted average interest rate</t>
  </si>
  <si>
    <t>End of period balance (from B/S)</t>
  </si>
  <si>
    <t>Interest expense</t>
  </si>
  <si>
    <t xml:space="preserve">Interest expense </t>
  </si>
  <si>
    <t>Interest rate on cash</t>
  </si>
  <si>
    <t>Weighted average interest rate on cash</t>
  </si>
  <si>
    <t>Select an operating scenario:</t>
  </si>
  <si>
    <t>Weak case</t>
  </si>
  <si>
    <t>Sales and Marketing</t>
  </si>
  <si>
    <t>Gross profit margin</t>
  </si>
  <si>
    <t>Other current assets</t>
  </si>
  <si>
    <t>Deferred revenue (current)</t>
  </si>
  <si>
    <t>Commercial paper/ Revolver</t>
  </si>
  <si>
    <t>REVOLVER (MODEL PLUG)</t>
  </si>
  <si>
    <t>EARNINGS PER SHARE</t>
  </si>
  <si>
    <t xml:space="preserve">Basic shares </t>
  </si>
  <si>
    <t>Basic EPS</t>
  </si>
  <si>
    <t>Diluted Shares</t>
  </si>
  <si>
    <t>Diluted EPS</t>
  </si>
  <si>
    <t>$ amount of shares repurchased</t>
  </si>
  <si>
    <t>$ amount of new shares issued</t>
  </si>
  <si>
    <t>Average share price</t>
  </si>
  <si>
    <t>Share price increase</t>
  </si>
  <si>
    <t>Basic Shares - BOP</t>
  </si>
  <si>
    <t>Reference from latest share count &gt;</t>
  </si>
  <si>
    <t>Net change in basic shares</t>
  </si>
  <si>
    <t>Basic shares - EOP</t>
  </si>
  <si>
    <t>Basic shares - average</t>
  </si>
  <si>
    <t>SCENARIO ANALYSIS</t>
  </si>
  <si>
    <t>Active case:</t>
  </si>
  <si>
    <t xml:space="preserve">Variance from </t>
  </si>
  <si>
    <t>base case</t>
  </si>
  <si>
    <t>Best case</t>
  </si>
  <si>
    <t>Base case</t>
  </si>
  <si>
    <t>NM</t>
  </si>
  <si>
    <t>Discounted Cash Flow Valuation</t>
  </si>
  <si>
    <t>Most recent fiscal year end</t>
  </si>
  <si>
    <t>Discount rate (WACC)</t>
  </si>
  <si>
    <t>End of first fiscal year</t>
  </si>
  <si>
    <t>Share price (Public Co)</t>
  </si>
  <si>
    <t>Source: CIQ</t>
  </si>
  <si>
    <t>Most recent quarter end date</t>
  </si>
  <si>
    <t>Share price date</t>
  </si>
  <si>
    <t xml:space="preserve">Valuation date </t>
  </si>
  <si>
    <t>Midyear adjustment?</t>
  </si>
  <si>
    <t>Portion of First Year Cash Flows</t>
  </si>
  <si>
    <t>Case active:</t>
  </si>
  <si>
    <t>Unlevered Free Cash Flows</t>
  </si>
  <si>
    <t>LTM</t>
  </si>
  <si>
    <t>Actual</t>
  </si>
  <si>
    <t>Forecasts</t>
  </si>
  <si>
    <t>Fiscal year ended</t>
  </si>
  <si>
    <t>% growth</t>
  </si>
  <si>
    <t>% margin</t>
  </si>
  <si>
    <t>EBIT</t>
  </si>
  <si>
    <t>Tax on EBIT</t>
  </si>
  <si>
    <t>NOPAT (aka EBIAT)</t>
  </si>
  <si>
    <t>Changes in net working capital</t>
  </si>
  <si>
    <t>Unlevered free cash flows (UFCF)</t>
  </si>
  <si>
    <t>Net working capital (WC Assets - WC liabilities)</t>
  </si>
  <si>
    <t>Val date</t>
  </si>
  <si>
    <t xml:space="preserve">Yr 1 - Stub </t>
  </si>
  <si>
    <t>Year 2</t>
  </si>
  <si>
    <t>Year 3</t>
  </si>
  <si>
    <t>Year 4</t>
  </si>
  <si>
    <t>Year 5</t>
  </si>
  <si>
    <t>Date for discounting cash flows</t>
  </si>
  <si>
    <t>Unlevered free cash flows (UFCF) stub adjusted</t>
  </si>
  <si>
    <t>&lt;-Stub year counts first year cash flows starting at the valuation date</t>
  </si>
  <si>
    <t>Present value of unlevered free cash flows</t>
  </si>
  <si>
    <t>Terminal value - growth in perpetuity approach</t>
  </si>
  <si>
    <t>Terminal value - EBITDA multiple approach</t>
  </si>
  <si>
    <t>Long term growth rate</t>
  </si>
  <si>
    <t>Terminal year EBITDA</t>
  </si>
  <si>
    <t>EBITDA multiple</t>
  </si>
  <si>
    <t>Present value of terminal value</t>
  </si>
  <si>
    <t>Present value of stage 1 cash flows</t>
  </si>
  <si>
    <t>Total enterprise value (TEV)</t>
  </si>
  <si>
    <t>Enterprise value (stage 1 + 2)</t>
  </si>
  <si>
    <t>Terminal value as % of TEV</t>
  </si>
  <si>
    <t>Stage 1 cash flows as % of TEV</t>
  </si>
  <si>
    <t>Cash flows as % of TEV</t>
  </si>
  <si>
    <t>Implied TV exit EBITDA multiple</t>
  </si>
  <si>
    <t>Implied terminal growth rate</t>
  </si>
  <si>
    <t>Net debt</t>
  </si>
  <si>
    <t>Shares outstanding</t>
  </si>
  <si>
    <t>Source doc</t>
  </si>
  <si>
    <t>Q1 2020 10Q</t>
  </si>
  <si>
    <t>Source date</t>
  </si>
  <si>
    <t>Date</t>
  </si>
  <si>
    <t>Shares</t>
  </si>
  <si>
    <t>Gross debt and equivalents</t>
  </si>
  <si>
    <t>Basic shares</t>
  </si>
  <si>
    <t>Debt</t>
  </si>
  <si>
    <t>Restricted stock / RSUs</t>
  </si>
  <si>
    <t>Convertible debt</t>
  </si>
  <si>
    <t>Options / warrants</t>
  </si>
  <si>
    <t>Preferred stock</t>
  </si>
  <si>
    <t>Noncontrolling (minority) interests</t>
  </si>
  <si>
    <t>Convertible preferred stock</t>
  </si>
  <si>
    <t>Nonoperating assets</t>
  </si>
  <si>
    <t>Net diluted shares outstanding</t>
  </si>
  <si>
    <t xml:space="preserve">Cash </t>
  </si>
  <si>
    <t xml:space="preserve">Equity investments </t>
  </si>
  <si>
    <t>Valuation</t>
  </si>
  <si>
    <t>Perpetuity</t>
  </si>
  <si>
    <t>Enterprise value</t>
  </si>
  <si>
    <t xml:space="preserve">Equity value </t>
  </si>
  <si>
    <t>Equity value per share</t>
  </si>
  <si>
    <t>Last twelve months (LTM)</t>
  </si>
  <si>
    <t>EV / Revenue</t>
  </si>
  <si>
    <t xml:space="preserve">EV / EBITDA </t>
  </si>
  <si>
    <t>EV / EBIT</t>
  </si>
  <si>
    <t>Year 1</t>
  </si>
  <si>
    <t>Outputs</t>
  </si>
  <si>
    <t>LTM EBITDA multiple</t>
  </si>
  <si>
    <t>Long term growth rate (g):</t>
  </si>
  <si>
    <t>WACC:</t>
  </si>
  <si>
    <t xml:space="preserve">Data </t>
  </si>
  <si>
    <t>Tables</t>
  </si>
  <si>
    <t>Exit EBITDA Multiple</t>
  </si>
  <si>
    <t>Equity value range</t>
  </si>
  <si>
    <t>Football field</t>
  </si>
  <si>
    <t>Low</t>
  </si>
  <si>
    <t>Diff.</t>
  </si>
  <si>
    <t>High</t>
  </si>
  <si>
    <t>52 Week Market High/Low</t>
  </si>
  <si>
    <t>Financials</t>
  </si>
  <si>
    <t xml:space="preserve">$ and shares in thousands, except per share data </t>
  </si>
  <si>
    <t xml:space="preserve">Revenue  </t>
  </si>
  <si>
    <t>% Revenue growth</t>
  </si>
  <si>
    <t xml:space="preserve">EBITDA </t>
  </si>
  <si>
    <t>Capex as % of revenue</t>
  </si>
  <si>
    <t xml:space="preserve">Fiscal year ended December 31, </t>
  </si>
  <si>
    <t>FIVN</t>
  </si>
  <si>
    <t>FIVE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</si>
</sst>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7" formatCode="&quot;$&quot;#,##0.00_);\(&quot;$&quot;#,##0.00\)"/>
    <numFmt numFmtId="8" formatCode="&quot;$&quot;#,##0.00_);[Red]\(&quot;$&quot;#,##0.00\)"/>
    <numFmt numFmtId="164" formatCode="0.0%_);\(0.0%\);@_)"/>
    <numFmt numFmtId="165" formatCode="_(#,##0.0%_);\(#,##0.0%\);_(&quot;–&quot;_)_%;_(@_)_%"/>
    <numFmt numFmtId="166" formatCode="0%_);\(0%\);@_)"/>
    <numFmt numFmtId="167" formatCode="m/d/yy;@"/>
    <numFmt numFmtId="168" formatCode="0\P_);\(0\P\)"/>
    <numFmt numFmtId="169" formatCode="_(#,##0_)_%;\(#,##0\)_%;_(&quot;–&quot;_)_%;_(@_)_%"/>
    <numFmt numFmtId="170" formatCode="0\A;[Red]0\A"/>
    <numFmt numFmtId="171" formatCode="_(#,##0.00%_);\(#,##0.00%\);_(&quot;–&quot;_)_%;_(@_)_%"/>
    <numFmt numFmtId="172" formatCode="0.00%_);\(0.00%\);@_)"/>
    <numFmt numFmtId="173" formatCode="0.0%"/>
    <numFmt numFmtId="174" formatCode="#,##0.000_);\(#,##0.000\)"/>
    <numFmt numFmtId="175" formatCode="#,##0.0_);\(#,##0.0\);\-_);@_)"/>
    <numFmt numFmtId="176" formatCode="0.0\x_);\(0.0\x\);@_)"/>
    <numFmt numFmtId="177" formatCode="#,##0.00_);\(#,##0.00\);\-_);@_)"/>
    <numFmt numFmtId="178" formatCode="&quot;$&quot;#,##0.00_);\(&quot;$&quot;#,##0.00\);@_)"/>
    <numFmt numFmtId="179" formatCode="_(0.0_)_'_x;_(\(0.0\)_';_(&quot;–&quot;_)_%;_(@_)_%"/>
    <numFmt numFmtId="180" formatCode="_(0.0\x_);_(\(0.0\x\)_'_';_(&quot;–&quot;_)_%;_(@_)_%"/>
    <numFmt numFmtId="181" formatCode="#,##0_);\(#,##0\);@_)"/>
    <numFmt numFmtId="182" formatCode="#,##0.000_);\(#,##0.000\);@_)"/>
    <numFmt numFmtId="183" formatCode="_([$$]#,##0_)_%;\([$$]#,##0\)_%;_(&quot;–&quot;_)_%;_(@_)_%"/>
    <numFmt numFmtId="184" formatCode="#,##0.000_);\(#,##0.000\);0.000_);@_)"/>
    <numFmt numFmtId="185" formatCode="0.000%_);\(0.000%\);@_)"/>
    <numFmt numFmtId="186" formatCode="0000\P"/>
    <numFmt numFmtId="187" formatCode="#,##0.0%_);\(#,##0.0%\);_(0.0%_);@_)"/>
    <numFmt numFmtId="188" formatCode="0000\A"/>
  </numFmts>
  <fonts count="32" x14ac:knownFonts="1">
    <font>
      <sz val="11"/>
      <color theme="1"/>
      <name val="Calibri"/>
      <family val="2"/>
      <scheme val="minor"/>
    </font>
    <font>
      <b/>
      <sz val="11"/>
      <color theme="1"/>
      <name val="Calibri"/>
      <family val="2"/>
      <scheme val="minor"/>
    </font>
    <font>
      <sz val="11"/>
      <color rgb="FF000000"/>
      <name val="Calibri"/>
      <family val="2"/>
      <scheme val="minor"/>
    </font>
    <font>
      <sz val="11"/>
      <color rgb="FF0000FF"/>
      <name val="Calibri"/>
      <family val="2"/>
      <scheme val="minor"/>
    </font>
    <font>
      <i/>
      <sz val="11"/>
      <color rgb="FF000000"/>
      <name val="Calibri"/>
      <family val="2"/>
      <scheme val="minor"/>
    </font>
    <font>
      <b/>
      <sz val="9"/>
      <color theme="1"/>
      <name val="Calibri"/>
      <family val="2"/>
      <scheme val="minor"/>
    </font>
    <font>
      <b/>
      <sz val="11"/>
      <color rgb="FF000000"/>
      <name val="Calibri"/>
      <family val="2"/>
      <scheme val="minor"/>
    </font>
    <font>
      <u/>
      <sz val="11"/>
      <color theme="1"/>
      <name val="Calibri"/>
      <family val="2"/>
      <scheme val="minor"/>
    </font>
    <font>
      <i/>
      <sz val="11"/>
      <color theme="1"/>
      <name val="Calibri"/>
      <family val="2"/>
      <scheme val="minor"/>
    </font>
    <font>
      <sz val="11"/>
      <color rgb="FF000000"/>
      <name val="Times New Roman"/>
      <family val="1"/>
    </font>
    <font>
      <sz val="11"/>
      <name val="Calibri"/>
      <family val="2"/>
      <scheme val="minor"/>
    </font>
    <font>
      <b/>
      <u/>
      <sz val="11"/>
      <color theme="1"/>
      <name val="Calibri"/>
      <family val="2"/>
      <scheme val="minor"/>
    </font>
    <font>
      <sz val="8"/>
      <color rgb="FFFF0000"/>
      <name val="Calibri"/>
      <family val="2"/>
      <scheme val="minor"/>
    </font>
    <font>
      <sz val="9"/>
      <color rgb="FF008000"/>
      <name val="Calibri"/>
      <family val="2"/>
      <scheme val="minor"/>
    </font>
    <font>
      <i/>
      <sz val="11"/>
      <color rgb="FF0000FF"/>
      <name val="Calibri"/>
      <family val="2"/>
      <scheme val="minor"/>
    </font>
    <font>
      <i/>
      <sz val="9"/>
      <color rgb="FF000000"/>
      <name val="Calibri"/>
      <family val="2"/>
      <scheme val="minor"/>
    </font>
    <font>
      <b/>
      <sz val="16"/>
      <color theme="1"/>
      <name val="Calibri"/>
      <family val="2"/>
      <scheme val="minor"/>
    </font>
    <font>
      <sz val="9"/>
      <color indexed="81"/>
      <name val="Tahoma"/>
      <family val="2"/>
    </font>
    <font>
      <b/>
      <sz val="9"/>
      <color indexed="81"/>
      <name val="Tahoma"/>
      <family val="2"/>
    </font>
    <font>
      <u val="singleAccounting"/>
      <sz val="11"/>
      <color theme="1"/>
      <name val="Calibri"/>
      <family val="2"/>
      <scheme val="minor"/>
    </font>
    <font>
      <b/>
      <u val="singleAccounting"/>
      <sz val="11"/>
      <color theme="1"/>
      <name val="Calibri"/>
      <family val="2"/>
      <scheme val="minor"/>
    </font>
    <font>
      <u/>
      <sz val="11"/>
      <color rgb="FF0000FF"/>
      <name val="Calibri"/>
      <family val="2"/>
      <scheme val="minor"/>
    </font>
    <font>
      <sz val="11"/>
      <color rgb="FF008000"/>
      <name val="Calibri"/>
      <family val="2"/>
      <scheme val="minor"/>
    </font>
    <font>
      <u val="singleAccounting"/>
      <sz val="11"/>
      <color rgb="FF000000"/>
      <name val="Calibri"/>
      <family val="2"/>
      <scheme val="minor"/>
    </font>
    <font>
      <u/>
      <sz val="11"/>
      <color theme="10"/>
      <name val="Calibri"/>
      <family val="2"/>
      <scheme val="minor"/>
    </font>
    <font>
      <b/>
      <u/>
      <sz val="11"/>
      <color rgb="FF0070C0"/>
      <name val="Calibri"/>
      <family val="2"/>
      <scheme val="minor"/>
    </font>
    <font>
      <sz val="10"/>
      <name val="Times New Roman"/>
      <family val="1"/>
    </font>
    <font>
      <sz val="16"/>
      <color theme="1"/>
      <name val="Calibri"/>
      <family val="2"/>
      <scheme val="minor"/>
    </font>
    <font>
      <b/>
      <sz val="11"/>
      <color rgb="FF0000FF"/>
      <name val="Calibri"/>
      <family val="2"/>
      <scheme val="minor"/>
    </font>
    <font>
      <i/>
      <sz val="10"/>
      <color theme="1"/>
      <name val="Calibri"/>
      <family val="2"/>
      <scheme val="minor"/>
    </font>
    <font>
      <sz val="8"/>
      <color theme="1"/>
      <name val="Calibri"/>
      <family val="2"/>
      <scheme val="minor"/>
    </font>
    <font>
      <i/>
      <u/>
      <sz val="11"/>
      <color rgb="FF000000"/>
      <name val="Calibri"/>
      <family val="2"/>
      <scheme val="minor"/>
    </font>
  </fonts>
  <fills count="9">
    <fill>
      <patternFill patternType="none"/>
    </fill>
    <fill>
      <patternFill patternType="gray125"/>
    </fill>
    <fill>
      <patternFill patternType="solid">
        <fgColor rgb="FFFCE5CD"/>
        <bgColor indexed="64"/>
      </patternFill>
    </fill>
    <fill>
      <patternFill patternType="solid">
        <fgColor rgb="FFC0C0C0"/>
        <bgColor indexed="64"/>
      </patternFill>
    </fill>
    <fill>
      <patternFill patternType="solid">
        <fgColor rgb="FFCCFFFF"/>
        <bgColor indexed="64"/>
      </patternFill>
    </fill>
    <fill>
      <patternFill patternType="solid">
        <fgColor rgb="FFD2F2FF"/>
        <bgColor rgb="FF000000"/>
      </patternFill>
    </fill>
    <fill>
      <patternFill patternType="solid">
        <fgColor rgb="FFC9DAF8"/>
        <bgColor rgb="FF000000"/>
      </patternFill>
    </fill>
    <fill>
      <patternFill patternType="solid">
        <fgColor rgb="FFC9DAF8"/>
        <bgColor indexed="64"/>
      </patternFill>
    </fill>
    <fill>
      <patternFill patternType="solid">
        <fgColor rgb="FFFFFF00"/>
        <bgColor indexed="64"/>
      </patternFill>
    </fill>
  </fills>
  <borders count="31">
    <border>
      <left/>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top style="hair">
        <color rgb="FF000000"/>
      </top>
      <bottom/>
      <diagonal/>
    </border>
    <border>
      <left/>
      <right/>
      <top/>
      <bottom style="hair">
        <color rgb="FF000000"/>
      </bottom>
      <diagonal/>
    </border>
    <border>
      <left/>
      <right/>
      <top style="thin">
        <color rgb="FF000000"/>
      </top>
      <bottom/>
      <diagonal/>
    </border>
    <border>
      <left/>
      <right/>
      <top style="hair">
        <color rgb="FF000000"/>
      </top>
      <bottom style="hair">
        <color rgb="FF000000"/>
      </bottom>
      <diagonal/>
    </border>
    <border>
      <left style="hair">
        <color rgb="FF000000"/>
      </left>
      <right/>
      <top style="hair">
        <color rgb="FF000000"/>
      </top>
      <bottom style="hair">
        <color rgb="FF000000"/>
      </bottom>
      <diagonal/>
    </border>
    <border>
      <left/>
      <right/>
      <top/>
      <bottom style="thin">
        <color auto="1"/>
      </bottom>
      <diagonal/>
    </border>
    <border>
      <left style="hair">
        <color rgb="FF000000"/>
      </left>
      <right style="hair">
        <color rgb="FF000000"/>
      </right>
      <top style="hair">
        <color rgb="FF000000"/>
      </top>
      <bottom style="hair">
        <color rgb="FF000000"/>
      </bottom>
      <diagonal/>
    </border>
    <border>
      <left/>
      <right/>
      <top style="medium">
        <color rgb="FF000000"/>
      </top>
      <bottom/>
      <diagonal/>
    </border>
    <border>
      <left/>
      <right/>
      <top style="medium">
        <color rgb="FF000000"/>
      </top>
      <bottom style="medium">
        <color rgb="FF000000"/>
      </bottom>
      <diagonal/>
    </border>
    <border>
      <left style="hair">
        <color rgb="FF000000"/>
      </left>
      <right/>
      <top/>
      <bottom/>
      <diagonal/>
    </border>
    <border>
      <left/>
      <right style="thin">
        <color rgb="FF000000"/>
      </right>
      <top/>
      <bottom style="thin">
        <color rgb="FF000000"/>
      </bottom>
      <diagonal/>
    </border>
    <border>
      <left style="hair">
        <color rgb="FF000000"/>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hair">
        <color rgb="FF000000"/>
      </left>
      <right style="hair">
        <color rgb="FF000000"/>
      </right>
      <top/>
      <bottom style="hair">
        <color rgb="FF000000"/>
      </bottom>
      <diagonal/>
    </border>
    <border>
      <left style="hair">
        <color rgb="FF000000"/>
      </left>
      <right style="hair">
        <color rgb="FF000000"/>
      </right>
      <top/>
      <bottom/>
      <diagonal/>
    </border>
    <border>
      <left/>
      <right style="hair">
        <color rgb="FF000000"/>
      </right>
      <top style="hair">
        <color rgb="FF000000"/>
      </top>
      <bottom style="hair">
        <color rgb="FF000000"/>
      </bottom>
      <diagonal/>
    </border>
  </borders>
  <cellStyleXfs count="3">
    <xf numFmtId="0" fontId="0" fillId="0" borderId="0"/>
    <xf numFmtId="0" fontId="24" fillId="0" borderId="0" applyNumberFormat="0" applyFill="0" applyBorder="0" applyAlignment="0" applyProtection="0"/>
    <xf numFmtId="37" fontId="26" fillId="0" borderId="0"/>
  </cellStyleXfs>
  <cellXfs count="238">
    <xf numFmtId="0" fontId="0" fillId="0" borderId="0" xfId="0"/>
    <xf numFmtId="164" fontId="2" fillId="0" borderId="0" xfId="0" applyNumberFormat="1" applyFont="1"/>
    <xf numFmtId="165" fontId="3" fillId="0" borderId="1" xfId="0" applyNumberFormat="1" applyFont="1" applyBorder="1" applyAlignment="1">
      <alignment horizontal="center"/>
    </xf>
    <xf numFmtId="0" fontId="0" fillId="0" borderId="0" xfId="0" applyAlignment="1">
      <alignment horizontal="left" indent="2"/>
    </xf>
    <xf numFmtId="164" fontId="3" fillId="0" borderId="0" xfId="0" applyNumberFormat="1" applyFont="1"/>
    <xf numFmtId="0" fontId="0" fillId="0" borderId="2" xfId="0" applyBorder="1" applyAlignment="1">
      <alignment horizontal="center"/>
    </xf>
    <xf numFmtId="165" fontId="3" fillId="0" borderId="2" xfId="0" applyNumberFormat="1" applyFont="1" applyBorder="1" applyAlignment="1">
      <alignment horizontal="center"/>
    </xf>
    <xf numFmtId="166" fontId="0" fillId="0" borderId="0" xfId="0" applyNumberFormat="1"/>
    <xf numFmtId="0" fontId="1" fillId="0" borderId="0" xfId="0" applyFont="1" applyAlignment="1">
      <alignment horizontal="left" indent="1"/>
    </xf>
    <xf numFmtId="0" fontId="0" fillId="0" borderId="2" xfId="0" applyBorder="1"/>
    <xf numFmtId="164" fontId="0" fillId="0" borderId="0" xfId="0" applyNumberFormat="1"/>
    <xf numFmtId="164" fontId="0" fillId="0" borderId="2" xfId="0" applyNumberFormat="1" applyBorder="1" applyAlignment="1">
      <alignment horizontal="center"/>
    </xf>
    <xf numFmtId="0" fontId="0" fillId="0" borderId="0" xfId="0" applyAlignment="1">
      <alignment horizontal="left" indent="1"/>
    </xf>
    <xf numFmtId="167" fontId="4" fillId="0" borderId="3" xfId="0" applyNumberFormat="1" applyFont="1" applyBorder="1"/>
    <xf numFmtId="0" fontId="5" fillId="0" borderId="4" xfId="0" applyFont="1" applyBorder="1" applyAlignment="1">
      <alignment horizontal="center"/>
    </xf>
    <xf numFmtId="168" fontId="6" fillId="0" borderId="0" xfId="0" applyNumberFormat="1" applyFont="1"/>
    <xf numFmtId="0" fontId="5" fillId="0" borderId="5" xfId="0" applyFont="1" applyBorder="1" applyAlignment="1">
      <alignment horizontal="center"/>
    </xf>
    <xf numFmtId="0" fontId="1" fillId="0" borderId="3" xfId="0" applyFont="1" applyBorder="1"/>
    <xf numFmtId="0" fontId="7" fillId="0" borderId="0" xfId="0" applyFont="1"/>
    <xf numFmtId="37" fontId="1" fillId="0" borderId="0" xfId="0" applyNumberFormat="1" applyFont="1"/>
    <xf numFmtId="0" fontId="1" fillId="0" borderId="0" xfId="0" applyFont="1"/>
    <xf numFmtId="37" fontId="0" fillId="0" borderId="0" xfId="0" applyNumberFormat="1"/>
    <xf numFmtId="37" fontId="1" fillId="0" borderId="6" xfId="0" applyNumberFormat="1" applyFont="1" applyBorder="1"/>
    <xf numFmtId="0" fontId="0" fillId="0" borderId="0" xfId="0" applyAlignment="1">
      <alignment horizontal="right"/>
    </xf>
    <xf numFmtId="9" fontId="2" fillId="0" borderId="0" xfId="0" applyNumberFormat="1" applyFont="1"/>
    <xf numFmtId="8" fontId="0" fillId="0" borderId="0" xfId="0" applyNumberFormat="1"/>
    <xf numFmtId="8" fontId="3" fillId="0" borderId="0" xfId="0" applyNumberFormat="1" applyFont="1"/>
    <xf numFmtId="37" fontId="2" fillId="0" borderId="0" xfId="0" applyNumberFormat="1" applyFont="1"/>
    <xf numFmtId="7" fontId="6" fillId="0" borderId="0" xfId="0" applyNumberFormat="1" applyFont="1"/>
    <xf numFmtId="37" fontId="3" fillId="0" borderId="0" xfId="0" applyNumberFormat="1" applyFont="1"/>
    <xf numFmtId="0" fontId="0" fillId="0" borderId="3" xfId="0" applyBorder="1"/>
    <xf numFmtId="170" fontId="6" fillId="0" borderId="0" xfId="0" applyNumberFormat="1" applyFont="1"/>
    <xf numFmtId="14" fontId="8" fillId="0" borderId="0" xfId="0" applyNumberFormat="1" applyFont="1"/>
    <xf numFmtId="165" fontId="0" fillId="0" borderId="0" xfId="0" applyNumberFormat="1"/>
    <xf numFmtId="37" fontId="2" fillId="0" borderId="0" xfId="0" applyNumberFormat="1" applyFont="1" applyAlignment="1">
      <alignment horizontal="left" indent="1"/>
    </xf>
    <xf numFmtId="171" fontId="2" fillId="0" borderId="0" xfId="0" applyNumberFormat="1" applyFont="1"/>
    <xf numFmtId="172" fontId="3" fillId="0" borderId="0" xfId="0" applyNumberFormat="1" applyFont="1"/>
    <xf numFmtId="10" fontId="3" fillId="0" borderId="0" xfId="0" applyNumberFormat="1" applyFont="1"/>
    <xf numFmtId="0" fontId="7" fillId="0" borderId="0" xfId="0" applyFont="1" applyAlignment="1">
      <alignment horizontal="left" indent="1"/>
    </xf>
    <xf numFmtId="37" fontId="6" fillId="0" borderId="0" xfId="0" applyNumberFormat="1" applyFont="1"/>
    <xf numFmtId="3" fontId="9" fillId="0" borderId="0" xfId="0" applyNumberFormat="1" applyFont="1"/>
    <xf numFmtId="165" fontId="10" fillId="0" borderId="0" xfId="0" applyNumberFormat="1" applyFont="1"/>
    <xf numFmtId="0" fontId="11" fillId="0" borderId="0" xfId="0" applyFont="1" applyAlignment="1">
      <alignment horizontal="left"/>
    </xf>
    <xf numFmtId="37" fontId="6" fillId="0" borderId="7" xfId="0" applyNumberFormat="1" applyFont="1" applyBorder="1"/>
    <xf numFmtId="0" fontId="6" fillId="0" borderId="7" xfId="0" applyFont="1" applyBorder="1" applyAlignment="1">
      <alignment horizontal="left" indent="1"/>
    </xf>
    <xf numFmtId="37" fontId="0" fillId="0" borderId="8" xfId="0" applyNumberFormat="1" applyBorder="1"/>
    <xf numFmtId="0" fontId="0" fillId="0" borderId="8" xfId="0" applyBorder="1" applyAlignment="1">
      <alignment horizontal="left" indent="1"/>
    </xf>
    <xf numFmtId="171" fontId="10" fillId="0" borderId="0" xfId="0" applyNumberFormat="1" applyFont="1"/>
    <xf numFmtId="3" fontId="0" fillId="0" borderId="0" xfId="0" applyNumberFormat="1"/>
    <xf numFmtId="0" fontId="0" fillId="0" borderId="0" xfId="0" applyAlignment="1">
      <alignment horizontal="left"/>
    </xf>
    <xf numFmtId="37" fontId="0" fillId="0" borderId="9" xfId="0" applyNumberFormat="1" applyBorder="1"/>
    <xf numFmtId="9" fontId="3" fillId="0" borderId="3" xfId="0" applyNumberFormat="1" applyFont="1" applyBorder="1"/>
    <xf numFmtId="164" fontId="0" fillId="0" borderId="3" xfId="0" applyNumberFormat="1" applyBorder="1"/>
    <xf numFmtId="37" fontId="12" fillId="0" borderId="0" xfId="0" applyNumberFormat="1" applyFont="1" applyAlignment="1">
      <alignment horizontal="right"/>
    </xf>
    <xf numFmtId="0" fontId="13" fillId="0" borderId="0" xfId="0" applyFont="1" applyAlignment="1">
      <alignment horizontal="center"/>
    </xf>
    <xf numFmtId="37" fontId="12" fillId="0" borderId="10" xfId="0" applyNumberFormat="1" applyFont="1" applyBorder="1" applyAlignment="1">
      <alignment horizontal="right"/>
    </xf>
    <xf numFmtId="0" fontId="0" fillId="0" borderId="10" xfId="0" applyBorder="1"/>
    <xf numFmtId="37" fontId="0" fillId="0" borderId="10" xfId="0" applyNumberFormat="1" applyBorder="1"/>
    <xf numFmtId="0" fontId="13" fillId="0" borderId="11" xfId="0" applyFont="1" applyBorder="1" applyAlignment="1">
      <alignment horizontal="left" indent="2"/>
    </xf>
    <xf numFmtId="37" fontId="1" fillId="0" borderId="8" xfId="0" applyNumberFormat="1" applyFont="1" applyBorder="1"/>
    <xf numFmtId="37" fontId="3" fillId="0" borderId="8" xfId="0" applyNumberFormat="1" applyFont="1" applyBorder="1"/>
    <xf numFmtId="0" fontId="0" fillId="0" borderId="8" xfId="0" applyBorder="1"/>
    <xf numFmtId="0" fontId="0" fillId="0" borderId="8" xfId="0" quotePrefix="1" applyBorder="1" applyAlignment="1">
      <alignment horizontal="left" indent="1"/>
    </xf>
    <xf numFmtId="0" fontId="0" fillId="0" borderId="0" xfId="0" quotePrefix="1" applyAlignment="1">
      <alignment horizontal="left" indent="1"/>
    </xf>
    <xf numFmtId="169" fontId="0" fillId="0" borderId="0" xfId="0" applyNumberFormat="1"/>
    <xf numFmtId="37" fontId="1" fillId="0" borderId="3" xfId="0" applyNumberFormat="1" applyFont="1" applyBorder="1"/>
    <xf numFmtId="37" fontId="1" fillId="0" borderId="3" xfId="0" applyNumberFormat="1" applyFont="1" applyBorder="1" applyAlignment="1">
      <alignment horizontal="left"/>
    </xf>
    <xf numFmtId="37" fontId="2" fillId="0" borderId="8" xfId="0" applyNumberFormat="1" applyFont="1" applyBorder="1"/>
    <xf numFmtId="37" fontId="2" fillId="0" borderId="9" xfId="0" applyNumberFormat="1" applyFont="1" applyBorder="1"/>
    <xf numFmtId="0" fontId="1" fillId="0" borderId="0" xfId="0" applyFont="1" applyAlignment="1">
      <alignment horizontal="left"/>
    </xf>
    <xf numFmtId="164" fontId="2" fillId="0" borderId="3" xfId="0" applyNumberFormat="1" applyFont="1" applyBorder="1"/>
    <xf numFmtId="0" fontId="1" fillId="0" borderId="3" xfId="0" applyFont="1" applyBorder="1" applyAlignment="1">
      <alignment horizontal="left"/>
    </xf>
    <xf numFmtId="165" fontId="3" fillId="0" borderId="0" xfId="0" applyNumberFormat="1" applyFont="1"/>
    <xf numFmtId="0" fontId="1" fillId="0" borderId="9" xfId="0" applyFont="1" applyBorder="1" applyAlignment="1">
      <alignment horizontal="centerContinuous"/>
    </xf>
    <xf numFmtId="167" fontId="8" fillId="0" borderId="3" xfId="0" applyNumberFormat="1" applyFont="1" applyBorder="1"/>
    <xf numFmtId="37" fontId="8" fillId="0" borderId="0" xfId="0" applyNumberFormat="1" applyFont="1"/>
    <xf numFmtId="0" fontId="8" fillId="0" borderId="0" xfId="0" applyFont="1"/>
    <xf numFmtId="4" fontId="0" fillId="0" borderId="0" xfId="0" applyNumberFormat="1"/>
    <xf numFmtId="167" fontId="8" fillId="0" borderId="0" xfId="0" applyNumberFormat="1" applyFont="1"/>
    <xf numFmtId="173" fontId="8" fillId="0" borderId="0" xfId="0" applyNumberFormat="1" applyFont="1"/>
    <xf numFmtId="9" fontId="8" fillId="0" borderId="0" xfId="0" applyNumberFormat="1" applyFont="1"/>
    <xf numFmtId="167" fontId="14" fillId="0" borderId="0" xfId="0" applyNumberFormat="1" applyFont="1"/>
    <xf numFmtId="167" fontId="8" fillId="0" borderId="12" xfId="0" applyNumberFormat="1" applyFont="1" applyBorder="1"/>
    <xf numFmtId="0" fontId="8" fillId="0" borderId="3" xfId="0" applyFont="1" applyBorder="1"/>
    <xf numFmtId="168" fontId="1" fillId="0" borderId="0" xfId="0" applyNumberFormat="1" applyFont="1"/>
    <xf numFmtId="170" fontId="1" fillId="0" borderId="0" xfId="0" applyNumberFormat="1" applyFont="1"/>
    <xf numFmtId="174" fontId="3" fillId="0" borderId="0" xfId="0" applyNumberFormat="1" applyFont="1" applyAlignment="1">
      <alignment horizontal="center"/>
    </xf>
    <xf numFmtId="167" fontId="3" fillId="0" borderId="0" xfId="0" applyNumberFormat="1" applyFont="1" applyAlignment="1">
      <alignment horizontal="center"/>
    </xf>
    <xf numFmtId="0" fontId="2" fillId="0" borderId="0" xfId="0" applyFont="1"/>
    <xf numFmtId="14" fontId="3" fillId="0" borderId="0" xfId="0" applyNumberFormat="1" applyFont="1" applyAlignment="1">
      <alignment horizontal="center"/>
    </xf>
    <xf numFmtId="8" fontId="3" fillId="0" borderId="0" xfId="0" applyNumberFormat="1" applyFont="1" applyAlignment="1">
      <alignment horizontal="center"/>
    </xf>
    <xf numFmtId="169" fontId="3" fillId="2" borderId="13" xfId="0" applyNumberFormat="1" applyFont="1" applyFill="1" applyBorder="1" applyAlignment="1">
      <alignment horizontal="center"/>
    </xf>
    <xf numFmtId="0" fontId="3" fillId="0" borderId="0" xfId="0" applyFont="1" applyAlignment="1">
      <alignment horizontal="center"/>
    </xf>
    <xf numFmtId="0" fontId="0" fillId="0" borderId="14" xfId="0" applyBorder="1"/>
    <xf numFmtId="0" fontId="15" fillId="0" borderId="14" xfId="0" applyFont="1" applyBorder="1"/>
    <xf numFmtId="0" fontId="0" fillId="0" borderId="15" xfId="0" applyBorder="1"/>
    <xf numFmtId="0" fontId="16" fillId="0" borderId="15" xfId="0" applyFont="1" applyBorder="1"/>
    <xf numFmtId="0" fontId="0" fillId="0" borderId="16" xfId="0" applyBorder="1"/>
    <xf numFmtId="39" fontId="2" fillId="0" borderId="17" xfId="0" applyNumberFormat="1" applyFont="1" applyBorder="1"/>
    <xf numFmtId="39" fontId="2" fillId="0" borderId="3" xfId="0" applyNumberFormat="1" applyFont="1" applyBorder="1"/>
    <xf numFmtId="0" fontId="0" fillId="0" borderId="18" xfId="0" applyBorder="1"/>
    <xf numFmtId="0" fontId="0" fillId="0" borderId="19" xfId="0" applyBorder="1"/>
    <xf numFmtId="39" fontId="0" fillId="0" borderId="17" xfId="0" applyNumberFormat="1" applyBorder="1"/>
    <xf numFmtId="39" fontId="0" fillId="0" borderId="3" xfId="0" applyNumberFormat="1" applyBorder="1"/>
    <xf numFmtId="39" fontId="2" fillId="0" borderId="20" xfId="0" applyNumberFormat="1" applyFont="1" applyBorder="1"/>
    <xf numFmtId="39" fontId="2" fillId="0" borderId="0" xfId="0" applyNumberFormat="1" applyFont="1"/>
    <xf numFmtId="0" fontId="0" fillId="0" borderId="21" xfId="0" applyBorder="1"/>
    <xf numFmtId="39" fontId="0" fillId="0" borderId="20" xfId="0" applyNumberFormat="1" applyBorder="1"/>
    <xf numFmtId="39" fontId="0" fillId="0" borderId="0" xfId="0" applyNumberFormat="1"/>
    <xf numFmtId="0" fontId="0" fillId="0" borderId="21" xfId="0" quotePrefix="1" applyBorder="1"/>
    <xf numFmtId="0" fontId="0" fillId="0" borderId="22" xfId="0" applyBorder="1" applyAlignment="1">
      <alignment horizontal="right"/>
    </xf>
    <xf numFmtId="0" fontId="0" fillId="0" borderId="23" xfId="0" applyBorder="1" applyAlignment="1">
      <alignment horizontal="right"/>
    </xf>
    <xf numFmtId="0" fontId="0" fillId="0" borderId="23" xfId="0" applyBorder="1"/>
    <xf numFmtId="0" fontId="0" fillId="0" borderId="24" xfId="0" applyBorder="1"/>
    <xf numFmtId="0" fontId="0" fillId="0" borderId="25" xfId="0" applyBorder="1"/>
    <xf numFmtId="171" fontId="0" fillId="0" borderId="0" xfId="0" applyNumberFormat="1"/>
    <xf numFmtId="0" fontId="1" fillId="3" borderId="0" xfId="0" applyFont="1" applyFill="1"/>
    <xf numFmtId="175" fontId="0" fillId="0" borderId="0" xfId="0" applyNumberFormat="1"/>
    <xf numFmtId="176" fontId="0" fillId="0" borderId="0" xfId="0" applyNumberFormat="1" applyAlignment="1">
      <alignment horizontal="right"/>
    </xf>
    <xf numFmtId="173" fontId="2" fillId="4" borderId="26" xfId="0" applyNumberFormat="1" applyFont="1" applyFill="1" applyBorder="1" applyAlignment="1">
      <alignment horizontal="right"/>
    </xf>
    <xf numFmtId="177" fontId="0" fillId="0" borderId="0" xfId="0" applyNumberFormat="1"/>
    <xf numFmtId="0" fontId="2" fillId="5" borderId="0" xfId="0" applyFont="1" applyFill="1"/>
    <xf numFmtId="173" fontId="2" fillId="4" borderId="27" xfId="0" applyNumberFormat="1" applyFont="1" applyFill="1" applyBorder="1" applyAlignment="1">
      <alignment horizontal="right"/>
    </xf>
    <xf numFmtId="173" fontId="3" fillId="4" borderId="27" xfId="0" applyNumberFormat="1" applyFont="1" applyFill="1" applyBorder="1" applyAlignment="1">
      <alignment horizontal="right"/>
    </xf>
    <xf numFmtId="176" fontId="2" fillId="4" borderId="22" xfId="0" applyNumberFormat="1" applyFont="1" applyFill="1" applyBorder="1"/>
    <xf numFmtId="176" fontId="2" fillId="4" borderId="23" xfId="0" applyNumberFormat="1" applyFont="1" applyFill="1" applyBorder="1"/>
    <xf numFmtId="176" fontId="3" fillId="4" borderId="23" xfId="0" applyNumberFormat="1" applyFont="1" applyFill="1" applyBorder="1"/>
    <xf numFmtId="176" fontId="0" fillId="0" borderId="17" xfId="0" applyNumberFormat="1" applyBorder="1" applyAlignment="1">
      <alignment horizontal="right"/>
    </xf>
    <xf numFmtId="173" fontId="2" fillId="0" borderId="0" xfId="0" applyNumberFormat="1" applyFont="1"/>
    <xf numFmtId="178" fontId="0" fillId="0" borderId="17" xfId="0" applyNumberFormat="1" applyBorder="1"/>
    <xf numFmtId="0" fontId="0" fillId="0" borderId="0" xfId="0" applyAlignment="1">
      <alignment horizontal="centerContinuous"/>
    </xf>
    <xf numFmtId="0" fontId="0" fillId="0" borderId="16" xfId="0" applyBorder="1" applyAlignment="1">
      <alignment horizontal="centerContinuous"/>
    </xf>
    <xf numFmtId="0" fontId="19" fillId="0" borderId="0" xfId="0" applyFont="1" applyAlignment="1">
      <alignment horizontal="centerContinuous"/>
    </xf>
    <xf numFmtId="0" fontId="20" fillId="0" borderId="0" xfId="0" applyFont="1" applyAlignment="1">
      <alignment horizontal="centerContinuous"/>
    </xf>
    <xf numFmtId="0" fontId="19" fillId="0" borderId="16" xfId="0" applyFont="1" applyBorder="1" applyAlignment="1">
      <alignment horizontal="centerContinuous"/>
    </xf>
    <xf numFmtId="0" fontId="6" fillId="5" borderId="0" xfId="0" applyFont="1" applyFill="1" applyAlignment="1">
      <alignment horizontal="center"/>
    </xf>
    <xf numFmtId="173" fontId="2" fillId="4" borderId="22" xfId="0" applyNumberFormat="1" applyFont="1" applyFill="1" applyBorder="1"/>
    <xf numFmtId="173" fontId="2" fillId="4" borderId="23" xfId="0" applyNumberFormat="1" applyFont="1" applyFill="1" applyBorder="1"/>
    <xf numFmtId="173" fontId="3" fillId="4" borderId="23" xfId="0" applyNumberFormat="1" applyFont="1" applyFill="1" applyBorder="1"/>
    <xf numFmtId="173" fontId="2" fillId="4" borderId="25" xfId="0" applyNumberFormat="1" applyFont="1" applyFill="1" applyBorder="1"/>
    <xf numFmtId="178" fontId="0" fillId="0" borderId="3" xfId="0" applyNumberFormat="1" applyBorder="1" applyAlignment="1">
      <alignment horizontal="right"/>
    </xf>
    <xf numFmtId="0" fontId="1" fillId="0" borderId="8" xfId="0" applyFont="1" applyBorder="1"/>
    <xf numFmtId="179" fontId="0" fillId="0" borderId="0" xfId="0" applyNumberFormat="1" applyAlignment="1">
      <alignment horizontal="right"/>
    </xf>
    <xf numFmtId="180" fontId="0" fillId="6" borderId="0" xfId="0" applyNumberFormat="1" applyFill="1" applyAlignment="1">
      <alignment horizontal="right"/>
    </xf>
    <xf numFmtId="181" fontId="2" fillId="0" borderId="0" xfId="0" applyNumberFormat="1" applyFont="1"/>
    <xf numFmtId="0" fontId="7" fillId="0" borderId="0" xfId="0" applyFont="1" applyAlignment="1">
      <alignment horizontal="right"/>
    </xf>
    <xf numFmtId="178" fontId="1" fillId="0" borderId="0" xfId="0" applyNumberFormat="1" applyFont="1" applyAlignment="1">
      <alignment horizontal="right"/>
    </xf>
    <xf numFmtId="37" fontId="0" fillId="0" borderId="0" xfId="0" applyNumberFormat="1" applyAlignment="1">
      <alignment horizontal="right"/>
    </xf>
    <xf numFmtId="37" fontId="8" fillId="0" borderId="8" xfId="0" applyNumberFormat="1" applyFont="1" applyBorder="1" applyAlignment="1">
      <alignment horizontal="right"/>
    </xf>
    <xf numFmtId="181" fontId="0" fillId="0" borderId="0" xfId="0" applyNumberFormat="1" applyAlignment="1">
      <alignment horizontal="right"/>
    </xf>
    <xf numFmtId="0" fontId="19" fillId="0" borderId="0" xfId="0" applyFont="1" applyAlignment="1">
      <alignment horizontal="right"/>
    </xf>
    <xf numFmtId="0" fontId="1" fillId="0" borderId="0" xfId="0" applyFont="1" applyAlignment="1">
      <alignment vertical="center"/>
    </xf>
    <xf numFmtId="182" fontId="21" fillId="0" borderId="0" xfId="0" applyNumberFormat="1" applyFont="1"/>
    <xf numFmtId="174" fontId="0" fillId="0" borderId="0" xfId="0" applyNumberFormat="1"/>
    <xf numFmtId="0" fontId="0" fillId="0" borderId="0" xfId="0" applyAlignment="1">
      <alignment horizontal="left" vertical="center" indent="1"/>
    </xf>
    <xf numFmtId="183" fontId="3" fillId="0" borderId="0" xfId="0" applyNumberFormat="1" applyFont="1"/>
    <xf numFmtId="184" fontId="1" fillId="0" borderId="0" xfId="0" applyNumberFormat="1" applyFont="1"/>
    <xf numFmtId="0" fontId="7" fillId="0" borderId="0" xfId="0" applyFont="1" applyAlignment="1">
      <alignment horizontal="left" vertical="center"/>
    </xf>
    <xf numFmtId="174" fontId="22" fillId="0" borderId="0" xfId="0" applyNumberFormat="1" applyFont="1" applyAlignment="1">
      <alignment horizontal="right"/>
    </xf>
    <xf numFmtId="14" fontId="3" fillId="0" borderId="0" xfId="0" applyNumberFormat="1" applyFont="1" applyAlignment="1">
      <alignment horizontal="right"/>
    </xf>
    <xf numFmtId="37" fontId="22" fillId="0" borderId="0" xfId="0" applyNumberFormat="1" applyFont="1"/>
    <xf numFmtId="0" fontId="2" fillId="0" borderId="0" xfId="0" applyFont="1" applyAlignment="1">
      <alignment horizontal="left" indent="1"/>
    </xf>
    <xf numFmtId="174" fontId="3" fillId="0" borderId="0" xfId="0" applyNumberFormat="1" applyFont="1"/>
    <xf numFmtId="182" fontId="3" fillId="0" borderId="0" xfId="0" applyNumberFormat="1" applyFont="1"/>
    <xf numFmtId="14" fontId="2" fillId="0" borderId="0" xfId="0" applyNumberFormat="1" applyFont="1"/>
    <xf numFmtId="14" fontId="0" fillId="0" borderId="0" xfId="0" applyNumberFormat="1"/>
    <xf numFmtId="164" fontId="0" fillId="0" borderId="0" xfId="0" quotePrefix="1" applyNumberFormat="1"/>
    <xf numFmtId="176" fontId="8" fillId="0" borderId="0" xfId="0" applyNumberFormat="1" applyFont="1"/>
    <xf numFmtId="0" fontId="8" fillId="0" borderId="0" xfId="0" applyFont="1" applyAlignment="1">
      <alignment horizontal="left"/>
    </xf>
    <xf numFmtId="164" fontId="0" fillId="0" borderId="0" xfId="0" quotePrefix="1" applyNumberFormat="1" applyAlignment="1">
      <alignment horizontal="right"/>
    </xf>
    <xf numFmtId="176" fontId="8" fillId="0" borderId="0" xfId="0" applyNumberFormat="1" applyFont="1" applyAlignment="1">
      <alignment horizontal="right"/>
    </xf>
    <xf numFmtId="165" fontId="0" fillId="0" borderId="0" xfId="0" applyNumberFormat="1" applyAlignment="1">
      <alignment horizontal="right"/>
    </xf>
    <xf numFmtId="185" fontId="8" fillId="0" borderId="0" xfId="0" applyNumberFormat="1" applyFont="1"/>
    <xf numFmtId="165" fontId="8" fillId="0" borderId="0" xfId="0" applyNumberFormat="1" applyFont="1" applyAlignment="1">
      <alignment horizontal="right"/>
    </xf>
    <xf numFmtId="165" fontId="8" fillId="0" borderId="0" xfId="0" applyNumberFormat="1" applyFont="1"/>
    <xf numFmtId="181" fontId="1" fillId="0" borderId="0" xfId="0" applyNumberFormat="1" applyFont="1"/>
    <xf numFmtId="181" fontId="0" fillId="0" borderId="0" xfId="0" applyNumberFormat="1"/>
    <xf numFmtId="176" fontId="3" fillId="0" borderId="0" xfId="0" applyNumberFormat="1" applyFont="1"/>
    <xf numFmtId="186" fontId="0" fillId="0" borderId="0" xfId="0" applyNumberFormat="1"/>
    <xf numFmtId="181" fontId="6" fillId="0" borderId="0" xfId="0" applyNumberFormat="1" applyFont="1"/>
    <xf numFmtId="0" fontId="6" fillId="0" borderId="0" xfId="0" applyFont="1"/>
    <xf numFmtId="181" fontId="2" fillId="0" borderId="8" xfId="0" applyNumberFormat="1" applyFont="1" applyBorder="1"/>
    <xf numFmtId="165" fontId="0" fillId="0" borderId="0" xfId="0" applyNumberFormat="1" applyAlignment="1">
      <alignment horizontal="center"/>
    </xf>
    <xf numFmtId="181" fontId="22" fillId="0" borderId="0" xfId="0" applyNumberFormat="1" applyFont="1"/>
    <xf numFmtId="181" fontId="23" fillId="0" borderId="0" xfId="0" applyNumberFormat="1" applyFont="1"/>
    <xf numFmtId="181" fontId="23" fillId="0" borderId="8" xfId="0" applyNumberFormat="1" applyFont="1" applyBorder="1" applyAlignment="1">
      <alignment horizontal="center"/>
    </xf>
    <xf numFmtId="181" fontId="22" fillId="0" borderId="8" xfId="0" applyNumberFormat="1" applyFont="1" applyBorder="1"/>
    <xf numFmtId="165" fontId="2" fillId="0" borderId="0" xfId="0" applyNumberFormat="1" applyFont="1"/>
    <xf numFmtId="165" fontId="2" fillId="6" borderId="0" xfId="0" applyNumberFormat="1" applyFont="1" applyFill="1" applyAlignment="1">
      <alignment horizontal="right"/>
    </xf>
    <xf numFmtId="165" fontId="2" fillId="0" borderId="0" xfId="0" applyNumberFormat="1" applyFont="1" applyAlignment="1">
      <alignment horizontal="right"/>
    </xf>
    <xf numFmtId="181" fontId="22" fillId="6" borderId="0" xfId="0" applyNumberFormat="1" applyFont="1" applyFill="1" applyAlignment="1">
      <alignment horizontal="right"/>
    </xf>
    <xf numFmtId="181" fontId="22" fillId="0" borderId="0" xfId="0" applyNumberFormat="1" applyFont="1" applyAlignment="1">
      <alignment horizontal="right"/>
    </xf>
    <xf numFmtId="181" fontId="6" fillId="6" borderId="0" xfId="0" applyNumberFormat="1" applyFont="1" applyFill="1" applyAlignment="1">
      <alignment horizontal="right"/>
    </xf>
    <xf numFmtId="181" fontId="6" fillId="0" borderId="0" xfId="0" applyNumberFormat="1" applyFont="1" applyAlignment="1">
      <alignment horizontal="right"/>
    </xf>
    <xf numFmtId="181" fontId="2" fillId="6" borderId="0" xfId="0" applyNumberFormat="1" applyFont="1" applyFill="1" applyAlignment="1">
      <alignment horizontal="right"/>
    </xf>
    <xf numFmtId="181" fontId="2" fillId="0" borderId="0" xfId="0" applyNumberFormat="1" applyFont="1" applyAlignment="1">
      <alignment horizontal="right"/>
    </xf>
    <xf numFmtId="181" fontId="6" fillId="6" borderId="0" xfId="0" applyNumberFormat="1" applyFont="1" applyFill="1"/>
    <xf numFmtId="181" fontId="6" fillId="6" borderId="28" xfId="0" applyNumberFormat="1" applyFont="1" applyFill="1" applyBorder="1"/>
    <xf numFmtId="164" fontId="22" fillId="6" borderId="0" xfId="0" applyNumberFormat="1" applyFont="1" applyFill="1"/>
    <xf numFmtId="164" fontId="22" fillId="6" borderId="16" xfId="0" applyNumberFormat="1" applyFont="1" applyFill="1" applyBorder="1"/>
    <xf numFmtId="181" fontId="2" fillId="6" borderId="0" xfId="0" applyNumberFormat="1" applyFont="1" applyFill="1"/>
    <xf numFmtId="181" fontId="2" fillId="6" borderId="29" xfId="0" applyNumberFormat="1" applyFont="1" applyFill="1" applyBorder="1"/>
    <xf numFmtId="181" fontId="22" fillId="0" borderId="29" xfId="0" applyNumberFormat="1" applyFont="1" applyBorder="1"/>
    <xf numFmtId="187" fontId="2" fillId="0" borderId="0" xfId="0" applyNumberFormat="1" applyFont="1" applyAlignment="1">
      <alignment horizontal="right"/>
    </xf>
    <xf numFmtId="187" fontId="2" fillId="0" borderId="29" xfId="0" applyNumberFormat="1" applyFont="1" applyBorder="1" applyAlignment="1">
      <alignment horizontal="right"/>
    </xf>
    <xf numFmtId="181" fontId="22" fillId="6" borderId="0" xfId="0" applyNumberFormat="1" applyFont="1" applyFill="1"/>
    <xf numFmtId="181" fontId="22" fillId="6" borderId="29" xfId="0" applyNumberFormat="1" applyFont="1" applyFill="1" applyBorder="1"/>
    <xf numFmtId="0" fontId="0" fillId="0" borderId="29" xfId="0" applyBorder="1"/>
    <xf numFmtId="186" fontId="1" fillId="0" borderId="0" xfId="0" applyNumberFormat="1" applyFont="1"/>
    <xf numFmtId="188" fontId="1" fillId="0" borderId="29" xfId="0" applyNumberFormat="1" applyFont="1" applyBorder="1"/>
    <xf numFmtId="167" fontId="0" fillId="0" borderId="0" xfId="0" applyNumberFormat="1" applyAlignment="1">
      <alignment horizontal="center"/>
    </xf>
    <xf numFmtId="167" fontId="0" fillId="0" borderId="16" xfId="0" applyNumberFormat="1" applyBorder="1" applyAlignment="1">
      <alignment horizontal="center"/>
    </xf>
    <xf numFmtId="167" fontId="0" fillId="0" borderId="29" xfId="0" applyNumberFormat="1" applyBorder="1" applyAlignment="1">
      <alignment horizontal="center"/>
    </xf>
    <xf numFmtId="14" fontId="0" fillId="0" borderId="0" xfId="0" applyNumberFormat="1" applyAlignment="1">
      <alignment horizontal="center"/>
    </xf>
    <xf numFmtId="0" fontId="23" fillId="0" borderId="10" xfId="0" applyFont="1" applyBorder="1" applyAlignment="1">
      <alignment horizontal="centerContinuous"/>
    </xf>
    <xf numFmtId="7" fontId="22" fillId="0" borderId="8" xfId="0" applyNumberFormat="1" applyFont="1" applyBorder="1" applyAlignment="1">
      <alignment horizontal="right"/>
    </xf>
    <xf numFmtId="7" fontId="22" fillId="0" borderId="0" xfId="0" applyNumberFormat="1" applyFont="1" applyAlignment="1">
      <alignment horizontal="right"/>
    </xf>
    <xf numFmtId="0" fontId="24" fillId="0" borderId="0" xfId="1" applyBorder="1"/>
    <xf numFmtId="0" fontId="25" fillId="0" borderId="0" xfId="0" applyFont="1" applyAlignment="1">
      <alignment horizontal="center"/>
    </xf>
    <xf numFmtId="14" fontId="3" fillId="0" borderId="0" xfId="2" applyNumberFormat="1" applyFont="1" applyAlignment="1">
      <alignment horizontal="right"/>
    </xf>
    <xf numFmtId="7" fontId="3" fillId="0" borderId="0" xfId="0" applyNumberFormat="1" applyFont="1"/>
    <xf numFmtId="14" fontId="2" fillId="0" borderId="0" xfId="2" applyNumberFormat="1" applyFont="1" applyAlignment="1">
      <alignment horizontal="right"/>
    </xf>
    <xf numFmtId="164" fontId="22" fillId="0" borderId="0" xfId="0" applyNumberFormat="1" applyFont="1"/>
    <xf numFmtId="0" fontId="27" fillId="0" borderId="15" xfId="0" applyFont="1" applyBorder="1"/>
    <xf numFmtId="181" fontId="3" fillId="0" borderId="0" xfId="0" applyNumberFormat="1" applyFont="1"/>
    <xf numFmtId="181" fontId="28" fillId="0" borderId="0" xfId="0" applyNumberFormat="1" applyFont="1"/>
    <xf numFmtId="0" fontId="29" fillId="0" borderId="0" xfId="0" applyFont="1"/>
    <xf numFmtId="0" fontId="0" fillId="0" borderId="0" xfId="0" applyAlignment="1">
      <alignment horizontal="center"/>
    </xf>
    <xf numFmtId="0" fontId="30" fillId="0" borderId="0" xfId="0" applyFont="1" applyAlignment="1">
      <alignment horizontal="center"/>
    </xf>
    <xf numFmtId="37" fontId="12" fillId="0" borderId="30" xfId="0" applyNumberFormat="1" applyFont="1" applyBorder="1" applyAlignment="1">
      <alignment horizontal="right"/>
    </xf>
    <xf numFmtId="165" fontId="3" fillId="7" borderId="0" xfId="0" applyNumberFormat="1" applyFont="1" applyFill="1"/>
    <xf numFmtId="167" fontId="31" fillId="0" borderId="0" xfId="0" applyNumberFormat="1" applyFont="1" applyAlignment="1">
      <alignment horizontal="centerContinuous"/>
    </xf>
    <xf numFmtId="167" fontId="4" fillId="0" borderId="0" xfId="0" applyNumberFormat="1" applyFont="1"/>
    <xf numFmtId="0" fontId="0" fillId="0" borderId="0" xfId="0" quotePrefix="1"/>
    <xf numFmtId="0" fontId="10" fillId="0" borderId="0" xfId="0" quotePrefix="1" applyFont="1"/>
    <xf numFmtId="0" fontId="10" fillId="0" borderId="0" xfId="0" applyFont="1"/>
    <xf numFmtId="14" fontId="4" fillId="0" borderId="0" xfId="0" applyNumberFormat="1" applyFont="1" applyAlignment="1">
      <alignment horizontal="left"/>
    </xf>
    <xf numFmtId="37" fontId="0" fillId="8" borderId="0" xfId="0" applyNumberFormat="1" applyFill="1"/>
  </cellXfs>
  <cellStyles count="3">
    <cellStyle name="Hyperlink" xfId="1" builtinId="8"/>
    <cellStyle name="Normal" xfId="0" builtinId="0"/>
    <cellStyle name="Normal_DCF_Model" xfId="2" xr:uid="{4945208E-B0B2-4996-A387-22C45E8C7E16}"/>
  </cellStyles>
  <dxfs count="6">
    <dxf>
      <font>
        <color rgb="FF9C0006"/>
      </font>
      <fill>
        <patternFill>
          <bgColor rgb="FFFFC7CE"/>
        </patternFill>
      </fill>
    </dxf>
    <dxf>
      <font>
        <color rgb="FF9C0006"/>
      </font>
      <fill>
        <patternFill>
          <bgColor rgb="FFFFC7CE"/>
        </patternFill>
      </fill>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DCF Equity Valuation Range </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DCF!$B$128:$B$130</c:f>
              <c:strCache>
                <c:ptCount val="3"/>
                <c:pt idx="0">
                  <c:v>DCF Value at 11.0x-15.0x Exit EBITDA Range at 9.0% WACC</c:v>
                </c:pt>
                <c:pt idx="1">
                  <c:v>DCF Value at 2.0%-4.0% Perpetuity Range at 9.0% WACC</c:v>
                </c:pt>
                <c:pt idx="2">
                  <c:v>52 Week Market High/Low</c:v>
                </c:pt>
              </c:strCache>
            </c:strRef>
          </c:cat>
          <c:val>
            <c:numRef>
              <c:f>DCF!$C$128:$C$130</c:f>
              <c:numCache>
                <c:formatCode>#,##0.00_);\(#,##0.00\)</c:formatCode>
                <c:ptCount val="3"/>
                <c:pt idx="0">
                  <c:v>22.088560885608857</c:v>
                </c:pt>
                <c:pt idx="1">
                  <c:v>22.088560885608857</c:v>
                </c:pt>
                <c:pt idx="2">
                  <c:v>169.5</c:v>
                </c:pt>
              </c:numCache>
            </c:numRef>
          </c:val>
          <c:extLst>
            <c:ext xmlns:c16="http://schemas.microsoft.com/office/drawing/2014/chart" uri="{C3380CC4-5D6E-409C-BE32-E72D297353CC}">
              <c16:uniqueId val="{00000000-4B46-4BE4-BF8C-A642147F8340}"/>
            </c:ext>
          </c:extLst>
        </c:ser>
        <c:ser>
          <c:idx val="1"/>
          <c:order val="1"/>
          <c:invertIfNegative val="0"/>
          <c:cat>
            <c:strRef>
              <c:f>DCF!$B$128:$B$130</c:f>
              <c:strCache>
                <c:ptCount val="3"/>
                <c:pt idx="0">
                  <c:v>DCF Value at 11.0x-15.0x Exit EBITDA Range at 9.0% WACC</c:v>
                </c:pt>
                <c:pt idx="1">
                  <c:v>DCF Value at 2.0%-4.0% Perpetuity Range at 9.0% WACC</c:v>
                </c:pt>
                <c:pt idx="2">
                  <c:v>52 Week Market High/Low</c:v>
                </c:pt>
              </c:strCache>
            </c:strRef>
          </c:cat>
          <c:val>
            <c:numRef>
              <c:f>DCF!$D$128:$D$130</c:f>
              <c:numCache>
                <c:formatCode>#,##0.00_);\(#,##0.00\)</c:formatCode>
                <c:ptCount val="3"/>
                <c:pt idx="0">
                  <c:v>0</c:v>
                </c:pt>
                <c:pt idx="1">
                  <c:v>0</c:v>
                </c:pt>
                <c:pt idx="2">
                  <c:v>158.35000000000002</c:v>
                </c:pt>
              </c:numCache>
            </c:numRef>
          </c:val>
          <c:extLst>
            <c:ext xmlns:c16="http://schemas.microsoft.com/office/drawing/2014/chart" uri="{C3380CC4-5D6E-409C-BE32-E72D297353CC}">
              <c16:uniqueId val="{00000001-4B46-4BE4-BF8C-A642147F8340}"/>
            </c:ext>
          </c:extLst>
        </c:ser>
        <c:ser>
          <c:idx val="2"/>
          <c:order val="2"/>
          <c:spPr>
            <a:no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DCF!$B$128:$B$130</c:f>
              <c:strCache>
                <c:ptCount val="3"/>
                <c:pt idx="0">
                  <c:v>DCF Value at 11.0x-15.0x Exit EBITDA Range at 9.0% WACC</c:v>
                </c:pt>
                <c:pt idx="1">
                  <c:v>DCF Value at 2.0%-4.0% Perpetuity Range at 9.0% WACC</c:v>
                </c:pt>
                <c:pt idx="2">
                  <c:v>52 Week Market High/Low</c:v>
                </c:pt>
              </c:strCache>
            </c:strRef>
          </c:cat>
          <c:val>
            <c:numRef>
              <c:f>DCF!$E$128:$E$130</c:f>
              <c:numCache>
                <c:formatCode>#,##0.00_);\(#,##0.00\)</c:formatCode>
                <c:ptCount val="3"/>
                <c:pt idx="0">
                  <c:v>22.088560885608857</c:v>
                </c:pt>
                <c:pt idx="1">
                  <c:v>22.088560885608857</c:v>
                </c:pt>
                <c:pt idx="2">
                  <c:v>327.85</c:v>
                </c:pt>
              </c:numCache>
            </c:numRef>
          </c:val>
          <c:extLst>
            <c:ext xmlns:c16="http://schemas.microsoft.com/office/drawing/2014/chart" uri="{C3380CC4-5D6E-409C-BE32-E72D297353CC}">
              <c16:uniqueId val="{00000002-4B46-4BE4-BF8C-A642147F8340}"/>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400"/>
          <c:min val="100"/>
        </c:scaling>
        <c:delete val="0"/>
        <c:axPos val="l"/>
        <c:numFmt formatCode="#,##0.00_);\(#,##0.00\)" sourceLinked="1"/>
        <c:majorTickMark val="out"/>
        <c:minorTickMark val="none"/>
        <c:tickLblPos val="nextTo"/>
        <c:crossAx val="9963968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LTM EBITDA Multiple Range</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numFmt formatCode="#,##0.0\x;\-#,##0.0\x"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DCF!$G$128:$G$130</c:f>
              <c:strCache>
                <c:ptCount val="3"/>
                <c:pt idx="0">
                  <c:v>LTM EBITDA Purchase Multiple at 2.0%-4.0% Perpetuity Growth at 9.0% WACC</c:v>
                </c:pt>
                <c:pt idx="1">
                  <c:v>LTM EBITDA Purchase Multiple at 0.0x-0.0x Exit EBITDA Multiple at 9.0% WACC</c:v>
                </c:pt>
                <c:pt idx="2">
                  <c:v>LTM EBITDA Purchase Multiple at 7.0%-11.0% WACC at 13.0x Exit EBITDA</c:v>
                </c:pt>
              </c:strCache>
            </c:strRef>
          </c:cat>
          <c:val>
            <c:numRef>
              <c:f>DCF!$O$128:$O$130</c:f>
              <c:numCache>
                <c:formatCode>#,##0.00_);\(#,##0.00\)</c:formatCode>
                <c:ptCount val="3"/>
                <c:pt idx="0">
                  <c:v>0</c:v>
                </c:pt>
                <c:pt idx="1">
                  <c:v>0</c:v>
                </c:pt>
                <c:pt idx="2">
                  <c:v>0</c:v>
                </c:pt>
              </c:numCache>
            </c:numRef>
          </c:val>
          <c:extLst>
            <c:ext xmlns:c16="http://schemas.microsoft.com/office/drawing/2014/chart" uri="{C3380CC4-5D6E-409C-BE32-E72D297353CC}">
              <c16:uniqueId val="{00000000-85B2-49DF-A96C-85475DB8402E}"/>
            </c:ext>
          </c:extLst>
        </c:ser>
        <c:ser>
          <c:idx val="1"/>
          <c:order val="1"/>
          <c:spPr>
            <a:solidFill>
              <a:schemeClr val="tx2"/>
            </a:solidFill>
          </c:spPr>
          <c:invertIfNegative val="0"/>
          <c:cat>
            <c:strRef>
              <c:f>DCF!$G$128:$G$130</c:f>
              <c:strCache>
                <c:ptCount val="3"/>
                <c:pt idx="0">
                  <c:v>LTM EBITDA Purchase Multiple at 2.0%-4.0% Perpetuity Growth at 9.0% WACC</c:v>
                </c:pt>
                <c:pt idx="1">
                  <c:v>LTM EBITDA Purchase Multiple at 0.0x-0.0x Exit EBITDA Multiple at 9.0% WACC</c:v>
                </c:pt>
                <c:pt idx="2">
                  <c:v>LTM EBITDA Purchase Multiple at 7.0%-11.0% WACC at 13.0x Exit EBITDA</c:v>
                </c:pt>
              </c:strCache>
            </c:strRef>
          </c:cat>
          <c:val>
            <c:numRef>
              <c:f>DCF!$P$128:$P$130</c:f>
              <c:numCache>
                <c:formatCode>#,##0.00_);\(#,##0.00\)</c:formatCode>
                <c:ptCount val="3"/>
                <c:pt idx="0">
                  <c:v>0</c:v>
                </c:pt>
                <c:pt idx="1">
                  <c:v>0</c:v>
                </c:pt>
                <c:pt idx="2">
                  <c:v>0</c:v>
                </c:pt>
              </c:numCache>
            </c:numRef>
          </c:val>
          <c:extLst>
            <c:ext xmlns:c16="http://schemas.microsoft.com/office/drawing/2014/chart" uri="{C3380CC4-5D6E-409C-BE32-E72D297353CC}">
              <c16:uniqueId val="{00000001-85B2-49DF-A96C-85475DB8402E}"/>
            </c:ext>
          </c:extLst>
        </c:ser>
        <c:ser>
          <c:idx val="2"/>
          <c:order val="2"/>
          <c:spPr>
            <a:noFill/>
          </c:spPr>
          <c:invertIfNegative val="0"/>
          <c:dLbls>
            <c:numFmt formatCode="#,##0.0\x;\-#,##0.0\x" sourceLinked="0"/>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DCF!$G$128:$G$130</c:f>
              <c:strCache>
                <c:ptCount val="3"/>
                <c:pt idx="0">
                  <c:v>LTM EBITDA Purchase Multiple at 2.0%-4.0% Perpetuity Growth at 9.0% WACC</c:v>
                </c:pt>
                <c:pt idx="1">
                  <c:v>LTM EBITDA Purchase Multiple at 0.0x-0.0x Exit EBITDA Multiple at 9.0% WACC</c:v>
                </c:pt>
                <c:pt idx="2">
                  <c:v>LTM EBITDA Purchase Multiple at 7.0%-11.0% WACC at 13.0x Exit EBITDA</c:v>
                </c:pt>
              </c:strCache>
            </c:strRef>
          </c:cat>
          <c:val>
            <c:numRef>
              <c:f>DCF!$Q$128:$Q$130</c:f>
              <c:numCache>
                <c:formatCode>#,##0.00_);\(#,##0.00\)</c:formatCode>
                <c:ptCount val="3"/>
                <c:pt idx="0">
                  <c:v>0</c:v>
                </c:pt>
                <c:pt idx="1">
                  <c:v>0</c:v>
                </c:pt>
                <c:pt idx="2">
                  <c:v>0</c:v>
                </c:pt>
              </c:numCache>
            </c:numRef>
          </c:val>
          <c:extLst>
            <c:ext xmlns:c16="http://schemas.microsoft.com/office/drawing/2014/chart" uri="{C3380CC4-5D6E-409C-BE32-E72D297353CC}">
              <c16:uniqueId val="{00000002-85B2-49DF-A96C-85475DB8402E}"/>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20"/>
          <c:min val="10"/>
        </c:scaling>
        <c:delete val="0"/>
        <c:axPos val="l"/>
        <c:numFmt formatCode="#,##0.0\x;\-#,##0.0\x" sourceLinked="0"/>
        <c:majorTickMark val="out"/>
        <c:minorTickMark val="none"/>
        <c:tickLblPos val="nextTo"/>
        <c:crossAx val="9963968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106</xdr:row>
      <xdr:rowOff>149424</xdr:rowOff>
    </xdr:from>
    <xdr:to>
      <xdr:col>4</xdr:col>
      <xdr:colOff>654844</xdr:colOff>
      <xdr:row>125</xdr:row>
      <xdr:rowOff>53578</xdr:rowOff>
    </xdr:to>
    <xdr:graphicFrame macro="">
      <xdr:nvGraphicFramePr>
        <xdr:cNvPr id="2" name="Chart 1">
          <a:extLst>
            <a:ext uri="{FF2B5EF4-FFF2-40B4-BE49-F238E27FC236}">
              <a16:creationId xmlns:a16="http://schemas.microsoft.com/office/drawing/2014/main" id="{4E38D0DF-ABDE-4B37-9E4E-9141DA0B5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47228</xdr:colOff>
      <xdr:row>106</xdr:row>
      <xdr:rowOff>149424</xdr:rowOff>
    </xdr:from>
    <xdr:to>
      <xdr:col>15</xdr:col>
      <xdr:colOff>657225</xdr:colOff>
      <xdr:row>125</xdr:row>
      <xdr:rowOff>47228</xdr:rowOff>
    </xdr:to>
    <xdr:graphicFrame macro="">
      <xdr:nvGraphicFramePr>
        <xdr:cNvPr id="3" name="Chart 2">
          <a:extLst>
            <a:ext uri="{FF2B5EF4-FFF2-40B4-BE49-F238E27FC236}">
              <a16:creationId xmlns:a16="http://schemas.microsoft.com/office/drawing/2014/main" id="{2537D576-C76D-4788-9ED7-412719F4A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rnav\Downloads\DCF%20Model_Classroom.xlsx" TargetMode="External"/><Relationship Id="rId1" Type="http://schemas.openxmlformats.org/officeDocument/2006/relationships/externalLinkPath" Target="file:///C:\Users\arnav\Downloads\DCF%20Model_Classro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CF Complete w Case Selects"/>
      <sheetName val="Cover"/>
      <sheetName val="Inputs &amp; UFCF"/>
      <sheetName val="PV UFCF"/>
      <sheetName val="Terminal Val"/>
      <sheetName val="Net Debt"/>
      <sheetName val="Shares Outstanding"/>
      <sheetName val="Valuation"/>
      <sheetName val="Outputs"/>
      <sheetName val="DCF Complete (pre-WACC)"/>
      <sheetName val="WACC"/>
      <sheetName val="DCF Complete (post-WACC)"/>
      <sheetName val="Shares --&gt;"/>
      <sheetName val="Shares Empty"/>
      <sheetName val="Shares Complete"/>
      <sheetName val="Integrated Model --&gt;"/>
      <sheetName val="Integrated 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60">
          <cell r="I60">
            <v>0</v>
          </cell>
        </row>
        <row r="61">
          <cell r="I61">
            <v>0</v>
          </cell>
        </row>
        <row r="62">
          <cell r="I62">
            <v>0</v>
          </cell>
        </row>
      </sheetData>
      <sheetData sheetId="9" refreshError="1"/>
      <sheetData sheetId="10" refreshError="1"/>
      <sheetData sheetId="11">
        <row r="4">
          <cell r="H4">
            <v>7.7820796681201884E-2</v>
          </cell>
        </row>
        <row r="60">
          <cell r="C60">
            <v>0</v>
          </cell>
        </row>
        <row r="61">
          <cell r="C61">
            <v>0</v>
          </cell>
        </row>
        <row r="62">
          <cell r="C62">
            <v>0</v>
          </cell>
        </row>
      </sheetData>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7811-9F89-4022-AC95-8D5866148DB5}">
  <sheetPr>
    <tabColor theme="1"/>
    <pageSetUpPr fitToPage="1"/>
  </sheetPr>
  <dimension ref="A1:M158"/>
  <sheetViews>
    <sheetView showGridLines="0" topLeftCell="A25" zoomScale="80" zoomScaleNormal="80" workbookViewId="0">
      <selection activeCell="K36" sqref="K36"/>
    </sheetView>
  </sheetViews>
  <sheetFormatPr defaultColWidth="8.85546875" defaultRowHeight="15" x14ac:dyDescent="0.25"/>
  <cols>
    <col min="1" max="1" width="1.7109375" style="227" customWidth="1"/>
    <col min="2" max="2" width="1.7109375" customWidth="1"/>
    <col min="3" max="3" width="46" bestFit="1" customWidth="1"/>
    <col min="4" max="11" width="12.28515625" customWidth="1"/>
    <col min="12" max="12" width="2.28515625" customWidth="1"/>
    <col min="13" max="13" width="11.42578125" customWidth="1"/>
    <col min="14" max="14" width="11.85546875" customWidth="1"/>
    <col min="15" max="17" width="10.28515625" bestFit="1" customWidth="1"/>
    <col min="18" max="19" width="9.42578125" bestFit="1" customWidth="1"/>
  </cols>
  <sheetData>
    <row r="1" spans="1:11" ht="15.75" thickBot="1" x14ac:dyDescent="0.3"/>
    <row r="2" spans="1:11" ht="21.75" thickBot="1" x14ac:dyDescent="0.4">
      <c r="C2" s="96" t="str">
        <f>"Financial Statement Model for "&amp;D5</f>
        <v>Financial Statement Model for Apple</v>
      </c>
      <c r="D2" s="95"/>
      <c r="E2" s="95"/>
      <c r="F2" s="95"/>
      <c r="G2" s="95"/>
      <c r="H2" s="95"/>
      <c r="I2" s="95"/>
      <c r="J2" s="95"/>
      <c r="K2" s="95"/>
    </row>
    <row r="3" spans="1:11" ht="14.45" customHeight="1" x14ac:dyDescent="0.25">
      <c r="C3" s="236" t="s">
        <v>0</v>
      </c>
      <c r="D3" s="93"/>
      <c r="E3" s="93"/>
      <c r="F3" s="93"/>
      <c r="G3" s="93"/>
      <c r="H3" s="93"/>
    </row>
    <row r="4" spans="1:11" ht="14.45" customHeight="1" x14ac:dyDescent="0.25"/>
    <row r="5" spans="1:11" ht="14.45" customHeight="1" x14ac:dyDescent="0.25">
      <c r="C5" s="88" t="s">
        <v>1</v>
      </c>
      <c r="D5" s="92" t="s">
        <v>2</v>
      </c>
    </row>
    <row r="6" spans="1:11" ht="14.45" customHeight="1" x14ac:dyDescent="0.25">
      <c r="C6" s="88" t="s">
        <v>3</v>
      </c>
      <c r="D6" s="92" t="s">
        <v>4</v>
      </c>
    </row>
    <row r="7" spans="1:11" ht="14.45" customHeight="1" x14ac:dyDescent="0.25">
      <c r="C7" t="s">
        <v>5</v>
      </c>
      <c r="D7" s="91">
        <v>1</v>
      </c>
    </row>
    <row r="8" spans="1:11" ht="14.45" customHeight="1" x14ac:dyDescent="0.25">
      <c r="C8" t="s">
        <v>6</v>
      </c>
      <c r="D8" s="90">
        <v>171.25</v>
      </c>
    </row>
    <row r="9" spans="1:11" ht="14.45" customHeight="1" x14ac:dyDescent="0.25">
      <c r="C9" t="s">
        <v>7</v>
      </c>
      <c r="D9" s="89">
        <v>43500</v>
      </c>
    </row>
    <row r="10" spans="1:11" ht="14.45" customHeight="1" x14ac:dyDescent="0.25">
      <c r="C10" s="88" t="s">
        <v>8</v>
      </c>
      <c r="D10" s="87">
        <v>46022</v>
      </c>
    </row>
    <row r="11" spans="1:11" ht="14.45" customHeight="1" x14ac:dyDescent="0.25">
      <c r="C11" t="s">
        <v>9</v>
      </c>
      <c r="D11" s="86">
        <v>4745.3980000000001</v>
      </c>
    </row>
    <row r="12" spans="1:11" ht="14.45" customHeight="1" x14ac:dyDescent="0.25"/>
    <row r="13" spans="1:11" ht="14.45" customHeight="1" x14ac:dyDescent="0.25">
      <c r="A13" s="228" t="s">
        <v>10</v>
      </c>
      <c r="C13" s="17" t="s">
        <v>11</v>
      </c>
      <c r="D13" s="30"/>
      <c r="E13" s="30"/>
      <c r="F13" s="30"/>
      <c r="G13" s="30"/>
      <c r="H13" s="30"/>
      <c r="I13" s="30"/>
      <c r="J13" s="30"/>
      <c r="K13" s="30"/>
    </row>
    <row r="14" spans="1:11" ht="14.45" customHeight="1" x14ac:dyDescent="0.25">
      <c r="A14" s="228"/>
      <c r="C14" t="s">
        <v>12</v>
      </c>
      <c r="D14" s="85">
        <f>E14-1</f>
        <v>2023</v>
      </c>
      <c r="E14" s="85">
        <f>F14-1</f>
        <v>2024</v>
      </c>
      <c r="F14" s="85">
        <f>YEAR(D10)</f>
        <v>2025</v>
      </c>
      <c r="G14" s="84">
        <f>F14+1</f>
        <v>2026</v>
      </c>
      <c r="H14" s="84">
        <f>G14+1</f>
        <v>2027</v>
      </c>
      <c r="I14" s="84">
        <f>H14+1</f>
        <v>2028</v>
      </c>
      <c r="J14" s="84">
        <f>I14+1</f>
        <v>2029</v>
      </c>
      <c r="K14" s="84">
        <f>J14+1</f>
        <v>2030</v>
      </c>
    </row>
    <row r="15" spans="1:11" ht="14.45" customHeight="1" x14ac:dyDescent="0.25">
      <c r="A15" s="228"/>
      <c r="C15" s="83" t="s">
        <v>13</v>
      </c>
      <c r="D15" s="82">
        <f>EOMONTH(E15,-12)</f>
        <v>45291</v>
      </c>
      <c r="E15" s="82">
        <f>EOMONTH(F15,-12)</f>
        <v>45657</v>
      </c>
      <c r="F15" s="82">
        <f>D10</f>
        <v>46022</v>
      </c>
      <c r="G15" s="82">
        <f>EOMONTH(F15,12)</f>
        <v>46387</v>
      </c>
      <c r="H15" s="82">
        <f>EOMONTH(G15,12)</f>
        <v>46752</v>
      </c>
      <c r="I15" s="82">
        <f>EOMONTH(H15,12)</f>
        <v>47118</v>
      </c>
      <c r="J15" s="82">
        <f>EOMONTH(I15,12)</f>
        <v>47483</v>
      </c>
      <c r="K15" s="82">
        <f>EOMONTH(J15,12)</f>
        <v>47848</v>
      </c>
    </row>
    <row r="16" spans="1:11" ht="14.45" customHeight="1" x14ac:dyDescent="0.25">
      <c r="A16" s="228"/>
      <c r="C16" s="76"/>
      <c r="D16" s="81"/>
      <c r="E16" s="78"/>
      <c r="F16" s="78"/>
      <c r="G16" s="80"/>
      <c r="H16" s="79"/>
      <c r="I16" s="79"/>
      <c r="J16" s="78"/>
      <c r="K16" s="78"/>
    </row>
    <row r="17" spans="1:13" ht="14.45" customHeight="1" x14ac:dyDescent="0.25">
      <c r="A17" s="228"/>
      <c r="C17" t="s">
        <v>14</v>
      </c>
      <c r="D17" s="29">
        <v>910488</v>
      </c>
      <c r="E17" s="29">
        <v>1041938</v>
      </c>
      <c r="F17" s="29">
        <v>1149088</v>
      </c>
      <c r="G17" s="21">
        <f>F17*(1+G37)</f>
        <v>1260549.5360000001</v>
      </c>
      <c r="H17" s="21">
        <f>G17*(1+H37)</f>
        <v>1399209.9849600003</v>
      </c>
      <c r="I17" s="21">
        <f>H17*(1+I37)</f>
        <v>1539130.9834560005</v>
      </c>
      <c r="J17" s="21">
        <f>I17*(1+J37)</f>
        <v>1677652.7719670406</v>
      </c>
      <c r="K17" s="21">
        <f>J17*(1+K37)</f>
        <v>1811864.9937244039</v>
      </c>
      <c r="M17" s="235"/>
    </row>
    <row r="18" spans="1:13" ht="14.45" customHeight="1" x14ac:dyDescent="0.25">
      <c r="A18" s="228"/>
      <c r="C18" t="s">
        <v>15</v>
      </c>
      <c r="D18" s="29">
        <v>-432690</v>
      </c>
      <c r="E18" s="29">
        <v>-477540</v>
      </c>
      <c r="F18" s="29">
        <v>-516234</v>
      </c>
      <c r="G18" s="21">
        <f>-G38*G17</f>
        <v>-542036.30047999998</v>
      </c>
      <c r="H18" s="21">
        <f>-H38*H17</f>
        <v>-559683.99398400018</v>
      </c>
      <c r="I18" s="21">
        <f>-I38*I17</f>
        <v>-584869.77371328021</v>
      </c>
      <c r="J18" s="21">
        <f>-J38*J17</f>
        <v>-603954.9979081346</v>
      </c>
      <c r="K18" s="21">
        <f>-K38*K17</f>
        <v>-634152.74780354137</v>
      </c>
      <c r="M18" s="235"/>
    </row>
    <row r="19" spans="1:13" ht="14.45" customHeight="1" x14ac:dyDescent="0.25">
      <c r="A19" s="228"/>
      <c r="C19" s="20" t="s">
        <v>16</v>
      </c>
      <c r="D19" s="39">
        <f t="shared" ref="D19:K19" si="0">SUM(D17:D18)</f>
        <v>477798</v>
      </c>
      <c r="E19" s="39">
        <f t="shared" si="0"/>
        <v>564398</v>
      </c>
      <c r="F19" s="39">
        <f t="shared" si="0"/>
        <v>632854</v>
      </c>
      <c r="G19" s="19">
        <f t="shared" si="0"/>
        <v>718513.2355200001</v>
      </c>
      <c r="H19" s="19">
        <f t="shared" si="0"/>
        <v>839525.99097600009</v>
      </c>
      <c r="I19" s="19">
        <f t="shared" si="0"/>
        <v>954261.20974272024</v>
      </c>
      <c r="J19" s="19">
        <f t="shared" si="0"/>
        <v>1073697.7740589059</v>
      </c>
      <c r="K19" s="19">
        <f t="shared" si="0"/>
        <v>1177712.2459208625</v>
      </c>
      <c r="M19" s="234"/>
    </row>
    <row r="20" spans="1:13" ht="14.45" customHeight="1" x14ac:dyDescent="0.25">
      <c r="A20" s="228"/>
      <c r="C20" t="s">
        <v>17</v>
      </c>
      <c r="D20" s="29">
        <v>-156582</v>
      </c>
      <c r="E20" s="29">
        <v>-166197</v>
      </c>
      <c r="F20" s="29">
        <v>-152334</v>
      </c>
      <c r="G20" s="27">
        <f>-G39*G17</f>
        <v>-157568.69200000001</v>
      </c>
      <c r="H20" s="27">
        <f>-H39*H17</f>
        <v>-167905.19819520004</v>
      </c>
      <c r="I20" s="27">
        <f>-I39*I17</f>
        <v>-177000.06309744006</v>
      </c>
      <c r="J20" s="27">
        <f>-J39*J17</f>
        <v>-184541.80491637447</v>
      </c>
      <c r="K20" s="27">
        <f>-K39*K17</f>
        <v>-190245.8243410624</v>
      </c>
      <c r="M20" s="233"/>
    </row>
    <row r="21" spans="1:13" ht="14.45" customHeight="1" x14ac:dyDescent="0.25">
      <c r="A21" s="228"/>
      <c r="C21" t="s">
        <v>18</v>
      </c>
      <c r="D21" s="29">
        <v>-296713</v>
      </c>
      <c r="E21" s="29">
        <v>-311954</v>
      </c>
      <c r="F21" s="29">
        <v>-311816</v>
      </c>
      <c r="G21" s="27">
        <f>-G40*G17</f>
        <v>-327742.87936000002</v>
      </c>
      <c r="H21" s="27">
        <f t="shared" ref="H21:K21" si="1">-H40*H17</f>
        <v>-349802.49624000007</v>
      </c>
      <c r="I21" s="27">
        <f t="shared" si="1"/>
        <v>-369391.43602944008</v>
      </c>
      <c r="J21" s="27">
        <f t="shared" si="1"/>
        <v>-385860.13755241933</v>
      </c>
      <c r="K21" s="27">
        <f t="shared" si="1"/>
        <v>-398610.29861936887</v>
      </c>
      <c r="M21" s="233"/>
    </row>
    <row r="22" spans="1:13" ht="14.45" customHeight="1" x14ac:dyDescent="0.25">
      <c r="A22" s="228"/>
      <c r="C22" t="s">
        <v>19</v>
      </c>
      <c r="D22" s="29">
        <v>-123079</v>
      </c>
      <c r="E22" s="29">
        <v>-137550</v>
      </c>
      <c r="F22" s="29">
        <v>-139854</v>
      </c>
      <c r="G22" s="27">
        <f>-G17*G41</f>
        <v>-144963.19664000001</v>
      </c>
      <c r="H22" s="27">
        <f>-H17*H41</f>
        <v>-153913.09834560004</v>
      </c>
      <c r="I22" s="27">
        <f>-I17*I41</f>
        <v>-161608.75326288005</v>
      </c>
      <c r="J22" s="27">
        <f>-J17*J41</f>
        <v>-167765.27719670406</v>
      </c>
      <c r="K22" s="27">
        <f>-K17*K41</f>
        <v>-172127.17440381838</v>
      </c>
      <c r="M22" s="233"/>
    </row>
    <row r="23" spans="1:13" ht="14.45" customHeight="1" x14ac:dyDescent="0.25">
      <c r="A23" s="228"/>
      <c r="C23" s="20" t="s">
        <v>20</v>
      </c>
      <c r="D23" s="39">
        <f>SUM(D19:D22)</f>
        <v>-98576</v>
      </c>
      <c r="E23" s="39">
        <f>SUM(E19:E22)</f>
        <v>-51303</v>
      </c>
      <c r="F23" s="39">
        <f>SUM(F19:F22)</f>
        <v>28850</v>
      </c>
      <c r="G23" s="39">
        <f>SUM(G19:G22)</f>
        <v>88238.467520000035</v>
      </c>
      <c r="H23" s="39">
        <f t="shared" ref="H23:K23" si="2">SUM(H19:H22)</f>
        <v>167905.19819519992</v>
      </c>
      <c r="I23" s="39">
        <f t="shared" si="2"/>
        <v>246260.95735296005</v>
      </c>
      <c r="J23" s="39">
        <f t="shared" si="2"/>
        <v>335530.55439340801</v>
      </c>
      <c r="K23" s="39">
        <f t="shared" si="2"/>
        <v>416728.94855661289</v>
      </c>
      <c r="M23" s="20"/>
    </row>
    <row r="24" spans="1:13" ht="14.45" customHeight="1" x14ac:dyDescent="0.25">
      <c r="A24" s="228"/>
      <c r="C24" t="s">
        <v>21</v>
      </c>
      <c r="D24" s="29">
        <v>26799</v>
      </c>
      <c r="E24" s="29">
        <v>46745</v>
      </c>
      <c r="F24" s="29">
        <v>30168</v>
      </c>
      <c r="G24" s="237"/>
      <c r="H24" s="237"/>
      <c r="I24" s="237"/>
      <c r="J24" s="237"/>
      <c r="K24" s="237"/>
    </row>
    <row r="25" spans="1:13" ht="14.45" customHeight="1" x14ac:dyDescent="0.25">
      <c r="A25" s="228"/>
      <c r="C25" t="s">
        <v>22</v>
      </c>
      <c r="D25" s="29">
        <v>-7646</v>
      </c>
      <c r="E25" s="29">
        <v>-14812</v>
      </c>
      <c r="F25" s="29">
        <v>-14076</v>
      </c>
      <c r="G25" s="237"/>
      <c r="H25" s="237"/>
      <c r="I25" s="237"/>
      <c r="J25" s="237"/>
      <c r="K25" s="237"/>
    </row>
    <row r="26" spans="1:13" ht="14.45" customHeight="1" x14ac:dyDescent="0.25">
      <c r="A26" s="228"/>
      <c r="C26" t="s">
        <v>23</v>
      </c>
      <c r="D26" s="29">
        <v>0</v>
      </c>
      <c r="E26" s="29">
        <v>6615</v>
      </c>
      <c r="F26" s="29">
        <v>0</v>
      </c>
      <c r="G26" s="21">
        <f>F26</f>
        <v>0</v>
      </c>
      <c r="H26" s="21">
        <f>G26</f>
        <v>0</v>
      </c>
      <c r="I26" s="21">
        <f>H26</f>
        <v>0</v>
      </c>
      <c r="J26" s="21">
        <f>I26</f>
        <v>0</v>
      </c>
      <c r="K26" s="21">
        <f>J26</f>
        <v>0</v>
      </c>
    </row>
    <row r="27" spans="1:13" ht="14.45" customHeight="1" x14ac:dyDescent="0.25">
      <c r="A27" s="228"/>
      <c r="C27" s="20" t="s">
        <v>24</v>
      </c>
      <c r="D27" s="39">
        <f t="shared" ref="D27:F27" si="3">SUM(D23:D26)</f>
        <v>-79423</v>
      </c>
      <c r="E27" s="39">
        <f t="shared" si="3"/>
        <v>-12755</v>
      </c>
      <c r="F27" s="39">
        <f t="shared" si="3"/>
        <v>44942</v>
      </c>
      <c r="G27" s="39">
        <f>SUM(G23:G26)</f>
        <v>88238.467520000035</v>
      </c>
      <c r="H27" s="39">
        <f>SUM(H23:H26)</f>
        <v>167905.19819519992</v>
      </c>
      <c r="I27" s="39">
        <f>SUM(I23:I26)</f>
        <v>246260.95735296005</v>
      </c>
      <c r="J27" s="39">
        <f>SUM(J23:J26)</f>
        <v>335530.55439340801</v>
      </c>
      <c r="K27" s="39">
        <f>SUM(K23:K26)</f>
        <v>416728.94855661289</v>
      </c>
      <c r="M27" s="20"/>
    </row>
    <row r="28" spans="1:13" ht="14.45" customHeight="1" x14ac:dyDescent="0.25">
      <c r="A28" s="228"/>
      <c r="C28" t="s">
        <v>25</v>
      </c>
      <c r="D28" s="29">
        <v>-2341</v>
      </c>
      <c r="E28" s="29">
        <v>-40</v>
      </c>
      <c r="F28" s="29">
        <v>-5526</v>
      </c>
      <c r="G28" s="27">
        <f>-G42*G27</f>
        <v>-11029.808440000004</v>
      </c>
      <c r="H28" s="27">
        <f t="shared" ref="H28:K28" si="4">-H42*H27</f>
        <v>-21827.675765375989</v>
      </c>
      <c r="I28" s="27">
        <f t="shared" si="4"/>
        <v>-33245.229242649606</v>
      </c>
      <c r="J28" s="27">
        <f t="shared" si="4"/>
        <v>-46974.277615077124</v>
      </c>
      <c r="K28" s="27">
        <f t="shared" si="4"/>
        <v>-60425.697540708861</v>
      </c>
    </row>
    <row r="29" spans="1:13" ht="14.45" customHeight="1" x14ac:dyDescent="0.25">
      <c r="A29" s="228"/>
      <c r="C29" s="20" t="s">
        <v>26</v>
      </c>
      <c r="D29" s="39">
        <f t="shared" ref="D29:F29" si="5">SUM(D27:D28)</f>
        <v>-81764</v>
      </c>
      <c r="E29" s="39">
        <f t="shared" si="5"/>
        <v>-12795</v>
      </c>
      <c r="F29" s="39">
        <f t="shared" si="5"/>
        <v>39416</v>
      </c>
      <c r="G29" s="39">
        <f>SUM(G27:G28)</f>
        <v>77208.659080000027</v>
      </c>
      <c r="H29" s="39">
        <f>SUM(H27:H28)</f>
        <v>146077.52242982393</v>
      </c>
      <c r="I29" s="39">
        <f>SUM(I27:I28)</f>
        <v>213015.72811031045</v>
      </c>
      <c r="J29" s="39">
        <f>SUM(J27:J28)</f>
        <v>288556.27677833091</v>
      </c>
      <c r="K29" s="39">
        <f>SUM(K27:K28)</f>
        <v>356303.25101590401</v>
      </c>
      <c r="M29" s="20"/>
    </row>
    <row r="30" spans="1:13" ht="14.45" customHeight="1" x14ac:dyDescent="0.25">
      <c r="A30" s="228"/>
      <c r="C30" s="12"/>
      <c r="D30" s="21"/>
      <c r="E30" s="21"/>
      <c r="F30" s="21"/>
      <c r="G30" s="21"/>
      <c r="H30" s="21"/>
      <c r="I30" s="21"/>
      <c r="J30" s="21"/>
      <c r="K30" s="21"/>
    </row>
    <row r="31" spans="1:13" ht="14.45" customHeight="1" x14ac:dyDescent="0.25">
      <c r="A31" s="228"/>
      <c r="C31" s="49" t="s">
        <v>27</v>
      </c>
      <c r="D31" s="29">
        <v>10157</v>
      </c>
      <c r="E31" s="29">
        <v>10903</v>
      </c>
      <c r="F31" s="29">
        <v>12547</v>
      </c>
      <c r="G31" s="21">
        <f>G108</f>
        <v>13108.099171261174</v>
      </c>
      <c r="H31" s="21">
        <f>H108</f>
        <v>14034.452434865922</v>
      </c>
      <c r="I31" s="21">
        <f>I108</f>
        <v>14831.765986923085</v>
      </c>
      <c r="J31" s="21">
        <f>J108</f>
        <v>16467.879125746163</v>
      </c>
      <c r="K31" s="21">
        <f>K108</f>
        <v>18110.663991805857</v>
      </c>
    </row>
    <row r="32" spans="1:13" ht="14.45" customHeight="1" x14ac:dyDescent="0.25">
      <c r="A32" s="228"/>
      <c r="C32" s="69" t="s">
        <v>28</v>
      </c>
      <c r="D32" s="39">
        <f t="shared" ref="D32:F32" si="6">D23+D31</f>
        <v>-88419</v>
      </c>
      <c r="E32" s="39">
        <f t="shared" si="6"/>
        <v>-40400</v>
      </c>
      <c r="F32" s="39">
        <f t="shared" si="6"/>
        <v>41397</v>
      </c>
      <c r="G32" s="39">
        <f>G23+G31</f>
        <v>101346.56669126121</v>
      </c>
      <c r="H32" s="39">
        <f>H23+H31</f>
        <v>181939.65063006585</v>
      </c>
      <c r="I32" s="39">
        <f>I23+I31</f>
        <v>261092.72333988314</v>
      </c>
      <c r="J32" s="39">
        <f>J23+J31</f>
        <v>351998.43351915415</v>
      </c>
      <c r="K32" s="39">
        <f>K23+K31</f>
        <v>434839.61254841875</v>
      </c>
      <c r="M32" s="20"/>
    </row>
    <row r="33" spans="1:13" ht="14.45" customHeight="1" x14ac:dyDescent="0.25">
      <c r="A33" s="228"/>
      <c r="C33" s="49" t="s">
        <v>29</v>
      </c>
      <c r="D33" s="29">
        <v>4840</v>
      </c>
      <c r="E33" s="29">
        <v>5340</v>
      </c>
      <c r="F33" s="29">
        <v>6068</v>
      </c>
      <c r="G33" s="21">
        <f>F33*(1+G37)</f>
        <v>6656.5959999999995</v>
      </c>
      <c r="H33" s="21">
        <f>G33*(1+H37)</f>
        <v>7388.8215600000003</v>
      </c>
      <c r="I33" s="21">
        <f>H33*(1+I37)</f>
        <v>8127.7037160000009</v>
      </c>
      <c r="J33" s="21">
        <f>I33*(1+J37)</f>
        <v>8859.1970504400015</v>
      </c>
      <c r="K33" s="21">
        <f>J33*(1+K37)</f>
        <v>9567.9328144752017</v>
      </c>
    </row>
    <row r="34" spans="1:13" ht="14.45" customHeight="1" x14ac:dyDescent="0.25">
      <c r="A34" s="228"/>
      <c r="C34" s="69" t="s">
        <v>30</v>
      </c>
      <c r="D34" s="39">
        <f t="shared" ref="D34:F34" si="7">SUM(D32:D33)</f>
        <v>-83579</v>
      </c>
      <c r="E34" s="39">
        <f t="shared" si="7"/>
        <v>-35060</v>
      </c>
      <c r="F34" s="39">
        <f t="shared" si="7"/>
        <v>47465</v>
      </c>
      <c r="G34" s="39">
        <f>SUM(G32:G33)</f>
        <v>108003.16269126121</v>
      </c>
      <c r="H34" s="39">
        <f>SUM(H32:H33)</f>
        <v>189328.47219006586</v>
      </c>
      <c r="I34" s="39">
        <f>SUM(I32:I33)</f>
        <v>269220.42705588316</v>
      </c>
      <c r="J34" s="39">
        <f>SUM(J32:J33)</f>
        <v>360857.63056959416</v>
      </c>
      <c r="K34" s="39">
        <f>SUM(K32:K33)</f>
        <v>444407.54536289396</v>
      </c>
      <c r="M34" s="20"/>
    </row>
    <row r="35" spans="1:13" ht="14.45" customHeight="1" x14ac:dyDescent="0.25">
      <c r="A35" s="228"/>
      <c r="C35" s="12"/>
      <c r="G35" s="77"/>
    </row>
    <row r="36" spans="1:13" ht="14.45" customHeight="1" x14ac:dyDescent="0.25">
      <c r="A36" s="228"/>
      <c r="C36" s="18" t="s">
        <v>31</v>
      </c>
    </row>
    <row r="37" spans="1:13" ht="14.45" customHeight="1" x14ac:dyDescent="0.25">
      <c r="A37" s="228"/>
      <c r="C37" s="12" t="s">
        <v>32</v>
      </c>
      <c r="D37" s="1"/>
      <c r="E37" s="1">
        <f>E17/D17-1</f>
        <v>0.14437312737784569</v>
      </c>
      <c r="F37" s="1">
        <f>F17/E17-1</f>
        <v>0.10283721296276749</v>
      </c>
      <c r="G37" s="4">
        <v>9.7000000000000003E-2</v>
      </c>
      <c r="H37" s="4">
        <v>0.11</v>
      </c>
      <c r="I37" s="4">
        <v>0.1</v>
      </c>
      <c r="J37" s="4">
        <v>0.09</v>
      </c>
      <c r="K37" s="4">
        <v>0.08</v>
      </c>
    </row>
    <row r="38" spans="1:13" ht="14.45" customHeight="1" x14ac:dyDescent="0.25">
      <c r="A38" s="228"/>
      <c r="C38" s="12" t="s">
        <v>33</v>
      </c>
      <c r="D38" s="1">
        <f>-D18/D17</f>
        <v>0.47522866858212298</v>
      </c>
      <c r="E38" s="1">
        <f>-E18/E17</f>
        <v>0.45831901706243555</v>
      </c>
      <c r="F38" s="1">
        <f>-F18/F17</f>
        <v>0.44925540950736587</v>
      </c>
      <c r="G38" s="4">
        <v>0.43</v>
      </c>
      <c r="H38" s="4">
        <v>0.4</v>
      </c>
      <c r="I38" s="4">
        <v>0.38</v>
      </c>
      <c r="J38" s="4">
        <v>0.36</v>
      </c>
      <c r="K38" s="4">
        <v>0.35</v>
      </c>
    </row>
    <row r="39" spans="1:13" ht="14.45" customHeight="1" x14ac:dyDescent="0.25">
      <c r="A39" s="228"/>
      <c r="C39" s="12" t="s">
        <v>34</v>
      </c>
      <c r="D39" s="1">
        <f>-D20/D17</f>
        <v>0.17197590742546853</v>
      </c>
      <c r="E39" s="1">
        <f>-E20/E17</f>
        <v>0.15950757146778408</v>
      </c>
      <c r="F39" s="1">
        <f>-F20/F17</f>
        <v>0.13256948118855996</v>
      </c>
      <c r="G39" s="4">
        <v>0.125</v>
      </c>
      <c r="H39" s="4">
        <v>0.12</v>
      </c>
      <c r="I39" s="4">
        <v>0.115</v>
      </c>
      <c r="J39" s="4">
        <v>0.11</v>
      </c>
      <c r="K39" s="4">
        <v>0.105</v>
      </c>
    </row>
    <row r="40" spans="1:13" ht="14.45" customHeight="1" x14ac:dyDescent="0.25">
      <c r="A40" s="228"/>
      <c r="C40" s="12" t="s">
        <v>35</v>
      </c>
      <c r="D40" s="1">
        <f>-D21/D17</f>
        <v>0.32588348226445596</v>
      </c>
      <c r="E40" s="1">
        <f>-E21/E17</f>
        <v>0.29939785284729031</v>
      </c>
      <c r="F40" s="1">
        <f>-F21/F17</f>
        <v>0.27135954774569049</v>
      </c>
      <c r="G40" s="4">
        <v>0.26</v>
      </c>
      <c r="H40" s="4">
        <v>0.25</v>
      </c>
      <c r="I40" s="4">
        <v>0.24</v>
      </c>
      <c r="J40" s="4">
        <v>0.23</v>
      </c>
      <c r="K40" s="4">
        <v>0.22</v>
      </c>
    </row>
    <row r="41" spans="1:13" ht="14.45" customHeight="1" x14ac:dyDescent="0.25">
      <c r="A41" s="228"/>
      <c r="C41" s="12" t="s">
        <v>36</v>
      </c>
      <c r="D41" s="1">
        <f>-D22/D17</f>
        <v>0.13517915667202643</v>
      </c>
      <c r="E41" s="1">
        <f>-E22/E17</f>
        <v>0.13201361309406126</v>
      </c>
      <c r="F41" s="1">
        <f>-F22/F17</f>
        <v>0.12170869419922582</v>
      </c>
      <c r="G41" s="4">
        <v>0.115</v>
      </c>
      <c r="H41" s="4">
        <v>0.11</v>
      </c>
      <c r="I41" s="4">
        <v>0.105</v>
      </c>
      <c r="J41" s="4">
        <v>0.1</v>
      </c>
      <c r="K41" s="4">
        <v>9.5000000000000001E-2</v>
      </c>
    </row>
    <row r="42" spans="1:13" ht="14.45" customHeight="1" x14ac:dyDescent="0.25">
      <c r="A42" s="228" t="s">
        <v>10</v>
      </c>
      <c r="C42" s="12" t="s">
        <v>37</v>
      </c>
      <c r="D42" s="1">
        <f>-(D28/D27)</f>
        <v>-2.9475089079989424E-2</v>
      </c>
      <c r="E42" s="1">
        <f>-(E28/E27)</f>
        <v>-3.1360250882007056E-3</v>
      </c>
      <c r="F42" s="1">
        <f>-(F28/F27)</f>
        <v>0.12295847981843265</v>
      </c>
      <c r="G42" s="4">
        <v>0.125</v>
      </c>
      <c r="H42" s="4">
        <v>0.13</v>
      </c>
      <c r="I42" s="4">
        <v>0.13500000000000001</v>
      </c>
      <c r="J42" s="4">
        <v>0.14000000000000001</v>
      </c>
      <c r="K42" s="4">
        <v>0.14499999999999999</v>
      </c>
    </row>
    <row r="43" spans="1:13" ht="14.45" customHeight="1" x14ac:dyDescent="0.25">
      <c r="A43" s="228"/>
      <c r="C43" s="12"/>
      <c r="G43" s="77"/>
    </row>
    <row r="44" spans="1:13" ht="14.45" customHeight="1" x14ac:dyDescent="0.25">
      <c r="A44" s="228"/>
      <c r="C44" s="17" t="s">
        <v>38</v>
      </c>
      <c r="D44" s="74"/>
      <c r="E44" s="74"/>
      <c r="F44" s="74"/>
      <c r="G44" s="30"/>
      <c r="H44" s="30"/>
      <c r="I44" s="30"/>
      <c r="J44" s="30"/>
      <c r="K44" s="30"/>
    </row>
    <row r="45" spans="1:13" ht="14.45" customHeight="1" x14ac:dyDescent="0.25">
      <c r="A45" s="228"/>
      <c r="C45" s="32" t="str">
        <f>C14</f>
        <v xml:space="preserve">Fiscal year  </v>
      </c>
      <c r="D45" s="31"/>
      <c r="E45" s="31">
        <f t="shared" ref="E45:K46" si="8">E14</f>
        <v>2024</v>
      </c>
      <c r="F45" s="31">
        <f t="shared" si="8"/>
        <v>2025</v>
      </c>
      <c r="G45" s="15">
        <f t="shared" si="8"/>
        <v>2026</v>
      </c>
      <c r="H45" s="15">
        <f t="shared" si="8"/>
        <v>2027</v>
      </c>
      <c r="I45" s="15">
        <f t="shared" si="8"/>
        <v>2028</v>
      </c>
      <c r="J45" s="15">
        <f t="shared" si="8"/>
        <v>2029</v>
      </c>
      <c r="K45" s="15">
        <f t="shared" si="8"/>
        <v>2030</v>
      </c>
    </row>
    <row r="46" spans="1:13" ht="14.45" customHeight="1" x14ac:dyDescent="0.25">
      <c r="A46" s="228"/>
      <c r="C46" s="30" t="str">
        <f>C15</f>
        <v>Fiscal year end date</v>
      </c>
      <c r="D46" s="13"/>
      <c r="E46" s="13">
        <f t="shared" si="8"/>
        <v>45657</v>
      </c>
      <c r="F46" s="13">
        <f t="shared" si="8"/>
        <v>46022</v>
      </c>
      <c r="G46" s="13">
        <f t="shared" si="8"/>
        <v>46387</v>
      </c>
      <c r="H46" s="13">
        <f t="shared" si="8"/>
        <v>46752</v>
      </c>
      <c r="I46" s="13">
        <f t="shared" si="8"/>
        <v>47118</v>
      </c>
      <c r="J46" s="13">
        <f t="shared" si="8"/>
        <v>47483</v>
      </c>
      <c r="K46" s="13">
        <f t="shared" si="8"/>
        <v>47848</v>
      </c>
    </row>
    <row r="47" spans="1:13" ht="14.45" customHeight="1" x14ac:dyDescent="0.25">
      <c r="A47" s="228"/>
      <c r="C47" t="s">
        <v>39</v>
      </c>
      <c r="D47" s="29"/>
      <c r="E47" s="29">
        <f>362546+643410</f>
        <v>1005956</v>
      </c>
      <c r="F47" s="29">
        <f>25913+40388+170799</f>
        <v>237100</v>
      </c>
      <c r="G47" s="21">
        <f>G92+F47</f>
        <v>233536.72368031344</v>
      </c>
      <c r="H47" s="21">
        <f>H92+G47</f>
        <v>299003.34873641434</v>
      </c>
      <c r="I47" s="21">
        <f>I92+H47</f>
        <v>433142.62422811869</v>
      </c>
      <c r="J47" s="21">
        <f>J92+I47</f>
        <v>642935.32281828253</v>
      </c>
      <c r="K47" s="21">
        <f>K92+J47</f>
        <v>922341.98941302719</v>
      </c>
    </row>
    <row r="48" spans="1:13" ht="14.45" customHeight="1" x14ac:dyDescent="0.25">
      <c r="A48" s="228"/>
      <c r="C48" t="s">
        <v>40</v>
      </c>
      <c r="D48" s="29"/>
      <c r="E48" s="29">
        <v>115172</v>
      </c>
      <c r="F48" s="29">
        <v>23186</v>
      </c>
      <c r="G48" s="21">
        <f>F48*(1+G37)</f>
        <v>25435.041999999998</v>
      </c>
      <c r="H48" s="21">
        <f>G48*(1+H37)</f>
        <v>28232.89662</v>
      </c>
      <c r="I48" s="21">
        <f>H48*(1+I37)</f>
        <v>31056.186282000002</v>
      </c>
      <c r="J48" s="21">
        <f>I48*(1+J37)</f>
        <v>33851.243047380005</v>
      </c>
      <c r="K48" s="21">
        <f>J48*(1+K37)</f>
        <v>36559.342491170406</v>
      </c>
    </row>
    <row r="49" spans="1:11" ht="14.45" customHeight="1" x14ac:dyDescent="0.25">
      <c r="A49" s="228"/>
      <c r="C49" t="s">
        <v>41</v>
      </c>
      <c r="D49" s="29"/>
      <c r="E49" s="29">
        <v>4855</v>
      </c>
      <c r="F49" s="29">
        <v>3956</v>
      </c>
      <c r="G49" s="21">
        <f>F49*G18/F18</f>
        <v>4153.7279696782462</v>
      </c>
      <c r="H49" s="21">
        <f>G49*H18/G18</f>
        <v>4288.965624504981</v>
      </c>
      <c r="I49" s="21">
        <f>H49*I18/H18</f>
        <v>4481.969077607705</v>
      </c>
      <c r="J49" s="21">
        <f>I49*J18/I18</f>
        <v>4628.2228054033249</v>
      </c>
      <c r="K49" s="21">
        <f>J49*K18/J18</f>
        <v>4859.6339456734922</v>
      </c>
    </row>
    <row r="50" spans="1:11" ht="14.45" customHeight="1" x14ac:dyDescent="0.25">
      <c r="A50" s="228"/>
      <c r="C50" t="s">
        <v>42</v>
      </c>
      <c r="D50" s="29"/>
      <c r="E50" s="29">
        <f>17799+13936</f>
        <v>31735</v>
      </c>
      <c r="F50" s="29">
        <f>25809+12087</f>
        <v>37896</v>
      </c>
      <c r="G50" s="21">
        <f>F50*(1+G37)</f>
        <v>41571.911999999997</v>
      </c>
      <c r="H50" s="21">
        <f>G50*(1+H37)</f>
        <v>46144.822319999999</v>
      </c>
      <c r="I50" s="21">
        <f>H50*(1+I37)</f>
        <v>50759.304552000001</v>
      </c>
      <c r="J50" s="21">
        <f>I50*(1+J37)</f>
        <v>55327.641961680005</v>
      </c>
      <c r="K50" s="21">
        <f>J50*(1+K37)</f>
        <v>59753.853318614412</v>
      </c>
    </row>
    <row r="51" spans="1:11" ht="14.45" customHeight="1" x14ac:dyDescent="0.25">
      <c r="A51" s="228"/>
      <c r="C51" t="s">
        <v>43</v>
      </c>
      <c r="D51" s="29"/>
      <c r="E51" s="29">
        <v>33783</v>
      </c>
      <c r="F51" s="29">
        <v>41304</v>
      </c>
      <c r="G51" s="21">
        <f>G101</f>
        <v>45042.85982873883</v>
      </c>
      <c r="H51" s="21">
        <f>H101</f>
        <v>48611.181883872909</v>
      </c>
      <c r="I51" s="21">
        <f>I101</f>
        <v>51947.567835949827</v>
      </c>
      <c r="J51" s="21">
        <f>J101</f>
        <v>55282.974323713672</v>
      </c>
      <c r="K51" s="21">
        <f>K101</f>
        <v>58559.858794498621</v>
      </c>
    </row>
    <row r="52" spans="1:11" ht="14.45" customHeight="1" x14ac:dyDescent="0.25">
      <c r="A52" s="228"/>
      <c r="C52" t="s">
        <v>44</v>
      </c>
      <c r="D52" s="29"/>
      <c r="E52" s="29">
        <v>18177</v>
      </c>
      <c r="F52" s="29">
        <v>22283</v>
      </c>
      <c r="G52" s="21">
        <f>F52*(1+G37)</f>
        <v>24444.451000000001</v>
      </c>
      <c r="H52" s="21">
        <f>G52*(1+H37)</f>
        <v>27133.340610000003</v>
      </c>
      <c r="I52" s="21">
        <f>H52*(1+I37)</f>
        <v>29846.674671000004</v>
      </c>
      <c r="J52" s="21">
        <f>I52*(1+J37)</f>
        <v>32532.875391390007</v>
      </c>
      <c r="K52" s="21">
        <f>J52*(1+K37)</f>
        <v>35135.505422701208</v>
      </c>
    </row>
    <row r="53" spans="1:11" ht="14.45" customHeight="1" x14ac:dyDescent="0.25">
      <c r="A53" s="228"/>
      <c r="C53" s="69" t="s">
        <v>45</v>
      </c>
      <c r="D53" s="39"/>
      <c r="E53" s="39">
        <f t="shared" ref="E53:K53" si="9">SUM(E47:E52)</f>
        <v>1209678</v>
      </c>
      <c r="F53" s="39">
        <f t="shared" si="9"/>
        <v>365725</v>
      </c>
      <c r="G53" s="19">
        <f t="shared" si="9"/>
        <v>374184.71647873055</v>
      </c>
      <c r="H53" s="19">
        <f t="shared" si="9"/>
        <v>453414.55579479219</v>
      </c>
      <c r="I53" s="19">
        <f t="shared" si="9"/>
        <v>601234.32664667617</v>
      </c>
      <c r="J53" s="19">
        <f t="shared" si="9"/>
        <v>824558.28034784959</v>
      </c>
      <c r="K53" s="19">
        <f t="shared" si="9"/>
        <v>1117210.1833856853</v>
      </c>
    </row>
    <row r="54" spans="1:11" ht="14.45" customHeight="1" x14ac:dyDescent="0.25">
      <c r="A54" s="228"/>
      <c r="C54" s="49"/>
      <c r="D54" s="21"/>
      <c r="E54" s="21"/>
      <c r="F54" s="21"/>
      <c r="G54" s="21"/>
      <c r="H54" s="21"/>
      <c r="I54" s="21"/>
      <c r="J54" s="21"/>
      <c r="K54" s="21"/>
    </row>
    <row r="55" spans="1:11" ht="14.45" customHeight="1" x14ac:dyDescent="0.25">
      <c r="A55" s="228"/>
      <c r="C55" s="49" t="s">
        <v>46</v>
      </c>
      <c r="D55" s="29"/>
      <c r="E55" s="29">
        <v>44242</v>
      </c>
      <c r="F55" s="29">
        <v>55888</v>
      </c>
      <c r="G55" s="21">
        <f>F55*G18/F18</f>
        <v>58681.382398730493</v>
      </c>
      <c r="H55" s="21">
        <f>G55*H18/G18</f>
        <v>60591.939034968258</v>
      </c>
      <c r="I55" s="21">
        <f>H55*I18/H18</f>
        <v>63318.576291541838</v>
      </c>
      <c r="J55" s="21">
        <f>I55*J18/I18</f>
        <v>65384.761412634245</v>
      </c>
      <c r="K55" s="21">
        <f>J55*K18/J18</f>
        <v>68653.999483265958</v>
      </c>
    </row>
    <row r="56" spans="1:11" ht="14.45" customHeight="1" x14ac:dyDescent="0.25">
      <c r="A56" s="228"/>
      <c r="C56" s="49" t="s">
        <v>47</v>
      </c>
      <c r="D56" s="29"/>
      <c r="E56" s="29">
        <v>30551</v>
      </c>
      <c r="F56" s="29">
        <v>32687</v>
      </c>
      <c r="G56" s="21">
        <f>F56*(1+G37)</f>
        <v>35857.638999999996</v>
      </c>
      <c r="H56" s="21">
        <f>G56*(1+H37)</f>
        <v>39801.979289999996</v>
      </c>
      <c r="I56" s="21">
        <f>H56*(1+I37)</f>
        <v>43782.177218999997</v>
      </c>
      <c r="J56" s="21">
        <f>I56*(1+J37)</f>
        <v>47722.573168709998</v>
      </c>
      <c r="K56" s="21">
        <f>J56*(1+K37)</f>
        <v>51540.379022206798</v>
      </c>
    </row>
    <row r="57" spans="1:11" ht="14.45" customHeight="1" x14ac:dyDescent="0.25">
      <c r="A57" s="228"/>
      <c r="C57" s="49" t="s">
        <v>48</v>
      </c>
      <c r="D57" s="29"/>
      <c r="E57" s="29">
        <f>7548+2836</f>
        <v>10384</v>
      </c>
      <c r="F57" s="29">
        <f>7543+2797</f>
        <v>10340</v>
      </c>
      <c r="G57" s="21">
        <f>F57*(1+G37)</f>
        <v>11342.98</v>
      </c>
      <c r="H57" s="21">
        <f>G57*(1+H37)</f>
        <v>12590.7078</v>
      </c>
      <c r="I57" s="21">
        <f>H57*(1+I37)</f>
        <v>13849.778580000002</v>
      </c>
      <c r="J57" s="21">
        <f>I57*(1+J37)</f>
        <v>15096.258652200004</v>
      </c>
      <c r="K57" s="21">
        <f>J57*(1+K37)</f>
        <v>16303.959344376006</v>
      </c>
    </row>
    <row r="58" spans="1:11" ht="14.45" customHeight="1" x14ac:dyDescent="0.25">
      <c r="A58" s="228"/>
      <c r="C58" s="49" t="s">
        <v>49</v>
      </c>
      <c r="D58" s="29"/>
      <c r="E58" s="29">
        <v>11977</v>
      </c>
      <c r="F58" s="29">
        <v>11964</v>
      </c>
      <c r="G58" s="21">
        <f>G137</f>
        <v>12000</v>
      </c>
      <c r="H58" s="21">
        <f>H137</f>
        <v>12000</v>
      </c>
      <c r="I58" s="21">
        <f>I137</f>
        <v>12000</v>
      </c>
      <c r="J58" s="21">
        <f>J137</f>
        <v>12000</v>
      </c>
      <c r="K58" s="21">
        <f>K137</f>
        <v>12000</v>
      </c>
    </row>
    <row r="59" spans="1:11" ht="14.45" customHeight="1" x14ac:dyDescent="0.25">
      <c r="A59" s="228"/>
      <c r="C59" s="49" t="s">
        <v>50</v>
      </c>
      <c r="D59" s="29"/>
      <c r="E59" s="29">
        <f>6496+97207</f>
        <v>103703</v>
      </c>
      <c r="F59" s="29">
        <f>8784+93735</f>
        <v>102519</v>
      </c>
      <c r="G59" s="21">
        <f>F59</f>
        <v>102519</v>
      </c>
      <c r="H59" s="21">
        <f>G59</f>
        <v>102519</v>
      </c>
      <c r="I59" s="21">
        <f>H59</f>
        <v>102519</v>
      </c>
      <c r="J59" s="21">
        <f>I59</f>
        <v>102519</v>
      </c>
      <c r="K59" s="21">
        <f>J59</f>
        <v>102519</v>
      </c>
    </row>
    <row r="60" spans="1:11" ht="14.45" customHeight="1" x14ac:dyDescent="0.25">
      <c r="A60" s="228"/>
      <c r="C60" s="49" t="s">
        <v>51</v>
      </c>
      <c r="D60" s="29"/>
      <c r="E60" s="29">
        <v>40415</v>
      </c>
      <c r="F60" s="29">
        <v>45180</v>
      </c>
      <c r="G60" s="21">
        <f>F60*(1+G37)</f>
        <v>49562.46</v>
      </c>
      <c r="H60" s="21">
        <f>G60*(1+H37)</f>
        <v>55014.330600000001</v>
      </c>
      <c r="I60" s="21">
        <f>H60*(1+I37)</f>
        <v>60515.763660000004</v>
      </c>
      <c r="J60" s="21">
        <f>I60*(1+J37)</f>
        <v>65962.182389400012</v>
      </c>
      <c r="K60" s="21">
        <f>J60*(1+K37)</f>
        <v>71239.156980552012</v>
      </c>
    </row>
    <row r="61" spans="1:11" ht="14.45" customHeight="1" x14ac:dyDescent="0.25">
      <c r="A61" s="228"/>
      <c r="C61" s="69" t="s">
        <v>52</v>
      </c>
      <c r="D61" s="39"/>
      <c r="E61" s="39">
        <f t="shared" ref="E61:K61" si="10">SUM(E55:E60)</f>
        <v>241272</v>
      </c>
      <c r="F61" s="39">
        <f t="shared" si="10"/>
        <v>258578</v>
      </c>
      <c r="G61" s="19">
        <f t="shared" si="10"/>
        <v>269963.46139873052</v>
      </c>
      <c r="H61" s="19">
        <f t="shared" si="10"/>
        <v>282517.95672496827</v>
      </c>
      <c r="I61" s="19">
        <f t="shared" si="10"/>
        <v>295985.29575054185</v>
      </c>
      <c r="J61" s="19">
        <f t="shared" si="10"/>
        <v>308684.77562294429</v>
      </c>
      <c r="K61" s="19">
        <f t="shared" si="10"/>
        <v>322256.4948304008</v>
      </c>
    </row>
    <row r="62" spans="1:11" ht="14.45" customHeight="1" x14ac:dyDescent="0.25">
      <c r="A62" s="228"/>
      <c r="C62" s="69"/>
      <c r="D62" s="39"/>
      <c r="E62" s="39"/>
      <c r="F62" s="39"/>
      <c r="G62" s="21"/>
      <c r="H62" s="21"/>
      <c r="I62" s="21"/>
      <c r="J62" s="21"/>
      <c r="K62" s="21"/>
    </row>
    <row r="63" spans="1:11" ht="14.45" customHeight="1" x14ac:dyDescent="0.25">
      <c r="A63" s="228"/>
      <c r="C63" s="49" t="s">
        <v>53</v>
      </c>
      <c r="D63" s="29"/>
      <c r="E63" s="29">
        <v>35867</v>
      </c>
      <c r="F63" s="29">
        <v>40201</v>
      </c>
      <c r="G63" s="21">
        <f>F63+G33</f>
        <v>46857.595999999998</v>
      </c>
      <c r="H63" s="21">
        <f>G63+H33</f>
        <v>54246.417560000002</v>
      </c>
      <c r="I63" s="21">
        <f>H63+I33</f>
        <v>62374.121276000005</v>
      </c>
      <c r="J63" s="21">
        <f>I63+J33</f>
        <v>71233.31832644</v>
      </c>
      <c r="K63" s="21">
        <f>J63+K33</f>
        <v>80801.251140915207</v>
      </c>
    </row>
    <row r="64" spans="1:11" ht="14.45" customHeight="1" x14ac:dyDescent="0.25">
      <c r="A64" s="228"/>
      <c r="C64" s="49" t="s">
        <v>54</v>
      </c>
      <c r="D64" s="27"/>
      <c r="E64" s="27">
        <f>98330</f>
        <v>98330</v>
      </c>
      <c r="F64" s="29">
        <v>70400</v>
      </c>
      <c r="G64" s="21">
        <f>G121</f>
        <v>60817.659080000012</v>
      </c>
      <c r="H64" s="21">
        <f>H121</f>
        <v>120104.18150982395</v>
      </c>
      <c r="I64" s="21">
        <f>I121</f>
        <v>246328.90962013439</v>
      </c>
      <c r="J64" s="21">
        <f>J121</f>
        <v>448094.1863984653</v>
      </c>
      <c r="K64" s="21">
        <f>K121</f>
        <v>717606.43741436931</v>
      </c>
    </row>
    <row r="65" spans="1:13" ht="14.45" customHeight="1" x14ac:dyDescent="0.25">
      <c r="A65" s="228"/>
      <c r="C65" s="49" t="s">
        <v>55</v>
      </c>
      <c r="D65" s="29"/>
      <c r="E65" s="29">
        <v>-150</v>
      </c>
      <c r="F65" s="29">
        <v>-3454</v>
      </c>
      <c r="G65" s="21">
        <f>F65</f>
        <v>-3454</v>
      </c>
      <c r="H65" s="21">
        <f>G65</f>
        <v>-3454</v>
      </c>
      <c r="I65" s="21">
        <f>H65</f>
        <v>-3454</v>
      </c>
      <c r="J65" s="21">
        <f>I65</f>
        <v>-3454</v>
      </c>
      <c r="K65" s="21">
        <f>J65</f>
        <v>-3454</v>
      </c>
    </row>
    <row r="66" spans="1:13" ht="14.45" customHeight="1" x14ac:dyDescent="0.25">
      <c r="A66" s="228"/>
      <c r="C66" s="69" t="s">
        <v>56</v>
      </c>
      <c r="D66" s="19"/>
      <c r="E66" s="19">
        <f t="shared" ref="E66:K66" si="11">SUM(E63:E65)</f>
        <v>134047</v>
      </c>
      <c r="F66" s="19">
        <f t="shared" si="11"/>
        <v>107147</v>
      </c>
      <c r="G66" s="19">
        <f t="shared" si="11"/>
        <v>104221.25508</v>
      </c>
      <c r="H66" s="19">
        <f t="shared" si="11"/>
        <v>170896.59906982395</v>
      </c>
      <c r="I66" s="19">
        <f t="shared" si="11"/>
        <v>305249.03089613438</v>
      </c>
      <c r="J66" s="19">
        <f t="shared" si="11"/>
        <v>515873.5047249053</v>
      </c>
      <c r="K66" s="19">
        <f t="shared" si="11"/>
        <v>794953.68855528452</v>
      </c>
    </row>
    <row r="67" spans="1:13" ht="14.45" customHeight="1" x14ac:dyDescent="0.25">
      <c r="A67" s="228"/>
      <c r="D67" s="21"/>
      <c r="E67" s="21"/>
      <c r="F67" s="21"/>
    </row>
    <row r="68" spans="1:13" ht="14.45" customHeight="1" x14ac:dyDescent="0.25">
      <c r="A68" s="228" t="s">
        <v>10</v>
      </c>
      <c r="C68" s="76" t="s">
        <v>57</v>
      </c>
      <c r="D68" s="75"/>
      <c r="E68" s="75">
        <f t="shared" ref="E68:K68" si="12">ROUND(E53-E61-E66,3)</f>
        <v>834359</v>
      </c>
      <c r="F68" s="75">
        <f t="shared" si="12"/>
        <v>0</v>
      </c>
      <c r="G68" s="75">
        <f t="shared" si="12"/>
        <v>0</v>
      </c>
      <c r="H68" s="75">
        <f t="shared" si="12"/>
        <v>0</v>
      </c>
      <c r="I68" s="75">
        <f t="shared" si="12"/>
        <v>0</v>
      </c>
      <c r="J68" s="75">
        <f t="shared" si="12"/>
        <v>0</v>
      </c>
      <c r="K68" s="75">
        <f t="shared" si="12"/>
        <v>0</v>
      </c>
    </row>
    <row r="69" spans="1:13" ht="14.45" customHeight="1" x14ac:dyDescent="0.25">
      <c r="A69" s="228"/>
      <c r="E69" s="21"/>
      <c r="F69" s="21"/>
      <c r="H69" s="21"/>
      <c r="I69" s="21"/>
      <c r="J69" s="21"/>
      <c r="K69" s="21"/>
    </row>
    <row r="70" spans="1:13" ht="14.45" customHeight="1" x14ac:dyDescent="0.25">
      <c r="A70" s="228"/>
      <c r="C70" s="17" t="s">
        <v>58</v>
      </c>
      <c r="D70" s="74"/>
      <c r="E70" s="74"/>
      <c r="F70" s="74"/>
      <c r="G70" s="74"/>
      <c r="H70" s="74"/>
      <c r="I70" s="74"/>
      <c r="J70" s="74"/>
      <c r="K70" s="74"/>
    </row>
    <row r="71" spans="1:13" ht="14.45" customHeight="1" x14ac:dyDescent="0.25">
      <c r="A71" s="228"/>
      <c r="C71" s="32" t="str">
        <f>C14</f>
        <v xml:space="preserve">Fiscal year  </v>
      </c>
      <c r="D71" s="31"/>
      <c r="E71" s="31"/>
      <c r="F71" s="31"/>
      <c r="G71" s="15">
        <f t="shared" ref="G71:K72" si="13">G14</f>
        <v>2026</v>
      </c>
      <c r="H71" s="15">
        <f t="shared" si="13"/>
        <v>2027</v>
      </c>
      <c r="I71" s="15">
        <f t="shared" si="13"/>
        <v>2028</v>
      </c>
      <c r="J71" s="15">
        <f t="shared" si="13"/>
        <v>2029</v>
      </c>
      <c r="K71" s="15">
        <f t="shared" si="13"/>
        <v>2030</v>
      </c>
    </row>
    <row r="72" spans="1:13" ht="14.45" customHeight="1" x14ac:dyDescent="0.25">
      <c r="A72" s="228"/>
      <c r="C72" s="30" t="str">
        <f>C15</f>
        <v>Fiscal year end date</v>
      </c>
      <c r="D72" s="13"/>
      <c r="E72" s="13"/>
      <c r="F72" s="13"/>
      <c r="G72" s="13">
        <f t="shared" si="13"/>
        <v>46387</v>
      </c>
      <c r="H72" s="13">
        <f t="shared" si="13"/>
        <v>46752</v>
      </c>
      <c r="I72" s="13">
        <f t="shared" si="13"/>
        <v>47118</v>
      </c>
      <c r="J72" s="13">
        <f t="shared" si="13"/>
        <v>47483</v>
      </c>
      <c r="K72" s="13">
        <f t="shared" si="13"/>
        <v>47848</v>
      </c>
    </row>
    <row r="73" spans="1:13" ht="14.45" customHeight="1" x14ac:dyDescent="0.25">
      <c r="A73" s="228"/>
    </row>
    <row r="74" spans="1:13" ht="14.45" customHeight="1" x14ac:dyDescent="0.25">
      <c r="A74" s="228"/>
      <c r="C74" t="s">
        <v>26</v>
      </c>
      <c r="D74" s="48"/>
      <c r="E74" s="48"/>
      <c r="F74" s="48"/>
      <c r="G74" s="21">
        <f>G29</f>
        <v>77208.659080000027</v>
      </c>
      <c r="H74" s="21">
        <f>H29</f>
        <v>146077.52242982393</v>
      </c>
      <c r="I74" s="21">
        <f>I29</f>
        <v>213015.72811031045</v>
      </c>
      <c r="J74" s="21">
        <f>J29</f>
        <v>288556.27677833091</v>
      </c>
      <c r="K74" s="21">
        <f>K29</f>
        <v>356303.25101590401</v>
      </c>
      <c r="M74" s="20"/>
    </row>
    <row r="75" spans="1:13" ht="14.45" customHeight="1" x14ac:dyDescent="0.25">
      <c r="C75" t="s">
        <v>59</v>
      </c>
      <c r="D75" s="48"/>
      <c r="E75" s="48"/>
      <c r="F75" s="48"/>
      <c r="G75" s="21">
        <f>G31</f>
        <v>13108.099171261174</v>
      </c>
      <c r="H75" s="21">
        <f>H31</f>
        <v>14034.452434865922</v>
      </c>
      <c r="I75" s="21">
        <f>I31</f>
        <v>14831.765986923085</v>
      </c>
      <c r="J75" s="21">
        <f>J31</f>
        <v>16467.879125746163</v>
      </c>
      <c r="K75" s="21">
        <f>K31</f>
        <v>18110.663991805857</v>
      </c>
    </row>
    <row r="76" spans="1:13" ht="14.45" customHeight="1" x14ac:dyDescent="0.25">
      <c r="C76" t="s">
        <v>29</v>
      </c>
      <c r="D76" s="48"/>
      <c r="E76" s="48"/>
      <c r="F76" s="48"/>
      <c r="G76" s="21">
        <f>G33</f>
        <v>6656.5959999999995</v>
      </c>
      <c r="H76" s="21">
        <f>H33</f>
        <v>7388.8215600000003</v>
      </c>
      <c r="I76" s="21">
        <f>I33</f>
        <v>8127.7037160000009</v>
      </c>
      <c r="J76" s="21">
        <f>J33</f>
        <v>8859.1970504400015</v>
      </c>
      <c r="K76" s="21">
        <f>K33</f>
        <v>9567.9328144752017</v>
      </c>
    </row>
    <row r="77" spans="1:13" ht="14.45" customHeight="1" x14ac:dyDescent="0.25">
      <c r="C77" t="s">
        <v>60</v>
      </c>
      <c r="D77" s="21"/>
      <c r="E77" s="21"/>
      <c r="F77" s="21"/>
      <c r="G77" s="21">
        <f>-1*(SUM(G48:G50)-SUM(F48:F50))</f>
        <v>-6122.6819696782331</v>
      </c>
      <c r="H77" s="21">
        <f>-1*(SUM(H48:H50)-SUM(G48:G50))</f>
        <v>-7506.002594826743</v>
      </c>
      <c r="I77" s="21">
        <f>-1*(SUM(I48:I50)-SUM(H48:H50))</f>
        <v>-7630.7753471027245</v>
      </c>
      <c r="J77" s="21">
        <f>-1*(SUM(J48:J50)-SUM(I48:I50))</f>
        <v>-7509.647902855635</v>
      </c>
      <c r="K77" s="21">
        <f>-1*(SUM(K48:K50)-SUM(J48:J50))</f>
        <v>-7365.7219409949757</v>
      </c>
    </row>
    <row r="78" spans="1:13" ht="14.45" customHeight="1" x14ac:dyDescent="0.25">
      <c r="C78" t="s">
        <v>61</v>
      </c>
      <c r="D78" s="21"/>
      <c r="E78" s="21"/>
      <c r="F78" s="21"/>
      <c r="G78" s="21">
        <f>SUM(G55:G57)-SUM(F55:F57)</f>
        <v>6967.0013987304847</v>
      </c>
      <c r="H78" s="21">
        <f>SUM(H55:H57)-SUM(G55:G57)</f>
        <v>7102.6247262377728</v>
      </c>
      <c r="I78" s="21">
        <f>SUM(I55:I57)-SUM(H55:H57)</f>
        <v>7965.9059655735764</v>
      </c>
      <c r="J78" s="21">
        <f>SUM(J55:J57)-SUM(I55:I57)</f>
        <v>7253.0611430024146</v>
      </c>
      <c r="K78" s="21">
        <f>SUM(K55:K57)-SUM(J55:J57)</f>
        <v>8294.7446163045097</v>
      </c>
    </row>
    <row r="79" spans="1:13" ht="14.45" customHeight="1" x14ac:dyDescent="0.25">
      <c r="C79" t="s">
        <v>44</v>
      </c>
      <c r="G79" s="21">
        <f>-(G113)</f>
        <v>-5723.41</v>
      </c>
      <c r="H79" s="21">
        <f>-(H113)</f>
        <v>-6642.6641000000018</v>
      </c>
      <c r="I79" s="21">
        <f>-(I113)</f>
        <v>-7062.4860000000008</v>
      </c>
      <c r="J79" s="21">
        <f>-(J113)</f>
        <v>-7426.7763339000048</v>
      </c>
      <c r="K79" s="21">
        <f>-(K113)</f>
        <v>-7722.4516939020032</v>
      </c>
    </row>
    <row r="80" spans="1:13" ht="14.45" customHeight="1" x14ac:dyDescent="0.25">
      <c r="C80" t="s">
        <v>51</v>
      </c>
      <c r="G80" s="21">
        <f>G60-F60</f>
        <v>4382.4599999999991</v>
      </c>
      <c r="H80" s="21">
        <f>H60-G60</f>
        <v>5451.870600000002</v>
      </c>
      <c r="I80" s="21">
        <f>I60-H60</f>
        <v>5501.433060000003</v>
      </c>
      <c r="J80" s="21">
        <f>J60-I60</f>
        <v>5446.4187294000076</v>
      </c>
      <c r="K80" s="21">
        <f>K60-J60</f>
        <v>5276.9745911520004</v>
      </c>
      <c r="M80" s="20"/>
    </row>
    <row r="81" spans="1:11" ht="14.45" customHeight="1" x14ac:dyDescent="0.25">
      <c r="C81" s="20" t="s">
        <v>62</v>
      </c>
      <c r="G81" s="19">
        <f>SUM(G74:G80)</f>
        <v>96476.723680313444</v>
      </c>
      <c r="H81" s="19">
        <f>SUM(H74:H80)</f>
        <v>165906.62505610092</v>
      </c>
      <c r="I81" s="19">
        <f>SUM(I74:I80)</f>
        <v>234749.27549170438</v>
      </c>
      <c r="J81" s="19">
        <f>SUM(J74:J80)</f>
        <v>311646.40859016386</v>
      </c>
      <c r="K81" s="19">
        <f>SUM(K74:K80)</f>
        <v>382465.39339474461</v>
      </c>
    </row>
    <row r="82" spans="1:11" ht="14.45" customHeight="1" x14ac:dyDescent="0.25">
      <c r="G82" s="21"/>
      <c r="H82" s="21"/>
      <c r="I82" s="21"/>
      <c r="J82" s="21"/>
      <c r="K82" s="21"/>
    </row>
    <row r="83" spans="1:11" ht="14.45" customHeight="1" x14ac:dyDescent="0.25">
      <c r="C83" t="s">
        <v>63</v>
      </c>
      <c r="G83" s="21">
        <f>-(G99)</f>
        <v>-13285</v>
      </c>
      <c r="H83" s="21">
        <f>-(H99)</f>
        <v>-13649</v>
      </c>
      <c r="I83" s="21">
        <f>-(I99)</f>
        <v>-13819</v>
      </c>
      <c r="J83" s="21">
        <f>-(J99)</f>
        <v>-15062.710000000001</v>
      </c>
      <c r="K83" s="21">
        <f>-(K99)</f>
        <v>-16267.726800000002</v>
      </c>
    </row>
    <row r="84" spans="1:11" ht="14.45" customHeight="1" x14ac:dyDescent="0.25">
      <c r="C84" s="20" t="s">
        <v>64</v>
      </c>
      <c r="G84" s="19">
        <f>IFERROR(G83,"NA")</f>
        <v>-13285</v>
      </c>
      <c r="H84" s="19">
        <f>IFERROR(H83,"NA")</f>
        <v>-13649</v>
      </c>
      <c r="I84" s="19">
        <f>IFERROR(I83,"NA")</f>
        <v>-13819</v>
      </c>
      <c r="J84" s="19">
        <f>IFERROR(J83,"NA")</f>
        <v>-15062.710000000001</v>
      </c>
      <c r="K84" s="19">
        <f>IFERROR(K83,"NA")</f>
        <v>-16267.726800000002</v>
      </c>
    </row>
    <row r="85" spans="1:11" ht="14.45" customHeight="1" x14ac:dyDescent="0.25">
      <c r="G85" s="21"/>
      <c r="H85" s="21"/>
      <c r="I85" s="21"/>
      <c r="J85" s="21"/>
      <c r="K85" s="21"/>
    </row>
    <row r="86" spans="1:11" ht="14.45" customHeight="1" x14ac:dyDescent="0.25">
      <c r="C86" t="s">
        <v>65</v>
      </c>
      <c r="G86" s="21">
        <f>G59-F59</f>
        <v>0</v>
      </c>
      <c r="H86" s="21">
        <f>H59-G59</f>
        <v>0</v>
      </c>
      <c r="I86" s="21">
        <f>I59-H59</f>
        <v>0</v>
      </c>
      <c r="J86" s="21">
        <f>J59-I59</f>
        <v>0</v>
      </c>
      <c r="K86" s="21">
        <f>K59-J59</f>
        <v>0</v>
      </c>
    </row>
    <row r="87" spans="1:11" ht="14.45" customHeight="1" x14ac:dyDescent="0.25">
      <c r="C87" t="s">
        <v>66</v>
      </c>
      <c r="G87" s="21">
        <f>G58-F58</f>
        <v>36</v>
      </c>
      <c r="H87" s="21">
        <f>H58-G58</f>
        <v>0</v>
      </c>
      <c r="I87" s="21">
        <f>I58-H58</f>
        <v>0</v>
      </c>
      <c r="J87" s="21">
        <f>J58-I58</f>
        <v>0</v>
      </c>
      <c r="K87" s="21">
        <f>K58-J58</f>
        <v>0</v>
      </c>
    </row>
    <row r="88" spans="1:11" ht="14.45" customHeight="1" x14ac:dyDescent="0.25">
      <c r="C88" t="s">
        <v>67</v>
      </c>
      <c r="G88" s="21">
        <f>G120</f>
        <v>-73056</v>
      </c>
      <c r="H88" s="21">
        <f>H120</f>
        <v>-73056</v>
      </c>
      <c r="I88" s="21">
        <f>I120</f>
        <v>-73056</v>
      </c>
      <c r="J88" s="21">
        <f>J120</f>
        <v>-73056</v>
      </c>
      <c r="K88" s="21">
        <f>K120</f>
        <v>-73056</v>
      </c>
    </row>
    <row r="89" spans="1:11" ht="14.45" customHeight="1" x14ac:dyDescent="0.25">
      <c r="C89" t="s">
        <v>68</v>
      </c>
      <c r="G89" s="21">
        <f>G119</f>
        <v>-13735</v>
      </c>
      <c r="H89" s="21">
        <f>H119</f>
        <v>-13735</v>
      </c>
      <c r="I89" s="21">
        <f>I119</f>
        <v>-13735</v>
      </c>
      <c r="J89" s="21">
        <f>J119</f>
        <v>-13735</v>
      </c>
      <c r="K89" s="21">
        <f>K119</f>
        <v>-13735</v>
      </c>
    </row>
    <row r="90" spans="1:11" ht="14.45" customHeight="1" x14ac:dyDescent="0.25">
      <c r="C90" s="20" t="s">
        <v>69</v>
      </c>
      <c r="G90" s="19">
        <f>SUM(G86:G89)</f>
        <v>-86755</v>
      </c>
      <c r="H90" s="19">
        <f>SUM(H86:H89)</f>
        <v>-86791</v>
      </c>
      <c r="I90" s="19">
        <f>SUM(I86:I89)</f>
        <v>-86791</v>
      </c>
      <c r="J90" s="19">
        <f>SUM(J86:J89)</f>
        <v>-86791</v>
      </c>
      <c r="K90" s="19">
        <f>SUM(K86:K89)</f>
        <v>-86791</v>
      </c>
    </row>
    <row r="91" spans="1:11" ht="14.45" customHeight="1" x14ac:dyDescent="0.25">
      <c r="G91" s="21"/>
      <c r="H91" s="21"/>
      <c r="I91" s="21"/>
      <c r="J91" s="21"/>
      <c r="K91" s="21"/>
    </row>
    <row r="92" spans="1:11" ht="14.45" customHeight="1" x14ac:dyDescent="0.25">
      <c r="A92" s="228" t="s">
        <v>10</v>
      </c>
      <c r="C92" s="20" t="s">
        <v>70</v>
      </c>
      <c r="G92" s="19">
        <f>G81+G84+G90</f>
        <v>-3563.2763196865562</v>
      </c>
      <c r="H92" s="19">
        <f>H81+H84+H90</f>
        <v>65466.625056100922</v>
      </c>
      <c r="I92" s="19">
        <f>I81+I84+I90</f>
        <v>134139.27549170438</v>
      </c>
      <c r="J92" s="19">
        <f>J81+J84+J90</f>
        <v>209792.69859016384</v>
      </c>
      <c r="K92" s="19">
        <f>K81+K84+K90</f>
        <v>279406.6665947446</v>
      </c>
    </row>
    <row r="93" spans="1:11" ht="14.45" customHeight="1" x14ac:dyDescent="0.25"/>
    <row r="94" spans="1:11" ht="14.45" customHeight="1" x14ac:dyDescent="0.25">
      <c r="C94" s="17" t="s">
        <v>71</v>
      </c>
      <c r="D94" s="30"/>
      <c r="E94" s="30"/>
      <c r="F94" s="30"/>
      <c r="G94" s="30"/>
      <c r="H94" s="30"/>
      <c r="I94" s="30"/>
      <c r="J94" s="30"/>
      <c r="K94" s="30"/>
    </row>
    <row r="95" spans="1:11" ht="14.45" customHeight="1" x14ac:dyDescent="0.25">
      <c r="C95" s="32" t="str">
        <f t="shared" ref="C95:K95" si="14">C14</f>
        <v xml:space="preserve">Fiscal year  </v>
      </c>
      <c r="D95" s="31">
        <f t="shared" si="14"/>
        <v>2023</v>
      </c>
      <c r="E95" s="31">
        <f t="shared" si="14"/>
        <v>2024</v>
      </c>
      <c r="F95" s="31">
        <f t="shared" si="14"/>
        <v>2025</v>
      </c>
      <c r="G95" s="15">
        <f t="shared" si="14"/>
        <v>2026</v>
      </c>
      <c r="H95" s="15">
        <f t="shared" si="14"/>
        <v>2027</v>
      </c>
      <c r="I95" s="15">
        <f t="shared" si="14"/>
        <v>2028</v>
      </c>
      <c r="J95" s="15">
        <f t="shared" si="14"/>
        <v>2029</v>
      </c>
      <c r="K95" s="15">
        <f t="shared" si="14"/>
        <v>2030</v>
      </c>
    </row>
    <row r="96" spans="1:11" ht="14.45" customHeight="1" x14ac:dyDescent="0.25">
      <c r="C96" s="30" t="str">
        <f t="shared" ref="C96:K96" si="15">C15</f>
        <v>Fiscal year end date</v>
      </c>
      <c r="D96" s="13">
        <f t="shared" si="15"/>
        <v>45291</v>
      </c>
      <c r="E96" s="13">
        <f t="shared" si="15"/>
        <v>45657</v>
      </c>
      <c r="F96" s="13">
        <f t="shared" si="15"/>
        <v>46022</v>
      </c>
      <c r="G96" s="13">
        <f t="shared" si="15"/>
        <v>46387</v>
      </c>
      <c r="H96" s="13">
        <f t="shared" si="15"/>
        <v>46752</v>
      </c>
      <c r="I96" s="13">
        <f t="shared" si="15"/>
        <v>47118</v>
      </c>
      <c r="J96" s="13">
        <f t="shared" si="15"/>
        <v>47483</v>
      </c>
      <c r="K96" s="13">
        <f t="shared" si="15"/>
        <v>47848</v>
      </c>
    </row>
    <row r="97" spans="1:13" ht="14.45" customHeight="1" x14ac:dyDescent="0.25">
      <c r="D97" s="232"/>
      <c r="E97" s="232"/>
      <c r="F97" s="232"/>
      <c r="G97" s="231" t="s">
        <v>72</v>
      </c>
      <c r="H97" s="231"/>
      <c r="I97" s="231"/>
      <c r="J97" s="231"/>
      <c r="K97" s="231"/>
    </row>
    <row r="98" spans="1:13" ht="14.45" customHeight="1" x14ac:dyDescent="0.25">
      <c r="C98" s="49" t="s">
        <v>73</v>
      </c>
      <c r="G98" s="21">
        <f>F101</f>
        <v>41304</v>
      </c>
      <c r="H98" s="21">
        <f>G101</f>
        <v>45042.85982873883</v>
      </c>
      <c r="I98" s="21">
        <f>H101</f>
        <v>48611.181883872909</v>
      </c>
      <c r="J98" s="21">
        <f>I101</f>
        <v>51947.567835949827</v>
      </c>
      <c r="K98" s="21">
        <f>J101</f>
        <v>55282.974323713672</v>
      </c>
    </row>
    <row r="99" spans="1:13" ht="14.45" customHeight="1" x14ac:dyDescent="0.25">
      <c r="C99" s="63" t="s">
        <v>74</v>
      </c>
      <c r="D99" s="29">
        <v>12734</v>
      </c>
      <c r="E99" s="29">
        <v>12451</v>
      </c>
      <c r="F99" s="29">
        <v>13313</v>
      </c>
      <c r="G99" s="29">
        <v>13285</v>
      </c>
      <c r="H99" s="29">
        <v>13649</v>
      </c>
      <c r="I99" s="29">
        <v>13819</v>
      </c>
      <c r="J99" s="29">
        <f>I99*(1+J37)</f>
        <v>15062.710000000001</v>
      </c>
      <c r="K99" s="29">
        <f>J99*(1+K37)</f>
        <v>16267.726800000002</v>
      </c>
    </row>
    <row r="100" spans="1:13" ht="14.45" customHeight="1" x14ac:dyDescent="0.25">
      <c r="C100" s="62" t="s">
        <v>75</v>
      </c>
      <c r="D100" s="60">
        <v>-8300</v>
      </c>
      <c r="E100" s="60">
        <v>-8200</v>
      </c>
      <c r="F100" s="60">
        <v>-9300</v>
      </c>
      <c r="G100" s="45">
        <f>-(G103*G99)</f>
        <v>-9546.1401712611732</v>
      </c>
      <c r="H100" s="45">
        <f>-(H103*H99)</f>
        <v>-10080.677944865922</v>
      </c>
      <c r="I100" s="45">
        <f>-(I103*I99)</f>
        <v>-10482.614047923083</v>
      </c>
      <c r="J100" s="45">
        <f>-(J103*J99)</f>
        <v>-11727.303512236162</v>
      </c>
      <c r="K100" s="45">
        <f>-(K103*K99)</f>
        <v>-12990.842329215056</v>
      </c>
    </row>
    <row r="101" spans="1:13" ht="14.45" customHeight="1" x14ac:dyDescent="0.25">
      <c r="C101" s="8" t="s">
        <v>76</v>
      </c>
      <c r="D101" s="19"/>
      <c r="E101" s="19">
        <f>E51</f>
        <v>33783</v>
      </c>
      <c r="F101" s="19">
        <f>F51</f>
        <v>41304</v>
      </c>
      <c r="G101" s="19">
        <f>SUM(G98:G100)</f>
        <v>45042.85982873883</v>
      </c>
      <c r="H101" s="19">
        <f>SUM(H98:H100)</f>
        <v>48611.181883872909</v>
      </c>
      <c r="I101" s="19">
        <f>SUM(I98:I100)</f>
        <v>51947.567835949827</v>
      </c>
      <c r="J101" s="19">
        <f>SUM(J98:J100)</f>
        <v>55282.974323713672</v>
      </c>
      <c r="K101" s="19">
        <f>SUM(K98:K100)</f>
        <v>58559.858794498621</v>
      </c>
    </row>
    <row r="102" spans="1:13" ht="14.45" customHeight="1" x14ac:dyDescent="0.25">
      <c r="C102" s="49"/>
      <c r="M102" s="18" t="s">
        <v>77</v>
      </c>
    </row>
    <row r="103" spans="1:13" ht="14.45" customHeight="1" x14ac:dyDescent="0.25">
      <c r="C103" s="49" t="s">
        <v>78</v>
      </c>
      <c r="D103" s="10">
        <f>-(D100/D99)</f>
        <v>0.65179833516569818</v>
      </c>
      <c r="E103" s="10">
        <f>-(E100/E99)</f>
        <v>0.6585816400289134</v>
      </c>
      <c r="F103" s="10">
        <f>-(F100/F99)</f>
        <v>0.69856531210095396</v>
      </c>
      <c r="G103" s="1">
        <f>F103+$M$103</f>
        <v>0.71856531210095398</v>
      </c>
      <c r="H103" s="1">
        <f>G103+$M$103</f>
        <v>0.738565312100954</v>
      </c>
      <c r="I103" s="1">
        <f>H103+$M$103</f>
        <v>0.75856531210095401</v>
      </c>
      <c r="J103" s="1">
        <f>I103+$M$103</f>
        <v>0.77856531210095403</v>
      </c>
      <c r="K103" s="1">
        <f>J103+$M$103</f>
        <v>0.79856531210095405</v>
      </c>
      <c r="M103" s="230">
        <v>0.02</v>
      </c>
    </row>
    <row r="104" spans="1:13" ht="14.45" customHeight="1" x14ac:dyDescent="0.25">
      <c r="C104" s="49"/>
      <c r="D104" s="10"/>
      <c r="E104" s="10"/>
      <c r="F104" s="10"/>
      <c r="G104" s="1"/>
      <c r="H104" s="1"/>
      <c r="I104" s="1"/>
      <c r="J104" s="1"/>
      <c r="K104" s="1"/>
    </row>
    <row r="105" spans="1:13" ht="14.45" customHeight="1" x14ac:dyDescent="0.25">
      <c r="C105" s="71" t="s">
        <v>79</v>
      </c>
      <c r="D105" s="52"/>
      <c r="E105" s="52"/>
      <c r="F105" s="52"/>
      <c r="G105" s="70"/>
      <c r="H105" s="70"/>
      <c r="I105" s="70"/>
      <c r="J105" s="70"/>
      <c r="K105" s="70"/>
    </row>
    <row r="106" spans="1:13" ht="14.45" customHeight="1" x14ac:dyDescent="0.25">
      <c r="C106" s="49" t="s">
        <v>80</v>
      </c>
      <c r="D106" s="21">
        <f>D108+D100</f>
        <v>1857</v>
      </c>
      <c r="E106" s="21">
        <f>E108+E100</f>
        <v>2703</v>
      </c>
      <c r="F106" s="21">
        <f>F108+F100</f>
        <v>3247</v>
      </c>
      <c r="G106" s="27">
        <f>G107*G17</f>
        <v>3561.9590000000003</v>
      </c>
      <c r="H106" s="27">
        <f>H107*H17</f>
        <v>3953.7744900000007</v>
      </c>
      <c r="I106" s="27">
        <f>I107*I17</f>
        <v>4349.1519390000012</v>
      </c>
      <c r="J106" s="27">
        <f>J107*J17</f>
        <v>4740.5756135100019</v>
      </c>
      <c r="K106" s="27">
        <f>K107*K17</f>
        <v>5119.8216625908017</v>
      </c>
    </row>
    <row r="107" spans="1:13" ht="14.45" customHeight="1" x14ac:dyDescent="0.25">
      <c r="C107" s="12" t="s">
        <v>81</v>
      </c>
      <c r="D107" s="33">
        <f>D106/D17</f>
        <v>2.0395655955926933E-3</v>
      </c>
      <c r="E107" s="33">
        <f>E106/E17</f>
        <v>2.5942042616739192E-3</v>
      </c>
      <c r="F107" s="33">
        <f>F106/F17</f>
        <v>2.8257191790358963E-3</v>
      </c>
      <c r="G107" s="1">
        <f>F107</f>
        <v>2.8257191790358963E-3</v>
      </c>
      <c r="H107" s="1">
        <f>G107</f>
        <v>2.8257191790358963E-3</v>
      </c>
      <c r="I107" s="1">
        <f>H107</f>
        <v>2.8257191790358963E-3</v>
      </c>
      <c r="J107" s="1">
        <f>I107</f>
        <v>2.8257191790358963E-3</v>
      </c>
      <c r="K107" s="1">
        <f>J107</f>
        <v>2.8257191790358963E-3</v>
      </c>
    </row>
    <row r="108" spans="1:13" ht="14.45" customHeight="1" x14ac:dyDescent="0.25">
      <c r="A108" s="228" t="s">
        <v>10</v>
      </c>
      <c r="C108" s="69" t="s">
        <v>82</v>
      </c>
      <c r="D108" s="19">
        <f>D31</f>
        <v>10157</v>
      </c>
      <c r="E108" s="19">
        <f>E31</f>
        <v>10903</v>
      </c>
      <c r="F108" s="19">
        <f>F31</f>
        <v>12547</v>
      </c>
      <c r="G108" s="39">
        <f>-G100+G106</f>
        <v>13108.099171261174</v>
      </c>
      <c r="H108" s="39">
        <f>-H100+H106</f>
        <v>14034.452434865922</v>
      </c>
      <c r="I108" s="39">
        <f>-I100+I106</f>
        <v>14831.765986923085</v>
      </c>
      <c r="J108" s="39">
        <f>-J100+J106</f>
        <v>16467.879125746163</v>
      </c>
      <c r="K108" s="39">
        <f>-K100+K106</f>
        <v>18110.663991805857</v>
      </c>
    </row>
    <row r="109" spans="1:13" ht="14.45" customHeight="1" x14ac:dyDescent="0.25">
      <c r="C109" s="49"/>
      <c r="D109" s="21"/>
      <c r="E109" s="21"/>
      <c r="F109" s="21"/>
      <c r="H109" s="21"/>
      <c r="I109" s="21"/>
      <c r="J109" s="21"/>
      <c r="K109" s="21"/>
    </row>
    <row r="110" spans="1:13" ht="14.45" customHeight="1" x14ac:dyDescent="0.25">
      <c r="C110" s="65" t="s">
        <v>83</v>
      </c>
      <c r="D110" s="30"/>
      <c r="E110" s="30"/>
      <c r="F110" s="30"/>
      <c r="H110" s="21"/>
      <c r="I110" s="21"/>
      <c r="J110" s="21"/>
      <c r="K110" s="21"/>
    </row>
    <row r="111" spans="1:13" ht="14.45" customHeight="1" x14ac:dyDescent="0.25">
      <c r="C111" s="49" t="s">
        <v>73</v>
      </c>
      <c r="D111" s="21"/>
      <c r="G111" s="68">
        <f>F114</f>
        <v>22283</v>
      </c>
      <c r="H111" s="68">
        <f>G114</f>
        <v>24444.451000000001</v>
      </c>
      <c r="I111" s="68">
        <f>H114</f>
        <v>27133.340610000003</v>
      </c>
      <c r="J111" s="68">
        <f>I114</f>
        <v>29846.674671000004</v>
      </c>
      <c r="K111" s="68">
        <f>J114</f>
        <v>32532.875391390007</v>
      </c>
    </row>
    <row r="112" spans="1:13" ht="14.45" customHeight="1" x14ac:dyDescent="0.25">
      <c r="C112" s="12" t="s">
        <v>84</v>
      </c>
      <c r="G112" s="21">
        <f>-(G106)</f>
        <v>-3561.9590000000003</v>
      </c>
      <c r="H112" s="21">
        <f>-(H106)</f>
        <v>-3953.7744900000007</v>
      </c>
      <c r="I112" s="21">
        <f>-(I106)</f>
        <v>-4349.1519390000012</v>
      </c>
      <c r="J112" s="21">
        <f>-(J106)</f>
        <v>-4740.5756135100019</v>
      </c>
      <c r="K112" s="21">
        <f>-(K106)</f>
        <v>-5119.8216625908017</v>
      </c>
    </row>
    <row r="113" spans="1:11" ht="14.45" customHeight="1" x14ac:dyDescent="0.25">
      <c r="C113" s="46" t="s">
        <v>85</v>
      </c>
      <c r="D113" s="61"/>
      <c r="E113" s="61"/>
      <c r="F113" s="61"/>
      <c r="G113" s="67">
        <f>G114-G112-G111</f>
        <v>5723.41</v>
      </c>
      <c r="H113" s="67">
        <f>H114-H112-H111</f>
        <v>6642.6641000000018</v>
      </c>
      <c r="I113" s="67">
        <f>I114-I112-I111</f>
        <v>7062.4860000000008</v>
      </c>
      <c r="J113" s="67">
        <f>J114-J112-J111</f>
        <v>7426.7763339000048</v>
      </c>
      <c r="K113" s="67">
        <f>K114-K112-K111</f>
        <v>7722.4516939020032</v>
      </c>
    </row>
    <row r="114" spans="1:11" ht="14.45" customHeight="1" x14ac:dyDescent="0.25">
      <c r="C114" s="8" t="s">
        <v>76</v>
      </c>
      <c r="E114" s="19">
        <f t="shared" ref="E114:K114" si="16">E52</f>
        <v>18177</v>
      </c>
      <c r="F114" s="19">
        <f t="shared" si="16"/>
        <v>22283</v>
      </c>
      <c r="G114" s="19">
        <f t="shared" si="16"/>
        <v>24444.451000000001</v>
      </c>
      <c r="H114" s="19">
        <f t="shared" si="16"/>
        <v>27133.340610000003</v>
      </c>
      <c r="I114" s="19">
        <f t="shared" si="16"/>
        <v>29846.674671000004</v>
      </c>
      <c r="J114" s="19">
        <f t="shared" si="16"/>
        <v>32532.875391390007</v>
      </c>
      <c r="K114" s="19">
        <f t="shared" si="16"/>
        <v>35135.505422701208</v>
      </c>
    </row>
    <row r="115" spans="1:11" ht="14.45" customHeight="1" x14ac:dyDescent="0.25">
      <c r="C115" s="12"/>
      <c r="E115" s="21"/>
      <c r="F115" s="21"/>
      <c r="H115" s="21"/>
      <c r="I115" s="21"/>
      <c r="J115" s="21"/>
      <c r="K115" s="21"/>
    </row>
    <row r="116" spans="1:11" ht="14.45" customHeight="1" x14ac:dyDescent="0.25">
      <c r="C116" s="66" t="s">
        <v>86</v>
      </c>
      <c r="D116" s="65"/>
      <c r="E116" s="65"/>
      <c r="F116" s="65"/>
      <c r="G116" s="30"/>
      <c r="H116" s="30"/>
      <c r="I116" s="30"/>
      <c r="J116" s="30"/>
      <c r="K116" s="30"/>
    </row>
    <row r="117" spans="1:11" ht="14.45" customHeight="1" x14ac:dyDescent="0.25">
      <c r="C117" s="49" t="s">
        <v>73</v>
      </c>
      <c r="G117" s="21">
        <f>F121</f>
        <v>70400</v>
      </c>
      <c r="H117" s="21">
        <f>G121</f>
        <v>60817.659080000012</v>
      </c>
      <c r="I117" s="21">
        <f>H121</f>
        <v>120104.18150982395</v>
      </c>
      <c r="J117" s="21">
        <f>I121</f>
        <v>246328.90962013439</v>
      </c>
      <c r="K117" s="21">
        <f>J121</f>
        <v>448094.1863984653</v>
      </c>
    </row>
    <row r="118" spans="1:11" ht="14.45" customHeight="1" x14ac:dyDescent="0.25">
      <c r="C118" s="12" t="s">
        <v>87</v>
      </c>
      <c r="D118" s="27">
        <f t="shared" ref="D118:K118" si="17">D29</f>
        <v>-81764</v>
      </c>
      <c r="E118" s="27">
        <f t="shared" si="17"/>
        <v>-12795</v>
      </c>
      <c r="F118" s="27">
        <f t="shared" si="17"/>
        <v>39416</v>
      </c>
      <c r="G118" s="21">
        <f t="shared" si="17"/>
        <v>77208.659080000027</v>
      </c>
      <c r="H118" s="21">
        <f t="shared" si="17"/>
        <v>146077.52242982393</v>
      </c>
      <c r="I118" s="21">
        <f t="shared" si="17"/>
        <v>213015.72811031045</v>
      </c>
      <c r="J118" s="21">
        <f t="shared" si="17"/>
        <v>288556.27677833091</v>
      </c>
      <c r="K118" s="21">
        <f t="shared" si="17"/>
        <v>356303.25101590401</v>
      </c>
    </row>
    <row r="119" spans="1:11" ht="14.45" customHeight="1" x14ac:dyDescent="0.25">
      <c r="A119" s="228"/>
      <c r="C119" s="12" t="s">
        <v>88</v>
      </c>
      <c r="D119" s="29">
        <v>-12188</v>
      </c>
      <c r="E119" s="29">
        <v>-12803</v>
      </c>
      <c r="F119" s="29">
        <v>-13735</v>
      </c>
      <c r="G119" s="21">
        <f t="shared" ref="G119:K120" si="18">F119</f>
        <v>-13735</v>
      </c>
      <c r="H119" s="21">
        <f t="shared" si="18"/>
        <v>-13735</v>
      </c>
      <c r="I119" s="21">
        <f t="shared" si="18"/>
        <v>-13735</v>
      </c>
      <c r="J119" s="21">
        <f t="shared" si="18"/>
        <v>-13735</v>
      </c>
      <c r="K119" s="21">
        <f t="shared" si="18"/>
        <v>-13735</v>
      </c>
    </row>
    <row r="120" spans="1:11" ht="14.45" customHeight="1" x14ac:dyDescent="0.25">
      <c r="C120" s="46" t="s">
        <v>89</v>
      </c>
      <c r="D120" s="60">
        <v>-29000</v>
      </c>
      <c r="E120" s="60">
        <v>-33001</v>
      </c>
      <c r="F120" s="60">
        <v>-73056</v>
      </c>
      <c r="G120" s="45">
        <f t="shared" si="18"/>
        <v>-73056</v>
      </c>
      <c r="H120" s="45">
        <f t="shared" si="18"/>
        <v>-73056</v>
      </c>
      <c r="I120" s="45">
        <f t="shared" si="18"/>
        <v>-73056</v>
      </c>
      <c r="J120" s="45">
        <f t="shared" si="18"/>
        <v>-73056</v>
      </c>
      <c r="K120" s="45">
        <f t="shared" si="18"/>
        <v>-73056</v>
      </c>
    </row>
    <row r="121" spans="1:11" ht="14.45" customHeight="1" x14ac:dyDescent="0.25">
      <c r="A121" s="228" t="s">
        <v>10</v>
      </c>
      <c r="C121" s="8" t="s">
        <v>76</v>
      </c>
      <c r="D121" s="39"/>
      <c r="E121" s="39">
        <f>E64</f>
        <v>98330</v>
      </c>
      <c r="F121" s="39">
        <f>F64</f>
        <v>70400</v>
      </c>
      <c r="G121" s="19">
        <f>SUM(G117:G120)</f>
        <v>60817.659080000012</v>
      </c>
      <c r="H121" s="19">
        <f>SUM(H117:H120)</f>
        <v>120104.18150982395</v>
      </c>
      <c r="I121" s="19">
        <f>SUM(I117:I120)</f>
        <v>246328.90962013439</v>
      </c>
      <c r="J121" s="19">
        <f>SUM(J117:J120)</f>
        <v>448094.1863984653</v>
      </c>
      <c r="K121" s="19">
        <f>SUM(K117:K120)</f>
        <v>717606.43741436931</v>
      </c>
    </row>
    <row r="122" spans="1:11" ht="14.45" customHeight="1" x14ac:dyDescent="0.25">
      <c r="E122" s="48"/>
      <c r="F122" s="48"/>
    </row>
    <row r="123" spans="1:11" ht="14.45" customHeight="1" x14ac:dyDescent="0.25">
      <c r="C123" s="17" t="s">
        <v>90</v>
      </c>
      <c r="D123" s="30"/>
      <c r="E123" s="30"/>
      <c r="F123" s="30"/>
      <c r="G123" s="30"/>
      <c r="H123" s="30"/>
      <c r="I123" s="30"/>
      <c r="J123" s="30"/>
      <c r="K123" s="30"/>
    </row>
    <row r="124" spans="1:11" ht="14.45" customHeight="1" x14ac:dyDescent="0.25">
      <c r="C124" s="32" t="str">
        <f t="shared" ref="C124:K124" si="19">C14</f>
        <v xml:space="preserve">Fiscal year  </v>
      </c>
      <c r="D124" s="31">
        <f t="shared" si="19"/>
        <v>2023</v>
      </c>
      <c r="E124" s="31">
        <f t="shared" si="19"/>
        <v>2024</v>
      </c>
      <c r="F124" s="31">
        <f t="shared" si="19"/>
        <v>2025</v>
      </c>
      <c r="G124" s="15">
        <f t="shared" si="19"/>
        <v>2026</v>
      </c>
      <c r="H124" s="15">
        <f t="shared" si="19"/>
        <v>2027</v>
      </c>
      <c r="I124" s="15">
        <f t="shared" si="19"/>
        <v>2028</v>
      </c>
      <c r="J124" s="15">
        <f t="shared" si="19"/>
        <v>2029</v>
      </c>
      <c r="K124" s="15">
        <f t="shared" si="19"/>
        <v>2030</v>
      </c>
    </row>
    <row r="125" spans="1:11" ht="14.45" customHeight="1" x14ac:dyDescent="0.25">
      <c r="C125" s="30" t="str">
        <f t="shared" ref="C125:K125" si="20">C15</f>
        <v>Fiscal year end date</v>
      </c>
      <c r="D125" s="13">
        <f t="shared" si="20"/>
        <v>45291</v>
      </c>
      <c r="E125" s="13">
        <f t="shared" si="20"/>
        <v>45657</v>
      </c>
      <c r="F125" s="13">
        <f t="shared" si="20"/>
        <v>46022</v>
      </c>
      <c r="G125" s="13">
        <f t="shared" si="20"/>
        <v>46387</v>
      </c>
      <c r="H125" s="13">
        <f t="shared" si="20"/>
        <v>46752</v>
      </c>
      <c r="I125" s="13">
        <f t="shared" si="20"/>
        <v>47118</v>
      </c>
      <c r="J125" s="13">
        <f t="shared" si="20"/>
        <v>47483</v>
      </c>
      <c r="K125" s="13">
        <f t="shared" si="20"/>
        <v>47848</v>
      </c>
    </row>
    <row r="126" spans="1:11" ht="14.45" customHeight="1" x14ac:dyDescent="0.25">
      <c r="C126" s="20"/>
    </row>
    <row r="127" spans="1:11" ht="14.45" customHeight="1" x14ac:dyDescent="0.25">
      <c r="C127" s="18" t="s">
        <v>91</v>
      </c>
    </row>
    <row r="128" spans="1:11" ht="14.45" customHeight="1" x14ac:dyDescent="0.25">
      <c r="C128" s="12" t="s">
        <v>92</v>
      </c>
      <c r="G128" s="21">
        <f>F47</f>
        <v>237100</v>
      </c>
      <c r="H128" s="21">
        <f>G47</f>
        <v>233536.72368031344</v>
      </c>
      <c r="I128" s="21">
        <f>H47</f>
        <v>299003.34873641434</v>
      </c>
      <c r="J128" s="21">
        <f>I47</f>
        <v>433142.62422811869</v>
      </c>
      <c r="K128" s="21">
        <f>J47</f>
        <v>642935.32281828253</v>
      </c>
    </row>
    <row r="129" spans="1:11" ht="14.45" customHeight="1" x14ac:dyDescent="0.25">
      <c r="C129" s="12" t="s">
        <v>93</v>
      </c>
      <c r="G129" s="29">
        <v>-50000</v>
      </c>
      <c r="H129" s="29">
        <v>-50000</v>
      </c>
      <c r="I129" s="29">
        <v>-50000</v>
      </c>
      <c r="J129" s="29">
        <v>-50000</v>
      </c>
      <c r="K129" s="29">
        <v>-50000</v>
      </c>
    </row>
    <row r="130" spans="1:11" ht="14.45" customHeight="1" x14ac:dyDescent="0.25">
      <c r="C130" s="46" t="s">
        <v>94</v>
      </c>
      <c r="D130" s="61"/>
      <c r="E130" s="61"/>
      <c r="F130" s="61"/>
      <c r="G130" s="45">
        <f>SUM(G81,G84,G86,G88,G89)</f>
        <v>-3599.2763196865562</v>
      </c>
      <c r="H130" s="45">
        <f>SUM(H81,H84,H86,H88,H89)</f>
        <v>65466.625056100922</v>
      </c>
      <c r="I130" s="45">
        <f>SUM(I81,I84,I86,I88,I89)</f>
        <v>134139.27549170438</v>
      </c>
      <c r="J130" s="45">
        <f>SUM(J81,J84,J86,J88,J89)</f>
        <v>209792.69859016384</v>
      </c>
      <c r="K130" s="45">
        <f>SUM(K81,K84,K86,K88,K89)</f>
        <v>279406.6665947446</v>
      </c>
    </row>
    <row r="131" spans="1:11" ht="14.45" customHeight="1" x14ac:dyDescent="0.25">
      <c r="C131" s="8" t="s">
        <v>95</v>
      </c>
      <c r="G131" s="19">
        <f>SUM(G128:G130)</f>
        <v>183500.72368031344</v>
      </c>
      <c r="H131" s="19">
        <f>SUM(H128:H130)</f>
        <v>249003.34873641437</v>
      </c>
      <c r="I131" s="19">
        <f>SUM(I128:I130)</f>
        <v>383142.62422811869</v>
      </c>
      <c r="J131" s="19">
        <f>SUM(J128:J130)</f>
        <v>592935.32281828253</v>
      </c>
      <c r="K131" s="19">
        <f>SUM(K128:K130)</f>
        <v>872341.98941302719</v>
      </c>
    </row>
    <row r="132" spans="1:11" ht="14.45" customHeight="1" x14ac:dyDescent="0.25"/>
    <row r="133" spans="1:11" ht="14.45" customHeight="1" x14ac:dyDescent="0.25">
      <c r="C133" s="20" t="s">
        <v>96</v>
      </c>
    </row>
    <row r="134" spans="1:11" ht="14.45" customHeight="1" x14ac:dyDescent="0.25">
      <c r="C134" s="12" t="s">
        <v>73</v>
      </c>
      <c r="G134" s="21">
        <f>F137</f>
        <v>11964</v>
      </c>
      <c r="H134" s="21">
        <f>G137</f>
        <v>12000</v>
      </c>
      <c r="I134" s="21">
        <f>H137</f>
        <v>12000</v>
      </c>
      <c r="J134" s="21">
        <f>I137</f>
        <v>12000</v>
      </c>
      <c r="K134" s="21">
        <f>J137</f>
        <v>12000</v>
      </c>
    </row>
    <row r="135" spans="1:11" ht="14.45" customHeight="1" x14ac:dyDescent="0.25">
      <c r="A135" s="228"/>
      <c r="C135" s="63" t="s">
        <v>97</v>
      </c>
      <c r="G135" s="21">
        <f>-MIN(G131,G134)</f>
        <v>-11964</v>
      </c>
      <c r="H135" s="21">
        <f>-MIN(H131,H134)</f>
        <v>-12000</v>
      </c>
      <c r="I135" s="21">
        <f>-MIN(I131,I134)</f>
        <v>-12000</v>
      </c>
      <c r="J135" s="21">
        <f>-MIN(J131,J134)</f>
        <v>-12000</v>
      </c>
      <c r="K135" s="21">
        <f>-MIN(K131,K134)</f>
        <v>-12000</v>
      </c>
    </row>
    <row r="136" spans="1:11" ht="14.45" customHeight="1" x14ac:dyDescent="0.25">
      <c r="C136" s="62" t="s">
        <v>98</v>
      </c>
      <c r="D136" s="61"/>
      <c r="E136" s="61"/>
      <c r="F136" s="61"/>
      <c r="G136" s="60">
        <v>12000</v>
      </c>
      <c r="H136" s="60">
        <v>12000</v>
      </c>
      <c r="I136" s="60">
        <v>12000</v>
      </c>
      <c r="J136" s="60">
        <v>12000</v>
      </c>
      <c r="K136" s="60">
        <v>12000</v>
      </c>
    </row>
    <row r="137" spans="1:11" ht="14.45" customHeight="1" x14ac:dyDescent="0.25">
      <c r="C137" s="12" t="s">
        <v>76</v>
      </c>
      <c r="D137" s="45">
        <f>D58</f>
        <v>0</v>
      </c>
      <c r="E137" s="45">
        <f>E58</f>
        <v>11977</v>
      </c>
      <c r="F137" s="45">
        <f>F58</f>
        <v>11964</v>
      </c>
      <c r="G137" s="59">
        <f>SUM(G134:G136)</f>
        <v>12000</v>
      </c>
      <c r="H137" s="59">
        <f>SUM(H134:H136)</f>
        <v>12000</v>
      </c>
      <c r="I137" s="59">
        <f>SUM(I134:I136)</f>
        <v>12000</v>
      </c>
      <c r="J137" s="59">
        <f>SUM(J134:J136)</f>
        <v>12000</v>
      </c>
      <c r="K137" s="59">
        <f>SUM(K134:K136)</f>
        <v>12000</v>
      </c>
    </row>
    <row r="138" spans="1:11" ht="14.45" customHeight="1" x14ac:dyDescent="0.25">
      <c r="A138" s="228" t="s">
        <v>10</v>
      </c>
      <c r="C138" s="58" t="s">
        <v>99</v>
      </c>
      <c r="D138" s="57"/>
      <c r="E138" s="57"/>
      <c r="F138" s="56"/>
      <c r="G138" s="55" t="str">
        <f>IF(G137&lt;0,"Negative Debt","OK")</f>
        <v>OK</v>
      </c>
      <c r="H138" s="55" t="str">
        <f>IF(H137&lt;0,"Negative Debt","OK")</f>
        <v>OK</v>
      </c>
      <c r="I138" s="55" t="str">
        <f>IF(I137&lt;0,"Negative Debt","OK")</f>
        <v>OK</v>
      </c>
      <c r="J138" s="55" t="str">
        <f>IF(J137&lt;0,"Negative Debt","OK")</f>
        <v>OK</v>
      </c>
      <c r="K138" s="229" t="str">
        <f>IF(K137&lt;0,"Negative Debt","OK")</f>
        <v>OK</v>
      </c>
    </row>
    <row r="139" spans="1:11" ht="14.45" customHeight="1" x14ac:dyDescent="0.25">
      <c r="D139" s="21"/>
      <c r="E139" s="21"/>
      <c r="F139" s="54"/>
      <c r="G139" s="53"/>
      <c r="H139" s="53"/>
      <c r="I139" s="53"/>
      <c r="J139" s="53"/>
      <c r="K139" s="53"/>
    </row>
    <row r="140" spans="1:11" ht="14.45" customHeight="1" x14ac:dyDescent="0.25">
      <c r="C140" s="17" t="s">
        <v>100</v>
      </c>
      <c r="D140" s="52"/>
      <c r="E140" s="52"/>
      <c r="F140" s="52"/>
      <c r="G140" s="51"/>
      <c r="H140" s="51"/>
      <c r="I140" s="51"/>
      <c r="J140" s="51"/>
      <c r="K140" s="51"/>
    </row>
    <row r="141" spans="1:11" ht="14.45" customHeight="1" x14ac:dyDescent="0.25">
      <c r="C141" s="32" t="str">
        <f t="shared" ref="C141:K141" si="21">C14</f>
        <v xml:space="preserve">Fiscal year  </v>
      </c>
      <c r="D141" s="31">
        <f t="shared" si="21"/>
        <v>2023</v>
      </c>
      <c r="E141" s="31">
        <f t="shared" si="21"/>
        <v>2024</v>
      </c>
      <c r="F141" s="31">
        <f t="shared" si="21"/>
        <v>2025</v>
      </c>
      <c r="G141" s="15">
        <f t="shared" si="21"/>
        <v>2026</v>
      </c>
      <c r="H141" s="15">
        <f t="shared" si="21"/>
        <v>2027</v>
      </c>
      <c r="I141" s="15">
        <f t="shared" si="21"/>
        <v>2028</v>
      </c>
      <c r="J141" s="15">
        <f t="shared" si="21"/>
        <v>2029</v>
      </c>
      <c r="K141" s="15">
        <f t="shared" si="21"/>
        <v>2030</v>
      </c>
    </row>
    <row r="142" spans="1:11" ht="14.45" customHeight="1" x14ac:dyDescent="0.25">
      <c r="C142" s="30" t="str">
        <f t="shared" ref="C142:K142" si="22">C15</f>
        <v>Fiscal year end date</v>
      </c>
      <c r="D142" s="13">
        <f t="shared" si="22"/>
        <v>45291</v>
      </c>
      <c r="E142" s="13">
        <f t="shared" si="22"/>
        <v>45657</v>
      </c>
      <c r="F142" s="13">
        <f t="shared" si="22"/>
        <v>46022</v>
      </c>
      <c r="G142" s="13">
        <f t="shared" si="22"/>
        <v>46387</v>
      </c>
      <c r="H142" s="13">
        <f t="shared" si="22"/>
        <v>46752</v>
      </c>
      <c r="I142" s="13">
        <f t="shared" si="22"/>
        <v>47118</v>
      </c>
      <c r="J142" s="13">
        <f t="shared" si="22"/>
        <v>47483</v>
      </c>
      <c r="K142" s="13">
        <f t="shared" si="22"/>
        <v>47848</v>
      </c>
    </row>
    <row r="143" spans="1:11" ht="14.45" customHeight="1" x14ac:dyDescent="0.25">
      <c r="C143" s="12"/>
      <c r="D143" s="21"/>
      <c r="E143" s="21"/>
      <c r="F143" s="21"/>
      <c r="G143" s="50"/>
      <c r="H143" s="50"/>
      <c r="I143" s="50"/>
      <c r="J143" s="50"/>
      <c r="K143" s="50"/>
    </row>
    <row r="144" spans="1:11" ht="14.45" customHeight="1" x14ac:dyDescent="0.25">
      <c r="C144" s="49" t="s">
        <v>101</v>
      </c>
      <c r="D144" s="21">
        <f>-(D25)</f>
        <v>7646</v>
      </c>
      <c r="E144" s="21">
        <f>-(E25)</f>
        <v>14812</v>
      </c>
      <c r="F144" s="21">
        <f>-(F25)</f>
        <v>14076</v>
      </c>
      <c r="G144" s="21">
        <f>G149+G154</f>
        <v>13996.933211902706</v>
      </c>
      <c r="H144" s="21">
        <f>H149+H154</f>
        <v>13997.325611902706</v>
      </c>
      <c r="I144" s="21">
        <f>I149+I154</f>
        <v>13997.325611902706</v>
      </c>
      <c r="J144" s="21">
        <f>J149+J154</f>
        <v>13997.325611902706</v>
      </c>
      <c r="K144" s="21">
        <f>K149+K154</f>
        <v>13997.325611902706</v>
      </c>
    </row>
    <row r="145" spans="1:11" ht="14.45" customHeight="1" x14ac:dyDescent="0.25">
      <c r="C145" s="38"/>
    </row>
    <row r="146" spans="1:11" ht="14.45" customHeight="1" x14ac:dyDescent="0.25">
      <c r="C146" s="42" t="s">
        <v>102</v>
      </c>
    </row>
    <row r="147" spans="1:11" ht="14.45" customHeight="1" x14ac:dyDescent="0.25">
      <c r="C147" s="12" t="s">
        <v>103</v>
      </c>
      <c r="E147" s="36">
        <v>1.2E-2</v>
      </c>
      <c r="F147" s="36">
        <v>2.18E-2</v>
      </c>
      <c r="G147" s="47">
        <f>F147</f>
        <v>2.18E-2</v>
      </c>
      <c r="H147" s="47">
        <f>G147</f>
        <v>2.18E-2</v>
      </c>
      <c r="I147" s="47">
        <f>H147</f>
        <v>2.18E-2</v>
      </c>
      <c r="J147" s="47">
        <f>I147</f>
        <v>2.18E-2</v>
      </c>
      <c r="K147" s="47">
        <f>J147</f>
        <v>2.18E-2</v>
      </c>
    </row>
    <row r="148" spans="1:11" ht="14.45" customHeight="1" x14ac:dyDescent="0.25">
      <c r="C148" s="12" t="s">
        <v>104</v>
      </c>
      <c r="D148" s="45"/>
      <c r="E148" s="45">
        <f t="shared" ref="E148:K148" si="23">E58</f>
        <v>11977</v>
      </c>
      <c r="F148" s="45">
        <f t="shared" si="23"/>
        <v>11964</v>
      </c>
      <c r="G148" s="21">
        <f t="shared" si="23"/>
        <v>12000</v>
      </c>
      <c r="H148" s="21">
        <f t="shared" si="23"/>
        <v>12000</v>
      </c>
      <c r="I148" s="21">
        <f t="shared" si="23"/>
        <v>12000</v>
      </c>
      <c r="J148" s="21">
        <f t="shared" si="23"/>
        <v>12000</v>
      </c>
      <c r="K148" s="21">
        <f t="shared" si="23"/>
        <v>12000</v>
      </c>
    </row>
    <row r="149" spans="1:11" ht="14.45" customHeight="1" x14ac:dyDescent="0.25">
      <c r="C149" s="44" t="s">
        <v>105</v>
      </c>
      <c r="D149" s="21"/>
      <c r="E149" s="19">
        <f>AVERAGE(D148:E148)*E147</f>
        <v>143.72399999999999</v>
      </c>
      <c r="F149" s="19">
        <f>AVERAGE(E148:F148)*F147</f>
        <v>260.95690000000002</v>
      </c>
      <c r="G149" s="43">
        <f>IF($D$7=1,AVERAGE(F148,G148)*G147,0)</f>
        <v>261.20760000000001</v>
      </c>
      <c r="H149" s="43">
        <f>IF($D$7=1,AVERAGE(G148,H148)*H147,0)</f>
        <v>261.60000000000002</v>
      </c>
      <c r="I149" s="43">
        <f>IF($D$7=1,AVERAGE(H148,I148)*I147,0)</f>
        <v>261.60000000000002</v>
      </c>
      <c r="J149" s="43">
        <f>IF($D$7=1,AVERAGE(I148,J148)*J147,0)</f>
        <v>261.60000000000002</v>
      </c>
      <c r="K149" s="43">
        <f>IF($D$7=1,AVERAGE(J148,K148)*K147,0)</f>
        <v>261.60000000000002</v>
      </c>
    </row>
    <row r="150" spans="1:11" ht="14.45" customHeight="1" x14ac:dyDescent="0.25">
      <c r="C150" s="3"/>
      <c r="D150" s="21"/>
      <c r="E150" s="21"/>
      <c r="F150" s="21"/>
    </row>
    <row r="151" spans="1:11" ht="14.45" customHeight="1" x14ac:dyDescent="0.25">
      <c r="C151" s="42" t="s">
        <v>65</v>
      </c>
      <c r="D151" s="21"/>
      <c r="E151" s="21"/>
      <c r="F151" s="21"/>
    </row>
    <row r="152" spans="1:11" ht="14.45" customHeight="1" x14ac:dyDescent="0.25">
      <c r="C152" s="12" t="s">
        <v>104</v>
      </c>
      <c r="D152" s="21"/>
      <c r="E152" s="21">
        <f t="shared" ref="E152:K152" si="24">E59</f>
        <v>103703</v>
      </c>
      <c r="F152" s="21">
        <f t="shared" si="24"/>
        <v>102519</v>
      </c>
      <c r="G152" s="21">
        <f t="shared" si="24"/>
        <v>102519</v>
      </c>
      <c r="H152" s="21">
        <f t="shared" si="24"/>
        <v>102519</v>
      </c>
      <c r="I152" s="21">
        <f t="shared" si="24"/>
        <v>102519</v>
      </c>
      <c r="J152" s="21">
        <f t="shared" si="24"/>
        <v>102519</v>
      </c>
      <c r="K152" s="21">
        <f t="shared" si="24"/>
        <v>102519</v>
      </c>
    </row>
    <row r="153" spans="1:11" ht="14.45" customHeight="1" x14ac:dyDescent="0.25">
      <c r="C153" s="12" t="s">
        <v>103</v>
      </c>
      <c r="E153" s="33">
        <f>E154/AVERAGE(D152:E152)</f>
        <v>0.14144504980569511</v>
      </c>
      <c r="F153" s="33">
        <f>F154/AVERAGE(E152:F152)</f>
        <v>0.13398224340758988</v>
      </c>
      <c r="G153" s="41">
        <f>F153</f>
        <v>0.13398224340758988</v>
      </c>
      <c r="H153" s="41">
        <f>G153</f>
        <v>0.13398224340758988</v>
      </c>
      <c r="I153" s="41">
        <f>H153</f>
        <v>0.13398224340758988</v>
      </c>
      <c r="J153" s="41">
        <f>I153</f>
        <v>0.13398224340758988</v>
      </c>
      <c r="K153" s="41">
        <f>J153</f>
        <v>0.13398224340758988</v>
      </c>
    </row>
    <row r="154" spans="1:11" ht="14.45" customHeight="1" x14ac:dyDescent="0.25">
      <c r="C154" s="8" t="s">
        <v>106</v>
      </c>
      <c r="D154" s="19"/>
      <c r="E154" s="19">
        <f>E144-E149</f>
        <v>14668.276</v>
      </c>
      <c r="F154" s="19">
        <f>F144-F149</f>
        <v>13815.043100000001</v>
      </c>
      <c r="G154" s="39">
        <f>G153*AVERAGE(F152:G152)</f>
        <v>13735.725611902706</v>
      </c>
      <c r="H154" s="39">
        <f>H153*AVERAGE(G152:H152)</f>
        <v>13735.725611902706</v>
      </c>
      <c r="I154" s="39">
        <f>I153*AVERAGE(H152:I152)</f>
        <v>13735.725611902706</v>
      </c>
      <c r="J154" s="39">
        <f>J153*AVERAGE(I152:J152)</f>
        <v>13735.725611902706</v>
      </c>
      <c r="K154" s="39">
        <f>K153*AVERAGE(J152:K152)</f>
        <v>13735.725611902706</v>
      </c>
    </row>
    <row r="155" spans="1:11" ht="14.45" customHeight="1" x14ac:dyDescent="0.25">
      <c r="E155" s="21"/>
    </row>
    <row r="156" spans="1:11" ht="14.45" customHeight="1" x14ac:dyDescent="0.25">
      <c r="A156" s="228" t="s">
        <v>10</v>
      </c>
      <c r="C156" s="38" t="s">
        <v>107</v>
      </c>
      <c r="E156" s="21"/>
      <c r="F156" s="21"/>
    </row>
    <row r="157" spans="1:11" x14ac:dyDescent="0.25">
      <c r="C157" s="12" t="s">
        <v>108</v>
      </c>
      <c r="D157" s="37">
        <v>1.7299999999999999E-2</v>
      </c>
      <c r="E157" s="36">
        <v>1.9900000000000001E-2</v>
      </c>
      <c r="F157" s="36">
        <v>2.1600000000000001E-2</v>
      </c>
      <c r="G157" s="35">
        <f>F157</f>
        <v>2.1600000000000001E-2</v>
      </c>
      <c r="H157" s="35">
        <f>G157</f>
        <v>2.1600000000000001E-2</v>
      </c>
      <c r="I157" s="35">
        <f>H157</f>
        <v>2.1600000000000001E-2</v>
      </c>
      <c r="J157" s="35">
        <f>I157</f>
        <v>2.1600000000000001E-2</v>
      </c>
      <c r="K157" s="35">
        <f>J157</f>
        <v>2.1600000000000001E-2</v>
      </c>
    </row>
    <row r="158" spans="1:11" x14ac:dyDescent="0.25">
      <c r="C158" s="12" t="s">
        <v>21</v>
      </c>
      <c r="D158" s="21">
        <f>D24</f>
        <v>26799</v>
      </c>
      <c r="E158" s="21">
        <f>E24</f>
        <v>46745</v>
      </c>
      <c r="F158" s="21">
        <f>F24</f>
        <v>30168</v>
      </c>
      <c r="G158" s="27">
        <f>IF($D$7=1,AVERAGE(F47,G47)*G157,0)</f>
        <v>5082.8766157473856</v>
      </c>
      <c r="H158" s="27">
        <f>IF($D$7=1,AVERAGE(G47,H47)*H157,0)</f>
        <v>5751.43278210066</v>
      </c>
      <c r="I158" s="27">
        <f>IF($D$7=1,AVERAGE(H47,I47)*I157,0)</f>
        <v>7907.1765080169571</v>
      </c>
      <c r="J158" s="27">
        <f>IF($D$7=1,AVERAGE(I47,J47)*J157,0)</f>
        <v>11621.641828101134</v>
      </c>
      <c r="K158" s="27">
        <f>IF($D$7=1,AVERAGE(J47,K47)*K157,0)</f>
        <v>16904.994972098146</v>
      </c>
    </row>
  </sheetData>
  <conditionalFormatting sqref="C41">
    <cfRule type="expression" dxfId="5" priority="1">
      <formula>#REF!=$C41</formula>
    </cfRule>
  </conditionalFormatting>
  <dataValidations disablePrompts="1" count="2">
    <dataValidation type="list" allowBlank="1" showInputMessage="1" showErrorMessage="1" sqref="C3" xr:uid="{7F4924A9-1A77-4F68-A8F9-611DABFA2AB1}">
      <formula1>"$ bns except per share, $ mm except per share,$ in thousands except per share"</formula1>
    </dataValidation>
    <dataValidation type="list" allowBlank="1" showInputMessage="1" showErrorMessage="1" sqref="D7" xr:uid="{6C635B6E-899D-4F46-922F-62CE0E30BFE7}">
      <formula1>"0,1"</formula1>
    </dataValidation>
  </dataValidations>
  <pageMargins left="0.7" right="0.7" top="0.75" bottom="0.75" header="0.3" footer="0.3"/>
  <pageSetup scale="3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2313B-562F-4913-8EDF-64E393FB6583}">
  <sheetPr>
    <tabColor theme="0"/>
    <pageSetUpPr fitToPage="1"/>
  </sheetPr>
  <dimension ref="A1:S205"/>
  <sheetViews>
    <sheetView showGridLines="0" tabSelected="1" topLeftCell="A8" zoomScaleNormal="100" workbookViewId="0">
      <selection activeCell="K17" sqref="K17"/>
    </sheetView>
  </sheetViews>
  <sheetFormatPr defaultColWidth="8.85546875" defaultRowHeight="15" x14ac:dyDescent="0.25"/>
  <cols>
    <col min="1" max="1" width="1.42578125" customWidth="1"/>
    <col min="2" max="2" width="1.5703125" customWidth="1"/>
    <col min="3" max="3" width="46.5703125" bestFit="1" customWidth="1"/>
    <col min="4" max="4" width="12.42578125" bestFit="1" customWidth="1"/>
    <col min="5" max="12" width="11.42578125" customWidth="1"/>
    <col min="13" max="13" width="3.28515625" customWidth="1"/>
    <col min="14" max="14" width="11.85546875" customWidth="1"/>
    <col min="15" max="17" width="10.28515625" bestFit="1" customWidth="1"/>
    <col min="18" max="19" width="9.42578125" bestFit="1" customWidth="1"/>
  </cols>
  <sheetData>
    <row r="1" spans="1:12" ht="15.75" thickBot="1" x14ac:dyDescent="0.3"/>
    <row r="2" spans="1:12" ht="21.75" thickBot="1" x14ac:dyDescent="0.4">
      <c r="A2" t="s">
        <v>10</v>
      </c>
      <c r="C2" s="96" t="str">
        <f>"Financial Statement Model FIVN"</f>
        <v>Financial Statement Model FIVN</v>
      </c>
      <c r="D2" s="95"/>
      <c r="E2" s="95"/>
      <c r="F2" s="95"/>
      <c r="G2" s="95"/>
      <c r="H2" s="95"/>
      <c r="I2" s="95"/>
      <c r="J2" s="95"/>
      <c r="K2" s="95"/>
      <c r="L2" s="95"/>
    </row>
    <row r="3" spans="1:12" x14ac:dyDescent="0.25">
      <c r="C3" s="94" t="str">
        <f>MVA!$B$3</f>
        <v xml:space="preserve">$ and shares in thousands, except per share data </v>
      </c>
      <c r="D3" s="93"/>
      <c r="E3" s="93"/>
      <c r="F3" s="93"/>
      <c r="G3" s="93"/>
      <c r="H3" s="93"/>
    </row>
    <row r="5" spans="1:12" x14ac:dyDescent="0.25">
      <c r="C5" s="88" t="s">
        <v>1</v>
      </c>
      <c r="D5" s="92" t="s">
        <v>238</v>
      </c>
      <c r="I5" t="s">
        <v>109</v>
      </c>
      <c r="L5" s="91" t="s">
        <v>110</v>
      </c>
    </row>
    <row r="6" spans="1:12" x14ac:dyDescent="0.25">
      <c r="C6" s="88" t="s">
        <v>3</v>
      </c>
      <c r="D6" s="92" t="s">
        <v>237</v>
      </c>
    </row>
    <row r="7" spans="1:12" x14ac:dyDescent="0.25">
      <c r="C7" t="s">
        <v>5</v>
      </c>
      <c r="D7" s="91">
        <v>1</v>
      </c>
    </row>
    <row r="8" spans="1:12" x14ac:dyDescent="0.25">
      <c r="C8" t="s">
        <v>6</v>
      </c>
      <c r="D8" s="90">
        <v>22.52</v>
      </c>
    </row>
    <row r="9" spans="1:12" x14ac:dyDescent="0.25">
      <c r="C9" t="s">
        <v>7</v>
      </c>
      <c r="D9" s="89">
        <v>46144</v>
      </c>
    </row>
    <row r="10" spans="1:12" x14ac:dyDescent="0.25">
      <c r="C10" s="88" t="s">
        <v>8</v>
      </c>
      <c r="D10" s="87">
        <v>46022</v>
      </c>
    </row>
    <row r="11" spans="1:12" ht="15" customHeight="1" x14ac:dyDescent="0.25">
      <c r="C11" t="s">
        <v>9</v>
      </c>
      <c r="D11" s="86">
        <v>77194</v>
      </c>
    </row>
    <row r="13" spans="1:12" x14ac:dyDescent="0.25">
      <c r="A13" t="s">
        <v>10</v>
      </c>
      <c r="C13" s="17" t="s">
        <v>11</v>
      </c>
      <c r="D13" s="30"/>
      <c r="E13" s="30"/>
      <c r="F13" s="30"/>
      <c r="G13" s="30"/>
      <c r="H13" s="30"/>
      <c r="I13" s="30"/>
      <c r="J13" s="30"/>
      <c r="K13" s="30"/>
      <c r="L13" s="30"/>
    </row>
    <row r="14" spans="1:12" x14ac:dyDescent="0.25">
      <c r="C14" t="s">
        <v>12</v>
      </c>
      <c r="D14" s="85">
        <f>E14-1</f>
        <v>2023</v>
      </c>
      <c r="E14" s="85">
        <f>F14-1</f>
        <v>2024</v>
      </c>
      <c r="F14" s="85">
        <f>YEAR(D10)</f>
        <v>2025</v>
      </c>
      <c r="G14" s="84">
        <f>F14+1</f>
        <v>2026</v>
      </c>
      <c r="H14" s="84">
        <f>G14+1</f>
        <v>2027</v>
      </c>
      <c r="I14" s="84">
        <f>H14+1</f>
        <v>2028</v>
      </c>
      <c r="J14" s="84">
        <f>I14+1</f>
        <v>2029</v>
      </c>
      <c r="K14" s="84">
        <f>J14+1</f>
        <v>2030</v>
      </c>
    </row>
    <row r="15" spans="1:12" x14ac:dyDescent="0.25">
      <c r="C15" s="83" t="s">
        <v>13</v>
      </c>
      <c r="D15" s="82">
        <f>EOMONTH(E15,-12)</f>
        <v>45291</v>
      </c>
      <c r="E15" s="82">
        <v>45657</v>
      </c>
      <c r="F15" s="82">
        <f>D10</f>
        <v>46022</v>
      </c>
      <c r="G15" s="82">
        <f>EOMONTH(F15,12)</f>
        <v>46387</v>
      </c>
      <c r="H15" s="82">
        <f>EOMONTH(G15,12)</f>
        <v>46752</v>
      </c>
      <c r="I15" s="82">
        <f>EOMONTH(H15,12)</f>
        <v>47118</v>
      </c>
      <c r="J15" s="82">
        <f>EOMONTH(I15,12)</f>
        <v>47483</v>
      </c>
      <c r="K15" s="82">
        <f>EOMONTH(J15,12)</f>
        <v>47848</v>
      </c>
    </row>
    <row r="16" spans="1:12" x14ac:dyDescent="0.25">
      <c r="C16" s="76"/>
      <c r="D16" s="81"/>
      <c r="E16" s="78"/>
      <c r="F16" s="78"/>
      <c r="G16" s="80"/>
      <c r="H16" s="79"/>
      <c r="I16" s="79"/>
      <c r="J16" s="78"/>
      <c r="K16" s="78"/>
    </row>
    <row r="17" spans="3:13" x14ac:dyDescent="0.25">
      <c r="C17" t="s">
        <v>14</v>
      </c>
      <c r="D17" s="29">
        <v>910488</v>
      </c>
      <c r="E17" s="29">
        <v>1041938</v>
      </c>
      <c r="F17" s="29">
        <v>1149088</v>
      </c>
      <c r="G17" s="27">
        <f>F17*(1+G37)</f>
        <v>1241015.04</v>
      </c>
      <c r="H17" s="27">
        <f>G17*(1+H37)</f>
        <v>1352706.3936000001</v>
      </c>
      <c r="I17" s="27">
        <f>H17*(1+I37)</f>
        <v>1433868.7772160002</v>
      </c>
      <c r="J17" s="27">
        <f>I17*(1+J37)</f>
        <v>1519900.9038489603</v>
      </c>
      <c r="K17" s="27">
        <f>J17*(1+K37)</f>
        <v>1611094.958079898</v>
      </c>
    </row>
    <row r="18" spans="3:13" x14ac:dyDescent="0.25">
      <c r="C18" t="s">
        <v>15</v>
      </c>
      <c r="D18" s="29">
        <v>-432690</v>
      </c>
      <c r="E18" s="29">
        <v>-477540</v>
      </c>
      <c r="F18" s="29">
        <v>-516234</v>
      </c>
      <c r="G18" s="27">
        <f>G19-G17</f>
        <v>-1141733.8367999999</v>
      </c>
      <c r="H18" s="27">
        <f>H19-H17</f>
        <v>-1230962.8181760001</v>
      </c>
      <c r="I18" s="27">
        <f>I19-I17</f>
        <v>-1347836.6505830402</v>
      </c>
      <c r="J18" s="27">
        <f>J19-J17</f>
        <v>-1428706.8496180228</v>
      </c>
      <c r="K18" s="27">
        <f>K19-K17</f>
        <v>-1514429.2605951042</v>
      </c>
    </row>
    <row r="19" spans="3:13" x14ac:dyDescent="0.25">
      <c r="C19" s="20" t="s">
        <v>16</v>
      </c>
      <c r="D19" s="39">
        <f>SUM(D17:D18)</f>
        <v>477798</v>
      </c>
      <c r="E19" s="39">
        <f>SUM(E17:E18)</f>
        <v>564398</v>
      </c>
      <c r="F19" s="39">
        <f>SUM(F17:F18)</f>
        <v>632854</v>
      </c>
      <c r="G19" s="39">
        <f>G17*G38</f>
        <v>99281.203200000004</v>
      </c>
      <c r="H19" s="39">
        <f>H17*H38</f>
        <v>121743.575424</v>
      </c>
      <c r="I19" s="39">
        <f>I17*I38</f>
        <v>86032.126632960018</v>
      </c>
      <c r="J19" s="39">
        <f>J17*J38</f>
        <v>91194.054230937618</v>
      </c>
      <c r="K19" s="39">
        <f>K17*K38</f>
        <v>96665.697484793884</v>
      </c>
    </row>
    <row r="20" spans="3:13" x14ac:dyDescent="0.25">
      <c r="C20" t="s">
        <v>17</v>
      </c>
      <c r="D20" s="29">
        <v>-156582</v>
      </c>
      <c r="E20" s="29">
        <v>-166197</v>
      </c>
      <c r="F20" s="29">
        <v>-152334</v>
      </c>
      <c r="G20" s="27">
        <f>-G39*G17</f>
        <v>-99281.203200000004</v>
      </c>
      <c r="H20" s="27">
        <f>-H39*H17</f>
        <v>-121743.575424</v>
      </c>
      <c r="I20" s="27">
        <f>-I39*I17</f>
        <v>-86032.126632960018</v>
      </c>
      <c r="J20" s="27">
        <f>-J39*J17</f>
        <v>-91194.054230937618</v>
      </c>
      <c r="K20" s="27">
        <f>-K39*K17</f>
        <v>-96665.697484793884</v>
      </c>
    </row>
    <row r="21" spans="3:13" x14ac:dyDescent="0.25">
      <c r="C21" t="s">
        <v>111</v>
      </c>
      <c r="D21" s="29">
        <v>-296713</v>
      </c>
      <c r="E21" s="29">
        <v>-311954</v>
      </c>
      <c r="F21" s="29">
        <v>-311816</v>
      </c>
      <c r="G21" s="27"/>
      <c r="H21" s="27"/>
      <c r="I21" s="27"/>
      <c r="J21" s="27"/>
      <c r="K21" s="27"/>
    </row>
    <row r="22" spans="3:13" x14ac:dyDescent="0.25">
      <c r="C22" t="s">
        <v>19</v>
      </c>
      <c r="D22" s="29">
        <v>-123079</v>
      </c>
      <c r="E22" s="29">
        <v>-137550</v>
      </c>
      <c r="F22" s="29">
        <v>-139854</v>
      </c>
      <c r="G22" s="27">
        <f>-G17*G41</f>
        <v>-99281.203200000004</v>
      </c>
      <c r="H22" s="27">
        <f>-H17*H41</f>
        <v>-121743.575424</v>
      </c>
      <c r="I22" s="27">
        <f>-I17*I41</f>
        <v>-86032.126632960018</v>
      </c>
      <c r="J22" s="27">
        <f>-J17*J41</f>
        <v>-91194.054230937618</v>
      </c>
      <c r="K22" s="27">
        <f>-K17*K41</f>
        <v>-96665.697484793884</v>
      </c>
    </row>
    <row r="23" spans="3:13" x14ac:dyDescent="0.25">
      <c r="C23" s="20" t="s">
        <v>20</v>
      </c>
      <c r="D23" s="39">
        <f t="shared" ref="D23:K23" si="0">SUM(D19:D22)</f>
        <v>-98576</v>
      </c>
      <c r="E23" s="39">
        <f t="shared" si="0"/>
        <v>-51303</v>
      </c>
      <c r="F23" s="39">
        <f t="shared" si="0"/>
        <v>28850</v>
      </c>
      <c r="G23" s="39">
        <f t="shared" si="0"/>
        <v>-99281.203200000004</v>
      </c>
      <c r="H23" s="39">
        <f t="shared" si="0"/>
        <v>-121743.575424</v>
      </c>
      <c r="I23" s="39">
        <f t="shared" si="0"/>
        <v>-86032.126632960018</v>
      </c>
      <c r="J23" s="39">
        <f t="shared" si="0"/>
        <v>-91194.054230937618</v>
      </c>
      <c r="K23" s="39">
        <f t="shared" si="0"/>
        <v>-96665.697484793884</v>
      </c>
    </row>
    <row r="24" spans="3:13" x14ac:dyDescent="0.25">
      <c r="C24" t="s">
        <v>21</v>
      </c>
      <c r="D24" s="29">
        <v>26799</v>
      </c>
      <c r="E24" s="29">
        <v>46745</v>
      </c>
      <c r="F24" s="29">
        <v>30168</v>
      </c>
      <c r="G24" s="21" t="e">
        <f ca="1">G158</f>
        <v>#DIV/0!</v>
      </c>
      <c r="H24" s="21" t="e">
        <f ca="1">H158</f>
        <v>#DIV/0!</v>
      </c>
      <c r="I24" s="21" t="e">
        <f ca="1">I158</f>
        <v>#DIV/0!</v>
      </c>
      <c r="J24" s="21" t="e">
        <f ca="1">J158</f>
        <v>#DIV/0!</v>
      </c>
      <c r="K24" s="21" t="e">
        <f ca="1">K158</f>
        <v>#DIV/0!</v>
      </c>
    </row>
    <row r="25" spans="3:13" x14ac:dyDescent="0.25">
      <c r="C25" t="s">
        <v>22</v>
      </c>
      <c r="D25" s="29">
        <v>-7646</v>
      </c>
      <c r="E25" s="29">
        <v>-14812</v>
      </c>
      <c r="F25" s="29">
        <v>-14076</v>
      </c>
      <c r="G25" s="21" t="e">
        <f ca="1">-G144</f>
        <v>#DIV/0!</v>
      </c>
      <c r="H25" s="21" t="e">
        <f ca="1">-H144</f>
        <v>#DIV/0!</v>
      </c>
      <c r="I25" s="21" t="e">
        <f ca="1">-I144</f>
        <v>#DIV/0!</v>
      </c>
      <c r="J25" s="21" t="e">
        <f ca="1">-J144</f>
        <v>#DIV/0!</v>
      </c>
      <c r="K25" s="21" t="e">
        <f ca="1">-K144</f>
        <v>#DIV/0!</v>
      </c>
    </row>
    <row r="26" spans="3:13" x14ac:dyDescent="0.25">
      <c r="C26" t="s">
        <v>23</v>
      </c>
      <c r="D26" s="29">
        <v>0</v>
      </c>
      <c r="E26" s="29">
        <v>6615</v>
      </c>
      <c r="F26" s="29">
        <v>0</v>
      </c>
      <c r="G26" s="21">
        <f>F26</f>
        <v>0</v>
      </c>
      <c r="H26" s="21">
        <f>G26</f>
        <v>0</v>
      </c>
      <c r="I26" s="21">
        <f>H26</f>
        <v>0</v>
      </c>
      <c r="J26" s="21">
        <f>I26</f>
        <v>0</v>
      </c>
      <c r="K26" s="21">
        <f>J26</f>
        <v>0</v>
      </c>
    </row>
    <row r="27" spans="3:13" x14ac:dyDescent="0.25">
      <c r="C27" s="20" t="s">
        <v>24</v>
      </c>
      <c r="D27" s="39">
        <f t="shared" ref="D27:K27" si="1">SUM(D23:D26)</f>
        <v>-79423</v>
      </c>
      <c r="E27" s="39">
        <f t="shared" si="1"/>
        <v>-12755</v>
      </c>
      <c r="F27" s="39">
        <f t="shared" si="1"/>
        <v>44942</v>
      </c>
      <c r="G27" s="39" t="e">
        <f t="shared" ca="1" si="1"/>
        <v>#DIV/0!</v>
      </c>
      <c r="H27" s="39" t="e">
        <f t="shared" ca="1" si="1"/>
        <v>#DIV/0!</v>
      </c>
      <c r="I27" s="39" t="e">
        <f t="shared" ca="1" si="1"/>
        <v>#DIV/0!</v>
      </c>
      <c r="J27" s="39" t="e">
        <f t="shared" ca="1" si="1"/>
        <v>#DIV/0!</v>
      </c>
      <c r="K27" s="39" t="e">
        <f t="shared" ca="1" si="1"/>
        <v>#DIV/0!</v>
      </c>
      <c r="M27" s="20"/>
    </row>
    <row r="28" spans="3:13" x14ac:dyDescent="0.25">
      <c r="C28" t="s">
        <v>25</v>
      </c>
      <c r="D28" s="29">
        <v>-2341</v>
      </c>
      <c r="E28" s="29">
        <v>-40</v>
      </c>
      <c r="F28" s="29">
        <v>-5526</v>
      </c>
      <c r="G28" s="27" t="e">
        <f ca="1">-G42*G27</f>
        <v>#DIV/0!</v>
      </c>
      <c r="H28" s="27" t="e">
        <f ca="1">-H42*H27</f>
        <v>#DIV/0!</v>
      </c>
      <c r="I28" s="27" t="e">
        <f ca="1">-I42*I27</f>
        <v>#DIV/0!</v>
      </c>
      <c r="J28" s="27" t="e">
        <f ca="1">-J42*J27</f>
        <v>#DIV/0!</v>
      </c>
      <c r="K28" s="27" t="e">
        <f ca="1">-K42*K27</f>
        <v>#DIV/0!</v>
      </c>
    </row>
    <row r="29" spans="3:13" x14ac:dyDescent="0.25">
      <c r="C29" s="20" t="s">
        <v>26</v>
      </c>
      <c r="D29" s="39">
        <f t="shared" ref="D29:K29" si="2">SUM(D27:D28)</f>
        <v>-81764</v>
      </c>
      <c r="E29" s="39">
        <f t="shared" si="2"/>
        <v>-12795</v>
      </c>
      <c r="F29" s="39">
        <f t="shared" si="2"/>
        <v>39416</v>
      </c>
      <c r="G29" s="39" t="e">
        <f t="shared" ca="1" si="2"/>
        <v>#DIV/0!</v>
      </c>
      <c r="H29" s="39" t="e">
        <f t="shared" ca="1" si="2"/>
        <v>#DIV/0!</v>
      </c>
      <c r="I29" s="39" t="e">
        <f t="shared" ca="1" si="2"/>
        <v>#DIV/0!</v>
      </c>
      <c r="J29" s="39" t="e">
        <f t="shared" ca="1" si="2"/>
        <v>#DIV/0!</v>
      </c>
      <c r="K29" s="39" t="e">
        <f t="shared" ca="1" si="2"/>
        <v>#DIV/0!</v>
      </c>
    </row>
    <row r="30" spans="3:13" x14ac:dyDescent="0.25">
      <c r="C30" s="12"/>
      <c r="D30" s="21"/>
      <c r="E30" s="21"/>
      <c r="F30" s="21"/>
      <c r="G30" s="21"/>
      <c r="H30" s="21"/>
      <c r="I30" s="21"/>
      <c r="J30" s="21"/>
      <c r="K30" s="21"/>
    </row>
    <row r="31" spans="3:13" x14ac:dyDescent="0.25">
      <c r="C31" s="49" t="s">
        <v>27</v>
      </c>
      <c r="D31" s="29">
        <v>10157</v>
      </c>
      <c r="E31" s="29">
        <v>10903</v>
      </c>
      <c r="F31" s="29">
        <v>12547</v>
      </c>
      <c r="G31" s="21" t="e">
        <f>G108</f>
        <v>#DIV/0!</v>
      </c>
      <c r="H31" s="21" t="e">
        <f>H108</f>
        <v>#DIV/0!</v>
      </c>
      <c r="I31" s="21" t="e">
        <f>I108</f>
        <v>#DIV/0!</v>
      </c>
      <c r="J31" s="21" t="e">
        <f>J108</f>
        <v>#DIV/0!</v>
      </c>
      <c r="K31" s="21" t="e">
        <f>K108</f>
        <v>#DIV/0!</v>
      </c>
    </row>
    <row r="32" spans="3:13" x14ac:dyDescent="0.25">
      <c r="C32" s="69" t="s">
        <v>28</v>
      </c>
      <c r="D32" s="39">
        <f t="shared" ref="D32:K32" si="3">D23+D31</f>
        <v>-88419</v>
      </c>
      <c r="E32" s="39">
        <f t="shared" si="3"/>
        <v>-40400</v>
      </c>
      <c r="F32" s="39">
        <f t="shared" si="3"/>
        <v>41397</v>
      </c>
      <c r="G32" s="39" t="e">
        <f t="shared" si="3"/>
        <v>#DIV/0!</v>
      </c>
      <c r="H32" s="39" t="e">
        <f t="shared" si="3"/>
        <v>#DIV/0!</v>
      </c>
      <c r="I32" s="39" t="e">
        <f t="shared" si="3"/>
        <v>#DIV/0!</v>
      </c>
      <c r="J32" s="39" t="e">
        <f t="shared" si="3"/>
        <v>#DIV/0!</v>
      </c>
      <c r="K32" s="39" t="e">
        <f t="shared" si="3"/>
        <v>#DIV/0!</v>
      </c>
    </row>
    <row r="33" spans="1:19" x14ac:dyDescent="0.25">
      <c r="C33" s="49" t="s">
        <v>29</v>
      </c>
      <c r="D33" s="29">
        <v>4840</v>
      </c>
      <c r="E33" s="29">
        <v>5340</v>
      </c>
      <c r="F33" s="29">
        <v>6068</v>
      </c>
      <c r="G33" s="21">
        <f>F33*(1+G37)</f>
        <v>6553.4400000000005</v>
      </c>
      <c r="H33" s="21">
        <f>G33*(1+H37)</f>
        <v>7143.249600000001</v>
      </c>
      <c r="I33" s="21">
        <f>H33*(1+I37)</f>
        <v>7571.8445760000013</v>
      </c>
      <c r="J33" s="21">
        <f>I33*(1+J37)</f>
        <v>8026.1552505600021</v>
      </c>
      <c r="K33" s="21">
        <f>J33*(1+K37)</f>
        <v>8507.7245655936022</v>
      </c>
    </row>
    <row r="34" spans="1:19" x14ac:dyDescent="0.25">
      <c r="C34" s="69" t="s">
        <v>30</v>
      </c>
      <c r="D34" s="39">
        <f t="shared" ref="D34:K34" si="4">SUM(D32:D33)</f>
        <v>-83579</v>
      </c>
      <c r="E34" s="39">
        <f t="shared" si="4"/>
        <v>-35060</v>
      </c>
      <c r="F34" s="39">
        <f t="shared" si="4"/>
        <v>47465</v>
      </c>
      <c r="G34" s="39" t="e">
        <f t="shared" si="4"/>
        <v>#DIV/0!</v>
      </c>
      <c r="H34" s="39" t="e">
        <f t="shared" si="4"/>
        <v>#DIV/0!</v>
      </c>
      <c r="I34" s="39" t="e">
        <f t="shared" si="4"/>
        <v>#DIV/0!</v>
      </c>
      <c r="J34" s="39" t="e">
        <f t="shared" si="4"/>
        <v>#DIV/0!</v>
      </c>
      <c r="K34" s="39" t="e">
        <f t="shared" si="4"/>
        <v>#DIV/0!</v>
      </c>
    </row>
    <row r="35" spans="1:19" x14ac:dyDescent="0.25">
      <c r="C35" s="12"/>
      <c r="G35" s="77"/>
    </row>
    <row r="36" spans="1:19" x14ac:dyDescent="0.25">
      <c r="C36" s="18" t="s">
        <v>31</v>
      </c>
    </row>
    <row r="37" spans="1:19" x14ac:dyDescent="0.25">
      <c r="C37" s="12" t="s">
        <v>32</v>
      </c>
      <c r="D37" s="1" t="e">
        <f>D17/#REF!-1</f>
        <v>#REF!</v>
      </c>
      <c r="E37" s="1">
        <f>E17/D17-1</f>
        <v>0.14437312737784569</v>
      </c>
      <c r="F37" s="1">
        <f>F17/E17-1</f>
        <v>0.10283721296276749</v>
      </c>
      <c r="G37" s="72">
        <v>0.08</v>
      </c>
      <c r="H37" s="72">
        <v>0.09</v>
      </c>
      <c r="I37" s="72">
        <v>0.06</v>
      </c>
      <c r="J37" s="72">
        <v>0.06</v>
      </c>
      <c r="K37" s="72">
        <v>0.06</v>
      </c>
      <c r="N37" s="4"/>
      <c r="O37" s="4"/>
      <c r="P37" s="4"/>
      <c r="Q37" s="4"/>
      <c r="R37" s="4"/>
      <c r="S37" s="4"/>
    </row>
    <row r="38" spans="1:19" x14ac:dyDescent="0.25">
      <c r="C38" s="12" t="s">
        <v>112</v>
      </c>
      <c r="D38" s="1">
        <f>D19/D17</f>
        <v>0.52477133141787702</v>
      </c>
      <c r="E38" s="1">
        <f>E19/E17</f>
        <v>0.54168098293756439</v>
      </c>
      <c r="F38" s="1">
        <f>F19/F17</f>
        <v>0.55074459049263413</v>
      </c>
      <c r="G38" s="72">
        <v>0.08</v>
      </c>
      <c r="H38" s="72">
        <v>0.09</v>
      </c>
      <c r="I38" s="72">
        <v>0.06</v>
      </c>
      <c r="J38" s="72">
        <v>0.06</v>
      </c>
      <c r="K38" s="72">
        <v>0.06</v>
      </c>
      <c r="N38" s="4"/>
      <c r="O38" s="4"/>
      <c r="P38" s="4"/>
      <c r="Q38" s="4"/>
      <c r="R38" s="4"/>
      <c r="S38" s="4"/>
    </row>
    <row r="39" spans="1:19" x14ac:dyDescent="0.25">
      <c r="C39" s="12" t="s">
        <v>34</v>
      </c>
      <c r="D39" s="1">
        <f>-D20/D17</f>
        <v>0.17197590742546853</v>
      </c>
      <c r="E39" s="1">
        <f>-E20/E17</f>
        <v>0.15950757146778408</v>
      </c>
      <c r="F39" s="1">
        <f>-F20/F17</f>
        <v>0.13256948118855996</v>
      </c>
      <c r="G39" s="72">
        <v>0.08</v>
      </c>
      <c r="H39" s="72">
        <v>0.09</v>
      </c>
      <c r="I39" s="72">
        <v>0.06</v>
      </c>
      <c r="J39" s="72">
        <v>0.06</v>
      </c>
      <c r="K39" s="72">
        <v>0.06</v>
      </c>
      <c r="N39" s="4"/>
      <c r="O39" s="4"/>
      <c r="P39" s="4"/>
      <c r="Q39" s="4"/>
      <c r="R39" s="4"/>
      <c r="S39" s="4"/>
    </row>
    <row r="40" spans="1:19" x14ac:dyDescent="0.25">
      <c r="C40" s="12" t="s">
        <v>35</v>
      </c>
      <c r="D40" s="1">
        <f>-D21/D17</f>
        <v>0.32588348226445596</v>
      </c>
      <c r="E40" s="1">
        <f>-E21/E17</f>
        <v>0.29939785284729031</v>
      </c>
      <c r="F40" s="1">
        <f>-F21/F17</f>
        <v>0.27135954774569049</v>
      </c>
      <c r="G40" s="72">
        <v>0.08</v>
      </c>
      <c r="H40" s="72">
        <v>0.09</v>
      </c>
      <c r="I40" s="72">
        <v>0.06</v>
      </c>
      <c r="J40" s="72">
        <v>0.06</v>
      </c>
      <c r="K40" s="72">
        <v>0.06</v>
      </c>
      <c r="N40" s="4"/>
      <c r="O40" s="4"/>
      <c r="P40" s="4"/>
      <c r="Q40" s="4"/>
      <c r="R40" s="4"/>
      <c r="S40" s="4"/>
    </row>
    <row r="41" spans="1:19" x14ac:dyDescent="0.25">
      <c r="C41" s="12" t="s">
        <v>36</v>
      </c>
      <c r="D41" s="1">
        <f>-D22/D17</f>
        <v>0.13517915667202643</v>
      </c>
      <c r="E41" s="1">
        <f>-E22/E17</f>
        <v>0.13201361309406126</v>
      </c>
      <c r="F41" s="1">
        <f>-F22/F17</f>
        <v>0.12170869419922582</v>
      </c>
      <c r="G41" s="72">
        <v>0.08</v>
      </c>
      <c r="H41" s="72">
        <v>0.09</v>
      </c>
      <c r="I41" s="72">
        <v>0.06</v>
      </c>
      <c r="J41" s="72">
        <v>0.06</v>
      </c>
      <c r="K41" s="72">
        <v>0.06</v>
      </c>
      <c r="N41" s="4"/>
      <c r="O41" s="4"/>
      <c r="P41" s="4"/>
      <c r="Q41" s="4"/>
      <c r="R41" s="4"/>
      <c r="S41" s="4"/>
    </row>
    <row r="42" spans="1:19" x14ac:dyDescent="0.25">
      <c r="C42" s="12" t="s">
        <v>37</v>
      </c>
      <c r="D42" s="1">
        <f>-(D28/D27)</f>
        <v>-2.9475089079989424E-2</v>
      </c>
      <c r="E42" s="1">
        <f>-(E28/E27)</f>
        <v>-3.1360250882007056E-3</v>
      </c>
      <c r="F42" s="1">
        <f>-(F28/F27)</f>
        <v>0.12295847981843265</v>
      </c>
      <c r="G42" s="4">
        <f>F42</f>
        <v>0.12295847981843265</v>
      </c>
      <c r="H42" s="4">
        <f>G42</f>
        <v>0.12295847981843265</v>
      </c>
      <c r="I42" s="4">
        <f>H42</f>
        <v>0.12295847981843265</v>
      </c>
      <c r="J42" s="4">
        <f>I42</f>
        <v>0.12295847981843265</v>
      </c>
      <c r="K42" s="4">
        <f>J42</f>
        <v>0.12295847981843265</v>
      </c>
      <c r="N42" s="4"/>
      <c r="O42" s="4"/>
      <c r="P42" s="4"/>
      <c r="Q42" s="4"/>
      <c r="R42" s="4"/>
      <c r="S42" s="4"/>
    </row>
    <row r="43" spans="1:19" x14ac:dyDescent="0.25">
      <c r="C43" s="12"/>
      <c r="G43" s="77"/>
    </row>
    <row r="44" spans="1:19" x14ac:dyDescent="0.25">
      <c r="A44" t="s">
        <v>10</v>
      </c>
      <c r="C44" s="17" t="s">
        <v>38</v>
      </c>
      <c r="D44" s="74"/>
      <c r="E44" s="74"/>
      <c r="F44" s="74"/>
      <c r="G44" s="30"/>
      <c r="H44" s="30"/>
      <c r="I44" s="30"/>
      <c r="J44" s="30"/>
      <c r="K44" s="30"/>
    </row>
    <row r="45" spans="1:19" x14ac:dyDescent="0.25">
      <c r="C45" s="32" t="str">
        <f>C14</f>
        <v xml:space="preserve">Fiscal year  </v>
      </c>
      <c r="D45" s="31">
        <f t="shared" ref="D45:K46" si="5">D14</f>
        <v>2023</v>
      </c>
      <c r="E45" s="31">
        <f t="shared" si="5"/>
        <v>2024</v>
      </c>
      <c r="F45" s="31">
        <f t="shared" si="5"/>
        <v>2025</v>
      </c>
      <c r="G45" s="15">
        <f t="shared" si="5"/>
        <v>2026</v>
      </c>
      <c r="H45" s="15">
        <f t="shared" si="5"/>
        <v>2027</v>
      </c>
      <c r="I45" s="15">
        <f t="shared" si="5"/>
        <v>2028</v>
      </c>
      <c r="J45" s="15">
        <f t="shared" si="5"/>
        <v>2029</v>
      </c>
      <c r="K45" s="15">
        <f t="shared" si="5"/>
        <v>2030</v>
      </c>
    </row>
    <row r="46" spans="1:19" x14ac:dyDescent="0.25">
      <c r="C46" s="30" t="str">
        <f>C15</f>
        <v>Fiscal year end date</v>
      </c>
      <c r="D46" s="13">
        <f t="shared" si="5"/>
        <v>45291</v>
      </c>
      <c r="E46" s="13">
        <f t="shared" si="5"/>
        <v>45657</v>
      </c>
      <c r="F46" s="13">
        <f t="shared" si="5"/>
        <v>46022</v>
      </c>
      <c r="G46" s="13">
        <f t="shared" si="5"/>
        <v>46387</v>
      </c>
      <c r="H46" s="13">
        <f t="shared" si="5"/>
        <v>46752</v>
      </c>
      <c r="I46" s="13">
        <f t="shared" si="5"/>
        <v>47118</v>
      </c>
      <c r="J46" s="13">
        <f t="shared" si="5"/>
        <v>47483</v>
      </c>
      <c r="K46" s="13">
        <f t="shared" si="5"/>
        <v>47848</v>
      </c>
    </row>
    <row r="47" spans="1:19" x14ac:dyDescent="0.25">
      <c r="C47" t="s">
        <v>39</v>
      </c>
      <c r="D47" s="29"/>
      <c r="E47" s="29"/>
      <c r="F47" s="29"/>
      <c r="G47" s="21" t="e">
        <f ca="1">G92+F47</f>
        <v>#DIV/0!</v>
      </c>
      <c r="H47" s="21" t="e">
        <f ca="1">H92+G47</f>
        <v>#DIV/0!</v>
      </c>
      <c r="I47" s="21" t="e">
        <f ca="1">I92+H47</f>
        <v>#DIV/0!</v>
      </c>
      <c r="J47" s="21" t="e">
        <f ca="1">J92+I47</f>
        <v>#DIV/0!</v>
      </c>
      <c r="K47" s="21" t="e">
        <f ca="1">K92+J47</f>
        <v>#DIV/0!</v>
      </c>
    </row>
    <row r="48" spans="1:19" x14ac:dyDescent="0.25">
      <c r="C48" t="s">
        <v>40</v>
      </c>
      <c r="D48" s="29"/>
      <c r="E48" s="29"/>
      <c r="F48" s="29"/>
      <c r="G48" s="21">
        <f>F48*(1+G37)</f>
        <v>0</v>
      </c>
      <c r="H48" s="21">
        <f>G48*(1+H37)</f>
        <v>0</v>
      </c>
      <c r="I48" s="21">
        <f>H48*(1+I37)</f>
        <v>0</v>
      </c>
      <c r="J48" s="21">
        <f>I48*(1+J37)</f>
        <v>0</v>
      </c>
      <c r="K48" s="21">
        <f>J48*(1+K37)</f>
        <v>0</v>
      </c>
    </row>
    <row r="49" spans="3:13" x14ac:dyDescent="0.25">
      <c r="C49" t="s">
        <v>41</v>
      </c>
      <c r="D49" s="29"/>
      <c r="E49" s="29"/>
      <c r="F49" s="29"/>
      <c r="G49" s="21">
        <f>F49*G18/F18</f>
        <v>0</v>
      </c>
      <c r="H49" s="21">
        <f>G49*H18/G18</f>
        <v>0</v>
      </c>
      <c r="I49" s="21">
        <f>H49*I18/H18</f>
        <v>0</v>
      </c>
      <c r="J49" s="21">
        <f>I49*J18/I18</f>
        <v>0</v>
      </c>
      <c r="K49" s="21">
        <f>J49*K18/J18</f>
        <v>0</v>
      </c>
    </row>
    <row r="50" spans="3:13" x14ac:dyDescent="0.25">
      <c r="C50" t="s">
        <v>113</v>
      </c>
      <c r="D50" s="29"/>
      <c r="E50" s="29"/>
      <c r="F50" s="29"/>
      <c r="G50" s="21">
        <f>F50*(1+G37)</f>
        <v>0</v>
      </c>
      <c r="H50" s="21">
        <f>G50*(1+H37)</f>
        <v>0</v>
      </c>
      <c r="I50" s="21">
        <f>H50*(1+I37)</f>
        <v>0</v>
      </c>
      <c r="J50" s="21">
        <f>I50*(1+J37)</f>
        <v>0</v>
      </c>
      <c r="K50" s="21">
        <f>J50*(1+K37)</f>
        <v>0</v>
      </c>
      <c r="M50" s="21"/>
    </row>
    <row r="51" spans="3:13" x14ac:dyDescent="0.25">
      <c r="C51" t="s">
        <v>43</v>
      </c>
      <c r="D51" s="29"/>
      <c r="E51" s="29"/>
      <c r="F51" s="29"/>
      <c r="G51" s="21" t="e">
        <f>G101</f>
        <v>#DIV/0!</v>
      </c>
      <c r="H51" s="21" t="e">
        <f>H101</f>
        <v>#DIV/0!</v>
      </c>
      <c r="I51" s="21" t="e">
        <f>I101</f>
        <v>#DIV/0!</v>
      </c>
      <c r="J51" s="21" t="e">
        <f>J101</f>
        <v>#DIV/0!</v>
      </c>
      <c r="K51" s="21" t="e">
        <f>K101</f>
        <v>#DIV/0!</v>
      </c>
    </row>
    <row r="52" spans="3:13" x14ac:dyDescent="0.25">
      <c r="C52" t="s">
        <v>44</v>
      </c>
      <c r="D52" s="29"/>
      <c r="E52" s="29"/>
      <c r="F52" s="29"/>
      <c r="G52" s="21">
        <f>F52*(1+G37)</f>
        <v>0</v>
      </c>
      <c r="H52" s="21">
        <f>G52*(1+H37)</f>
        <v>0</v>
      </c>
      <c r="I52" s="21">
        <f>H52*(1+I37)</f>
        <v>0</v>
      </c>
      <c r="J52" s="21">
        <f>I52*(1+J37)</f>
        <v>0</v>
      </c>
      <c r="K52" s="21">
        <f>J52*(1+K37)</f>
        <v>0</v>
      </c>
    </row>
    <row r="53" spans="3:13" x14ac:dyDescent="0.25">
      <c r="C53" s="69" t="s">
        <v>45</v>
      </c>
      <c r="D53" s="39">
        <f t="shared" ref="D53:K53" si="6">SUM(D47:D52)</f>
        <v>0</v>
      </c>
      <c r="E53" s="39">
        <f t="shared" si="6"/>
        <v>0</v>
      </c>
      <c r="F53" s="39">
        <f t="shared" si="6"/>
        <v>0</v>
      </c>
      <c r="G53" s="19" t="e">
        <f t="shared" ca="1" si="6"/>
        <v>#DIV/0!</v>
      </c>
      <c r="H53" s="19" t="e">
        <f t="shared" ca="1" si="6"/>
        <v>#DIV/0!</v>
      </c>
      <c r="I53" s="19" t="e">
        <f t="shared" ca="1" si="6"/>
        <v>#DIV/0!</v>
      </c>
      <c r="J53" s="19" t="e">
        <f t="shared" ca="1" si="6"/>
        <v>#DIV/0!</v>
      </c>
      <c r="K53" s="19" t="e">
        <f t="shared" ca="1" si="6"/>
        <v>#DIV/0!</v>
      </c>
    </row>
    <row r="54" spans="3:13" x14ac:dyDescent="0.25">
      <c r="C54" s="49"/>
      <c r="D54" s="21"/>
      <c r="E54" s="21"/>
      <c r="F54" s="21"/>
      <c r="G54" s="21"/>
      <c r="H54" s="21"/>
      <c r="I54" s="21"/>
      <c r="J54" s="21"/>
      <c r="K54" s="21"/>
    </row>
    <row r="55" spans="3:13" x14ac:dyDescent="0.25">
      <c r="C55" s="49" t="s">
        <v>46</v>
      </c>
      <c r="D55" s="29"/>
      <c r="E55" s="29"/>
      <c r="F55" s="29"/>
      <c r="G55" s="21">
        <f>F55*G18/F18</f>
        <v>0</v>
      </c>
      <c r="H55" s="21">
        <f>G55*H18/G18</f>
        <v>0</v>
      </c>
      <c r="I55" s="21">
        <f>H55*I18/H18</f>
        <v>0</v>
      </c>
      <c r="J55" s="21">
        <f>I55*J18/I18</f>
        <v>0</v>
      </c>
      <c r="K55" s="21">
        <f>J55*K18/J18</f>
        <v>0</v>
      </c>
    </row>
    <row r="56" spans="3:13" x14ac:dyDescent="0.25">
      <c r="C56" s="49" t="s">
        <v>47</v>
      </c>
      <c r="D56" s="29"/>
      <c r="E56" s="29"/>
      <c r="F56" s="29"/>
      <c r="G56" s="21">
        <f>F56*(1+G37)</f>
        <v>0</v>
      </c>
      <c r="H56" s="21">
        <f>G56*(1+H37)</f>
        <v>0</v>
      </c>
      <c r="I56" s="21">
        <f>H56*(1+I37)</f>
        <v>0</v>
      </c>
      <c r="J56" s="21">
        <f>I56*(1+J37)</f>
        <v>0</v>
      </c>
      <c r="K56" s="21">
        <f>J56*(1+K37)</f>
        <v>0</v>
      </c>
    </row>
    <row r="57" spans="3:13" x14ac:dyDescent="0.25">
      <c r="C57" s="49" t="s">
        <v>114</v>
      </c>
      <c r="D57" s="29"/>
      <c r="E57" s="29"/>
      <c r="F57" s="29"/>
      <c r="G57" s="21">
        <f>F57*(1+G37)</f>
        <v>0</v>
      </c>
      <c r="H57" s="21">
        <f>G57*(1+H37)</f>
        <v>0</v>
      </c>
      <c r="I57" s="21">
        <f>H57*(1+I37)</f>
        <v>0</v>
      </c>
      <c r="J57" s="21">
        <f>I57*(1+J37)</f>
        <v>0</v>
      </c>
      <c r="K57" s="21">
        <f>J57*(1+K37)</f>
        <v>0</v>
      </c>
      <c r="M57" s="21"/>
    </row>
    <row r="58" spans="3:13" ht="15.75" customHeight="1" x14ac:dyDescent="0.25">
      <c r="C58" s="49" t="s">
        <v>49</v>
      </c>
      <c r="D58" s="29"/>
      <c r="E58" s="29"/>
      <c r="F58" s="29"/>
      <c r="G58" s="21" t="e">
        <f ca="1">G137</f>
        <v>#DIV/0!</v>
      </c>
      <c r="H58" s="21" t="e">
        <f ca="1">H137</f>
        <v>#DIV/0!</v>
      </c>
      <c r="I58" s="21" t="e">
        <f ca="1">I137</f>
        <v>#DIV/0!</v>
      </c>
      <c r="J58" s="21" t="e">
        <f ca="1">J137</f>
        <v>#DIV/0!</v>
      </c>
      <c r="K58" s="21" t="e">
        <f ca="1">K137</f>
        <v>#DIV/0!</v>
      </c>
    </row>
    <row r="59" spans="3:13" x14ac:dyDescent="0.25">
      <c r="C59" s="49" t="s">
        <v>50</v>
      </c>
      <c r="D59" s="29"/>
      <c r="E59" s="29"/>
      <c r="F59" s="29"/>
      <c r="G59" s="21">
        <f>F59</f>
        <v>0</v>
      </c>
      <c r="H59" s="21">
        <f>G59</f>
        <v>0</v>
      </c>
      <c r="I59" s="21">
        <f>H59</f>
        <v>0</v>
      </c>
      <c r="J59" s="21">
        <f>I59</f>
        <v>0</v>
      </c>
      <c r="K59" s="21">
        <f>J59</f>
        <v>0</v>
      </c>
    </row>
    <row r="60" spans="3:13" x14ac:dyDescent="0.25">
      <c r="C60" s="49" t="s">
        <v>51</v>
      </c>
      <c r="D60" s="29"/>
      <c r="E60" s="29"/>
      <c r="F60" s="29"/>
      <c r="G60" s="21">
        <f>F60*(1+G37)</f>
        <v>0</v>
      </c>
      <c r="H60" s="21">
        <f>G60*(1+H37)</f>
        <v>0</v>
      </c>
      <c r="I60" s="21">
        <f>H60*(1+I37)</f>
        <v>0</v>
      </c>
      <c r="J60" s="21">
        <f>I60*(1+J37)</f>
        <v>0</v>
      </c>
      <c r="K60" s="21">
        <f>J60*(1+K37)</f>
        <v>0</v>
      </c>
    </row>
    <row r="61" spans="3:13" x14ac:dyDescent="0.25">
      <c r="C61" s="69" t="s">
        <v>52</v>
      </c>
      <c r="D61" s="39">
        <f t="shared" ref="D61:K61" si="7">SUM(D55:D60)</f>
        <v>0</v>
      </c>
      <c r="E61" s="39">
        <f t="shared" si="7"/>
        <v>0</v>
      </c>
      <c r="F61" s="39">
        <f t="shared" si="7"/>
        <v>0</v>
      </c>
      <c r="G61" s="19" t="e">
        <f t="shared" ca="1" si="7"/>
        <v>#DIV/0!</v>
      </c>
      <c r="H61" s="19" t="e">
        <f t="shared" ca="1" si="7"/>
        <v>#DIV/0!</v>
      </c>
      <c r="I61" s="19" t="e">
        <f t="shared" ca="1" si="7"/>
        <v>#DIV/0!</v>
      </c>
      <c r="J61" s="19" t="e">
        <f t="shared" ca="1" si="7"/>
        <v>#DIV/0!</v>
      </c>
      <c r="K61" s="19" t="e">
        <f t="shared" ca="1" si="7"/>
        <v>#DIV/0!</v>
      </c>
    </row>
    <row r="62" spans="3:13" ht="15.75" customHeight="1" x14ac:dyDescent="0.25">
      <c r="C62" s="69"/>
      <c r="D62" s="39"/>
      <c r="E62" s="39"/>
      <c r="F62" s="39"/>
      <c r="G62" s="21"/>
      <c r="H62" s="21"/>
      <c r="I62" s="21"/>
      <c r="J62" s="21"/>
      <c r="K62" s="21"/>
    </row>
    <row r="63" spans="3:13" ht="15.75" customHeight="1" x14ac:dyDescent="0.25">
      <c r="C63" s="49" t="s">
        <v>53</v>
      </c>
      <c r="D63" s="29"/>
      <c r="E63" s="29"/>
      <c r="F63" s="29"/>
      <c r="G63" s="21">
        <f>F63+G33</f>
        <v>6553.4400000000005</v>
      </c>
      <c r="H63" s="21">
        <f>G63+H33</f>
        <v>13696.689600000002</v>
      </c>
      <c r="I63" s="21">
        <f>H63+I33</f>
        <v>21268.534176000001</v>
      </c>
      <c r="J63" s="21">
        <f>I63+J33</f>
        <v>29294.689426560002</v>
      </c>
      <c r="K63" s="21">
        <f>J63+K33</f>
        <v>37802.413992153604</v>
      </c>
    </row>
    <row r="64" spans="3:13" x14ac:dyDescent="0.25">
      <c r="C64" s="49" t="s">
        <v>54</v>
      </c>
      <c r="D64" s="27">
        <f>98330</f>
        <v>98330</v>
      </c>
      <c r="E64" s="29"/>
      <c r="F64" s="29"/>
      <c r="G64" s="21" t="e">
        <f ca="1">G121</f>
        <v>#DIV/0!</v>
      </c>
      <c r="H64" s="21" t="e">
        <f ca="1">H121</f>
        <v>#DIV/0!</v>
      </c>
      <c r="I64" s="21" t="e">
        <f ca="1">I121</f>
        <v>#DIV/0!</v>
      </c>
      <c r="J64" s="21" t="e">
        <f ca="1">J121</f>
        <v>#DIV/0!</v>
      </c>
      <c r="K64" s="21" t="e">
        <f ca="1">K121</f>
        <v>#DIV/0!</v>
      </c>
      <c r="M64" s="21"/>
    </row>
    <row r="65" spans="1:11" x14ac:dyDescent="0.25">
      <c r="C65" s="49" t="s">
        <v>55</v>
      </c>
      <c r="D65" s="29"/>
      <c r="E65" s="29"/>
      <c r="F65" s="29"/>
      <c r="G65" s="21">
        <f>F65</f>
        <v>0</v>
      </c>
      <c r="H65" s="21">
        <f>G65</f>
        <v>0</v>
      </c>
      <c r="I65" s="21">
        <f>H65</f>
        <v>0</v>
      </c>
      <c r="J65" s="21">
        <f>I65</f>
        <v>0</v>
      </c>
      <c r="K65" s="21">
        <f>J65</f>
        <v>0</v>
      </c>
    </row>
    <row r="66" spans="1:11" x14ac:dyDescent="0.25">
      <c r="C66" s="69" t="s">
        <v>56</v>
      </c>
      <c r="D66" s="19">
        <f t="shared" ref="D66:K66" si="8">SUM(D63:D65)</f>
        <v>98330</v>
      </c>
      <c r="E66" s="19">
        <f t="shared" si="8"/>
        <v>0</v>
      </c>
      <c r="F66" s="19">
        <f t="shared" si="8"/>
        <v>0</v>
      </c>
      <c r="G66" s="19" t="e">
        <f t="shared" ca="1" si="8"/>
        <v>#DIV/0!</v>
      </c>
      <c r="H66" s="19" t="e">
        <f t="shared" ca="1" si="8"/>
        <v>#DIV/0!</v>
      </c>
      <c r="I66" s="19" t="e">
        <f t="shared" ca="1" si="8"/>
        <v>#DIV/0!</v>
      </c>
      <c r="J66" s="19" t="e">
        <f t="shared" ca="1" si="8"/>
        <v>#DIV/0!</v>
      </c>
      <c r="K66" s="19" t="e">
        <f t="shared" ca="1" si="8"/>
        <v>#DIV/0!</v>
      </c>
    </row>
    <row r="67" spans="1:11" x14ac:dyDescent="0.25">
      <c r="D67" s="21"/>
      <c r="E67" s="21"/>
      <c r="F67" s="21"/>
    </row>
    <row r="68" spans="1:11" x14ac:dyDescent="0.25">
      <c r="C68" s="76" t="s">
        <v>57</v>
      </c>
      <c r="D68" s="75">
        <f t="shared" ref="D68:K68" si="9">ROUND(D53-D61-D66,3)</f>
        <v>-98330</v>
      </c>
      <c r="E68" s="75">
        <f t="shared" si="9"/>
        <v>0</v>
      </c>
      <c r="F68" s="75">
        <f t="shared" si="9"/>
        <v>0</v>
      </c>
      <c r="G68" s="75" t="e">
        <f t="shared" ca="1" si="9"/>
        <v>#DIV/0!</v>
      </c>
      <c r="H68" s="75" t="e">
        <f t="shared" ca="1" si="9"/>
        <v>#DIV/0!</v>
      </c>
      <c r="I68" s="75" t="e">
        <f t="shared" ca="1" si="9"/>
        <v>#DIV/0!</v>
      </c>
      <c r="J68" s="75" t="e">
        <f t="shared" ca="1" si="9"/>
        <v>#DIV/0!</v>
      </c>
      <c r="K68" s="75" t="e">
        <f t="shared" ca="1" si="9"/>
        <v>#DIV/0!</v>
      </c>
    </row>
    <row r="69" spans="1:11" x14ac:dyDescent="0.25">
      <c r="E69" s="21"/>
      <c r="F69" s="21"/>
      <c r="H69" s="21"/>
      <c r="I69" s="21"/>
      <c r="J69" s="21"/>
      <c r="K69" s="21"/>
    </row>
    <row r="70" spans="1:11" x14ac:dyDescent="0.25">
      <c r="A70" t="s">
        <v>10</v>
      </c>
      <c r="C70" s="17" t="s">
        <v>58</v>
      </c>
      <c r="D70" s="74"/>
      <c r="E70" s="74"/>
      <c r="F70" s="74"/>
      <c r="G70" s="74"/>
      <c r="H70" s="74"/>
      <c r="I70" s="74"/>
      <c r="J70" s="74"/>
      <c r="K70" s="74"/>
    </row>
    <row r="71" spans="1:11" x14ac:dyDescent="0.25">
      <c r="C71" s="32" t="str">
        <f>C14</f>
        <v xml:space="preserve">Fiscal year  </v>
      </c>
      <c r="D71" s="31"/>
      <c r="E71" s="31"/>
      <c r="F71" s="31"/>
      <c r="G71" s="15">
        <f t="shared" ref="G71:K72" si="10">G14</f>
        <v>2026</v>
      </c>
      <c r="H71" s="15">
        <f t="shared" si="10"/>
        <v>2027</v>
      </c>
      <c r="I71" s="15">
        <f t="shared" si="10"/>
        <v>2028</v>
      </c>
      <c r="J71" s="15">
        <f t="shared" si="10"/>
        <v>2029</v>
      </c>
      <c r="K71" s="15">
        <f t="shared" si="10"/>
        <v>2030</v>
      </c>
    </row>
    <row r="72" spans="1:11" x14ac:dyDescent="0.25">
      <c r="C72" s="30" t="str">
        <f>C15</f>
        <v>Fiscal year end date</v>
      </c>
      <c r="D72" s="13"/>
      <c r="E72" s="13"/>
      <c r="F72" s="13"/>
      <c r="G72" s="13">
        <f t="shared" si="10"/>
        <v>46387</v>
      </c>
      <c r="H72" s="13">
        <f t="shared" si="10"/>
        <v>46752</v>
      </c>
      <c r="I72" s="13">
        <f t="shared" si="10"/>
        <v>47118</v>
      </c>
      <c r="J72" s="13">
        <f t="shared" si="10"/>
        <v>47483</v>
      </c>
      <c r="K72" s="13">
        <f t="shared" si="10"/>
        <v>47848</v>
      </c>
    </row>
    <row r="74" spans="1:11" x14ac:dyDescent="0.25">
      <c r="C74" t="s">
        <v>26</v>
      </c>
      <c r="D74" s="48"/>
      <c r="E74" s="48"/>
      <c r="F74" s="48"/>
      <c r="G74" s="21" t="e">
        <f ca="1">G29</f>
        <v>#DIV/0!</v>
      </c>
      <c r="H74" s="21" t="e">
        <f ca="1">H29</f>
        <v>#DIV/0!</v>
      </c>
      <c r="I74" s="21" t="e">
        <f ca="1">I29</f>
        <v>#DIV/0!</v>
      </c>
      <c r="J74" s="21" t="e">
        <f ca="1">J29</f>
        <v>#DIV/0!</v>
      </c>
      <c r="K74" s="21" t="e">
        <f ca="1">K29</f>
        <v>#DIV/0!</v>
      </c>
    </row>
    <row r="75" spans="1:11" x14ac:dyDescent="0.25">
      <c r="C75" t="s">
        <v>59</v>
      </c>
      <c r="D75" s="48"/>
      <c r="E75" s="48"/>
      <c r="F75" s="48"/>
      <c r="G75" s="21" t="e">
        <f>G31</f>
        <v>#DIV/0!</v>
      </c>
      <c r="H75" s="21" t="e">
        <f>H31</f>
        <v>#DIV/0!</v>
      </c>
      <c r="I75" s="21" t="e">
        <f>I31</f>
        <v>#DIV/0!</v>
      </c>
      <c r="J75" s="21" t="e">
        <f>J31</f>
        <v>#DIV/0!</v>
      </c>
      <c r="K75" s="21" t="e">
        <f>K31</f>
        <v>#DIV/0!</v>
      </c>
    </row>
    <row r="76" spans="1:11" x14ac:dyDescent="0.25">
      <c r="C76" t="s">
        <v>29</v>
      </c>
      <c r="D76" s="48"/>
      <c r="E76" s="48"/>
      <c r="F76" s="48"/>
      <c r="G76" s="21">
        <f>G33</f>
        <v>6553.4400000000005</v>
      </c>
      <c r="H76" s="21">
        <f>H33</f>
        <v>7143.249600000001</v>
      </c>
      <c r="I76" s="21">
        <f>I33</f>
        <v>7571.8445760000013</v>
      </c>
      <c r="J76" s="21">
        <f>J33</f>
        <v>8026.1552505600021</v>
      </c>
      <c r="K76" s="21">
        <f>K33</f>
        <v>8507.7245655936022</v>
      </c>
    </row>
    <row r="77" spans="1:11" x14ac:dyDescent="0.25">
      <c r="C77" t="s">
        <v>60</v>
      </c>
      <c r="D77" s="21"/>
      <c r="E77" s="21"/>
      <c r="F77" s="21"/>
      <c r="G77" s="21">
        <f>SUM(F48:F50)-SUM(G48:G50)</f>
        <v>0</v>
      </c>
      <c r="H77" s="21">
        <f>SUM(G48:G50)-SUM(H48:H50)</f>
        <v>0</v>
      </c>
      <c r="I77" s="21">
        <f>SUM(H48:H50)-SUM(I48:I50)</f>
        <v>0</v>
      </c>
      <c r="J77" s="21">
        <f>SUM(I48:I50)-SUM(J48:J50)</f>
        <v>0</v>
      </c>
      <c r="K77" s="21">
        <f>SUM(J48:J50)-SUM(K48:K50)</f>
        <v>0</v>
      </c>
    </row>
    <row r="78" spans="1:11" x14ac:dyDescent="0.25">
      <c r="C78" t="s">
        <v>61</v>
      </c>
      <c r="D78" s="21"/>
      <c r="E78" s="21"/>
      <c r="F78" s="21"/>
      <c r="G78" s="21">
        <f>SUM(G55:G57)-SUM(F55:F57)</f>
        <v>0</v>
      </c>
      <c r="H78" s="21">
        <f>SUM(H55:H57)-SUM(G55:G57)</f>
        <v>0</v>
      </c>
      <c r="I78" s="21">
        <f>SUM(I55:I57)-SUM(H55:H57)</f>
        <v>0</v>
      </c>
      <c r="J78" s="21">
        <f>SUM(J55:J57)-SUM(I55:I57)</f>
        <v>0</v>
      </c>
      <c r="K78" s="21">
        <f>SUM(K55:K57)-SUM(J55:J57)</f>
        <v>0</v>
      </c>
    </row>
    <row r="79" spans="1:11" x14ac:dyDescent="0.25">
      <c r="C79" t="s">
        <v>44</v>
      </c>
      <c r="G79" s="21">
        <f>-G113</f>
        <v>-13550.76</v>
      </c>
      <c r="H79" s="21">
        <f>-H113</f>
        <v>-14770.3284</v>
      </c>
      <c r="I79" s="21">
        <f>-I113</f>
        <v>-15656.548104000003</v>
      </c>
      <c r="J79" s="21">
        <f>-J113</f>
        <v>-16595.940990240004</v>
      </c>
      <c r="K79" s="21">
        <f>-K113</f>
        <v>-17591.697449654403</v>
      </c>
    </row>
    <row r="80" spans="1:11" x14ac:dyDescent="0.25">
      <c r="C80" t="s">
        <v>51</v>
      </c>
      <c r="G80" s="21">
        <f>G60-F60</f>
        <v>0</v>
      </c>
      <c r="H80" s="21">
        <f>H60-G60</f>
        <v>0</v>
      </c>
      <c r="I80" s="21">
        <f>I60-H60</f>
        <v>0</v>
      </c>
      <c r="J80" s="21">
        <f>J60-I60</f>
        <v>0</v>
      </c>
      <c r="K80" s="21">
        <f>K60-J60</f>
        <v>0</v>
      </c>
    </row>
    <row r="81" spans="1:11" x14ac:dyDescent="0.25">
      <c r="C81" s="20" t="s">
        <v>62</v>
      </c>
      <c r="G81" s="19" t="e">
        <f ca="1">SUM(G74:G80)</f>
        <v>#DIV/0!</v>
      </c>
      <c r="H81" s="19" t="e">
        <f ca="1">SUM(H74:H80)</f>
        <v>#DIV/0!</v>
      </c>
      <c r="I81" s="19" t="e">
        <f ca="1">SUM(I74:I80)</f>
        <v>#DIV/0!</v>
      </c>
      <c r="J81" s="19" t="e">
        <f ca="1">SUM(J74:J80)</f>
        <v>#DIV/0!</v>
      </c>
      <c r="K81" s="19" t="e">
        <f ca="1">SUM(K74:K80)</f>
        <v>#DIV/0!</v>
      </c>
    </row>
    <row r="82" spans="1:11" x14ac:dyDescent="0.25">
      <c r="G82" s="21"/>
      <c r="H82" s="21"/>
      <c r="I82" s="21"/>
      <c r="J82" s="21"/>
      <c r="K82" s="21"/>
    </row>
    <row r="83" spans="1:11" x14ac:dyDescent="0.25">
      <c r="C83" t="s">
        <v>63</v>
      </c>
      <c r="G83" s="21">
        <f>-(G99)</f>
        <v>0</v>
      </c>
      <c r="H83" s="21">
        <f>-(H99)</f>
        <v>0</v>
      </c>
      <c r="I83" s="21">
        <f>-(I99)</f>
        <v>0</v>
      </c>
      <c r="J83" s="21">
        <f>-(J99)</f>
        <v>0</v>
      </c>
      <c r="K83" s="21">
        <f>-(K99)</f>
        <v>0</v>
      </c>
    </row>
    <row r="84" spans="1:11" x14ac:dyDescent="0.25">
      <c r="C84" s="20" t="s">
        <v>64</v>
      </c>
      <c r="G84" s="19">
        <f>IFERROR(G83,"NA")</f>
        <v>0</v>
      </c>
      <c r="H84" s="19">
        <f>IFERROR(H83,"NA")</f>
        <v>0</v>
      </c>
      <c r="I84" s="19">
        <f>IFERROR(I83,"NA")</f>
        <v>0</v>
      </c>
      <c r="J84" s="19">
        <f>IFERROR(J83,"NA")</f>
        <v>0</v>
      </c>
      <c r="K84" s="19">
        <f>IFERROR(K83,"NA")</f>
        <v>0</v>
      </c>
    </row>
    <row r="85" spans="1:11" x14ac:dyDescent="0.25">
      <c r="G85" s="21"/>
      <c r="H85" s="21"/>
      <c r="I85" s="21"/>
      <c r="J85" s="21"/>
      <c r="K85" s="21"/>
    </row>
    <row r="86" spans="1:11" x14ac:dyDescent="0.25">
      <c r="C86" t="s">
        <v>65</v>
      </c>
      <c r="G86" s="21">
        <f>G59-F59</f>
        <v>0</v>
      </c>
      <c r="H86" s="21">
        <f>H59-G59</f>
        <v>0</v>
      </c>
      <c r="I86" s="21">
        <f>I59-H59</f>
        <v>0</v>
      </c>
      <c r="J86" s="21">
        <f>J59-I59</f>
        <v>0</v>
      </c>
      <c r="K86" s="21">
        <f>K59-J59</f>
        <v>0</v>
      </c>
    </row>
    <row r="87" spans="1:11" x14ac:dyDescent="0.25">
      <c r="C87" t="s">
        <v>115</v>
      </c>
      <c r="G87" s="21" t="e">
        <f ca="1">G58-F58</f>
        <v>#DIV/0!</v>
      </c>
      <c r="H87" s="21" t="e">
        <f ca="1">H58-G58</f>
        <v>#DIV/0!</v>
      </c>
      <c r="I87" s="21" t="e">
        <f ca="1">I58-H58</f>
        <v>#DIV/0!</v>
      </c>
      <c r="J87" s="21" t="e">
        <f ca="1">J58-I58</f>
        <v>#DIV/0!</v>
      </c>
      <c r="K87" s="21" t="e">
        <f ca="1">K58-J58</f>
        <v>#DIV/0!</v>
      </c>
    </row>
    <row r="88" spans="1:11" x14ac:dyDescent="0.25">
      <c r="C88" t="s">
        <v>67</v>
      </c>
      <c r="G88" s="21">
        <f>G120</f>
        <v>0</v>
      </c>
      <c r="H88" s="21">
        <f>H120</f>
        <v>0</v>
      </c>
      <c r="I88" s="21">
        <f>I120</f>
        <v>0</v>
      </c>
      <c r="J88" s="21">
        <f>J120</f>
        <v>0</v>
      </c>
      <c r="K88" s="21">
        <f>K120</f>
        <v>0</v>
      </c>
    </row>
    <row r="89" spans="1:11" x14ac:dyDescent="0.25">
      <c r="C89" t="s">
        <v>68</v>
      </c>
      <c r="G89" s="21" t="e">
        <f ca="1">G119</f>
        <v>#DIV/0!</v>
      </c>
      <c r="H89" s="21" t="e">
        <f ca="1">H119</f>
        <v>#DIV/0!</v>
      </c>
      <c r="I89" s="21" t="e">
        <f ca="1">I119</f>
        <v>#DIV/0!</v>
      </c>
      <c r="J89" s="21" t="e">
        <f ca="1">J119</f>
        <v>#DIV/0!</v>
      </c>
      <c r="K89" s="21" t="e">
        <f ca="1">K119</f>
        <v>#DIV/0!</v>
      </c>
    </row>
    <row r="90" spans="1:11" x14ac:dyDescent="0.25">
      <c r="C90" s="20" t="s">
        <v>69</v>
      </c>
      <c r="G90" s="19" t="e">
        <f ca="1">SUM(G86:G89)</f>
        <v>#DIV/0!</v>
      </c>
      <c r="H90" s="19" t="e">
        <f ca="1">SUM(H86:H89)</f>
        <v>#DIV/0!</v>
      </c>
      <c r="I90" s="19" t="e">
        <f ca="1">SUM(I86:I89)</f>
        <v>#DIV/0!</v>
      </c>
      <c r="J90" s="19" t="e">
        <f ca="1">SUM(J86:J89)</f>
        <v>#DIV/0!</v>
      </c>
      <c r="K90" s="19" t="e">
        <f ca="1">SUM(K86:K89)</f>
        <v>#DIV/0!</v>
      </c>
    </row>
    <row r="91" spans="1:11" x14ac:dyDescent="0.25">
      <c r="G91" s="21"/>
      <c r="H91" s="21"/>
      <c r="I91" s="21"/>
      <c r="J91" s="21"/>
      <c r="K91" s="21"/>
    </row>
    <row r="92" spans="1:11" x14ac:dyDescent="0.25">
      <c r="C92" s="20" t="s">
        <v>70</v>
      </c>
      <c r="G92" s="19" t="e">
        <f ca="1">G81+G84+G90</f>
        <v>#DIV/0!</v>
      </c>
      <c r="H92" s="19" t="e">
        <f ca="1">H81+H84+H90</f>
        <v>#DIV/0!</v>
      </c>
      <c r="I92" s="19" t="e">
        <f ca="1">I81+I84+I90</f>
        <v>#DIV/0!</v>
      </c>
      <c r="J92" s="19" t="e">
        <f ca="1">J81+J84+J90</f>
        <v>#DIV/0!</v>
      </c>
      <c r="K92" s="19" t="e">
        <f ca="1">K81+K84+K90</f>
        <v>#DIV/0!</v>
      </c>
    </row>
    <row r="94" spans="1:11" x14ac:dyDescent="0.25">
      <c r="A94" t="s">
        <v>10</v>
      </c>
      <c r="C94" s="17" t="s">
        <v>71</v>
      </c>
      <c r="D94" s="30"/>
      <c r="E94" s="30"/>
      <c r="F94" s="30"/>
      <c r="G94" s="30"/>
      <c r="H94" s="30"/>
      <c r="I94" s="30"/>
      <c r="J94" s="30"/>
      <c r="K94" s="30"/>
    </row>
    <row r="95" spans="1:11" x14ac:dyDescent="0.25">
      <c r="C95" s="32" t="str">
        <f>C14</f>
        <v xml:space="preserve">Fiscal year  </v>
      </c>
      <c r="D95" s="31">
        <f t="shared" ref="D95:K96" si="11">D14</f>
        <v>2023</v>
      </c>
      <c r="E95" s="31">
        <f t="shared" si="11"/>
        <v>2024</v>
      </c>
      <c r="F95" s="31">
        <f t="shared" si="11"/>
        <v>2025</v>
      </c>
      <c r="G95" s="15">
        <f t="shared" si="11"/>
        <v>2026</v>
      </c>
      <c r="H95" s="15">
        <f t="shared" si="11"/>
        <v>2027</v>
      </c>
      <c r="I95" s="15">
        <f t="shared" si="11"/>
        <v>2028</v>
      </c>
      <c r="J95" s="15">
        <f t="shared" si="11"/>
        <v>2029</v>
      </c>
      <c r="K95" s="15">
        <f t="shared" si="11"/>
        <v>2030</v>
      </c>
    </row>
    <row r="96" spans="1:11" x14ac:dyDescent="0.25">
      <c r="C96" s="30" t="str">
        <f>C15</f>
        <v>Fiscal year end date</v>
      </c>
      <c r="D96" s="13">
        <f t="shared" si="11"/>
        <v>45291</v>
      </c>
      <c r="E96" s="13">
        <f t="shared" si="11"/>
        <v>45657</v>
      </c>
      <c r="F96" s="13">
        <f t="shared" si="11"/>
        <v>46022</v>
      </c>
      <c r="G96" s="13">
        <f t="shared" si="11"/>
        <v>46387</v>
      </c>
      <c r="H96" s="13">
        <f t="shared" si="11"/>
        <v>46752</v>
      </c>
      <c r="I96" s="13">
        <f t="shared" si="11"/>
        <v>47118</v>
      </c>
      <c r="J96" s="13">
        <f t="shared" si="11"/>
        <v>47483</v>
      </c>
      <c r="K96" s="13">
        <f t="shared" si="11"/>
        <v>47848</v>
      </c>
    </row>
    <row r="97" spans="1:17" x14ac:dyDescent="0.25">
      <c r="C97" s="20"/>
      <c r="G97" s="73" t="s">
        <v>72</v>
      </c>
      <c r="H97" s="73"/>
      <c r="I97" s="73"/>
      <c r="J97" s="73"/>
      <c r="K97" s="73"/>
    </row>
    <row r="98" spans="1:17" x14ac:dyDescent="0.25">
      <c r="C98" s="49" t="s">
        <v>73</v>
      </c>
      <c r="G98" s="21">
        <f>F101</f>
        <v>0</v>
      </c>
      <c r="H98" s="21" t="e">
        <f>G101</f>
        <v>#DIV/0!</v>
      </c>
      <c r="I98" s="21" t="e">
        <f>H101</f>
        <v>#DIV/0!</v>
      </c>
      <c r="J98" s="21" t="e">
        <f>I101</f>
        <v>#DIV/0!</v>
      </c>
      <c r="K98" s="21" t="e">
        <f>J101</f>
        <v>#DIV/0!</v>
      </c>
    </row>
    <row r="99" spans="1:17" x14ac:dyDescent="0.25">
      <c r="C99" s="63" t="s">
        <v>74</v>
      </c>
      <c r="D99" s="29"/>
      <c r="E99" s="29"/>
      <c r="F99" s="29"/>
      <c r="G99" s="29"/>
      <c r="H99" s="29"/>
      <c r="I99" s="29"/>
      <c r="J99" s="29"/>
      <c r="K99" s="29"/>
    </row>
    <row r="100" spans="1:17" x14ac:dyDescent="0.25">
      <c r="C100" s="62" t="s">
        <v>75</v>
      </c>
      <c r="D100" s="60"/>
      <c r="E100" s="60"/>
      <c r="F100" s="60"/>
      <c r="G100" s="45" t="e">
        <f>-(G103*G99)</f>
        <v>#DIV/0!</v>
      </c>
      <c r="H100" s="45" t="e">
        <f>-(H103*H99)</f>
        <v>#DIV/0!</v>
      </c>
      <c r="I100" s="45" t="e">
        <f>-(I103*I99)</f>
        <v>#DIV/0!</v>
      </c>
      <c r="J100" s="45" t="e">
        <f>-(J103*J99)</f>
        <v>#DIV/0!</v>
      </c>
      <c r="K100" s="45" t="e">
        <f>-(K103*K99)</f>
        <v>#DIV/0!</v>
      </c>
    </row>
    <row r="101" spans="1:17" x14ac:dyDescent="0.25">
      <c r="C101" s="8" t="s">
        <v>76</v>
      </c>
      <c r="D101" s="19">
        <f>D51</f>
        <v>0</v>
      </c>
      <c r="E101" s="19">
        <f>E51</f>
        <v>0</v>
      </c>
      <c r="F101" s="19">
        <f>F51</f>
        <v>0</v>
      </c>
      <c r="G101" s="19" t="e">
        <f>SUM(G98:G100)</f>
        <v>#DIV/0!</v>
      </c>
      <c r="H101" s="19" t="e">
        <f>SUM(H98:H100)</f>
        <v>#DIV/0!</v>
      </c>
      <c r="I101" s="19" t="e">
        <f>SUM(I98:I100)</f>
        <v>#DIV/0!</v>
      </c>
      <c r="J101" s="19" t="e">
        <f>SUM(J98:J100)</f>
        <v>#DIV/0!</v>
      </c>
      <c r="K101" s="19" t="e">
        <f>SUM(K98:K100)</f>
        <v>#DIV/0!</v>
      </c>
    </row>
    <row r="102" spans="1:17" x14ac:dyDescent="0.25">
      <c r="C102" s="49"/>
      <c r="M102" s="18" t="s">
        <v>77</v>
      </c>
    </row>
    <row r="103" spans="1:17" x14ac:dyDescent="0.25">
      <c r="C103" s="49" t="s">
        <v>78</v>
      </c>
      <c r="D103" s="10" t="e">
        <f>-(D100/D99)</f>
        <v>#DIV/0!</v>
      </c>
      <c r="E103" s="10" t="e">
        <f>-(E100/E99)</f>
        <v>#DIV/0!</v>
      </c>
      <c r="F103" s="10" t="e">
        <f>-(F100/F99)</f>
        <v>#DIV/0!</v>
      </c>
      <c r="G103" s="1" t="e">
        <f>AVERAGE(D103:F103)</f>
        <v>#DIV/0!</v>
      </c>
      <c r="H103" s="1" t="e">
        <f>G103+$M$103</f>
        <v>#DIV/0!</v>
      </c>
      <c r="I103" s="1" t="e">
        <f>H103+$M$103</f>
        <v>#DIV/0!</v>
      </c>
      <c r="J103" s="1" t="e">
        <f>I103+$M$103</f>
        <v>#DIV/0!</v>
      </c>
      <c r="K103" s="1" t="e">
        <f>J103+$M$103</f>
        <v>#DIV/0!</v>
      </c>
      <c r="M103" s="72">
        <v>0.02</v>
      </c>
      <c r="O103" s="64"/>
      <c r="P103" s="64"/>
      <c r="Q103" s="64"/>
    </row>
    <row r="104" spans="1:17" x14ac:dyDescent="0.25">
      <c r="C104" s="49"/>
      <c r="D104" s="10"/>
      <c r="E104" s="10"/>
      <c r="F104" s="10"/>
      <c r="G104" s="1"/>
      <c r="H104" s="1"/>
      <c r="I104" s="1"/>
      <c r="J104" s="1"/>
      <c r="K104" s="1"/>
      <c r="O104" s="64"/>
      <c r="P104" s="64"/>
      <c r="Q104" s="64"/>
    </row>
    <row r="105" spans="1:17" x14ac:dyDescent="0.25">
      <c r="A105" t="s">
        <v>10</v>
      </c>
      <c r="C105" s="71" t="s">
        <v>79</v>
      </c>
      <c r="D105" s="52"/>
      <c r="E105" s="52"/>
      <c r="F105" s="52"/>
      <c r="G105" s="70"/>
      <c r="H105" s="70"/>
      <c r="I105" s="70"/>
      <c r="J105" s="70"/>
      <c r="K105" s="70"/>
      <c r="O105" s="64"/>
      <c r="P105" s="64"/>
      <c r="Q105" s="64"/>
    </row>
    <row r="106" spans="1:17" x14ac:dyDescent="0.25">
      <c r="C106" s="49" t="s">
        <v>80</v>
      </c>
      <c r="D106" s="21">
        <f>D108+D100</f>
        <v>10157</v>
      </c>
      <c r="E106" s="21">
        <f>E108+E100</f>
        <v>10903</v>
      </c>
      <c r="F106" s="21">
        <f>F108+F100</f>
        <v>12547</v>
      </c>
      <c r="G106" s="27">
        <f>G107*G17</f>
        <v>13550.76</v>
      </c>
      <c r="H106" s="27">
        <f>H107*H17</f>
        <v>14770.3284</v>
      </c>
      <c r="I106" s="27">
        <f>I107*I17</f>
        <v>15656.548104000003</v>
      </c>
      <c r="J106" s="27">
        <f>J107*J17</f>
        <v>16595.940990240004</v>
      </c>
      <c r="K106" s="27">
        <f>K107*K17</f>
        <v>17591.697449654403</v>
      </c>
      <c r="N106" s="64"/>
      <c r="O106" s="64"/>
      <c r="P106" s="64"/>
    </row>
    <row r="107" spans="1:17" x14ac:dyDescent="0.25">
      <c r="C107" s="12" t="s">
        <v>81</v>
      </c>
      <c r="D107" s="33">
        <f>D106/D17</f>
        <v>1.1155556141322017E-2</v>
      </c>
      <c r="E107" s="33">
        <f>E106/E17</f>
        <v>1.0464154297088694E-2</v>
      </c>
      <c r="F107" s="33">
        <f>F106/F17</f>
        <v>1.0919094098972402E-2</v>
      </c>
      <c r="G107" s="1">
        <f>F107</f>
        <v>1.0919094098972402E-2</v>
      </c>
      <c r="H107" s="1">
        <f>G107</f>
        <v>1.0919094098972402E-2</v>
      </c>
      <c r="I107" s="1">
        <f>H107</f>
        <v>1.0919094098972402E-2</v>
      </c>
      <c r="J107" s="1">
        <f>I107</f>
        <v>1.0919094098972402E-2</v>
      </c>
      <c r="K107" s="1">
        <f>J107</f>
        <v>1.0919094098972402E-2</v>
      </c>
    </row>
    <row r="108" spans="1:17" x14ac:dyDescent="0.25">
      <c r="C108" s="69" t="s">
        <v>82</v>
      </c>
      <c r="D108" s="19">
        <f>D31</f>
        <v>10157</v>
      </c>
      <c r="E108" s="19">
        <f>E31</f>
        <v>10903</v>
      </c>
      <c r="F108" s="19">
        <f>F31</f>
        <v>12547</v>
      </c>
      <c r="G108" s="39" t="e">
        <f>-G100+G106</f>
        <v>#DIV/0!</v>
      </c>
      <c r="H108" s="39" t="e">
        <f>-H100+H106</f>
        <v>#DIV/0!</v>
      </c>
      <c r="I108" s="39" t="e">
        <f>-I100+I106</f>
        <v>#DIV/0!</v>
      </c>
      <c r="J108" s="39" t="e">
        <f>-J100+J106</f>
        <v>#DIV/0!</v>
      </c>
      <c r="K108" s="39" t="e">
        <f>-K100+K106</f>
        <v>#DIV/0!</v>
      </c>
    </row>
    <row r="109" spans="1:17" x14ac:dyDescent="0.25">
      <c r="C109" s="49"/>
      <c r="D109" s="21"/>
      <c r="E109" s="21"/>
      <c r="F109" s="21"/>
      <c r="H109" s="21"/>
      <c r="I109" s="21"/>
      <c r="J109" s="21"/>
      <c r="K109" s="21"/>
    </row>
    <row r="110" spans="1:17" x14ac:dyDescent="0.25">
      <c r="A110" t="s">
        <v>10</v>
      </c>
      <c r="C110" s="65" t="s">
        <v>83</v>
      </c>
      <c r="D110" s="30"/>
      <c r="E110" s="30"/>
      <c r="F110" s="30"/>
      <c r="H110" s="21"/>
      <c r="I110" s="21"/>
      <c r="J110" s="21"/>
      <c r="K110" s="21"/>
    </row>
    <row r="111" spans="1:17" ht="15" customHeight="1" x14ac:dyDescent="0.25">
      <c r="C111" s="49" t="s">
        <v>73</v>
      </c>
      <c r="D111" s="21"/>
      <c r="G111" s="68">
        <f>F114</f>
        <v>0</v>
      </c>
      <c r="H111" s="68">
        <f>G114</f>
        <v>0</v>
      </c>
      <c r="I111" s="68">
        <f>H114</f>
        <v>0</v>
      </c>
      <c r="J111" s="68">
        <f>I114</f>
        <v>0</v>
      </c>
      <c r="K111" s="68">
        <f>J114</f>
        <v>0</v>
      </c>
    </row>
    <row r="112" spans="1:17" x14ac:dyDescent="0.25">
      <c r="C112" s="12" t="s">
        <v>84</v>
      </c>
      <c r="G112" s="21">
        <f>-(G106)</f>
        <v>-13550.76</v>
      </c>
      <c r="H112" s="21">
        <f>-(H106)</f>
        <v>-14770.3284</v>
      </c>
      <c r="I112" s="21">
        <f>-(I106)</f>
        <v>-15656.548104000003</v>
      </c>
      <c r="J112" s="21">
        <f>-(J106)</f>
        <v>-16595.940990240004</v>
      </c>
      <c r="K112" s="21">
        <f>-(K106)</f>
        <v>-17591.697449654403</v>
      </c>
    </row>
    <row r="113" spans="1:16" x14ac:dyDescent="0.25">
      <c r="C113" s="46" t="s">
        <v>85</v>
      </c>
      <c r="D113" s="61"/>
      <c r="E113" s="61"/>
      <c r="F113" s="61"/>
      <c r="G113" s="67">
        <f>G114-G112-G111</f>
        <v>13550.76</v>
      </c>
      <c r="H113" s="67">
        <f>H114-H112-H111</f>
        <v>14770.3284</v>
      </c>
      <c r="I113" s="67">
        <f>I114-I112-I111</f>
        <v>15656.548104000003</v>
      </c>
      <c r="J113" s="67">
        <f>J114-J112-J111</f>
        <v>16595.940990240004</v>
      </c>
      <c r="K113" s="67">
        <f>K114-K112-K111</f>
        <v>17591.697449654403</v>
      </c>
    </row>
    <row r="114" spans="1:16" x14ac:dyDescent="0.25">
      <c r="C114" s="8" t="s">
        <v>76</v>
      </c>
      <c r="D114" s="19">
        <f t="shared" ref="D114:K114" si="12">D52</f>
        <v>0</v>
      </c>
      <c r="E114" s="19">
        <f t="shared" si="12"/>
        <v>0</v>
      </c>
      <c r="F114" s="19">
        <f t="shared" si="12"/>
        <v>0</v>
      </c>
      <c r="G114" s="19">
        <f t="shared" si="12"/>
        <v>0</v>
      </c>
      <c r="H114" s="19">
        <f t="shared" si="12"/>
        <v>0</v>
      </c>
      <c r="I114" s="19">
        <f t="shared" si="12"/>
        <v>0</v>
      </c>
      <c r="J114" s="19">
        <f t="shared" si="12"/>
        <v>0</v>
      </c>
      <c r="K114" s="19">
        <f t="shared" si="12"/>
        <v>0</v>
      </c>
    </row>
    <row r="115" spans="1:16" x14ac:dyDescent="0.25">
      <c r="C115" s="12"/>
      <c r="E115" s="21"/>
      <c r="F115" s="21"/>
      <c r="H115" s="21"/>
      <c r="I115" s="21"/>
      <c r="J115" s="21"/>
      <c r="K115" s="21"/>
    </row>
    <row r="116" spans="1:16" x14ac:dyDescent="0.25">
      <c r="A116" t="s">
        <v>10</v>
      </c>
      <c r="C116" s="66" t="s">
        <v>86</v>
      </c>
      <c r="D116" s="65"/>
      <c r="E116" s="65"/>
      <c r="F116" s="65"/>
      <c r="G116" s="30"/>
      <c r="H116" s="30"/>
      <c r="I116" s="30"/>
      <c r="J116" s="30"/>
      <c r="K116" s="30"/>
    </row>
    <row r="117" spans="1:16" x14ac:dyDescent="0.25">
      <c r="C117" s="49" t="s">
        <v>73</v>
      </c>
      <c r="G117" s="21">
        <f>F121</f>
        <v>0</v>
      </c>
      <c r="H117" s="21" t="e">
        <f ca="1">G121</f>
        <v>#DIV/0!</v>
      </c>
      <c r="I117" s="21" t="e">
        <f ca="1">H121</f>
        <v>#DIV/0!</v>
      </c>
      <c r="J117" s="21" t="e">
        <f ca="1">I121</f>
        <v>#DIV/0!</v>
      </c>
      <c r="K117" s="21" t="e">
        <f ca="1">J121</f>
        <v>#DIV/0!</v>
      </c>
    </row>
    <row r="118" spans="1:16" x14ac:dyDescent="0.25">
      <c r="C118" s="12" t="s">
        <v>87</v>
      </c>
      <c r="D118" s="27">
        <f t="shared" ref="D118:K118" si="13">D29</f>
        <v>-81764</v>
      </c>
      <c r="E118" s="27">
        <f t="shared" si="13"/>
        <v>-12795</v>
      </c>
      <c r="F118" s="27">
        <f t="shared" si="13"/>
        <v>39416</v>
      </c>
      <c r="G118" s="21" t="e">
        <f t="shared" ca="1" si="13"/>
        <v>#DIV/0!</v>
      </c>
      <c r="H118" s="21" t="e">
        <f t="shared" ca="1" si="13"/>
        <v>#DIV/0!</v>
      </c>
      <c r="I118" s="21" t="e">
        <f t="shared" ca="1" si="13"/>
        <v>#DIV/0!</v>
      </c>
      <c r="J118" s="21" t="e">
        <f t="shared" ca="1" si="13"/>
        <v>#DIV/0!</v>
      </c>
      <c r="K118" s="21" t="e">
        <f t="shared" ca="1" si="13"/>
        <v>#DIV/0!</v>
      </c>
    </row>
    <row r="119" spans="1:16" x14ac:dyDescent="0.25">
      <c r="C119" s="12" t="s">
        <v>88</v>
      </c>
      <c r="D119" s="29"/>
      <c r="E119" s="29"/>
      <c r="F119" s="29"/>
      <c r="G119" s="21" t="e">
        <f ca="1">G118*F119/F118</f>
        <v>#DIV/0!</v>
      </c>
      <c r="H119" s="21" t="e">
        <f ca="1">H118*G119/G118</f>
        <v>#DIV/0!</v>
      </c>
      <c r="I119" s="21" t="e">
        <f ca="1">I118*H119/H118</f>
        <v>#DIV/0!</v>
      </c>
      <c r="J119" s="21" t="e">
        <f ca="1">J118*I119/I118</f>
        <v>#DIV/0!</v>
      </c>
      <c r="K119" s="21" t="e">
        <f ca="1">K118*J119/J118</f>
        <v>#DIV/0!</v>
      </c>
    </row>
    <row r="120" spans="1:16" x14ac:dyDescent="0.25">
      <c r="C120" s="46" t="s">
        <v>89</v>
      </c>
      <c r="D120" s="60"/>
      <c r="E120" s="60"/>
      <c r="F120" s="60"/>
      <c r="G120" s="45">
        <f>F120</f>
        <v>0</v>
      </c>
      <c r="H120" s="45">
        <f>G120</f>
        <v>0</v>
      </c>
      <c r="I120" s="45">
        <f>H120</f>
        <v>0</v>
      </c>
      <c r="J120" s="45">
        <f>I120</f>
        <v>0</v>
      </c>
      <c r="K120" s="45">
        <f>J120</f>
        <v>0</v>
      </c>
    </row>
    <row r="121" spans="1:16" x14ac:dyDescent="0.25">
      <c r="C121" s="8" t="s">
        <v>76</v>
      </c>
      <c r="D121" s="39">
        <f>D64</f>
        <v>98330</v>
      </c>
      <c r="E121" s="39">
        <f>E64</f>
        <v>0</v>
      </c>
      <c r="F121" s="39">
        <f>F64</f>
        <v>0</v>
      </c>
      <c r="G121" s="19" t="e">
        <f ca="1">SUM(G117:G120)</f>
        <v>#DIV/0!</v>
      </c>
      <c r="H121" s="19" t="e">
        <f ca="1">SUM(H117:H120)</f>
        <v>#DIV/0!</v>
      </c>
      <c r="I121" s="19" t="e">
        <f ca="1">SUM(I117:I120)</f>
        <v>#DIV/0!</v>
      </c>
      <c r="J121" s="19" t="e">
        <f ca="1">SUM(J117:J120)</f>
        <v>#DIV/0!</v>
      </c>
      <c r="K121" s="19" t="e">
        <f ca="1">SUM(K117:K120)</f>
        <v>#DIV/0!</v>
      </c>
    </row>
    <row r="122" spans="1:16" x14ac:dyDescent="0.25">
      <c r="E122" s="48"/>
      <c r="F122" s="48"/>
    </row>
    <row r="123" spans="1:16" x14ac:dyDescent="0.25">
      <c r="A123" t="s">
        <v>10</v>
      </c>
      <c r="C123" s="17" t="s">
        <v>116</v>
      </c>
      <c r="D123" s="30"/>
      <c r="E123" s="30"/>
      <c r="F123" s="30"/>
      <c r="G123" s="30"/>
      <c r="H123" s="30"/>
      <c r="I123" s="30"/>
      <c r="J123" s="30"/>
      <c r="K123" s="30"/>
      <c r="N123" s="64"/>
      <c r="O123" s="64"/>
    </row>
    <row r="124" spans="1:16" x14ac:dyDescent="0.25">
      <c r="C124" s="32" t="str">
        <f>C14</f>
        <v xml:space="preserve">Fiscal year  </v>
      </c>
      <c r="D124" s="31">
        <f t="shared" ref="D124:K125" si="14">D14</f>
        <v>2023</v>
      </c>
      <c r="E124" s="31">
        <f t="shared" si="14"/>
        <v>2024</v>
      </c>
      <c r="F124" s="31">
        <f t="shared" si="14"/>
        <v>2025</v>
      </c>
      <c r="G124" s="15">
        <f t="shared" si="14"/>
        <v>2026</v>
      </c>
      <c r="H124" s="15">
        <f t="shared" si="14"/>
        <v>2027</v>
      </c>
      <c r="I124" s="15">
        <f t="shared" si="14"/>
        <v>2028</v>
      </c>
      <c r="J124" s="15">
        <f t="shared" si="14"/>
        <v>2029</v>
      </c>
      <c r="K124" s="15">
        <f t="shared" si="14"/>
        <v>2030</v>
      </c>
      <c r="N124" s="64"/>
      <c r="O124" s="64"/>
    </row>
    <row r="125" spans="1:16" x14ac:dyDescent="0.25">
      <c r="C125" s="30" t="str">
        <f>C15</f>
        <v>Fiscal year end date</v>
      </c>
      <c r="D125" s="13">
        <f t="shared" si="14"/>
        <v>45291</v>
      </c>
      <c r="E125" s="13">
        <f t="shared" si="14"/>
        <v>45657</v>
      </c>
      <c r="F125" s="13">
        <f t="shared" si="14"/>
        <v>46022</v>
      </c>
      <c r="G125" s="13">
        <f t="shared" si="14"/>
        <v>46387</v>
      </c>
      <c r="H125" s="13">
        <f t="shared" si="14"/>
        <v>46752</v>
      </c>
      <c r="I125" s="13">
        <f t="shared" si="14"/>
        <v>47118</v>
      </c>
      <c r="J125" s="13">
        <f t="shared" si="14"/>
        <v>47483</v>
      </c>
      <c r="K125" s="13">
        <f t="shared" si="14"/>
        <v>47848</v>
      </c>
      <c r="N125" s="64"/>
      <c r="O125" s="64"/>
    </row>
    <row r="126" spans="1:16" x14ac:dyDescent="0.25">
      <c r="C126" s="20"/>
      <c r="N126" s="64"/>
      <c r="O126" s="64"/>
    </row>
    <row r="127" spans="1:16" x14ac:dyDescent="0.25">
      <c r="C127" s="18" t="s">
        <v>91</v>
      </c>
      <c r="N127" s="64"/>
      <c r="O127" s="64"/>
      <c r="P127" s="64"/>
    </row>
    <row r="128" spans="1:16" x14ac:dyDescent="0.25">
      <c r="C128" s="12" t="s">
        <v>92</v>
      </c>
      <c r="G128" s="21">
        <f>F47</f>
        <v>0</v>
      </c>
      <c r="H128" s="21" t="e">
        <f ca="1">G47</f>
        <v>#DIV/0!</v>
      </c>
      <c r="I128" s="21" t="e">
        <f ca="1">H47</f>
        <v>#DIV/0!</v>
      </c>
      <c r="J128" s="21" t="e">
        <f ca="1">I47</f>
        <v>#DIV/0!</v>
      </c>
      <c r="K128" s="21" t="e">
        <f ca="1">J47</f>
        <v>#DIV/0!</v>
      </c>
      <c r="N128" s="64"/>
      <c r="O128" s="64"/>
    </row>
    <row r="129" spans="1:18" x14ac:dyDescent="0.25">
      <c r="C129" s="12" t="s">
        <v>93</v>
      </c>
      <c r="G129" s="29"/>
      <c r="H129" s="29"/>
      <c r="I129" s="29"/>
      <c r="J129" s="29"/>
      <c r="K129" s="29"/>
      <c r="N129" s="64"/>
      <c r="O129" s="64"/>
    </row>
    <row r="130" spans="1:18" x14ac:dyDescent="0.25">
      <c r="C130" s="46" t="s">
        <v>94</v>
      </c>
      <c r="D130" s="61"/>
      <c r="E130" s="61"/>
      <c r="F130" s="61"/>
      <c r="G130" s="45" t="e">
        <f ca="1">SUM(G81,G84,G86,G88,G89)</f>
        <v>#DIV/0!</v>
      </c>
      <c r="H130" s="45" t="e">
        <f ca="1">SUM(H81,H84,H86,H88,H89)</f>
        <v>#DIV/0!</v>
      </c>
      <c r="I130" s="45" t="e">
        <f ca="1">SUM(I81,I84,I86,I88,I89)</f>
        <v>#DIV/0!</v>
      </c>
      <c r="J130" s="45" t="e">
        <f ca="1">SUM(J81,J84,J86,J88,J89)</f>
        <v>#DIV/0!</v>
      </c>
      <c r="K130" s="45" t="e">
        <f ca="1">SUM(K81,K84,K86,K88,K89)</f>
        <v>#DIV/0!</v>
      </c>
    </row>
    <row r="131" spans="1:18" x14ac:dyDescent="0.25">
      <c r="C131" s="8" t="s">
        <v>95</v>
      </c>
      <c r="G131" s="19" t="e">
        <f ca="1">SUM(G128:G130)</f>
        <v>#DIV/0!</v>
      </c>
      <c r="H131" s="19" t="e">
        <f ca="1">SUM(H128:H130)</f>
        <v>#DIV/0!</v>
      </c>
      <c r="I131" s="19" t="e">
        <f ca="1">SUM(I128:I130)</f>
        <v>#DIV/0!</v>
      </c>
      <c r="J131" s="19" t="e">
        <f ca="1">SUM(J128:J130)</f>
        <v>#DIV/0!</v>
      </c>
      <c r="K131" s="19" t="e">
        <f ca="1">SUM(K128:K130)</f>
        <v>#DIV/0!</v>
      </c>
    </row>
    <row r="133" spans="1:18" x14ac:dyDescent="0.25">
      <c r="C133" s="20" t="s">
        <v>96</v>
      </c>
    </row>
    <row r="134" spans="1:18" x14ac:dyDescent="0.25">
      <c r="C134" s="12" t="s">
        <v>73</v>
      </c>
      <c r="G134" s="21">
        <f>F137</f>
        <v>0</v>
      </c>
      <c r="H134" s="21" t="e">
        <f ca="1">G137</f>
        <v>#DIV/0!</v>
      </c>
      <c r="I134" s="21" t="e">
        <f ca="1">H137</f>
        <v>#DIV/0!</v>
      </c>
      <c r="J134" s="21" t="e">
        <f ca="1">I137</f>
        <v>#DIV/0!</v>
      </c>
      <c r="K134" s="21" t="e">
        <f ca="1">J137</f>
        <v>#DIV/0!</v>
      </c>
    </row>
    <row r="135" spans="1:18" x14ac:dyDescent="0.25">
      <c r="C135" s="63" t="s">
        <v>97</v>
      </c>
      <c r="G135" s="21" t="e">
        <f ca="1">-MIN(G131,G134)</f>
        <v>#DIV/0!</v>
      </c>
      <c r="H135" s="21" t="e">
        <f ca="1">-MIN(H131,H134)</f>
        <v>#DIV/0!</v>
      </c>
      <c r="I135" s="21" t="e">
        <f ca="1">-MIN(I131,I134)</f>
        <v>#DIV/0!</v>
      </c>
      <c r="J135" s="21" t="e">
        <f ca="1">-MIN(J131,J134)</f>
        <v>#DIV/0!</v>
      </c>
      <c r="K135" s="21" t="e">
        <f ca="1">-MIN(K131,K134)</f>
        <v>#DIV/0!</v>
      </c>
    </row>
    <row r="136" spans="1:18" x14ac:dyDescent="0.25">
      <c r="C136" s="62" t="s">
        <v>98</v>
      </c>
      <c r="D136" s="61"/>
      <c r="E136" s="61"/>
      <c r="F136" s="61"/>
      <c r="G136" s="60"/>
      <c r="H136" s="60"/>
      <c r="I136" s="60"/>
      <c r="J136" s="60"/>
      <c r="K136" s="60"/>
    </row>
    <row r="137" spans="1:18" x14ac:dyDescent="0.25">
      <c r="C137" s="12" t="s">
        <v>76</v>
      </c>
      <c r="D137" s="45">
        <f>D58</f>
        <v>0</v>
      </c>
      <c r="E137" s="45">
        <f>E58</f>
        <v>0</v>
      </c>
      <c r="F137" s="45">
        <f>F58</f>
        <v>0</v>
      </c>
      <c r="G137" s="59" t="e">
        <f ca="1">SUM(G134:G136)</f>
        <v>#DIV/0!</v>
      </c>
      <c r="H137" s="59" t="e">
        <f ca="1">SUM(H134:H136)</f>
        <v>#DIV/0!</v>
      </c>
      <c r="I137" s="59" t="e">
        <f ca="1">SUM(I134:I136)</f>
        <v>#DIV/0!</v>
      </c>
      <c r="J137" s="59" t="e">
        <f ca="1">SUM(J134:J136)</f>
        <v>#DIV/0!</v>
      </c>
      <c r="K137" s="59" t="e">
        <f ca="1">SUM(K134:K136)</f>
        <v>#DIV/0!</v>
      </c>
    </row>
    <row r="138" spans="1:18" x14ac:dyDescent="0.25">
      <c r="C138" s="58" t="s">
        <v>99</v>
      </c>
      <c r="D138" s="57"/>
      <c r="E138" s="57"/>
      <c r="F138" s="56"/>
      <c r="G138" s="55" t="e">
        <f ca="1">IF(G137&lt;0,"Negative Debt","OK")</f>
        <v>#DIV/0!</v>
      </c>
      <c r="H138" s="55" t="e">
        <f ca="1">IF(H137&lt;0,"Negative Debt","OK")</f>
        <v>#DIV/0!</v>
      </c>
      <c r="I138" s="55" t="e">
        <f ca="1">IF(I137&lt;0,"Negative Debt","OK")</f>
        <v>#DIV/0!</v>
      </c>
      <c r="J138" s="55" t="e">
        <f ca="1">IF(J137&lt;0,"Negative Debt","OK")</f>
        <v>#DIV/0!</v>
      </c>
      <c r="K138" s="55" t="e">
        <f ca="1">IF(K137&lt;0,"Negative Debt","OK")</f>
        <v>#DIV/0!</v>
      </c>
      <c r="R138" s="48"/>
    </row>
    <row r="139" spans="1:18" x14ac:dyDescent="0.25">
      <c r="D139" s="21"/>
      <c r="E139" s="21"/>
      <c r="F139" s="54"/>
      <c r="G139" s="53"/>
      <c r="H139" s="53"/>
      <c r="I139" s="53"/>
      <c r="J139" s="53"/>
      <c r="K139" s="53"/>
      <c r="R139" s="48"/>
    </row>
    <row r="140" spans="1:18" x14ac:dyDescent="0.25">
      <c r="A140" t="s">
        <v>10</v>
      </c>
      <c r="C140" s="17" t="s">
        <v>100</v>
      </c>
      <c r="D140" s="52"/>
      <c r="E140" s="52"/>
      <c r="F140" s="52"/>
      <c r="G140" s="51"/>
      <c r="H140" s="51"/>
      <c r="I140" s="51"/>
      <c r="J140" s="51"/>
      <c r="K140" s="51"/>
      <c r="Q140" s="40"/>
    </row>
    <row r="141" spans="1:18" x14ac:dyDescent="0.25">
      <c r="C141" s="32" t="str">
        <f>C14</f>
        <v xml:space="preserve">Fiscal year  </v>
      </c>
      <c r="D141" s="31">
        <f t="shared" ref="D141:K142" si="15">D14</f>
        <v>2023</v>
      </c>
      <c r="E141" s="31">
        <f t="shared" si="15"/>
        <v>2024</v>
      </c>
      <c r="F141" s="31">
        <f t="shared" si="15"/>
        <v>2025</v>
      </c>
      <c r="G141" s="15">
        <f t="shared" si="15"/>
        <v>2026</v>
      </c>
      <c r="H141" s="15">
        <f t="shared" si="15"/>
        <v>2027</v>
      </c>
      <c r="I141" s="15">
        <f t="shared" si="15"/>
        <v>2028</v>
      </c>
      <c r="J141" s="15">
        <f t="shared" si="15"/>
        <v>2029</v>
      </c>
      <c r="K141" s="15">
        <f t="shared" si="15"/>
        <v>2030</v>
      </c>
      <c r="Q141" s="40"/>
      <c r="R141" s="48"/>
    </row>
    <row r="142" spans="1:18" x14ac:dyDescent="0.25">
      <c r="C142" s="30" t="str">
        <f>C15</f>
        <v>Fiscal year end date</v>
      </c>
      <c r="D142" s="13">
        <f t="shared" si="15"/>
        <v>45291</v>
      </c>
      <c r="E142" s="13">
        <f t="shared" si="15"/>
        <v>45657</v>
      </c>
      <c r="F142" s="13">
        <f t="shared" si="15"/>
        <v>46022</v>
      </c>
      <c r="G142" s="13">
        <f t="shared" si="15"/>
        <v>46387</v>
      </c>
      <c r="H142" s="13">
        <f t="shared" si="15"/>
        <v>46752</v>
      </c>
      <c r="I142" s="13">
        <f t="shared" si="15"/>
        <v>47118</v>
      </c>
      <c r="J142" s="13">
        <f t="shared" si="15"/>
        <v>47483</v>
      </c>
      <c r="K142" s="13">
        <f t="shared" si="15"/>
        <v>47848</v>
      </c>
      <c r="Q142" s="40"/>
    </row>
    <row r="143" spans="1:18" x14ac:dyDescent="0.25">
      <c r="C143" s="12"/>
      <c r="D143" s="21"/>
      <c r="E143" s="21"/>
      <c r="F143" s="21"/>
      <c r="G143" s="50"/>
      <c r="H143" s="50"/>
      <c r="I143" s="50"/>
      <c r="J143" s="50"/>
      <c r="K143" s="50"/>
      <c r="Q143" s="40"/>
    </row>
    <row r="144" spans="1:18" x14ac:dyDescent="0.25">
      <c r="C144" s="49" t="s">
        <v>101</v>
      </c>
      <c r="D144" s="21">
        <f>-(D25)</f>
        <v>7646</v>
      </c>
      <c r="E144" s="21">
        <f>-(E25)</f>
        <v>14812</v>
      </c>
      <c r="F144" s="21">
        <f>-(F25)</f>
        <v>14076</v>
      </c>
      <c r="G144" s="21" t="e">
        <f ca="1">G149+G154</f>
        <v>#DIV/0!</v>
      </c>
      <c r="H144" s="21" t="e">
        <f ca="1">H149+H154</f>
        <v>#DIV/0!</v>
      </c>
      <c r="I144" s="21" t="e">
        <f ca="1">I149+I154</f>
        <v>#DIV/0!</v>
      </c>
      <c r="J144" s="21" t="e">
        <f ca="1">J149+J154</f>
        <v>#DIV/0!</v>
      </c>
      <c r="K144" s="21" t="e">
        <f ca="1">K149+K154</f>
        <v>#DIV/0!</v>
      </c>
      <c r="Q144" s="48"/>
    </row>
    <row r="145" spans="1:17" x14ac:dyDescent="0.25">
      <c r="C145" s="38"/>
      <c r="Q145" s="48"/>
    </row>
    <row r="146" spans="1:17" x14ac:dyDescent="0.25">
      <c r="C146" s="42" t="s">
        <v>102</v>
      </c>
      <c r="Q146" s="48"/>
    </row>
    <row r="147" spans="1:17" x14ac:dyDescent="0.25">
      <c r="C147" s="12" t="s">
        <v>103</v>
      </c>
      <c r="D147" s="36"/>
      <c r="E147" s="36"/>
      <c r="F147" s="36"/>
      <c r="G147" s="47">
        <f>F147</f>
        <v>0</v>
      </c>
      <c r="H147" s="47">
        <f>G147</f>
        <v>0</v>
      </c>
      <c r="I147" s="47">
        <f>H147</f>
        <v>0</v>
      </c>
      <c r="J147" s="47">
        <f>I147</f>
        <v>0</v>
      </c>
      <c r="K147" s="47">
        <f>J147</f>
        <v>0</v>
      </c>
    </row>
    <row r="148" spans="1:17" x14ac:dyDescent="0.25">
      <c r="C148" s="12" t="s">
        <v>104</v>
      </c>
      <c r="D148" s="45">
        <f t="shared" ref="D148:K148" si="16">D58</f>
        <v>0</v>
      </c>
      <c r="E148" s="45">
        <f t="shared" si="16"/>
        <v>0</v>
      </c>
      <c r="F148" s="45">
        <f t="shared" si="16"/>
        <v>0</v>
      </c>
      <c r="G148" s="21" t="e">
        <f t="shared" ca="1" si="16"/>
        <v>#DIV/0!</v>
      </c>
      <c r="H148" s="21" t="e">
        <f t="shared" ca="1" si="16"/>
        <v>#DIV/0!</v>
      </c>
      <c r="I148" s="21" t="e">
        <f t="shared" ca="1" si="16"/>
        <v>#DIV/0!</v>
      </c>
      <c r="J148" s="21" t="e">
        <f t="shared" ca="1" si="16"/>
        <v>#DIV/0!</v>
      </c>
      <c r="K148" s="21" t="e">
        <f t="shared" ca="1" si="16"/>
        <v>#DIV/0!</v>
      </c>
    </row>
    <row r="149" spans="1:17" x14ac:dyDescent="0.25">
      <c r="C149" s="44" t="s">
        <v>105</v>
      </c>
      <c r="D149" s="19">
        <f>AVERAGE(D148:D148)*D147</f>
        <v>0</v>
      </c>
      <c r="E149" s="19">
        <f>AVERAGE(D148:E148)*E147</f>
        <v>0</v>
      </c>
      <c r="F149" s="19">
        <f>AVERAGE(E148:F148)*F147</f>
        <v>0</v>
      </c>
      <c r="G149" s="43" t="e">
        <f ca="1">IF($D$7=1,AVERAGE(F148,G148)*G147,0)</f>
        <v>#DIV/0!</v>
      </c>
      <c r="H149" s="43" t="e">
        <f ca="1">IF($D$7=1,AVERAGE(G148,H148)*H147,0)</f>
        <v>#DIV/0!</v>
      </c>
      <c r="I149" s="43" t="e">
        <f ca="1">IF($D$7=1,AVERAGE(H148,I148)*I147,0)</f>
        <v>#DIV/0!</v>
      </c>
      <c r="J149" s="43" t="e">
        <f ca="1">IF($D$7=1,AVERAGE(I148,J148)*J147,0)</f>
        <v>#DIV/0!</v>
      </c>
      <c r="K149" s="43" t="e">
        <f ca="1">IF($D$7=1,AVERAGE(J148,K148)*K147,0)</f>
        <v>#DIV/0!</v>
      </c>
    </row>
    <row r="150" spans="1:17" x14ac:dyDescent="0.25">
      <c r="C150" s="3"/>
      <c r="D150" s="21"/>
      <c r="E150" s="21"/>
      <c r="F150" s="21"/>
    </row>
    <row r="151" spans="1:17" x14ac:dyDescent="0.25">
      <c r="C151" s="42" t="s">
        <v>65</v>
      </c>
      <c r="D151" s="21"/>
      <c r="E151" s="21"/>
      <c r="F151" s="21"/>
    </row>
    <row r="152" spans="1:17" x14ac:dyDescent="0.25">
      <c r="C152" s="12" t="s">
        <v>104</v>
      </c>
      <c r="D152" s="21">
        <f t="shared" ref="D152:K152" si="17">D59</f>
        <v>0</v>
      </c>
      <c r="E152" s="21">
        <f t="shared" si="17"/>
        <v>0</v>
      </c>
      <c r="F152" s="21">
        <f t="shared" si="17"/>
        <v>0</v>
      </c>
      <c r="G152" s="21">
        <f t="shared" si="17"/>
        <v>0</v>
      </c>
      <c r="H152" s="21">
        <f t="shared" si="17"/>
        <v>0</v>
      </c>
      <c r="I152" s="21">
        <f t="shared" si="17"/>
        <v>0</v>
      </c>
      <c r="J152" s="21">
        <f t="shared" si="17"/>
        <v>0</v>
      </c>
      <c r="K152" s="21">
        <f t="shared" si="17"/>
        <v>0</v>
      </c>
    </row>
    <row r="153" spans="1:17" x14ac:dyDescent="0.25">
      <c r="C153" s="12" t="s">
        <v>103</v>
      </c>
      <c r="D153" s="33" t="e">
        <f>D154/AVERAGE(D152:D152)</f>
        <v>#DIV/0!</v>
      </c>
      <c r="E153" s="33" t="e">
        <f>E154/AVERAGE(D152:E152)</f>
        <v>#DIV/0!</v>
      </c>
      <c r="F153" s="33" t="e">
        <f>F154/AVERAGE(E152:F152)</f>
        <v>#DIV/0!</v>
      </c>
      <c r="G153" s="41" t="e">
        <f>F153</f>
        <v>#DIV/0!</v>
      </c>
      <c r="H153" s="41" t="e">
        <f>G153</f>
        <v>#DIV/0!</v>
      </c>
      <c r="I153" s="41" t="e">
        <f>H153</f>
        <v>#DIV/0!</v>
      </c>
      <c r="J153" s="41" t="e">
        <f>I153</f>
        <v>#DIV/0!</v>
      </c>
      <c r="K153" s="41" t="e">
        <f>J153</f>
        <v>#DIV/0!</v>
      </c>
      <c r="Q153" s="40"/>
    </row>
    <row r="154" spans="1:17" x14ac:dyDescent="0.25">
      <c r="C154" s="8" t="s">
        <v>106</v>
      </c>
      <c r="D154" s="19">
        <f>D144-D149</f>
        <v>7646</v>
      </c>
      <c r="E154" s="19">
        <f>E144-E149</f>
        <v>14812</v>
      </c>
      <c r="F154" s="19">
        <f>F144-F149</f>
        <v>14076</v>
      </c>
      <c r="G154" s="39" t="e">
        <f>G153*AVERAGE(F152:G152)</f>
        <v>#DIV/0!</v>
      </c>
      <c r="H154" s="39" t="e">
        <f>H153*AVERAGE(G152:H152)</f>
        <v>#DIV/0!</v>
      </c>
      <c r="I154" s="39" t="e">
        <f>I153*AVERAGE(H152:I152)</f>
        <v>#DIV/0!</v>
      </c>
      <c r="J154" s="39" t="e">
        <f>J153*AVERAGE(I152:J152)</f>
        <v>#DIV/0!</v>
      </c>
      <c r="K154" s="39" t="e">
        <f>K153*AVERAGE(J152:K152)</f>
        <v>#DIV/0!</v>
      </c>
    </row>
    <row r="155" spans="1:17" ht="15" customHeight="1" x14ac:dyDescent="0.25">
      <c r="E155" s="21"/>
    </row>
    <row r="156" spans="1:17" ht="15" customHeight="1" x14ac:dyDescent="0.25">
      <c r="C156" s="38" t="s">
        <v>107</v>
      </c>
      <c r="E156" s="21"/>
      <c r="F156" s="21"/>
    </row>
    <row r="157" spans="1:17" x14ac:dyDescent="0.25">
      <c r="C157" s="12" t="s">
        <v>108</v>
      </c>
      <c r="D157" s="36"/>
      <c r="E157" s="36"/>
      <c r="F157" s="36"/>
      <c r="G157" s="35">
        <f>F157</f>
        <v>0</v>
      </c>
      <c r="H157" s="35">
        <f>G157</f>
        <v>0</v>
      </c>
      <c r="I157" s="35">
        <f>H157</f>
        <v>0</v>
      </c>
      <c r="J157" s="35">
        <f>I157</f>
        <v>0</v>
      </c>
      <c r="K157" s="35">
        <f>J157</f>
        <v>0</v>
      </c>
    </row>
    <row r="158" spans="1:17" x14ac:dyDescent="0.25">
      <c r="C158" s="12" t="s">
        <v>21</v>
      </c>
      <c r="D158" s="21">
        <f>D24</f>
        <v>26799</v>
      </c>
      <c r="E158" s="21">
        <f>E24</f>
        <v>46745</v>
      </c>
      <c r="F158" s="21">
        <f>F24</f>
        <v>30168</v>
      </c>
      <c r="G158" s="27" t="e">
        <f ca="1">IF($D$7=1,AVERAGE(F47,G47)*G157,0)</f>
        <v>#DIV/0!</v>
      </c>
      <c r="H158" s="27" t="e">
        <f ca="1">IF($D$7=1,AVERAGE(G47,H47)*H157,0)</f>
        <v>#DIV/0!</v>
      </c>
      <c r="I158" s="27" t="e">
        <f ca="1">IF($D$7=1,AVERAGE(H47,I47)*I157,0)</f>
        <v>#DIV/0!</v>
      </c>
      <c r="J158" s="27" t="e">
        <f ca="1">IF($D$7=1,AVERAGE(I47,J47)*J157,0)</f>
        <v>#DIV/0!</v>
      </c>
      <c r="K158" s="27" t="e">
        <f ca="1">IF($D$7=1,AVERAGE(J47,K47)*K157,0)</f>
        <v>#DIV/0!</v>
      </c>
    </row>
    <row r="159" spans="1:17" x14ac:dyDescent="0.25">
      <c r="C159" s="34"/>
      <c r="D159" s="33"/>
      <c r="E159" s="33"/>
      <c r="F159" s="33"/>
      <c r="G159" s="33"/>
      <c r="H159" s="33"/>
    </row>
    <row r="160" spans="1:17" x14ac:dyDescent="0.25">
      <c r="A160" t="s">
        <v>10</v>
      </c>
      <c r="C160" s="17" t="s">
        <v>117</v>
      </c>
      <c r="D160" s="17"/>
      <c r="E160" s="17"/>
      <c r="F160" s="17"/>
      <c r="G160" s="17"/>
      <c r="H160" s="17"/>
      <c r="I160" s="17"/>
      <c r="J160" s="17"/>
      <c r="K160" s="17"/>
    </row>
    <row r="161" spans="3:11" x14ac:dyDescent="0.25">
      <c r="C161" s="32"/>
      <c r="D161" s="31">
        <f t="shared" ref="D161:K161" si="18">D14</f>
        <v>2023</v>
      </c>
      <c r="E161" s="31">
        <f t="shared" si="18"/>
        <v>2024</v>
      </c>
      <c r="F161" s="15">
        <f t="shared" si="18"/>
        <v>2025</v>
      </c>
      <c r="G161" s="15">
        <f t="shared" si="18"/>
        <v>2026</v>
      </c>
      <c r="H161" s="15">
        <f t="shared" si="18"/>
        <v>2027</v>
      </c>
      <c r="I161" s="15">
        <f t="shared" si="18"/>
        <v>2028</v>
      </c>
      <c r="J161" s="15">
        <f t="shared" si="18"/>
        <v>2029</v>
      </c>
      <c r="K161" s="15">
        <f t="shared" si="18"/>
        <v>2030</v>
      </c>
    </row>
    <row r="162" spans="3:11" x14ac:dyDescent="0.25">
      <c r="C162" s="30"/>
      <c r="D162" s="13">
        <f t="shared" ref="D162:K162" si="19">D15</f>
        <v>45291</v>
      </c>
      <c r="E162" s="13">
        <f t="shared" si="19"/>
        <v>45657</v>
      </c>
      <c r="F162" s="13">
        <f t="shared" si="19"/>
        <v>46022</v>
      </c>
      <c r="G162" s="13">
        <f t="shared" si="19"/>
        <v>46387</v>
      </c>
      <c r="H162" s="13">
        <f t="shared" si="19"/>
        <v>46752</v>
      </c>
      <c r="I162" s="13">
        <f t="shared" si="19"/>
        <v>47118</v>
      </c>
      <c r="J162" s="13">
        <f t="shared" si="19"/>
        <v>47483</v>
      </c>
      <c r="K162" s="13">
        <f t="shared" si="19"/>
        <v>47848</v>
      </c>
    </row>
    <row r="163" spans="3:11" x14ac:dyDescent="0.25">
      <c r="F163" s="4"/>
      <c r="G163" s="4"/>
      <c r="H163" s="4"/>
      <c r="I163" s="1"/>
      <c r="J163" s="1"/>
    </row>
    <row r="164" spans="3:11" x14ac:dyDescent="0.25">
      <c r="C164" t="s">
        <v>26</v>
      </c>
      <c r="D164" s="21">
        <f t="shared" ref="D164:K164" si="20">D29</f>
        <v>-81764</v>
      </c>
      <c r="E164" s="21">
        <f t="shared" si="20"/>
        <v>-12795</v>
      </c>
      <c r="F164" s="21">
        <f t="shared" si="20"/>
        <v>39416</v>
      </c>
      <c r="G164" s="21" t="e">
        <f t="shared" ca="1" si="20"/>
        <v>#DIV/0!</v>
      </c>
      <c r="H164" s="21" t="e">
        <f t="shared" ca="1" si="20"/>
        <v>#DIV/0!</v>
      </c>
      <c r="I164" s="21" t="e">
        <f t="shared" ca="1" si="20"/>
        <v>#DIV/0!</v>
      </c>
      <c r="J164" s="21" t="e">
        <f t="shared" ca="1" si="20"/>
        <v>#DIV/0!</v>
      </c>
      <c r="K164" s="21" t="e">
        <f t="shared" ca="1" si="20"/>
        <v>#DIV/0!</v>
      </c>
    </row>
    <row r="165" spans="3:11" x14ac:dyDescent="0.25">
      <c r="C165" t="s">
        <v>118</v>
      </c>
      <c r="D165" s="29"/>
      <c r="E165" s="29"/>
      <c r="F165" s="29"/>
      <c r="G165" s="21" t="e">
        <f>F165+(-G171+G172)/G173</f>
        <v>#DIV/0!</v>
      </c>
      <c r="H165" s="21" t="e">
        <f ca="1">G165+(-H171+H172)/H173</f>
        <v>#DIV/0!</v>
      </c>
      <c r="I165" s="21" t="e">
        <f ca="1">H165+(-I171+I172)/I173</f>
        <v>#DIV/0!</v>
      </c>
      <c r="J165" s="21" t="e">
        <f ca="1">I165+(-J171+J172)/J173</f>
        <v>#DIV/0!</v>
      </c>
      <c r="K165" s="21" t="e">
        <f ca="1">J165+(-K171+K172)/K173</f>
        <v>#DIV/0!</v>
      </c>
    </row>
    <row r="166" spans="3:11" x14ac:dyDescent="0.25">
      <c r="C166" s="20" t="s">
        <v>119</v>
      </c>
      <c r="D166" s="28" t="e">
        <f t="shared" ref="D166:K166" si="21">D164/D165</f>
        <v>#DIV/0!</v>
      </c>
      <c r="E166" s="28" t="e">
        <f t="shared" si="21"/>
        <v>#DIV/0!</v>
      </c>
      <c r="F166" s="28" t="e">
        <f t="shared" si="21"/>
        <v>#DIV/0!</v>
      </c>
      <c r="G166" s="28" t="e">
        <f t="shared" ca="1" si="21"/>
        <v>#DIV/0!</v>
      </c>
      <c r="H166" s="28" t="e">
        <f t="shared" ca="1" si="21"/>
        <v>#DIV/0!</v>
      </c>
      <c r="I166" s="28" t="e">
        <f t="shared" ca="1" si="21"/>
        <v>#DIV/0!</v>
      </c>
      <c r="J166" s="28" t="e">
        <f t="shared" ca="1" si="21"/>
        <v>#DIV/0!</v>
      </c>
      <c r="K166" s="28" t="e">
        <f t="shared" ca="1" si="21"/>
        <v>#DIV/0!</v>
      </c>
    </row>
    <row r="167" spans="3:11" x14ac:dyDescent="0.25">
      <c r="D167" s="29"/>
      <c r="E167" s="29"/>
      <c r="F167" s="29"/>
      <c r="G167" s="21"/>
    </row>
    <row r="168" spans="3:11" x14ac:dyDescent="0.25">
      <c r="C168" t="s">
        <v>120</v>
      </c>
      <c r="D168" s="29"/>
      <c r="E168" s="29"/>
      <c r="F168" s="29"/>
      <c r="G168" s="21" t="e">
        <f>G165+F168-F165</f>
        <v>#DIV/0!</v>
      </c>
      <c r="H168" s="21" t="e">
        <f ca="1">H165+G168-G165</f>
        <v>#DIV/0!</v>
      </c>
      <c r="I168" s="21" t="e">
        <f ca="1">I165+H168-H165</f>
        <v>#DIV/0!</v>
      </c>
      <c r="J168" s="21" t="e">
        <f ca="1">J165+I168-I165</f>
        <v>#DIV/0!</v>
      </c>
      <c r="K168" s="21" t="e">
        <f ca="1">K165+J168-J165</f>
        <v>#DIV/0!</v>
      </c>
    </row>
    <row r="169" spans="3:11" x14ac:dyDescent="0.25">
      <c r="C169" s="20" t="s">
        <v>121</v>
      </c>
      <c r="D169" s="28" t="e">
        <f t="shared" ref="D169:K169" si="22">D164/D168</f>
        <v>#DIV/0!</v>
      </c>
      <c r="E169" s="28" t="e">
        <f t="shared" si="22"/>
        <v>#DIV/0!</v>
      </c>
      <c r="F169" s="28" t="e">
        <f t="shared" si="22"/>
        <v>#DIV/0!</v>
      </c>
      <c r="G169" s="28" t="e">
        <f t="shared" ca="1" si="22"/>
        <v>#DIV/0!</v>
      </c>
      <c r="H169" s="28" t="e">
        <f t="shared" ca="1" si="22"/>
        <v>#DIV/0!</v>
      </c>
      <c r="I169" s="28" t="e">
        <f t="shared" ca="1" si="22"/>
        <v>#DIV/0!</v>
      </c>
      <c r="J169" s="28" t="e">
        <f t="shared" ca="1" si="22"/>
        <v>#DIV/0!</v>
      </c>
      <c r="K169" s="28" t="e">
        <f t="shared" ca="1" si="22"/>
        <v>#DIV/0!</v>
      </c>
    </row>
    <row r="170" spans="3:11" x14ac:dyDescent="0.25">
      <c r="G170" s="25"/>
    </row>
    <row r="171" spans="3:11" x14ac:dyDescent="0.25">
      <c r="C171" t="s">
        <v>122</v>
      </c>
      <c r="G171" s="21">
        <f>-(G88)</f>
        <v>0</v>
      </c>
      <c r="H171" s="21">
        <f>-(H88)</f>
        <v>0</v>
      </c>
      <c r="I171" s="21">
        <f>-(I88)</f>
        <v>0</v>
      </c>
      <c r="J171" s="21">
        <f>-(J88)</f>
        <v>0</v>
      </c>
      <c r="K171" s="21">
        <f>-(K88)</f>
        <v>0</v>
      </c>
    </row>
    <row r="172" spans="3:11" x14ac:dyDescent="0.25">
      <c r="C172" t="s">
        <v>123</v>
      </c>
      <c r="G172" s="27">
        <f>G33</f>
        <v>6553.4400000000005</v>
      </c>
      <c r="H172" s="27">
        <f>H33</f>
        <v>7143.249600000001</v>
      </c>
      <c r="I172" s="27">
        <f>I33</f>
        <v>7571.8445760000013</v>
      </c>
      <c r="J172" s="27">
        <f>J33</f>
        <v>8026.1552505600021</v>
      </c>
      <c r="K172" s="27">
        <f>K33</f>
        <v>8507.7245655936022</v>
      </c>
    </row>
    <row r="173" spans="3:11" x14ac:dyDescent="0.25">
      <c r="C173" t="s">
        <v>124</v>
      </c>
      <c r="G173" s="26"/>
      <c r="H173" s="25" t="e">
        <f ca="1">G173*(1+H174)</f>
        <v>#DIV/0!</v>
      </c>
      <c r="I173" s="25" t="e">
        <f ca="1">H173*(1+I174)</f>
        <v>#DIV/0!</v>
      </c>
      <c r="J173" s="25" t="e">
        <f ca="1">I173*(1+J174)</f>
        <v>#DIV/0!</v>
      </c>
      <c r="K173" s="25" t="e">
        <f ca="1">J173*(1+K174)</f>
        <v>#DIV/0!</v>
      </c>
    </row>
    <row r="174" spans="3:11" x14ac:dyDescent="0.25">
      <c r="C174" t="s">
        <v>125</v>
      </c>
      <c r="H174" s="24" t="e">
        <f ca="1">H164/G164-1</f>
        <v>#DIV/0!</v>
      </c>
      <c r="I174" s="24" t="e">
        <f ca="1">I164/H164-1</f>
        <v>#DIV/0!</v>
      </c>
      <c r="J174" s="24" t="e">
        <f ca="1">J164/I164-1</f>
        <v>#DIV/0!</v>
      </c>
      <c r="K174" s="24" t="e">
        <f ca="1">K164/J164-1</f>
        <v>#DIV/0!</v>
      </c>
    </row>
    <row r="176" spans="3:11" x14ac:dyDescent="0.25">
      <c r="C176" s="20" t="s">
        <v>126</v>
      </c>
      <c r="D176" s="20"/>
      <c r="E176" s="20"/>
      <c r="F176" s="23" t="s">
        <v>127</v>
      </c>
      <c r="G176" s="22">
        <f>D11</f>
        <v>77194</v>
      </c>
      <c r="H176" s="19" t="e">
        <f>G178</f>
        <v>#DIV/0!</v>
      </c>
      <c r="I176" s="19" t="e">
        <f>H178</f>
        <v>#DIV/0!</v>
      </c>
      <c r="J176" s="19" t="e">
        <f>I178</f>
        <v>#DIV/0!</v>
      </c>
      <c r="K176" s="19" t="e">
        <f>J178</f>
        <v>#DIV/0!</v>
      </c>
    </row>
    <row r="177" spans="1:13" x14ac:dyDescent="0.25">
      <c r="C177" t="s">
        <v>128</v>
      </c>
      <c r="G177" s="21" t="e">
        <f>(-G171+G172)/G173</f>
        <v>#DIV/0!</v>
      </c>
      <c r="H177" s="21" t="e">
        <f ca="1">(-H171+H172)/H173</f>
        <v>#DIV/0!</v>
      </c>
      <c r="I177" s="21" t="e">
        <f ca="1">(-I171+I172)/I173</f>
        <v>#DIV/0!</v>
      </c>
      <c r="J177" s="21" t="e">
        <f ca="1">(-J171+J172)/J173</f>
        <v>#DIV/0!</v>
      </c>
      <c r="K177" s="21" t="e">
        <f ca="1">(-K171+K172)/K173</f>
        <v>#DIV/0!</v>
      </c>
    </row>
    <row r="178" spans="1:13" x14ac:dyDescent="0.25">
      <c r="C178" t="s">
        <v>129</v>
      </c>
      <c r="G178" s="21" t="e">
        <f>SUM(G176:G177)</f>
        <v>#DIV/0!</v>
      </c>
      <c r="H178" s="21" t="e">
        <f>SUM(H176:H177)</f>
        <v>#DIV/0!</v>
      </c>
      <c r="I178" s="21" t="e">
        <f>SUM(I176:I177)</f>
        <v>#DIV/0!</v>
      </c>
      <c r="J178" s="21" t="e">
        <f>SUM(J176:J177)</f>
        <v>#DIV/0!</v>
      </c>
      <c r="K178" s="21" t="e">
        <f>SUM(K176:K177)</f>
        <v>#DIV/0!</v>
      </c>
    </row>
    <row r="179" spans="1:13" x14ac:dyDescent="0.25">
      <c r="C179" s="20" t="s">
        <v>130</v>
      </c>
      <c r="D179" s="20"/>
      <c r="E179" s="20"/>
      <c r="F179" s="20"/>
      <c r="G179" s="19" t="e">
        <f>AVERAGE(G178,G176)</f>
        <v>#DIV/0!</v>
      </c>
      <c r="H179" s="19" t="e">
        <f>AVERAGE(H178,H176)</f>
        <v>#DIV/0!</v>
      </c>
      <c r="I179" s="19" t="e">
        <f>AVERAGE(I178,I176)</f>
        <v>#DIV/0!</v>
      </c>
      <c r="J179" s="19" t="e">
        <f>AVERAGE(J178,J176)</f>
        <v>#DIV/0!</v>
      </c>
      <c r="K179" s="19" t="e">
        <f>AVERAGE(K178,K176)</f>
        <v>#DIV/0!</v>
      </c>
    </row>
    <row r="180" spans="1:13" x14ac:dyDescent="0.25">
      <c r="M180" s="18"/>
    </row>
    <row r="181" spans="1:13" x14ac:dyDescent="0.25">
      <c r="A181" t="s">
        <v>10</v>
      </c>
      <c r="C181" s="17" t="s">
        <v>131</v>
      </c>
      <c r="D181" s="17"/>
      <c r="E181" s="17"/>
      <c r="F181" s="17"/>
      <c r="G181" s="17"/>
      <c r="H181" s="17"/>
      <c r="I181" s="17"/>
      <c r="J181" s="17"/>
      <c r="K181" s="17"/>
    </row>
    <row r="182" spans="1:13" ht="15.75" thickBot="1" x14ac:dyDescent="0.3"/>
    <row r="183" spans="1:13" x14ac:dyDescent="0.25">
      <c r="C183" t="s">
        <v>132</v>
      </c>
      <c r="F183" s="16" t="s">
        <v>133</v>
      </c>
      <c r="G183" s="15">
        <f t="shared" ref="G183:K183" si="23">G14</f>
        <v>2026</v>
      </c>
      <c r="H183" s="15">
        <f t="shared" si="23"/>
        <v>2027</v>
      </c>
      <c r="I183" s="15">
        <f t="shared" si="23"/>
        <v>2028</v>
      </c>
      <c r="J183" s="15">
        <f t="shared" si="23"/>
        <v>2029</v>
      </c>
      <c r="K183" s="15">
        <f t="shared" si="23"/>
        <v>2030</v>
      </c>
    </row>
    <row r="184" spans="1:13" x14ac:dyDescent="0.25">
      <c r="G184" s="14" t="s">
        <v>134</v>
      </c>
      <c r="H184" s="13">
        <f>G15</f>
        <v>46387</v>
      </c>
      <c r="I184" s="13">
        <f>H15</f>
        <v>46752</v>
      </c>
      <c r="J184" s="13">
        <f>I15</f>
        <v>47118</v>
      </c>
      <c r="K184" s="13">
        <f>J15</f>
        <v>47483</v>
      </c>
      <c r="L184" s="13">
        <f>K15</f>
        <v>47848</v>
      </c>
    </row>
    <row r="185" spans="1:13" x14ac:dyDescent="0.25">
      <c r="C185" s="12" t="s">
        <v>32</v>
      </c>
      <c r="G185" s="11">
        <f t="shared" ref="G185:L188" ca="1" si="24">OFFSET(G$190,MATCH($L$5,$C$191:$C$193,0)+MATCH($C185,$C$190:$C$205,0)-1,0)</f>
        <v>-2.5000000000000001E-2</v>
      </c>
      <c r="H185" s="10">
        <f t="shared" ca="1" si="24"/>
        <v>3.4999999999999996E-2</v>
      </c>
      <c r="I185" s="10">
        <f t="shared" ca="1" si="24"/>
        <v>4.4000000000000004E-2</v>
      </c>
      <c r="J185" s="10">
        <f t="shared" ca="1" si="24"/>
        <v>4.4000000000000004E-2</v>
      </c>
      <c r="K185" s="10">
        <f t="shared" ca="1" si="24"/>
        <v>4.4000000000000004E-2</v>
      </c>
      <c r="L185" s="10">
        <f t="shared" ca="1" si="24"/>
        <v>4.4000000000000004E-2</v>
      </c>
    </row>
    <row r="186" spans="1:13" x14ac:dyDescent="0.25">
      <c r="C186" s="12" t="s">
        <v>112</v>
      </c>
      <c r="G186" s="11">
        <f t="shared" ca="1" si="24"/>
        <v>-0.01</v>
      </c>
      <c r="H186" s="10">
        <f t="shared" ca="1" si="24"/>
        <v>0.36799999999999999</v>
      </c>
      <c r="I186" s="10">
        <f t="shared" ca="1" si="24"/>
        <v>0.36799999999999999</v>
      </c>
      <c r="J186" s="10">
        <f t="shared" ca="1" si="24"/>
        <v>0.36799999999999999</v>
      </c>
      <c r="K186" s="10">
        <f t="shared" ca="1" si="24"/>
        <v>0.36799999999999999</v>
      </c>
      <c r="L186" s="10">
        <f t="shared" ca="1" si="24"/>
        <v>0.36799999999999999</v>
      </c>
    </row>
    <row r="187" spans="1:13" x14ac:dyDescent="0.25">
      <c r="C187" s="12" t="s">
        <v>34</v>
      </c>
      <c r="G187" s="11">
        <f t="shared" ca="1" si="24"/>
        <v>0.01</v>
      </c>
      <c r="H187" s="10">
        <f t="shared" ca="1" si="24"/>
        <v>7.1999999999999995E-2</v>
      </c>
      <c r="I187" s="10">
        <f t="shared" ca="1" si="24"/>
        <v>7.1999999999999995E-2</v>
      </c>
      <c r="J187" s="10">
        <f t="shared" ca="1" si="24"/>
        <v>7.1999999999999995E-2</v>
      </c>
      <c r="K187" s="10">
        <f t="shared" ca="1" si="24"/>
        <v>7.1999999999999995E-2</v>
      </c>
      <c r="L187" s="10">
        <f t="shared" ca="1" si="24"/>
        <v>7.1999999999999995E-2</v>
      </c>
    </row>
    <row r="188" spans="1:13" x14ac:dyDescent="0.25">
      <c r="C188" s="12" t="s">
        <v>36</v>
      </c>
      <c r="G188" s="11">
        <f t="shared" ca="1" si="24"/>
        <v>0.01</v>
      </c>
      <c r="H188" s="10">
        <f t="shared" ca="1" si="24"/>
        <v>0.08</v>
      </c>
      <c r="I188" s="10">
        <f t="shared" ca="1" si="24"/>
        <v>0.08</v>
      </c>
      <c r="J188" s="10">
        <f t="shared" ca="1" si="24"/>
        <v>0.08</v>
      </c>
      <c r="K188" s="10">
        <f t="shared" ca="1" si="24"/>
        <v>0.08</v>
      </c>
      <c r="L188" s="10">
        <f t="shared" ca="1" si="24"/>
        <v>0.08</v>
      </c>
    </row>
    <row r="189" spans="1:13" x14ac:dyDescent="0.25">
      <c r="G189" s="9"/>
    </row>
    <row r="190" spans="1:13" x14ac:dyDescent="0.25">
      <c r="C190" s="8" t="s">
        <v>32</v>
      </c>
      <c r="G190" s="9"/>
    </row>
    <row r="191" spans="1:13" x14ac:dyDescent="0.25">
      <c r="C191" s="3" t="s">
        <v>135</v>
      </c>
      <c r="G191" s="6">
        <v>2.5000000000000001E-2</v>
      </c>
      <c r="H191" s="1">
        <f>H192+$G$191</f>
        <v>8.4999999999999992E-2</v>
      </c>
      <c r="I191" s="1">
        <f>I192+$G$191</f>
        <v>9.4E-2</v>
      </c>
      <c r="J191" s="1">
        <f>J192+$G$191</f>
        <v>9.4E-2</v>
      </c>
      <c r="K191" s="1">
        <f>K192+$G$191</f>
        <v>9.4E-2</v>
      </c>
      <c r="L191" s="1">
        <f>L192+$G$191</f>
        <v>9.4E-2</v>
      </c>
    </row>
    <row r="192" spans="1:13" x14ac:dyDescent="0.25">
      <c r="C192" s="3" t="s">
        <v>136</v>
      </c>
      <c r="G192" s="5" t="s">
        <v>137</v>
      </c>
      <c r="H192" s="4">
        <v>0.06</v>
      </c>
      <c r="I192" s="4">
        <v>6.9000000000000006E-2</v>
      </c>
      <c r="J192" s="4">
        <f>I192</f>
        <v>6.9000000000000006E-2</v>
      </c>
      <c r="K192" s="4">
        <f>J192</f>
        <v>6.9000000000000006E-2</v>
      </c>
      <c r="L192" s="4">
        <f>K192</f>
        <v>6.9000000000000006E-2</v>
      </c>
    </row>
    <row r="193" spans="3:12" x14ac:dyDescent="0.25">
      <c r="C193" s="3" t="s">
        <v>110</v>
      </c>
      <c r="G193" s="6">
        <v>-2.5000000000000001E-2</v>
      </c>
      <c r="H193" s="1">
        <f>H192+$G$193</f>
        <v>3.4999999999999996E-2</v>
      </c>
      <c r="I193" s="1">
        <f>I192+$G$193</f>
        <v>4.4000000000000004E-2</v>
      </c>
      <c r="J193" s="1">
        <f>J192+$G$193</f>
        <v>4.4000000000000004E-2</v>
      </c>
      <c r="K193" s="1">
        <f>K192+$G$193</f>
        <v>4.4000000000000004E-2</v>
      </c>
      <c r="L193" s="1">
        <f>L192+$G$193</f>
        <v>4.4000000000000004E-2</v>
      </c>
    </row>
    <row r="194" spans="3:12" x14ac:dyDescent="0.25">
      <c r="C194" s="8" t="s">
        <v>112</v>
      </c>
      <c r="G194" s="5"/>
      <c r="H194" s="4"/>
      <c r="I194" s="4"/>
      <c r="J194" s="4"/>
      <c r="K194" s="4"/>
      <c r="L194" s="4"/>
    </row>
    <row r="195" spans="3:12" x14ac:dyDescent="0.25">
      <c r="C195" s="3" t="s">
        <v>135</v>
      </c>
      <c r="G195" s="6">
        <v>0.01</v>
      </c>
      <c r="H195" s="1">
        <f>H196+$G$195</f>
        <v>0.38800000000000001</v>
      </c>
      <c r="I195" s="1">
        <f>I196+$G$195</f>
        <v>0.38800000000000001</v>
      </c>
      <c r="J195" s="1">
        <f>J196+$G$195</f>
        <v>0.38800000000000001</v>
      </c>
      <c r="K195" s="1">
        <f>K196+$G$195</f>
        <v>0.38800000000000001</v>
      </c>
      <c r="L195" s="1">
        <f>L196+$G$195</f>
        <v>0.38800000000000001</v>
      </c>
    </row>
    <row r="196" spans="3:12" x14ac:dyDescent="0.25">
      <c r="C196" s="3" t="s">
        <v>136</v>
      </c>
      <c r="G196" s="5" t="s">
        <v>137</v>
      </c>
      <c r="H196" s="4">
        <v>0.378</v>
      </c>
      <c r="I196" s="4">
        <v>0.378</v>
      </c>
      <c r="J196" s="4">
        <v>0.378</v>
      </c>
      <c r="K196" s="4">
        <v>0.378</v>
      </c>
      <c r="L196" s="4">
        <v>0.378</v>
      </c>
    </row>
    <row r="197" spans="3:12" x14ac:dyDescent="0.25">
      <c r="C197" s="3" t="s">
        <v>110</v>
      </c>
      <c r="G197" s="6">
        <v>-0.01</v>
      </c>
      <c r="H197" s="1">
        <f>H196+$G$197</f>
        <v>0.36799999999999999</v>
      </c>
      <c r="I197" s="1">
        <f>I196+$G$197</f>
        <v>0.36799999999999999</v>
      </c>
      <c r="J197" s="1">
        <f>J196+$G$197</f>
        <v>0.36799999999999999</v>
      </c>
      <c r="K197" s="1">
        <f>K196+$G$197</f>
        <v>0.36799999999999999</v>
      </c>
      <c r="L197" s="1">
        <f>L196+$G$197</f>
        <v>0.36799999999999999</v>
      </c>
    </row>
    <row r="198" spans="3:12" x14ac:dyDescent="0.25">
      <c r="C198" s="8" t="s">
        <v>34</v>
      </c>
      <c r="G198" s="5"/>
      <c r="H198" s="7"/>
      <c r="I198" s="7"/>
      <c r="J198" s="7"/>
      <c r="K198" s="7"/>
      <c r="L198" s="7"/>
    </row>
    <row r="199" spans="3:12" x14ac:dyDescent="0.25">
      <c r="C199" s="3" t="s">
        <v>135</v>
      </c>
      <c r="G199" s="6">
        <v>-0.01</v>
      </c>
      <c r="H199" s="1">
        <f>H200+$G$199</f>
        <v>5.1999999999999998E-2</v>
      </c>
      <c r="I199" s="1">
        <f>I200+$G$199</f>
        <v>5.1999999999999998E-2</v>
      </c>
      <c r="J199" s="1">
        <f>J200+$G$199</f>
        <v>5.1999999999999998E-2</v>
      </c>
      <c r="K199" s="1">
        <f>K200+$G$199</f>
        <v>5.1999999999999998E-2</v>
      </c>
      <c r="L199" s="1">
        <f>L200+$G$199</f>
        <v>5.1999999999999998E-2</v>
      </c>
    </row>
    <row r="200" spans="3:12" x14ac:dyDescent="0.25">
      <c r="C200" s="3" t="s">
        <v>136</v>
      </c>
      <c r="G200" s="5" t="s">
        <v>137</v>
      </c>
      <c r="H200" s="4">
        <v>6.2E-2</v>
      </c>
      <c r="I200" s="4">
        <v>6.2E-2</v>
      </c>
      <c r="J200" s="4">
        <v>6.2E-2</v>
      </c>
      <c r="K200" s="4">
        <v>6.2E-2</v>
      </c>
      <c r="L200" s="4">
        <v>6.2E-2</v>
      </c>
    </row>
    <row r="201" spans="3:12" x14ac:dyDescent="0.25">
      <c r="C201" s="3" t="s">
        <v>110</v>
      </c>
      <c r="G201" s="6">
        <v>0.01</v>
      </c>
      <c r="H201" s="1">
        <f>H200+$G$201</f>
        <v>7.1999999999999995E-2</v>
      </c>
      <c r="I201" s="1">
        <f>I200+$G$201</f>
        <v>7.1999999999999995E-2</v>
      </c>
      <c r="J201" s="1">
        <f>J200+$G$201</f>
        <v>7.1999999999999995E-2</v>
      </c>
      <c r="K201" s="1">
        <f>K200+$G$201</f>
        <v>7.1999999999999995E-2</v>
      </c>
      <c r="L201" s="1">
        <f>L200+$G$201</f>
        <v>7.1999999999999995E-2</v>
      </c>
    </row>
    <row r="202" spans="3:12" x14ac:dyDescent="0.25">
      <c r="C202" s="8" t="s">
        <v>36</v>
      </c>
      <c r="G202" s="5"/>
      <c r="H202" s="7"/>
      <c r="I202" s="7"/>
      <c r="J202" s="7"/>
      <c r="K202" s="7"/>
      <c r="L202" s="7"/>
    </row>
    <row r="203" spans="3:12" x14ac:dyDescent="0.25">
      <c r="C203" s="3" t="s">
        <v>135</v>
      </c>
      <c r="G203" s="6">
        <v>-0.01</v>
      </c>
      <c r="H203" s="1">
        <f>H204+$G$203</f>
        <v>6.0000000000000005E-2</v>
      </c>
      <c r="I203" s="1">
        <f>I204+$G$203</f>
        <v>6.0000000000000005E-2</v>
      </c>
      <c r="J203" s="1">
        <f>J204+$G$203</f>
        <v>6.0000000000000005E-2</v>
      </c>
      <c r="K203" s="1">
        <f>K204+$G$203</f>
        <v>6.0000000000000005E-2</v>
      </c>
      <c r="L203" s="1">
        <f>L204+$G$203</f>
        <v>6.0000000000000005E-2</v>
      </c>
    </row>
    <row r="204" spans="3:12" x14ac:dyDescent="0.25">
      <c r="C204" s="3" t="s">
        <v>136</v>
      </c>
      <c r="G204" s="5" t="s">
        <v>137</v>
      </c>
      <c r="H204" s="4">
        <v>7.0000000000000007E-2</v>
      </c>
      <c r="I204" s="4">
        <v>7.0000000000000007E-2</v>
      </c>
      <c r="J204" s="4">
        <v>7.0000000000000007E-2</v>
      </c>
      <c r="K204" s="4">
        <v>7.0000000000000007E-2</v>
      </c>
      <c r="L204" s="4">
        <v>7.0000000000000007E-2</v>
      </c>
    </row>
    <row r="205" spans="3:12" ht="15.75" thickBot="1" x14ac:dyDescent="0.3">
      <c r="C205" s="3" t="s">
        <v>110</v>
      </c>
      <c r="G205" s="2">
        <v>0.01</v>
      </c>
      <c r="H205" s="1">
        <f>H204+$G$205</f>
        <v>0.08</v>
      </c>
      <c r="I205" s="1">
        <f>I204+$G$205</f>
        <v>0.08</v>
      </c>
      <c r="J205" s="1">
        <f>J204+$G$205</f>
        <v>0.08</v>
      </c>
      <c r="K205" s="1">
        <f>K204+$G$205</f>
        <v>0.08</v>
      </c>
      <c r="L205" s="1">
        <f>L204+$G$205</f>
        <v>0.08</v>
      </c>
    </row>
  </sheetData>
  <conditionalFormatting sqref="C41">
    <cfRule type="expression" dxfId="4" priority="3">
      <formula>#REF!=$C41</formula>
    </cfRule>
  </conditionalFormatting>
  <conditionalFormatting sqref="C188">
    <cfRule type="expression" dxfId="3" priority="1">
      <formula>#REF!=$C188</formula>
    </cfRule>
  </conditionalFormatting>
  <conditionalFormatting sqref="C202">
    <cfRule type="expression" dxfId="2" priority="2">
      <formula>#REF!=$C202</formula>
    </cfRule>
  </conditionalFormatting>
  <dataValidations count="2">
    <dataValidation type="list" allowBlank="1" showInputMessage="1" showErrorMessage="1" sqref="L5" xr:uid="{23CBF479-53E0-41F3-926F-8D3C8C5B37A0}">
      <formula1>$C$191:$C$193</formula1>
    </dataValidation>
    <dataValidation type="list" allowBlank="1" showInputMessage="1" showErrorMessage="1" sqref="D7" xr:uid="{003E99B1-0363-42AA-8A6B-81FA0C732639}">
      <formula1>"0,1"</formula1>
    </dataValidation>
  </dataValidations>
  <pageMargins left="0.7" right="0.7" top="0.75" bottom="0.75" header="0.3" footer="0.3"/>
  <pageSetup scale="30"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8BFB1-F579-4D5E-BE51-1FCD81395C08}">
  <sheetPr>
    <tabColor theme="0"/>
  </sheetPr>
  <dimension ref="A1:Q132"/>
  <sheetViews>
    <sheetView showGridLines="0" zoomScale="80" zoomScaleNormal="80" workbookViewId="0">
      <selection activeCell="D17" sqref="D17"/>
    </sheetView>
  </sheetViews>
  <sheetFormatPr defaultColWidth="9" defaultRowHeight="15" x14ac:dyDescent="0.25"/>
  <cols>
    <col min="1" max="1" width="1.42578125" customWidth="1"/>
    <col min="2" max="2" width="54.42578125" customWidth="1"/>
    <col min="3" max="3" width="13.42578125" customWidth="1"/>
    <col min="4" max="9" width="12.5703125" customWidth="1"/>
    <col min="10" max="10" width="1.85546875" customWidth="1"/>
    <col min="11" max="11" width="12" bestFit="1" customWidth="1"/>
    <col min="12" max="16" width="9.42578125" customWidth="1"/>
  </cols>
  <sheetData>
    <row r="1" spans="1:10" ht="15.75" thickBot="1" x14ac:dyDescent="0.3"/>
    <row r="2" spans="1:10" ht="21.75" thickBot="1" x14ac:dyDescent="0.4">
      <c r="B2" s="96" t="s">
        <v>138</v>
      </c>
      <c r="C2" s="223"/>
      <c r="D2" s="95"/>
      <c r="E2" s="95"/>
      <c r="F2" s="95"/>
      <c r="G2" s="95"/>
      <c r="H2" s="95"/>
      <c r="I2" s="95"/>
    </row>
    <row r="3" spans="1:10" x14ac:dyDescent="0.25">
      <c r="B3" s="94" t="str">
        <f>MVA!$B$3</f>
        <v xml:space="preserve">$ and shares in thousands, except per share data </v>
      </c>
    </row>
    <row r="4" spans="1:10" x14ac:dyDescent="0.25">
      <c r="B4" t="s">
        <v>139</v>
      </c>
      <c r="D4" s="219">
        <v>46022</v>
      </c>
      <c r="F4" t="s">
        <v>140</v>
      </c>
      <c r="H4" s="222">
        <f>'[1]DCF Complete (post-WACC)'!H4</f>
        <v>7.7820796681201884E-2</v>
      </c>
    </row>
    <row r="5" spans="1:10" x14ac:dyDescent="0.25">
      <c r="B5" t="s">
        <v>141</v>
      </c>
      <c r="D5" s="221">
        <f>EOMONTH(D4,12)</f>
        <v>46387</v>
      </c>
      <c r="F5" t="s">
        <v>142</v>
      </c>
      <c r="H5" s="220">
        <v>22.24</v>
      </c>
      <c r="I5" t="s">
        <v>143</v>
      </c>
    </row>
    <row r="6" spans="1:10" x14ac:dyDescent="0.25">
      <c r="B6" t="s">
        <v>144</v>
      </c>
      <c r="D6" s="219">
        <v>46112</v>
      </c>
      <c r="F6" t="s">
        <v>145</v>
      </c>
      <c r="H6" s="159">
        <v>43888</v>
      </c>
      <c r="J6" s="217"/>
    </row>
    <row r="7" spans="1:10" x14ac:dyDescent="0.25">
      <c r="B7" t="s">
        <v>146</v>
      </c>
      <c r="D7" s="219">
        <v>46144</v>
      </c>
      <c r="F7" t="s">
        <v>147</v>
      </c>
      <c r="H7" s="218">
        <v>0</v>
      </c>
      <c r="I7" s="217"/>
      <c r="J7" s="217"/>
    </row>
    <row r="8" spans="1:10" x14ac:dyDescent="0.25">
      <c r="B8" t="s">
        <v>148</v>
      </c>
      <c r="D8" s="187">
        <f>YEARFRAC(D7,D5)</f>
        <v>0.66388888888888886</v>
      </c>
    </row>
    <row r="9" spans="1:10" x14ac:dyDescent="0.25">
      <c r="D9" s="216"/>
      <c r="F9" t="s">
        <v>149</v>
      </c>
      <c r="H9" s="216" t="str">
        <f>FSM!L5</f>
        <v>Weak case</v>
      </c>
    </row>
    <row r="10" spans="1:10" x14ac:dyDescent="0.25">
      <c r="A10" t="s">
        <v>10</v>
      </c>
      <c r="B10" s="141" t="s">
        <v>150</v>
      </c>
      <c r="C10" s="61"/>
      <c r="D10" s="215"/>
      <c r="F10" s="61"/>
      <c r="G10" s="61"/>
      <c r="H10" s="61"/>
      <c r="I10" s="61"/>
    </row>
    <row r="11" spans="1:10" ht="17.25" customHeight="1" x14ac:dyDescent="0.4">
      <c r="C11" s="132" t="s">
        <v>151</v>
      </c>
      <c r="D11" s="132" t="s">
        <v>152</v>
      </c>
      <c r="E11" s="214" t="s">
        <v>153</v>
      </c>
      <c r="F11" s="132"/>
      <c r="G11" s="132"/>
      <c r="H11" s="132"/>
      <c r="I11" s="132"/>
    </row>
    <row r="12" spans="1:10" x14ac:dyDescent="0.25">
      <c r="B12" s="76" t="s">
        <v>154</v>
      </c>
      <c r="C12" s="213">
        <f>D7</f>
        <v>46144</v>
      </c>
      <c r="D12" s="212">
        <f>D4</f>
        <v>46022</v>
      </c>
      <c r="E12" s="211">
        <f>EOMONTH(D12,12)</f>
        <v>46387</v>
      </c>
      <c r="F12" s="210">
        <f>EOMONTH(E12,12)</f>
        <v>46752</v>
      </c>
      <c r="G12" s="210">
        <f>EOMONTH(F12,12)</f>
        <v>47118</v>
      </c>
      <c r="H12" s="210">
        <f>EOMONTH(G12,12)</f>
        <v>47483</v>
      </c>
      <c r="I12" s="210">
        <f>EOMONTH(H12,12)</f>
        <v>47848</v>
      </c>
    </row>
    <row r="13" spans="1:10" x14ac:dyDescent="0.25">
      <c r="B13" s="76"/>
      <c r="D13" s="209"/>
      <c r="E13" s="208"/>
      <c r="F13" s="208"/>
      <c r="G13" s="208"/>
      <c r="H13" s="208"/>
      <c r="I13" s="208"/>
    </row>
    <row r="14" spans="1:10" x14ac:dyDescent="0.25">
      <c r="B14" t="s">
        <v>14</v>
      </c>
      <c r="C14" s="200"/>
      <c r="D14" s="206">
        <f>FSM!F17</f>
        <v>1149088</v>
      </c>
      <c r="E14" s="205"/>
      <c r="F14" s="205"/>
      <c r="G14" s="205"/>
      <c r="H14" s="205"/>
      <c r="I14" s="205"/>
    </row>
    <row r="15" spans="1:10" x14ac:dyDescent="0.25">
      <c r="B15" s="12" t="s">
        <v>155</v>
      </c>
      <c r="D15" s="207"/>
      <c r="E15" s="203">
        <f>IFERROR(E14/D14-1,"nm")</f>
        <v>-1</v>
      </c>
      <c r="F15" s="203" t="str">
        <f>IFERROR(F14/E14-1,"nm")</f>
        <v>nm</v>
      </c>
      <c r="G15" s="203" t="str">
        <f>IFERROR(G14/F14-1,"nm")</f>
        <v>nm</v>
      </c>
      <c r="H15" s="203" t="str">
        <f>IFERROR(H14/G14-1,"nm")</f>
        <v>nm</v>
      </c>
      <c r="I15" s="203" t="str">
        <f>IFERROR(I14/H14-1,"nm")</f>
        <v>nm</v>
      </c>
    </row>
    <row r="16" spans="1:10" x14ac:dyDescent="0.25">
      <c r="B16" t="s">
        <v>28</v>
      </c>
      <c r="C16" s="200"/>
      <c r="D16" s="206">
        <f>FSM!F34</f>
        <v>47465</v>
      </c>
      <c r="E16" s="205"/>
      <c r="F16" s="205"/>
      <c r="G16" s="205"/>
      <c r="H16" s="205"/>
      <c r="I16" s="205"/>
    </row>
    <row r="17" spans="2:13" x14ac:dyDescent="0.25">
      <c r="B17" s="12" t="s">
        <v>156</v>
      </c>
      <c r="D17" s="204">
        <f t="shared" ref="D17:I17" si="0">IFERROR(D16/D$14,"nm")</f>
        <v>4.130667102954691E-2</v>
      </c>
      <c r="E17" s="203" t="str">
        <f t="shared" si="0"/>
        <v>nm</v>
      </c>
      <c r="F17" s="203" t="str">
        <f t="shared" si="0"/>
        <v>nm</v>
      </c>
      <c r="G17" s="203" t="str">
        <f t="shared" si="0"/>
        <v>nm</v>
      </c>
      <c r="H17" s="203" t="str">
        <f t="shared" si="0"/>
        <v>nm</v>
      </c>
      <c r="I17" s="203" t="str">
        <f t="shared" si="0"/>
        <v>nm</v>
      </c>
    </row>
    <row r="18" spans="2:13" x14ac:dyDescent="0.25">
      <c r="B18" t="s">
        <v>157</v>
      </c>
      <c r="C18" s="200"/>
      <c r="D18" s="206">
        <f>FSM!F23</f>
        <v>28850</v>
      </c>
      <c r="E18" s="205"/>
      <c r="F18" s="205"/>
      <c r="G18" s="205"/>
      <c r="H18" s="205"/>
      <c r="I18" s="205"/>
    </row>
    <row r="19" spans="2:13" x14ac:dyDescent="0.25">
      <c r="B19" s="12" t="s">
        <v>156</v>
      </c>
      <c r="D19" s="204">
        <f t="shared" ref="D19:I19" si="1">IFERROR(D18/D$14,"nm")</f>
        <v>2.5106867359157872E-2</v>
      </c>
      <c r="E19" s="203" t="str">
        <f t="shared" si="1"/>
        <v>nm</v>
      </c>
      <c r="F19" s="203" t="str">
        <f t="shared" si="1"/>
        <v>nm</v>
      </c>
      <c r="G19" s="203" t="str">
        <f t="shared" si="1"/>
        <v>nm</v>
      </c>
      <c r="H19" s="203" t="str">
        <f t="shared" si="1"/>
        <v>nm</v>
      </c>
      <c r="I19" s="203" t="str">
        <f t="shared" si="1"/>
        <v>nm</v>
      </c>
    </row>
    <row r="20" spans="2:13" x14ac:dyDescent="0.25">
      <c r="B20" s="12"/>
      <c r="D20" s="202"/>
      <c r="E20" s="183"/>
      <c r="F20" s="183"/>
      <c r="G20" s="183"/>
      <c r="H20" s="183"/>
      <c r="I20" s="183"/>
    </row>
    <row r="21" spans="2:13" x14ac:dyDescent="0.25">
      <c r="B21" t="s">
        <v>158</v>
      </c>
      <c r="D21" s="201"/>
      <c r="E21" s="200"/>
      <c r="F21" s="200"/>
      <c r="G21" s="200"/>
      <c r="H21" s="200"/>
      <c r="I21" s="200"/>
    </row>
    <row r="22" spans="2:13" ht="15" customHeight="1" x14ac:dyDescent="0.25">
      <c r="B22" s="12" t="s">
        <v>37</v>
      </c>
      <c r="D22" s="199"/>
      <c r="E22" s="199"/>
      <c r="F22" s="198"/>
      <c r="G22" s="198"/>
      <c r="H22" s="198"/>
      <c r="I22" s="198"/>
    </row>
    <row r="23" spans="2:13" x14ac:dyDescent="0.25">
      <c r="B23" s="20" t="s">
        <v>159</v>
      </c>
      <c r="C23" s="20"/>
      <c r="D23" s="197"/>
      <c r="E23" s="196"/>
      <c r="F23" s="196"/>
      <c r="G23" s="196"/>
      <c r="H23" s="196"/>
      <c r="I23" s="196"/>
    </row>
    <row r="24" spans="2:13" x14ac:dyDescent="0.25">
      <c r="D24" s="144"/>
      <c r="E24" s="144"/>
      <c r="F24" s="144"/>
      <c r="G24" s="144"/>
      <c r="H24" s="144"/>
      <c r="I24" s="144"/>
    </row>
    <row r="25" spans="2:13" x14ac:dyDescent="0.25">
      <c r="B25" t="s">
        <v>27</v>
      </c>
      <c r="D25" s="190"/>
      <c r="E25" s="190"/>
      <c r="F25" s="190"/>
      <c r="G25" s="190"/>
      <c r="H25" s="190"/>
      <c r="I25" s="190"/>
      <c r="M25" s="176"/>
    </row>
    <row r="26" spans="2:13" x14ac:dyDescent="0.25">
      <c r="B26" t="s">
        <v>160</v>
      </c>
      <c r="D26" s="195"/>
      <c r="E26" s="194"/>
      <c r="F26" s="194"/>
      <c r="G26" s="194"/>
      <c r="H26" s="194"/>
      <c r="I26" s="194"/>
      <c r="M26" s="176"/>
    </row>
    <row r="27" spans="2:13" x14ac:dyDescent="0.25">
      <c r="B27" t="s">
        <v>63</v>
      </c>
      <c r="D27" s="191"/>
      <c r="E27" s="190"/>
      <c r="F27" s="190"/>
      <c r="G27" s="190"/>
      <c r="H27" s="190"/>
      <c r="I27" s="190"/>
      <c r="M27" s="176"/>
    </row>
    <row r="28" spans="2:13" x14ac:dyDescent="0.25">
      <c r="B28" s="12" t="s">
        <v>81</v>
      </c>
      <c r="D28" s="191"/>
      <c r="E28" s="188"/>
      <c r="F28" s="188"/>
      <c r="G28" s="188"/>
      <c r="H28" s="188"/>
      <c r="I28" s="188"/>
      <c r="M28" s="176"/>
    </row>
    <row r="29" spans="2:13" x14ac:dyDescent="0.25">
      <c r="D29" s="191"/>
      <c r="E29" s="191"/>
      <c r="F29" s="191"/>
      <c r="G29" s="191"/>
      <c r="H29" s="191"/>
      <c r="I29" s="191"/>
      <c r="M29" s="176"/>
    </row>
    <row r="30" spans="2:13" x14ac:dyDescent="0.25">
      <c r="B30" s="20" t="s">
        <v>161</v>
      </c>
      <c r="C30" s="20"/>
      <c r="D30" s="193"/>
      <c r="E30" s="192"/>
      <c r="F30" s="192"/>
      <c r="G30" s="192"/>
      <c r="H30" s="192"/>
      <c r="I30" s="192"/>
      <c r="M30" s="179"/>
    </row>
    <row r="31" spans="2:13" x14ac:dyDescent="0.25">
      <c r="D31" s="191"/>
      <c r="E31" s="23"/>
      <c r="F31" s="23"/>
      <c r="G31" s="23"/>
      <c r="H31" s="23"/>
      <c r="I31" s="23"/>
      <c r="M31" s="176"/>
    </row>
    <row r="32" spans="2:13" x14ac:dyDescent="0.25">
      <c r="B32" t="s">
        <v>162</v>
      </c>
      <c r="D32" s="190"/>
      <c r="E32" s="190"/>
      <c r="F32" s="190"/>
      <c r="G32" s="190"/>
      <c r="H32" s="190"/>
      <c r="I32" s="190"/>
    </row>
    <row r="33" spans="1:13" ht="15" customHeight="1" x14ac:dyDescent="0.25">
      <c r="B33" s="12" t="s">
        <v>81</v>
      </c>
      <c r="D33" s="189"/>
      <c r="E33" s="188"/>
      <c r="F33" s="188"/>
      <c r="G33" s="188"/>
      <c r="H33" s="188"/>
      <c r="I33" s="188"/>
      <c r="J33" s="183"/>
    </row>
    <row r="34" spans="1:13" x14ac:dyDescent="0.25">
      <c r="D34" s="183"/>
      <c r="E34" s="187"/>
      <c r="F34" s="187"/>
      <c r="G34" s="187"/>
      <c r="H34" s="187"/>
      <c r="I34" s="187"/>
      <c r="J34" s="183"/>
      <c r="K34" s="27"/>
      <c r="M34" s="187"/>
    </row>
    <row r="35" spans="1:13" x14ac:dyDescent="0.25">
      <c r="A35" t="s">
        <v>10</v>
      </c>
      <c r="B35" s="141" t="str">
        <f>"Present value of UFCF on "&amp;TEXT(D7,"mmm dd, yyyy")&amp;" valuation date"</f>
        <v>Present value of UFCF on May 02, 2026 valuation date</v>
      </c>
      <c r="C35" s="61"/>
      <c r="D35" s="186"/>
      <c r="E35" s="61"/>
      <c r="F35" s="186"/>
      <c r="G35" s="186"/>
      <c r="H35" s="186"/>
      <c r="I35" s="186"/>
      <c r="J35" s="183"/>
    </row>
    <row r="36" spans="1:13" ht="17.25" x14ac:dyDescent="0.4">
      <c r="B36" s="20"/>
      <c r="D36" s="185" t="s">
        <v>163</v>
      </c>
      <c r="E36" s="185" t="s">
        <v>164</v>
      </c>
      <c r="F36" s="184" t="s">
        <v>165</v>
      </c>
      <c r="G36" s="184" t="s">
        <v>166</v>
      </c>
      <c r="H36" s="184" t="s">
        <v>167</v>
      </c>
      <c r="I36" s="184" t="s">
        <v>168</v>
      </c>
      <c r="J36" s="183"/>
    </row>
    <row r="37" spans="1:13" x14ac:dyDescent="0.25">
      <c r="B37" t="s">
        <v>169</v>
      </c>
      <c r="D37" s="165">
        <f>D7</f>
        <v>46144</v>
      </c>
      <c r="E37" s="165">
        <f>IF($H$7=1,AVERAGE(E12,D37),E12)</f>
        <v>46387</v>
      </c>
      <c r="F37" s="165">
        <f>IF($H$7=1,AVERAGE(F12,E12),F12)</f>
        <v>46752</v>
      </c>
      <c r="G37" s="165">
        <f>IF($H$7=1,AVERAGE(G12,F12),G12)</f>
        <v>47118</v>
      </c>
      <c r="H37" s="165">
        <f>IF($H$7=1,AVERAGE(H12,G12),H12)</f>
        <v>47483</v>
      </c>
      <c r="I37" s="165">
        <f>IF($H$7=1,AVERAGE(I12,H12),I12)</f>
        <v>47848</v>
      </c>
      <c r="J37" s="183"/>
    </row>
    <row r="38" spans="1:13" x14ac:dyDescent="0.25">
      <c r="B38" t="s">
        <v>170</v>
      </c>
      <c r="C38" s="182">
        <f>D8</f>
        <v>0.66388888888888886</v>
      </c>
      <c r="D38" s="176"/>
      <c r="E38" s="181">
        <f>E30*C38</f>
        <v>0</v>
      </c>
      <c r="F38" s="181">
        <f>F30</f>
        <v>0</v>
      </c>
      <c r="G38" s="181">
        <f>G30</f>
        <v>0</v>
      </c>
      <c r="H38" s="181">
        <f>H30</f>
        <v>0</v>
      </c>
      <c r="I38" s="181">
        <f>I30</f>
        <v>0</v>
      </c>
      <c r="J38" s="144"/>
      <c r="K38" t="s">
        <v>171</v>
      </c>
    </row>
    <row r="39" spans="1:13" ht="15" customHeight="1" x14ac:dyDescent="0.25">
      <c r="B39" s="20" t="s">
        <v>172</v>
      </c>
      <c r="C39" s="180"/>
      <c r="D39" s="179"/>
      <c r="E39" s="179">
        <f>E38/(1+$H$4)^((E37-$D$7)/365)</f>
        <v>0</v>
      </c>
      <c r="F39" s="179">
        <f>F38/(1+$H$4)^((F37-$D$7)/365)</f>
        <v>0</v>
      </c>
      <c r="G39" s="179">
        <f>G38/(1+$H$4)^((G37-$D$7)/365)</f>
        <v>0</v>
      </c>
      <c r="H39" s="179">
        <f>H38/(1+$H$4)^((H37-$D$7)/365)</f>
        <v>0</v>
      </c>
      <c r="I39" s="179">
        <f>I38/(1+$H$4)^((I37-$D$7)/365)</f>
        <v>0</v>
      </c>
      <c r="J39" s="144"/>
    </row>
    <row r="41" spans="1:13" x14ac:dyDescent="0.25">
      <c r="A41" t="s">
        <v>10</v>
      </c>
      <c r="B41" s="141" t="s">
        <v>173</v>
      </c>
      <c r="C41" s="141"/>
      <c r="E41" s="141" t="s">
        <v>174</v>
      </c>
      <c r="F41" s="61"/>
      <c r="G41" s="61"/>
      <c r="H41" s="61"/>
      <c r="I41" s="61"/>
    </row>
    <row r="42" spans="1:13" x14ac:dyDescent="0.25">
      <c r="B42" t="s">
        <v>175</v>
      </c>
      <c r="C42" s="72">
        <v>0.03</v>
      </c>
      <c r="E42" t="s">
        <v>176</v>
      </c>
      <c r="I42" s="176">
        <f>I16</f>
        <v>0</v>
      </c>
      <c r="J42" s="176"/>
    </row>
    <row r="43" spans="1:13" x14ac:dyDescent="0.25">
      <c r="B43" s="178" t="str">
        <f>YEAR(I12)&amp;" FCF x (1+g)"</f>
        <v>2030 FCF x (1+g)</v>
      </c>
      <c r="C43" s="176">
        <f>I38*(1+C42)</f>
        <v>0</v>
      </c>
      <c r="E43" t="s">
        <v>177</v>
      </c>
      <c r="I43" s="177">
        <v>12.5154387291762</v>
      </c>
      <c r="J43" s="177"/>
    </row>
    <row r="44" spans="1:13" x14ac:dyDescent="0.25">
      <c r="B44" t="str">
        <f>"Terminal value in "&amp;YEAR(I12)</f>
        <v>Terminal value in 2030</v>
      </c>
      <c r="C44" s="176">
        <f>C43/(H4-C42)</f>
        <v>0</v>
      </c>
      <c r="E44" t="str">
        <f>"Terminal value in "&amp;YEAR(I12)</f>
        <v>Terminal value in 2030</v>
      </c>
      <c r="I44" s="176">
        <f>I42*I43</f>
        <v>0</v>
      </c>
      <c r="J44" s="176"/>
    </row>
    <row r="45" spans="1:13" x14ac:dyDescent="0.25">
      <c r="B45" t="s">
        <v>178</v>
      </c>
      <c r="C45" s="176">
        <f>C44/(1+H4)^((I37-$D$37)/365)</f>
        <v>0</v>
      </c>
      <c r="E45" t="s">
        <v>178</v>
      </c>
      <c r="I45" s="176">
        <f>I44/(1+H4)^((I37-D37)/365)</f>
        <v>0</v>
      </c>
      <c r="J45" s="176"/>
    </row>
    <row r="46" spans="1:13" x14ac:dyDescent="0.25">
      <c r="B46" t="s">
        <v>179</v>
      </c>
      <c r="C46" s="144">
        <f>SUM(E39:I39)</f>
        <v>0</v>
      </c>
      <c r="E46" t="s">
        <v>179</v>
      </c>
      <c r="I46" s="176">
        <f>C46</f>
        <v>0</v>
      </c>
      <c r="J46" s="176"/>
    </row>
    <row r="47" spans="1:13" x14ac:dyDescent="0.25">
      <c r="B47" s="20" t="s">
        <v>180</v>
      </c>
      <c r="C47" s="175">
        <f>C46+C45</f>
        <v>0</v>
      </c>
      <c r="E47" s="20" t="s">
        <v>181</v>
      </c>
      <c r="I47" s="175">
        <f>SUM(I45:I46)</f>
        <v>0</v>
      </c>
      <c r="J47" s="175"/>
    </row>
    <row r="49" spans="1:10" x14ac:dyDescent="0.25">
      <c r="B49" s="168" t="s">
        <v>182</v>
      </c>
      <c r="C49" s="173" t="str">
        <f>IFERROR(C45/$C$47,"nm")</f>
        <v>nm</v>
      </c>
      <c r="E49" s="168" t="s">
        <v>182</v>
      </c>
      <c r="I49" s="173" t="str">
        <f>+IFERROR(I45/I47,"nm")</f>
        <v>nm</v>
      </c>
      <c r="J49" s="174"/>
    </row>
    <row r="50" spans="1:10" x14ac:dyDescent="0.25">
      <c r="B50" s="168" t="s">
        <v>183</v>
      </c>
      <c r="C50" s="173" t="str">
        <f>IFERROR(1-C49,"nm")</f>
        <v>nm</v>
      </c>
      <c r="E50" s="168" t="s">
        <v>184</v>
      </c>
      <c r="G50" s="172"/>
      <c r="I50" s="171" t="str">
        <f>IFERROR(1-I49,"nm")</f>
        <v>nm</v>
      </c>
      <c r="J50" s="33"/>
    </row>
    <row r="51" spans="1:10" x14ac:dyDescent="0.25">
      <c r="B51" s="168" t="s">
        <v>185</v>
      </c>
      <c r="C51" s="170" t="str">
        <f>IFERROR((C44/I16),"nm")</f>
        <v>nm</v>
      </c>
      <c r="E51" t="s">
        <v>186</v>
      </c>
      <c r="I51" s="169" t="str">
        <f>IFERROR((H4-I38/I44)/(1+I38/I44),"nm")</f>
        <v>nm</v>
      </c>
      <c r="J51" s="166"/>
    </row>
    <row r="52" spans="1:10" x14ac:dyDescent="0.25">
      <c r="B52" s="168"/>
      <c r="C52" s="76"/>
      <c r="D52" s="167"/>
      <c r="I52" s="166"/>
      <c r="J52" s="166"/>
    </row>
    <row r="53" spans="1:10" x14ac:dyDescent="0.25">
      <c r="A53" t="s">
        <v>10</v>
      </c>
      <c r="B53" s="141" t="s">
        <v>187</v>
      </c>
      <c r="C53" s="61"/>
      <c r="E53" s="141" t="s">
        <v>188</v>
      </c>
      <c r="F53" s="61"/>
      <c r="G53" s="141"/>
      <c r="H53" s="61"/>
      <c r="I53" s="61"/>
    </row>
    <row r="54" spans="1:10" x14ac:dyDescent="0.25">
      <c r="B54" t="s">
        <v>189</v>
      </c>
      <c r="C54" s="159" t="s">
        <v>190</v>
      </c>
    </row>
    <row r="55" spans="1:10" x14ac:dyDescent="0.25">
      <c r="B55" s="49" t="s">
        <v>191</v>
      </c>
      <c r="C55" s="165">
        <f>D6</f>
        <v>46112</v>
      </c>
      <c r="G55" s="18" t="s">
        <v>189</v>
      </c>
      <c r="H55" s="145" t="s">
        <v>192</v>
      </c>
      <c r="I55" s="145" t="s">
        <v>193</v>
      </c>
    </row>
    <row r="56" spans="1:10" x14ac:dyDescent="0.25">
      <c r="B56" s="157" t="s">
        <v>194</v>
      </c>
      <c r="C56" s="164"/>
      <c r="E56" t="s">
        <v>195</v>
      </c>
      <c r="G56" s="159" t="s">
        <v>190</v>
      </c>
      <c r="H56" s="159">
        <v>43847</v>
      </c>
      <c r="I56" s="163">
        <v>4375.4799999999996</v>
      </c>
      <c r="J56" s="163"/>
    </row>
    <row r="57" spans="1:10" x14ac:dyDescent="0.25">
      <c r="B57" s="12" t="s">
        <v>196</v>
      </c>
      <c r="C57" s="29">
        <f>4990+10224+93078</f>
        <v>108292</v>
      </c>
      <c r="E57" s="49" t="s">
        <v>197</v>
      </c>
      <c r="G57" s="159" t="s">
        <v>190</v>
      </c>
      <c r="H57" s="159">
        <v>43827</v>
      </c>
      <c r="I57" s="163">
        <v>96.02</v>
      </c>
      <c r="J57" s="162"/>
    </row>
    <row r="58" spans="1:10" x14ac:dyDescent="0.25">
      <c r="B58" s="12" t="s">
        <v>198</v>
      </c>
      <c r="C58" s="160">
        <f>'[1]DCF Complete (post-WACC)'!C60</f>
        <v>0</v>
      </c>
      <c r="E58" s="49" t="s">
        <v>199</v>
      </c>
      <c r="G58" s="159"/>
      <c r="H58" s="159"/>
      <c r="I58" s="158">
        <f>[1]Outputs!I60</f>
        <v>0</v>
      </c>
    </row>
    <row r="59" spans="1:10" ht="15" customHeight="1" x14ac:dyDescent="0.25">
      <c r="B59" s="12" t="s">
        <v>200</v>
      </c>
      <c r="C59" s="160">
        <f>'[1]DCF Complete (post-WACC)'!C61</f>
        <v>0</v>
      </c>
      <c r="E59" t="s">
        <v>198</v>
      </c>
      <c r="G59" s="159"/>
      <c r="H59" s="159"/>
      <c r="I59" s="158">
        <f>[1]Outputs!I61</f>
        <v>0</v>
      </c>
    </row>
    <row r="60" spans="1:10" x14ac:dyDescent="0.25">
      <c r="B60" s="161" t="s">
        <v>201</v>
      </c>
      <c r="C60" s="160">
        <f>'[1]DCF Complete (post-WACC)'!C62</f>
        <v>0</v>
      </c>
      <c r="E60" t="s">
        <v>202</v>
      </c>
      <c r="G60" s="159"/>
      <c r="H60" s="159"/>
      <c r="I60" s="158">
        <f>[1]Outputs!I62</f>
        <v>0</v>
      </c>
    </row>
    <row r="61" spans="1:10" ht="15" customHeight="1" x14ac:dyDescent="0.25">
      <c r="B61" s="157" t="s">
        <v>203</v>
      </c>
      <c r="E61" s="69" t="s">
        <v>204</v>
      </c>
      <c r="I61" s="156">
        <f>SUM(I56:I60)</f>
        <v>4471.5</v>
      </c>
      <c r="J61" s="155"/>
    </row>
    <row r="62" spans="1:10" x14ac:dyDescent="0.25">
      <c r="B62" s="154" t="s">
        <v>205</v>
      </c>
      <c r="C62" s="29">
        <f>39771+67391+99899</f>
        <v>207061</v>
      </c>
      <c r="J62" s="153"/>
    </row>
    <row r="63" spans="1:10" x14ac:dyDescent="0.25">
      <c r="B63" s="154" t="s">
        <v>206</v>
      </c>
      <c r="C63" s="29">
        <v>0</v>
      </c>
      <c r="J63" s="153"/>
    </row>
    <row r="64" spans="1:10" x14ac:dyDescent="0.25">
      <c r="J64" s="152"/>
    </row>
    <row r="65" spans="1:6" x14ac:dyDescent="0.25">
      <c r="B65" s="151" t="s">
        <v>187</v>
      </c>
      <c r="C65" s="19">
        <f>SUM(C57:C60)-SUM(C62:C63)</f>
        <v>-98769</v>
      </c>
    </row>
    <row r="67" spans="1:6" x14ac:dyDescent="0.25">
      <c r="A67" t="s">
        <v>10</v>
      </c>
      <c r="B67" s="141" t="s">
        <v>207</v>
      </c>
      <c r="C67" s="61"/>
      <c r="D67" s="61"/>
    </row>
    <row r="68" spans="1:6" ht="17.25" x14ac:dyDescent="0.4">
      <c r="C68" s="150" t="s">
        <v>208</v>
      </c>
      <c r="D68" s="150" t="s">
        <v>28</v>
      </c>
    </row>
    <row r="69" spans="1:6" x14ac:dyDescent="0.25">
      <c r="B69" t="s">
        <v>209</v>
      </c>
      <c r="C69" s="149">
        <f>C47</f>
        <v>0</v>
      </c>
      <c r="D69" s="149">
        <f>I47</f>
        <v>0</v>
      </c>
    </row>
    <row r="70" spans="1:6" x14ac:dyDescent="0.25">
      <c r="B70" t="s">
        <v>187</v>
      </c>
      <c r="C70" s="148">
        <f>$C$65</f>
        <v>-98769</v>
      </c>
      <c r="D70" s="148">
        <f>C70</f>
        <v>-98769</v>
      </c>
    </row>
    <row r="71" spans="1:6" x14ac:dyDescent="0.25">
      <c r="B71" t="s">
        <v>210</v>
      </c>
      <c r="C71" s="147">
        <f>C69-C70</f>
        <v>98769</v>
      </c>
      <c r="D71" s="147">
        <f>D69-D70</f>
        <v>98769</v>
      </c>
    </row>
    <row r="72" spans="1:6" x14ac:dyDescent="0.25">
      <c r="B72" t="s">
        <v>188</v>
      </c>
      <c r="C72" s="147">
        <f>$I$61</f>
        <v>4471.5</v>
      </c>
      <c r="D72" s="147">
        <f>C72</f>
        <v>4471.5</v>
      </c>
    </row>
    <row r="73" spans="1:6" x14ac:dyDescent="0.25">
      <c r="B73" s="20" t="s">
        <v>211</v>
      </c>
      <c r="C73" s="146">
        <f>C71/C72</f>
        <v>22.088560885608857</v>
      </c>
      <c r="D73" s="146">
        <f>D71/D72</f>
        <v>22.088560885608857</v>
      </c>
    </row>
    <row r="75" spans="1:6" ht="17.25" x14ac:dyDescent="0.4">
      <c r="C75" s="132" t="s">
        <v>212</v>
      </c>
      <c r="D75" s="132"/>
    </row>
    <row r="76" spans="1:6" x14ac:dyDescent="0.25">
      <c r="B76" s="18"/>
      <c r="C76" s="145" t="s">
        <v>208</v>
      </c>
      <c r="D76" s="145" t="s">
        <v>28</v>
      </c>
    </row>
    <row r="77" spans="1:6" x14ac:dyDescent="0.25">
      <c r="B77" t="s">
        <v>213</v>
      </c>
      <c r="C77" s="143"/>
      <c r="D77" s="143"/>
    </row>
    <row r="78" spans="1:6" x14ac:dyDescent="0.25">
      <c r="B78" t="s">
        <v>214</v>
      </c>
      <c r="C78" s="143"/>
      <c r="D78" s="143"/>
    </row>
    <row r="79" spans="1:6" x14ac:dyDescent="0.25">
      <c r="B79" s="144" t="s">
        <v>215</v>
      </c>
      <c r="C79" s="143"/>
      <c r="D79" s="143"/>
    </row>
    <row r="80" spans="1:6" ht="17.25" x14ac:dyDescent="0.4">
      <c r="B80" s="144"/>
      <c r="C80" s="132" t="s">
        <v>216</v>
      </c>
      <c r="D80" s="132"/>
      <c r="E80" s="142"/>
      <c r="F80" s="142"/>
    </row>
    <row r="81" spans="1:17" x14ac:dyDescent="0.25">
      <c r="B81" s="18"/>
      <c r="C81" s="145" t="s">
        <v>208</v>
      </c>
      <c r="D81" s="145" t="s">
        <v>28</v>
      </c>
      <c r="E81" s="142"/>
      <c r="F81" s="142"/>
    </row>
    <row r="82" spans="1:17" x14ac:dyDescent="0.25">
      <c r="B82" t="s">
        <v>213</v>
      </c>
      <c r="C82" s="143"/>
      <c r="D82" s="143"/>
      <c r="E82" s="142"/>
      <c r="F82" s="142"/>
    </row>
    <row r="83" spans="1:17" x14ac:dyDescent="0.25">
      <c r="B83" t="s">
        <v>214</v>
      </c>
      <c r="C83" s="143"/>
      <c r="D83" s="143"/>
      <c r="E83" s="142"/>
      <c r="F83" s="142"/>
    </row>
    <row r="84" spans="1:17" x14ac:dyDescent="0.25">
      <c r="B84" s="144" t="s">
        <v>215</v>
      </c>
      <c r="C84" s="143"/>
      <c r="D84" s="143"/>
      <c r="E84" s="142"/>
      <c r="F84" s="142"/>
    </row>
    <row r="86" spans="1:17" x14ac:dyDescent="0.25">
      <c r="A86" t="s">
        <v>10</v>
      </c>
      <c r="B86" s="141" t="s">
        <v>217</v>
      </c>
      <c r="C86" s="141"/>
      <c r="D86" s="141"/>
      <c r="E86" s="141"/>
      <c r="F86" s="141"/>
      <c r="G86" s="141"/>
      <c r="H86" s="141"/>
      <c r="I86" s="141"/>
      <c r="J86" s="141"/>
      <c r="K86" s="141"/>
      <c r="L86" s="141"/>
      <c r="M86" s="141"/>
      <c r="N86" s="141"/>
      <c r="O86" s="141"/>
      <c r="P86" s="141"/>
      <c r="Q86" s="141"/>
    </row>
    <row r="87" spans="1:17" x14ac:dyDescent="0.25">
      <c r="B87" s="20"/>
    </row>
    <row r="88" spans="1:17" ht="17.25" customHeight="1" x14ac:dyDescent="0.4">
      <c r="B88" s="121"/>
      <c r="C88" s="20"/>
      <c r="D88" s="133" t="s">
        <v>211</v>
      </c>
      <c r="E88" s="132"/>
      <c r="F88" s="132"/>
      <c r="G88" s="132"/>
      <c r="H88" s="132"/>
      <c r="I88" s="132"/>
      <c r="J88" s="134"/>
      <c r="L88" s="133" t="s">
        <v>218</v>
      </c>
      <c r="M88" s="132"/>
      <c r="N88" s="132"/>
      <c r="O88" s="132"/>
      <c r="P88" s="132"/>
      <c r="Q88" s="132"/>
    </row>
    <row r="89" spans="1:17" ht="15" customHeight="1" x14ac:dyDescent="0.25">
      <c r="B89" s="121"/>
      <c r="D89" s="49"/>
      <c r="E89" s="130" t="s">
        <v>219</v>
      </c>
      <c r="F89" s="130"/>
      <c r="G89" s="130"/>
      <c r="H89" s="130"/>
      <c r="I89" s="130"/>
      <c r="J89" s="131"/>
      <c r="L89" s="49"/>
      <c r="M89" s="130"/>
      <c r="N89" s="130"/>
      <c r="O89" s="130"/>
      <c r="P89" s="130"/>
      <c r="Q89" s="130"/>
    </row>
    <row r="90" spans="1:17" ht="15" customHeight="1" x14ac:dyDescent="0.25">
      <c r="B90" s="121"/>
      <c r="C90" s="23"/>
      <c r="D90" s="140">
        <f>C73</f>
        <v>22.088560885608857</v>
      </c>
      <c r="E90" s="139">
        <f>F90-0.005</f>
        <v>1.9999999999999997E-2</v>
      </c>
      <c r="F90" s="137">
        <f>G90-0.005</f>
        <v>2.4999999999999998E-2</v>
      </c>
      <c r="G90" s="138">
        <v>0.03</v>
      </c>
      <c r="H90" s="137">
        <f>G90+0.005</f>
        <v>3.4999999999999996E-2</v>
      </c>
      <c r="I90" s="137">
        <f>H90+0.005</f>
        <v>3.9999999999999994E-2</v>
      </c>
      <c r="J90" s="128"/>
      <c r="L90" s="127">
        <f>C78</f>
        <v>0</v>
      </c>
      <c r="M90" s="137">
        <f>N90-0.005</f>
        <v>1.9999999999999997E-2</v>
      </c>
      <c r="N90" s="137">
        <f>O90-0.005</f>
        <v>2.4999999999999998E-2</v>
      </c>
      <c r="O90" s="138">
        <v>0.03</v>
      </c>
      <c r="P90" s="137">
        <f>O90+0.005</f>
        <v>3.4999999999999996E-2</v>
      </c>
      <c r="Q90" s="136">
        <f>P90+0.005</f>
        <v>3.9999999999999994E-2</v>
      </c>
    </row>
    <row r="91" spans="1:17" ht="15" customHeight="1" x14ac:dyDescent="0.25">
      <c r="B91" s="121"/>
      <c r="D91" s="122">
        <f>D92+0.01</f>
        <v>0.10999999999999999</v>
      </c>
      <c r="E91" s="120">
        <f t="dataTable" ref="E91:I95" dt2D="1" dtr="1" r1="C42" r2="H4"/>
        <v>22.088560885608857</v>
      </c>
      <c r="F91" s="120">
        <v>22.088560885608857</v>
      </c>
      <c r="G91" s="120">
        <v>22.088560885608857</v>
      </c>
      <c r="H91" s="120">
        <v>22.088560885608857</v>
      </c>
      <c r="I91" s="120">
        <v>22.088560885608857</v>
      </c>
      <c r="J91" s="120"/>
      <c r="L91" s="122">
        <f>L92+0.01</f>
        <v>0.10999999999999999</v>
      </c>
      <c r="M91" s="118">
        <f t="dataTable" ref="M91:Q95" dt2D="1" dtr="1" r1="C42" r2="H4"/>
        <v>0</v>
      </c>
      <c r="N91" s="118">
        <v>0</v>
      </c>
      <c r="O91" s="118">
        <v>0</v>
      </c>
      <c r="P91" s="118">
        <v>0</v>
      </c>
      <c r="Q91" s="118">
        <v>0</v>
      </c>
    </row>
    <row r="92" spans="1:17" ht="15" customHeight="1" x14ac:dyDescent="0.25">
      <c r="B92" s="121"/>
      <c r="D92" s="122">
        <f>D93+0.01</f>
        <v>9.9999999999999992E-2</v>
      </c>
      <c r="E92" s="120">
        <v>22.088560885608857</v>
      </c>
      <c r="F92" s="120">
        <v>22.088560885608857</v>
      </c>
      <c r="G92" s="120">
        <v>22.088560885608857</v>
      </c>
      <c r="H92" s="120">
        <v>22.088560885608857</v>
      </c>
      <c r="I92" s="120">
        <v>22.088560885608857</v>
      </c>
      <c r="J92" s="120"/>
      <c r="L92" s="122">
        <f>L93+0.01</f>
        <v>9.9999999999999992E-2</v>
      </c>
      <c r="M92" s="118">
        <v>0</v>
      </c>
      <c r="N92" s="118">
        <v>0</v>
      </c>
      <c r="O92" s="118">
        <v>0</v>
      </c>
      <c r="P92" s="118">
        <v>0</v>
      </c>
      <c r="Q92" s="118">
        <v>0</v>
      </c>
    </row>
    <row r="93" spans="1:17" ht="15" customHeight="1" x14ac:dyDescent="0.25">
      <c r="B93" s="121"/>
      <c r="C93" s="23" t="s">
        <v>220</v>
      </c>
      <c r="D93" s="123">
        <v>0.09</v>
      </c>
      <c r="E93" s="120">
        <v>22.088560885608857</v>
      </c>
      <c r="F93" s="120">
        <v>22.088560885608857</v>
      </c>
      <c r="G93" s="120">
        <v>22.088560885608857</v>
      </c>
      <c r="H93" s="120">
        <v>22.088560885608857</v>
      </c>
      <c r="I93" s="120">
        <v>22.088560885608857</v>
      </c>
      <c r="J93" s="120"/>
      <c r="K93" s="23" t="s">
        <v>220</v>
      </c>
      <c r="L93" s="123">
        <v>0.09</v>
      </c>
      <c r="M93" s="118">
        <v>0</v>
      </c>
      <c r="N93" s="118">
        <v>0</v>
      </c>
      <c r="O93" s="118">
        <v>0</v>
      </c>
      <c r="P93" s="118">
        <v>0</v>
      </c>
      <c r="Q93" s="118">
        <v>0</v>
      </c>
    </row>
    <row r="94" spans="1:17" ht="15" customHeight="1" x14ac:dyDescent="0.25">
      <c r="B94" s="121"/>
      <c r="D94" s="122">
        <f>D93-0.01</f>
        <v>0.08</v>
      </c>
      <c r="E94" s="120">
        <v>22.088560885608857</v>
      </c>
      <c r="F94" s="120">
        <v>22.088560885608857</v>
      </c>
      <c r="G94" s="120">
        <v>22.088560885608857</v>
      </c>
      <c r="H94" s="120">
        <v>22.088560885608857</v>
      </c>
      <c r="I94" s="120">
        <v>22.088560885608857</v>
      </c>
      <c r="J94" s="120"/>
      <c r="L94" s="122">
        <f>L93-0.01</f>
        <v>0.08</v>
      </c>
      <c r="M94" s="118">
        <v>0</v>
      </c>
      <c r="N94" s="118">
        <v>0</v>
      </c>
      <c r="O94" s="118">
        <v>0</v>
      </c>
      <c r="P94" s="118">
        <v>0</v>
      </c>
      <c r="Q94" s="118">
        <v>0</v>
      </c>
    </row>
    <row r="95" spans="1:17" ht="15" customHeight="1" x14ac:dyDescent="0.25">
      <c r="B95" s="135" t="s">
        <v>221</v>
      </c>
      <c r="D95" s="119">
        <f>D94-0.01</f>
        <v>7.0000000000000007E-2</v>
      </c>
      <c r="E95" s="120">
        <v>22.088560885608857</v>
      </c>
      <c r="F95" s="120">
        <v>22.088560885608857</v>
      </c>
      <c r="G95" s="120">
        <v>22.088560885608857</v>
      </c>
      <c r="H95" s="120">
        <v>22.088560885608857</v>
      </c>
      <c r="I95" s="120">
        <v>22.088560885608857</v>
      </c>
      <c r="J95" s="120"/>
      <c r="L95" s="119">
        <f>L94-0.01</f>
        <v>7.0000000000000007E-2</v>
      </c>
      <c r="M95" s="118">
        <v>0</v>
      </c>
      <c r="N95" s="118">
        <v>0</v>
      </c>
      <c r="O95" s="118">
        <v>0</v>
      </c>
      <c r="P95" s="118">
        <v>0</v>
      </c>
      <c r="Q95" s="118">
        <v>0</v>
      </c>
    </row>
    <row r="96" spans="1:17" ht="15" customHeight="1" x14ac:dyDescent="0.25">
      <c r="B96" s="135" t="s">
        <v>222</v>
      </c>
      <c r="E96" s="117"/>
      <c r="F96" s="117"/>
      <c r="G96" s="117"/>
      <c r="H96" s="117"/>
      <c r="I96" s="117"/>
      <c r="J96" s="117"/>
    </row>
    <row r="97" spans="2:17" ht="17.25" customHeight="1" x14ac:dyDescent="0.4">
      <c r="B97" s="121"/>
      <c r="D97" s="133" t="s">
        <v>211</v>
      </c>
      <c r="E97" s="132"/>
      <c r="F97" s="132"/>
      <c r="G97" s="132"/>
      <c r="H97" s="132"/>
      <c r="I97" s="132"/>
      <c r="J97" s="134"/>
      <c r="L97" s="133" t="s">
        <v>218</v>
      </c>
      <c r="M97" s="132"/>
      <c r="N97" s="132"/>
      <c r="O97" s="132"/>
      <c r="P97" s="132"/>
      <c r="Q97" s="132"/>
    </row>
    <row r="98" spans="2:17" ht="15" customHeight="1" x14ac:dyDescent="0.25">
      <c r="B98" s="121"/>
      <c r="E98" s="130" t="s">
        <v>223</v>
      </c>
      <c r="F98" s="130"/>
      <c r="G98" s="130"/>
      <c r="H98" s="130"/>
      <c r="I98" s="130"/>
      <c r="J98" s="131"/>
      <c r="M98" s="130" t="s">
        <v>223</v>
      </c>
      <c r="N98" s="130"/>
      <c r="O98" s="130"/>
      <c r="P98" s="130"/>
      <c r="Q98" s="130"/>
    </row>
    <row r="99" spans="2:17" ht="15" customHeight="1" x14ac:dyDescent="0.25">
      <c r="B99" s="121"/>
      <c r="D99" s="129">
        <f>D73</f>
        <v>22.088560885608857</v>
      </c>
      <c r="E99" s="125">
        <f>F99-1</f>
        <v>11</v>
      </c>
      <c r="F99" s="125">
        <f>G99-1</f>
        <v>12</v>
      </c>
      <c r="G99" s="126">
        <v>13</v>
      </c>
      <c r="H99" s="125">
        <f>G99+1</f>
        <v>14</v>
      </c>
      <c r="I99" s="125">
        <f>H99+1</f>
        <v>15</v>
      </c>
      <c r="J99" s="128"/>
      <c r="L99" s="127">
        <f>D78</f>
        <v>0</v>
      </c>
      <c r="M99" s="125">
        <f>N99-1</f>
        <v>11</v>
      </c>
      <c r="N99" s="125">
        <f>O99-1</f>
        <v>12</v>
      </c>
      <c r="O99" s="126">
        <v>13</v>
      </c>
      <c r="P99" s="125">
        <f>O99+1</f>
        <v>14</v>
      </c>
      <c r="Q99" s="124">
        <f>P99+1</f>
        <v>15</v>
      </c>
    </row>
    <row r="100" spans="2:17" ht="15" customHeight="1" x14ac:dyDescent="0.25">
      <c r="B100" s="121"/>
      <c r="D100" s="122">
        <f>D101+0.01</f>
        <v>0.10999999999999999</v>
      </c>
      <c r="E100" s="120">
        <f t="dataTable" ref="E100:I104" dt2D="1" dtr="1" r1="I43" r2="H4" ca="1"/>
        <v>22.088560885608857</v>
      </c>
      <c r="F100" s="120">
        <v>22.088560885608857</v>
      </c>
      <c r="G100" s="120">
        <v>22.088560885608857</v>
      </c>
      <c r="H100" s="120">
        <v>22.088560885608857</v>
      </c>
      <c r="I100" s="120">
        <v>22.088560885608857</v>
      </c>
      <c r="J100" s="120"/>
      <c r="L100" s="122">
        <f>L101+0.01</f>
        <v>0.10999999999999999</v>
      </c>
      <c r="M100" s="118">
        <f t="dataTable" ref="M100:Q104" dt2D="1" dtr="1" r1="I43" r2="H4"/>
        <v>0</v>
      </c>
      <c r="N100" s="118">
        <v>0</v>
      </c>
      <c r="O100" s="118">
        <v>0</v>
      </c>
      <c r="P100" s="118">
        <v>0</v>
      </c>
      <c r="Q100" s="118">
        <v>0</v>
      </c>
    </row>
    <row r="101" spans="2:17" ht="15" customHeight="1" x14ac:dyDescent="0.25">
      <c r="B101" s="121"/>
      <c r="D101" s="122">
        <f>D102+0.01</f>
        <v>9.9999999999999992E-2</v>
      </c>
      <c r="E101" s="120">
        <v>22.088560885608857</v>
      </c>
      <c r="F101" s="120">
        <v>22.088560885608857</v>
      </c>
      <c r="G101" s="120">
        <v>22.088560885608857</v>
      </c>
      <c r="H101" s="120">
        <v>22.088560885608857</v>
      </c>
      <c r="I101" s="120">
        <v>22.088560885608857</v>
      </c>
      <c r="J101" s="120"/>
      <c r="L101" s="122">
        <f>L102+0.01</f>
        <v>9.9999999999999992E-2</v>
      </c>
      <c r="M101" s="118">
        <v>0</v>
      </c>
      <c r="N101" s="118">
        <v>0</v>
      </c>
      <c r="O101" s="118">
        <v>0</v>
      </c>
      <c r="P101" s="118">
        <v>0</v>
      </c>
      <c r="Q101" s="118">
        <v>0</v>
      </c>
    </row>
    <row r="102" spans="2:17" ht="15" customHeight="1" x14ac:dyDescent="0.25">
      <c r="B102" s="121"/>
      <c r="C102" s="23" t="s">
        <v>220</v>
      </c>
      <c r="D102" s="123">
        <v>0.09</v>
      </c>
      <c r="E102" s="120">
        <v>22.088560885608857</v>
      </c>
      <c r="F102" s="120">
        <v>22.088560885608857</v>
      </c>
      <c r="G102" s="120">
        <v>22.088560885608857</v>
      </c>
      <c r="H102" s="120">
        <v>22.088560885608857</v>
      </c>
      <c r="I102" s="120">
        <v>22.088560885608857</v>
      </c>
      <c r="J102" s="120"/>
      <c r="K102" s="23" t="s">
        <v>220</v>
      </c>
      <c r="L102" s="123">
        <v>0.09</v>
      </c>
      <c r="M102" s="118">
        <v>0</v>
      </c>
      <c r="N102" s="118">
        <v>0</v>
      </c>
      <c r="O102" s="118">
        <v>0</v>
      </c>
      <c r="P102" s="118">
        <v>0</v>
      </c>
      <c r="Q102" s="118">
        <v>0</v>
      </c>
    </row>
    <row r="103" spans="2:17" ht="15" customHeight="1" x14ac:dyDescent="0.25">
      <c r="B103" s="121"/>
      <c r="D103" s="122">
        <f>D102-0.01</f>
        <v>0.08</v>
      </c>
      <c r="E103" s="120">
        <v>22.088560885608857</v>
      </c>
      <c r="F103" s="120">
        <v>22.088560885608857</v>
      </c>
      <c r="G103" s="120">
        <v>22.088560885608857</v>
      </c>
      <c r="H103" s="120">
        <v>22.088560885608857</v>
      </c>
      <c r="I103" s="120">
        <v>22.088560885608857</v>
      </c>
      <c r="J103" s="120"/>
      <c r="L103" s="122">
        <f>L102-0.01</f>
        <v>0.08</v>
      </c>
      <c r="M103" s="118">
        <v>0</v>
      </c>
      <c r="N103" s="118">
        <v>0</v>
      </c>
      <c r="O103" s="118">
        <v>0</v>
      </c>
      <c r="P103" s="118">
        <v>0</v>
      </c>
      <c r="Q103" s="118">
        <v>0</v>
      </c>
    </row>
    <row r="104" spans="2:17" ht="15" customHeight="1" x14ac:dyDescent="0.25">
      <c r="B104" s="121"/>
      <c r="D104" s="119">
        <f>D103-0.01</f>
        <v>7.0000000000000007E-2</v>
      </c>
      <c r="E104" s="120">
        <v>22.088560885608857</v>
      </c>
      <c r="F104" s="120">
        <v>22.088560885608857</v>
      </c>
      <c r="G104" s="120">
        <v>22.088560885608857</v>
      </c>
      <c r="H104" s="120">
        <v>22.088560885608857</v>
      </c>
      <c r="I104" s="120">
        <v>22.088560885608857</v>
      </c>
      <c r="J104" s="120"/>
      <c r="L104" s="119">
        <f>L103-0.01</f>
        <v>7.0000000000000007E-2</v>
      </c>
      <c r="M104" s="118">
        <v>0</v>
      </c>
      <c r="N104" s="118">
        <v>0</v>
      </c>
      <c r="O104" s="118">
        <v>0</v>
      </c>
      <c r="P104" s="118">
        <v>0</v>
      </c>
      <c r="Q104" s="118">
        <v>0</v>
      </c>
    </row>
    <row r="105" spans="2:17" x14ac:dyDescent="0.25">
      <c r="J105" s="117"/>
    </row>
    <row r="106" spans="2:17" x14ac:dyDescent="0.25">
      <c r="B106" s="116" t="s">
        <v>224</v>
      </c>
      <c r="C106" s="116"/>
      <c r="D106" s="116"/>
      <c r="E106" s="116"/>
      <c r="G106" s="116" t="s">
        <v>225</v>
      </c>
      <c r="H106" s="116"/>
      <c r="I106" s="116"/>
      <c r="J106" s="116"/>
      <c r="K106" s="116"/>
      <c r="L106" s="116"/>
      <c r="M106" s="116"/>
      <c r="N106" s="116"/>
      <c r="O106" s="116"/>
      <c r="P106" s="116"/>
    </row>
    <row r="108" spans="2:17" x14ac:dyDescent="0.25">
      <c r="J108" s="97"/>
    </row>
    <row r="109" spans="2:17" x14ac:dyDescent="0.25">
      <c r="J109" s="97"/>
    </row>
    <row r="110" spans="2:17" x14ac:dyDescent="0.25">
      <c r="J110" s="97"/>
    </row>
    <row r="111" spans="2:17" x14ac:dyDescent="0.25">
      <c r="J111" s="97"/>
    </row>
    <row r="112" spans="2:17" x14ac:dyDescent="0.25">
      <c r="J112" s="97"/>
    </row>
    <row r="113" spans="2:17" x14ac:dyDescent="0.25">
      <c r="J113" s="97"/>
    </row>
    <row r="114" spans="2:17" x14ac:dyDescent="0.25">
      <c r="J114" s="97"/>
    </row>
    <row r="115" spans="2:17" x14ac:dyDescent="0.25">
      <c r="J115" s="97"/>
    </row>
    <row r="116" spans="2:17" x14ac:dyDescent="0.25">
      <c r="J116" s="97"/>
    </row>
    <row r="117" spans="2:17" x14ac:dyDescent="0.25">
      <c r="J117" s="97"/>
    </row>
    <row r="118" spans="2:17" x14ac:dyDescent="0.25">
      <c r="J118" s="97"/>
    </row>
    <row r="119" spans="2:17" x14ac:dyDescent="0.25">
      <c r="J119" s="97"/>
    </row>
    <row r="120" spans="2:17" x14ac:dyDescent="0.25">
      <c r="J120" s="97"/>
      <c r="M120" s="115"/>
    </row>
    <row r="121" spans="2:17" x14ac:dyDescent="0.25">
      <c r="J121" s="97"/>
    </row>
    <row r="122" spans="2:17" x14ac:dyDescent="0.25">
      <c r="J122" s="97"/>
    </row>
    <row r="123" spans="2:17" x14ac:dyDescent="0.25">
      <c r="J123" s="97"/>
    </row>
    <row r="124" spans="2:17" x14ac:dyDescent="0.25">
      <c r="J124" s="97"/>
    </row>
    <row r="125" spans="2:17" x14ac:dyDescent="0.25">
      <c r="J125" s="97"/>
    </row>
    <row r="126" spans="2:17" x14ac:dyDescent="0.25">
      <c r="J126" s="97"/>
    </row>
    <row r="127" spans="2:17" x14ac:dyDescent="0.25">
      <c r="B127" s="114"/>
      <c r="C127" s="111" t="s">
        <v>226</v>
      </c>
      <c r="D127" s="111" t="s">
        <v>227</v>
      </c>
      <c r="E127" s="110" t="s">
        <v>228</v>
      </c>
      <c r="G127" s="114"/>
      <c r="H127" s="112"/>
      <c r="I127" s="112"/>
      <c r="J127" s="113"/>
      <c r="K127" s="112"/>
      <c r="L127" s="112"/>
      <c r="M127" s="112"/>
      <c r="N127" s="112"/>
      <c r="O127" s="111" t="s">
        <v>226</v>
      </c>
      <c r="P127" s="111" t="s">
        <v>227</v>
      </c>
      <c r="Q127" s="110" t="s">
        <v>228</v>
      </c>
    </row>
    <row r="128" spans="2:17" x14ac:dyDescent="0.25">
      <c r="B128" s="109" t="str">
        <f>"DCF Value at "&amp;TEXT(E99,"0.0x")&amp;"-"&amp;TEXT(I99,"0.0x")&amp;" Exit EBITDA Range at "&amp;TEXT(D102,"0.0%")&amp;" WACC"</f>
        <v>DCF Value at 11.0x-15.0x Exit EBITDA Range at 9.0% WACC</v>
      </c>
      <c r="C128" s="108">
        <f>E102</f>
        <v>22.088560885608857</v>
      </c>
      <c r="D128" s="108">
        <f>E128-C128</f>
        <v>0</v>
      </c>
      <c r="E128" s="107">
        <f>I102</f>
        <v>22.088560885608857</v>
      </c>
      <c r="G128" s="109" t="str">
        <f>"LTM EBITDA Purchase Multiple at "&amp;TEXT(M90,"0.0%")&amp;"-"&amp;TEXT(Q90,"0.0%")&amp;" Perpetuity Growth at "&amp;TEXT(L93,"0.0%")&amp;" WACC"</f>
        <v>LTM EBITDA Purchase Multiple at 2.0%-4.0% Perpetuity Growth at 9.0% WACC</v>
      </c>
      <c r="J128" s="97"/>
      <c r="O128" s="105">
        <f>M93</f>
        <v>0</v>
      </c>
      <c r="P128" s="105">
        <f>Q128-O128</f>
        <v>0</v>
      </c>
      <c r="Q128" s="104">
        <f>Q93</f>
        <v>0</v>
      </c>
    </row>
    <row r="129" spans="2:17" x14ac:dyDescent="0.25">
      <c r="B129" s="106" t="str">
        <f>"DCF Value at "&amp;TEXT(E90,"0.0%")&amp;"-"&amp;TEXT(I90,"0.0%")&amp;" Perpetuity Range at "&amp;TEXT(D102,"0.0%")&amp;" WACC"</f>
        <v>DCF Value at 2.0%-4.0% Perpetuity Range at 9.0% WACC</v>
      </c>
      <c r="C129" s="108">
        <f>E93</f>
        <v>22.088560885608857</v>
      </c>
      <c r="D129" s="108">
        <f>E129-C129</f>
        <v>0</v>
      </c>
      <c r="E129" s="107">
        <f>I93</f>
        <v>22.088560885608857</v>
      </c>
      <c r="G129" s="106" t="str">
        <f>"LTM EBITDA Purchase Multiple at "&amp;TEXT(M102,"0.0x")&amp;"-"&amp;TEXT(Q102,"0.0x")&amp;" Exit EBITDA Multiple at "&amp;TEXT(L102,"0.0%")&amp;" WACC"</f>
        <v>LTM EBITDA Purchase Multiple at 0.0x-0.0x Exit EBITDA Multiple at 9.0% WACC</v>
      </c>
      <c r="J129" s="97"/>
      <c r="O129" s="105">
        <f>M102</f>
        <v>0</v>
      </c>
      <c r="P129" s="105">
        <f>Q129-O129</f>
        <v>0</v>
      </c>
      <c r="Q129" s="104">
        <f>Q102</f>
        <v>0</v>
      </c>
    </row>
    <row r="130" spans="2:17" x14ac:dyDescent="0.25">
      <c r="B130" s="101" t="s">
        <v>229</v>
      </c>
      <c r="C130" s="103">
        <v>169.5</v>
      </c>
      <c r="D130" s="99">
        <f>E130-C130</f>
        <v>158.35000000000002</v>
      </c>
      <c r="E130" s="102">
        <v>327.85</v>
      </c>
      <c r="G130" s="101" t="str">
        <f>"LTM EBITDA Purchase Multiple at "&amp;TEXT(L104,"0.0%")&amp;"-"&amp;TEXT(L100,"0.0%")&amp;" WACC at "&amp;TEXT(O99,"0.0x")&amp;" Exit EBITDA"</f>
        <v>LTM EBITDA Purchase Multiple at 7.0%-11.0% WACC at 13.0x Exit EBITDA</v>
      </c>
      <c r="H130" s="30"/>
      <c r="I130" s="30"/>
      <c r="J130" s="100"/>
      <c r="K130" s="30"/>
      <c r="L130" s="30"/>
      <c r="M130" s="30"/>
      <c r="N130" s="30"/>
      <c r="O130" s="99">
        <f>O100</f>
        <v>0</v>
      </c>
      <c r="P130" s="99">
        <f>Q130-O130</f>
        <v>0</v>
      </c>
      <c r="Q130" s="98">
        <f>O104</f>
        <v>0</v>
      </c>
    </row>
    <row r="131" spans="2:17" x14ac:dyDescent="0.25">
      <c r="J131" s="97"/>
    </row>
    <row r="132" spans="2:17" x14ac:dyDescent="0.25">
      <c r="J132" s="97"/>
    </row>
  </sheetData>
  <conditionalFormatting sqref="E91:J95">
    <cfRule type="cellIs" dxfId="1" priority="2" operator="lessThan">
      <formula>$C$7</formula>
    </cfRule>
  </conditionalFormatting>
  <conditionalFormatting sqref="E100:J104">
    <cfRule type="cellIs" dxfId="0" priority="1" operator="lessThan">
      <formula>$C$7</formula>
    </cfRule>
  </conditionalFormatting>
  <dataValidations count="1">
    <dataValidation type="list" allowBlank="1" showInputMessage="1" showErrorMessage="1" sqref="H7" xr:uid="{20F4AAE4-877E-4910-AF53-548DF3B5B530}">
      <formula1>"0,1"</formula1>
    </dataValidation>
  </dataValidation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2039-5177-4E84-967E-A45F7520EEEB}">
  <sheetPr>
    <tabColor theme="0"/>
  </sheetPr>
  <dimension ref="B1:I19"/>
  <sheetViews>
    <sheetView showGridLines="0" zoomScaleNormal="100" workbookViewId="0">
      <selection activeCell="B8" sqref="B8"/>
    </sheetView>
  </sheetViews>
  <sheetFormatPr defaultColWidth="8.85546875" defaultRowHeight="15" x14ac:dyDescent="0.25"/>
  <cols>
    <col min="1" max="1" width="1.42578125" customWidth="1"/>
    <col min="2" max="2" width="43.42578125" bestFit="1" customWidth="1"/>
    <col min="3" max="3" width="8.42578125" bestFit="1" customWidth="1"/>
    <col min="4" max="9" width="9.42578125" customWidth="1"/>
  </cols>
  <sheetData>
    <row r="1" spans="2:9" ht="15.75" thickBot="1" x14ac:dyDescent="0.3"/>
    <row r="2" spans="2:9" ht="21.75" thickBot="1" x14ac:dyDescent="0.4">
      <c r="B2" s="96" t="s">
        <v>230</v>
      </c>
      <c r="C2" s="223"/>
      <c r="D2" s="95"/>
      <c r="E2" s="95"/>
      <c r="F2" s="95"/>
      <c r="G2" s="95"/>
      <c r="H2" s="95"/>
      <c r="I2" s="95"/>
    </row>
    <row r="3" spans="2:9" x14ac:dyDescent="0.25">
      <c r="B3" s="226" t="s">
        <v>231</v>
      </c>
    </row>
    <row r="5" spans="2:9" ht="17.25" x14ac:dyDescent="0.4">
      <c r="D5" s="132" t="s">
        <v>152</v>
      </c>
      <c r="E5" s="132" t="s">
        <v>72</v>
      </c>
      <c r="F5" s="132"/>
      <c r="G5" s="132"/>
      <c r="H5" s="132"/>
      <c r="I5" s="132"/>
    </row>
    <row r="6" spans="2:9" x14ac:dyDescent="0.25">
      <c r="B6" t="s">
        <v>236</v>
      </c>
      <c r="D6" s="141">
        <v>2025</v>
      </c>
      <c r="E6" s="141">
        <f>D6+1</f>
        <v>2026</v>
      </c>
      <c r="F6" s="141">
        <f>E6+1</f>
        <v>2027</v>
      </c>
      <c r="G6" s="141">
        <f>F6+1</f>
        <v>2028</v>
      </c>
      <c r="H6" s="141">
        <f>G6+1</f>
        <v>2029</v>
      </c>
      <c r="I6" s="141">
        <f>H6+1</f>
        <v>2030</v>
      </c>
    </row>
    <row r="7" spans="2:9" x14ac:dyDescent="0.25">
      <c r="D7" s="20"/>
      <c r="E7" s="20"/>
      <c r="F7" s="20"/>
      <c r="G7" s="20"/>
      <c r="H7" s="20"/>
      <c r="I7" s="20"/>
    </row>
    <row r="8" spans="2:9" x14ac:dyDescent="0.25">
      <c r="B8" s="20" t="s">
        <v>232</v>
      </c>
      <c r="C8" s="20"/>
      <c r="D8" s="225">
        <v>260174</v>
      </c>
      <c r="E8" s="19">
        <f>D8*(1+E9)</f>
        <v>280987.92000000004</v>
      </c>
      <c r="F8" s="19">
        <f>E8*(1+F9)</f>
        <v>306276.83280000009</v>
      </c>
      <c r="G8" s="19">
        <f>F8*(1+G9)</f>
        <v>324653.44276800012</v>
      </c>
      <c r="H8" s="19">
        <f>G8*(1+H9)</f>
        <v>344132.64933408017</v>
      </c>
      <c r="I8" s="19">
        <f>H8*(1+I9)</f>
        <v>364780.60829412501</v>
      </c>
    </row>
    <row r="9" spans="2:9" x14ac:dyDescent="0.25">
      <c r="B9" s="12" t="s">
        <v>233</v>
      </c>
      <c r="C9" s="12"/>
      <c r="E9" s="72">
        <v>0.08</v>
      </c>
      <c r="F9" s="72">
        <v>0.09</v>
      </c>
      <c r="G9" s="72">
        <v>0.06</v>
      </c>
      <c r="H9" s="72">
        <v>0.06</v>
      </c>
      <c r="I9" s="72">
        <v>0.06</v>
      </c>
    </row>
    <row r="10" spans="2:9" x14ac:dyDescent="0.25">
      <c r="B10" s="20" t="s">
        <v>234</v>
      </c>
      <c r="C10" s="20"/>
      <c r="D10" s="225">
        <v>76477</v>
      </c>
      <c r="E10" s="19">
        <f>E11*E$8</f>
        <v>81486.496800000008</v>
      </c>
      <c r="F10" s="19">
        <f>F11*F$8</f>
        <v>88820.281512000016</v>
      </c>
      <c r="G10" s="19">
        <f>G11*G$8</f>
        <v>92526.231188880032</v>
      </c>
      <c r="H10" s="19">
        <f>H11*H$8</f>
        <v>98077.805060212835</v>
      </c>
      <c r="I10" s="19">
        <f>I11*I$8</f>
        <v>102138.57032235501</v>
      </c>
    </row>
    <row r="11" spans="2:9" x14ac:dyDescent="0.25">
      <c r="B11" s="12" t="s">
        <v>156</v>
      </c>
      <c r="C11" s="12"/>
      <c r="E11" s="72">
        <v>0.28999999999999998</v>
      </c>
      <c r="F11" s="72">
        <v>0.28999999999999998</v>
      </c>
      <c r="G11" s="72">
        <v>0.28499999999999998</v>
      </c>
      <c r="H11" s="72">
        <v>0.28499999999999998</v>
      </c>
      <c r="I11" s="72">
        <v>0.28000000000000003</v>
      </c>
    </row>
    <row r="12" spans="2:9" x14ac:dyDescent="0.25">
      <c r="B12" s="20" t="s">
        <v>157</v>
      </c>
      <c r="C12" s="20"/>
      <c r="D12" s="225">
        <v>63930</v>
      </c>
      <c r="E12" s="19">
        <f>E13*E$8</f>
        <v>69123.028320000012</v>
      </c>
      <c r="F12" s="19">
        <f>F13*F$8</f>
        <v>76569.208200000023</v>
      </c>
      <c r="G12" s="19">
        <f>G13*G$8</f>
        <v>81163.360692000031</v>
      </c>
      <c r="H12" s="19">
        <f>H13*H$8</f>
        <v>87753.825580190445</v>
      </c>
      <c r="I12" s="19">
        <f>I13*I$8</f>
        <v>91195.152073531252</v>
      </c>
    </row>
    <row r="13" spans="2:9" x14ac:dyDescent="0.25">
      <c r="B13" s="12" t="s">
        <v>156</v>
      </c>
      <c r="C13" s="12"/>
      <c r="E13" s="72">
        <v>0.246</v>
      </c>
      <c r="F13" s="72">
        <v>0.25</v>
      </c>
      <c r="G13" s="72">
        <v>0.25</v>
      </c>
      <c r="H13" s="72">
        <v>0.255</v>
      </c>
      <c r="I13" s="72">
        <v>0.25</v>
      </c>
    </row>
    <row r="14" spans="2:9" x14ac:dyDescent="0.25">
      <c r="E14" s="21"/>
      <c r="F14" s="21"/>
      <c r="G14" s="21"/>
      <c r="H14" s="21"/>
      <c r="I14" s="21"/>
    </row>
    <row r="15" spans="2:9" x14ac:dyDescent="0.25">
      <c r="B15" t="s">
        <v>37</v>
      </c>
      <c r="E15" s="4">
        <v>0.158</v>
      </c>
      <c r="F15" s="4">
        <v>0.16600000000000001</v>
      </c>
      <c r="G15" s="4">
        <v>0.16700000000000001</v>
      </c>
      <c r="H15" s="4">
        <v>0.17299999999999999</v>
      </c>
      <c r="I15" s="4">
        <v>0.17299999999999999</v>
      </c>
    </row>
    <row r="16" spans="2:9" x14ac:dyDescent="0.25">
      <c r="B16" t="s">
        <v>235</v>
      </c>
      <c r="E16" s="72">
        <f>D16</f>
        <v>0</v>
      </c>
      <c r="F16" s="72">
        <v>3.9E-2</v>
      </c>
      <c r="G16" s="72">
        <v>3.7999999999999999E-2</v>
      </c>
      <c r="H16" s="72">
        <v>3.6999999999999998E-2</v>
      </c>
      <c r="I16" s="72">
        <v>3.5999999999999997E-2</v>
      </c>
    </row>
    <row r="18" spans="2:9" x14ac:dyDescent="0.25">
      <c r="B18" t="s">
        <v>162</v>
      </c>
      <c r="D18" s="224">
        <f>22926+4106+22878+12352-46236-37720-5522</f>
        <v>-27216</v>
      </c>
    </row>
    <row r="19" spans="2:9" x14ac:dyDescent="0.25">
      <c r="B19" s="12" t="s">
        <v>81</v>
      </c>
      <c r="D19" s="187">
        <f>D18/D8</f>
        <v>-0.10460691690945291</v>
      </c>
      <c r="E19" s="72">
        <f>D19</f>
        <v>-0.10460691690945291</v>
      </c>
      <c r="F19" s="72">
        <f>E19</f>
        <v>-0.10460691690945291</v>
      </c>
      <c r="G19" s="72">
        <f>F19</f>
        <v>-0.10460691690945291</v>
      </c>
      <c r="H19" s="72">
        <f>G19</f>
        <v>-0.10460691690945291</v>
      </c>
      <c r="I19" s="72">
        <f>H19</f>
        <v>-0.10460691690945291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FSM Complete</vt:lpstr>
      <vt:lpstr>FSM</vt:lpstr>
      <vt:lpstr>DCF</vt:lpstr>
      <vt:lpstr>MVA</vt:lpstr>
      <vt:lpstr>FSM!Print_Area</vt:lpstr>
      <vt:lpstr>'FSM Complete'!Print_Area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Arnav Mathur</dc:creator>
  <cp:keywords/>
  <dc:description/>
  <cp:lastModifiedBy>Arnav Mathur</cp:lastModifiedBy>
  <cp:revision/>
  <dcterms:created xsi:type="dcterms:W3CDTF">2026-05-03T20:10:25Z</dcterms:created>
  <dcterms:modified xsi:type="dcterms:W3CDTF">2026-05-17T21:15:22Z</dcterms:modified>
  <cp:category/>
  <cp:contentStatus/>
</cp:coreProperties>
</file>