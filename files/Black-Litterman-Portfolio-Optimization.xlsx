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/Users/arniemathur/Desktop/Financial Modelling/"/>
    </mc:Choice>
  </mc:AlternateContent>
  <xr:revisionPtr revIDLastSave="1" documentId="13_ncr:1_{0D40291D-1712-2545-A5E7-E73FAB8333E9}" xr6:coauthVersionLast="47" xr6:coauthVersionMax="47" xr10:uidLastSave="{AA8B6D7E-7F2C-4F05-9309-3BA656FC5463}"/>
  <bookViews>
    <workbookView xWindow="9860" yWindow="760" windowWidth="17900" windowHeight="16940" firstSheet="4" activeTab="4" xr2:uid="{D55DC75D-8919-244B-8DC1-83D81B41E47C}"/>
  </bookViews>
  <sheets>
    <sheet name="DailyData" sheetId="1" r:id="rId1"/>
    <sheet name="Monthly Returns" sheetId="2" r:id="rId2"/>
    <sheet name="Returns" sheetId="3" r:id="rId3"/>
    <sheet name="Without Opinion" sheetId="4" r:id="rId4"/>
    <sheet name="With Opinion" sheetId="5" r:id="rId5"/>
  </sheets>
  <definedNames>
    <definedName name="solver_adj" localSheetId="3" hidden="1">'Without Opinion'!$B$8:$K$8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itr" localSheetId="3" hidden="1">2147483647</definedName>
    <definedName name="solver_lhs1" localSheetId="3" hidden="1">'Without Opinion'!$B$8:$K$8</definedName>
    <definedName name="solver_lhs2" localSheetId="3" hidden="1">'Without Opinion'!$L$8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opt" localSheetId="3" hidden="1">'Without Opinion'!$B$25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2</definedName>
    <definedName name="solver_rhs1" localSheetId="3" hidden="1">0.25</definedName>
    <definedName name="solver_rhs2" localSheetId="3" hidden="1">1</definedName>
    <definedName name="solver_rlx" localSheetId="3" hidden="1">1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5" l="1" a="1"/>
  <c r="B63" i="5" s="1"/>
  <c r="B51" i="5" a="1"/>
  <c r="B51" i="5" s="1"/>
  <c r="B61" i="5" s="1"/>
  <c r="A60" i="5"/>
  <c r="A52" i="5"/>
  <c r="A53" i="5"/>
  <c r="A54" i="5"/>
  <c r="A55" i="5"/>
  <c r="A56" i="5"/>
  <c r="A57" i="5"/>
  <c r="A58" i="5"/>
  <c r="A59" i="5"/>
  <c r="A51" i="5"/>
  <c r="B4" i="4"/>
  <c r="A40" i="5"/>
  <c r="A41" i="5"/>
  <c r="A42" i="5"/>
  <c r="A43" i="5"/>
  <c r="A44" i="5"/>
  <c r="A45" i="5"/>
  <c r="A46" i="5"/>
  <c r="A47" i="5"/>
  <c r="A48" i="5"/>
  <c r="A39" i="5"/>
  <c r="C14" i="5"/>
  <c r="C27" i="5" s="1"/>
  <c r="D14" i="5"/>
  <c r="D27" i="5" s="1"/>
  <c r="E14" i="5"/>
  <c r="E27" i="5" s="1"/>
  <c r="F14" i="5"/>
  <c r="F27" i="5" s="1"/>
  <c r="G14" i="5"/>
  <c r="G27" i="5" s="1"/>
  <c r="H14" i="5"/>
  <c r="H27" i="5" s="1"/>
  <c r="I14" i="5"/>
  <c r="I27" i="5" s="1"/>
  <c r="J14" i="5"/>
  <c r="J27" i="5" s="1"/>
  <c r="K14" i="5"/>
  <c r="K27" i="5" s="1"/>
  <c r="C15" i="5"/>
  <c r="C28" i="5" s="1"/>
  <c r="D15" i="5"/>
  <c r="D28" i="5" s="1"/>
  <c r="E15" i="5"/>
  <c r="E28" i="5" s="1"/>
  <c r="F15" i="5"/>
  <c r="F28" i="5" s="1"/>
  <c r="G15" i="5"/>
  <c r="G28" i="5" s="1"/>
  <c r="H15" i="5"/>
  <c r="H28" i="5" s="1"/>
  <c r="I15" i="5"/>
  <c r="I28" i="5" s="1"/>
  <c r="J15" i="5"/>
  <c r="J28" i="5" s="1"/>
  <c r="K15" i="5"/>
  <c r="K28" i="5" s="1"/>
  <c r="C16" i="5"/>
  <c r="C29" i="5" s="1"/>
  <c r="D16" i="5"/>
  <c r="D29" i="5" s="1"/>
  <c r="E16" i="5"/>
  <c r="E29" i="5" s="1"/>
  <c r="F16" i="5"/>
  <c r="F29" i="5" s="1"/>
  <c r="G16" i="5"/>
  <c r="G29" i="5" s="1"/>
  <c r="H16" i="5"/>
  <c r="H29" i="5" s="1"/>
  <c r="I16" i="5"/>
  <c r="I29" i="5" s="1"/>
  <c r="J16" i="5"/>
  <c r="J29" i="5" s="1"/>
  <c r="K16" i="5"/>
  <c r="K29" i="5" s="1"/>
  <c r="C17" i="5"/>
  <c r="C30" i="5" s="1"/>
  <c r="D17" i="5"/>
  <c r="D30" i="5" s="1"/>
  <c r="E17" i="5"/>
  <c r="E30" i="5" s="1"/>
  <c r="F17" i="5"/>
  <c r="F30" i="5" s="1"/>
  <c r="G17" i="5"/>
  <c r="G30" i="5" s="1"/>
  <c r="H17" i="5"/>
  <c r="H30" i="5" s="1"/>
  <c r="I17" i="5"/>
  <c r="I30" i="5" s="1"/>
  <c r="J17" i="5"/>
  <c r="J30" i="5" s="1"/>
  <c r="K17" i="5"/>
  <c r="K30" i="5" s="1"/>
  <c r="C18" i="5"/>
  <c r="C31" i="5" s="1"/>
  <c r="D18" i="5"/>
  <c r="D31" i="5" s="1"/>
  <c r="E18" i="5"/>
  <c r="E31" i="5" s="1"/>
  <c r="F18" i="5"/>
  <c r="F31" i="5" s="1"/>
  <c r="G18" i="5"/>
  <c r="G31" i="5" s="1"/>
  <c r="H18" i="5"/>
  <c r="H31" i="5" s="1"/>
  <c r="I18" i="5"/>
  <c r="I31" i="5" s="1"/>
  <c r="J18" i="5"/>
  <c r="J31" i="5" s="1"/>
  <c r="K18" i="5"/>
  <c r="K31" i="5" s="1"/>
  <c r="C19" i="5"/>
  <c r="C32" i="5" s="1"/>
  <c r="D19" i="5"/>
  <c r="D32" i="5" s="1"/>
  <c r="E19" i="5"/>
  <c r="E32" i="5" s="1"/>
  <c r="F19" i="5"/>
  <c r="F32" i="5" s="1"/>
  <c r="G19" i="5"/>
  <c r="G32" i="5" s="1"/>
  <c r="H19" i="5"/>
  <c r="H32" i="5" s="1"/>
  <c r="I19" i="5"/>
  <c r="I32" i="5" s="1"/>
  <c r="J19" i="5"/>
  <c r="J32" i="5" s="1"/>
  <c r="K19" i="5"/>
  <c r="K32" i="5" s="1"/>
  <c r="C20" i="5"/>
  <c r="C33" i="5" s="1"/>
  <c r="D20" i="5"/>
  <c r="D33" i="5" s="1"/>
  <c r="E20" i="5"/>
  <c r="E33" i="5" s="1"/>
  <c r="F20" i="5"/>
  <c r="F33" i="5" s="1"/>
  <c r="G20" i="5"/>
  <c r="G33" i="5" s="1"/>
  <c r="H20" i="5"/>
  <c r="H33" i="5" s="1"/>
  <c r="I20" i="5"/>
  <c r="I33" i="5" s="1"/>
  <c r="J20" i="5"/>
  <c r="J33" i="5" s="1"/>
  <c r="K20" i="5"/>
  <c r="K33" i="5" s="1"/>
  <c r="C21" i="5"/>
  <c r="C34" i="5" s="1"/>
  <c r="D21" i="5"/>
  <c r="D34" i="5" s="1"/>
  <c r="E21" i="5"/>
  <c r="E34" i="5" s="1"/>
  <c r="F21" i="5"/>
  <c r="F34" i="5" s="1"/>
  <c r="G21" i="5"/>
  <c r="G34" i="5" s="1"/>
  <c r="H21" i="5"/>
  <c r="H34" i="5" s="1"/>
  <c r="I21" i="5"/>
  <c r="I34" i="5" s="1"/>
  <c r="J21" i="5"/>
  <c r="J34" i="5" s="1"/>
  <c r="K21" i="5"/>
  <c r="K34" i="5" s="1"/>
  <c r="C13" i="5"/>
  <c r="C26" i="5" s="1"/>
  <c r="D13" i="5"/>
  <c r="D26" i="5" s="1"/>
  <c r="E13" i="5"/>
  <c r="E26" i="5" s="1"/>
  <c r="F13" i="5"/>
  <c r="F26" i="5" s="1"/>
  <c r="G13" i="5"/>
  <c r="G26" i="5" s="1"/>
  <c r="H13" i="5"/>
  <c r="H26" i="5" s="1"/>
  <c r="I13" i="5"/>
  <c r="I26" i="5" s="1"/>
  <c r="J13" i="5"/>
  <c r="J26" i="5" s="1"/>
  <c r="K13" i="5"/>
  <c r="K26" i="5" s="1"/>
  <c r="B14" i="5"/>
  <c r="B27" i="5" s="1"/>
  <c r="B15" i="5"/>
  <c r="B28" i="5" s="1"/>
  <c r="B16" i="5"/>
  <c r="B29" i="5" s="1"/>
  <c r="B17" i="5"/>
  <c r="B30" i="5" s="1"/>
  <c r="B18" i="5"/>
  <c r="B31" i="5" s="1"/>
  <c r="B19" i="5"/>
  <c r="B32" i="5" s="1"/>
  <c r="B20" i="5"/>
  <c r="B33" i="5" s="1"/>
  <c r="B21" i="5"/>
  <c r="B34" i="5" s="1"/>
  <c r="B13" i="5"/>
  <c r="B26" i="5" s="1"/>
  <c r="C12" i="5"/>
  <c r="C25" i="5" s="1"/>
  <c r="D12" i="5"/>
  <c r="D25" i="5" s="1"/>
  <c r="E12" i="5"/>
  <c r="E25" i="5" s="1"/>
  <c r="F12" i="5"/>
  <c r="F25" i="5" s="1"/>
  <c r="G12" i="5"/>
  <c r="G25" i="5" s="1"/>
  <c r="H12" i="5"/>
  <c r="H25" i="5" s="1"/>
  <c r="I12" i="5"/>
  <c r="I25" i="5" s="1"/>
  <c r="J12" i="5"/>
  <c r="J25" i="5" s="1"/>
  <c r="K12" i="5"/>
  <c r="K25" i="5" s="1"/>
  <c r="B12" i="5"/>
  <c r="A13" i="5"/>
  <c r="A14" i="5"/>
  <c r="A15" i="5"/>
  <c r="A16" i="5"/>
  <c r="A17" i="5"/>
  <c r="A18" i="5"/>
  <c r="A19" i="5"/>
  <c r="A20" i="5"/>
  <c r="A21" i="5"/>
  <c r="A12" i="5"/>
  <c r="C11" i="5"/>
  <c r="D11" i="5"/>
  <c r="E11" i="5"/>
  <c r="F11" i="5"/>
  <c r="G11" i="5"/>
  <c r="H11" i="5"/>
  <c r="I11" i="5"/>
  <c r="J11" i="5"/>
  <c r="K11" i="5"/>
  <c r="B11" i="5"/>
  <c r="K7" i="5"/>
  <c r="J7" i="5"/>
  <c r="I7" i="5"/>
  <c r="H7" i="5"/>
  <c r="G7" i="5"/>
  <c r="F7" i="5"/>
  <c r="E7" i="5"/>
  <c r="D7" i="5"/>
  <c r="C7" i="5"/>
  <c r="B7" i="5"/>
  <c r="K6" i="5"/>
  <c r="J6" i="5"/>
  <c r="I6" i="5"/>
  <c r="H6" i="5"/>
  <c r="G6" i="5"/>
  <c r="F6" i="5"/>
  <c r="E6" i="5"/>
  <c r="D6" i="5"/>
  <c r="C6" i="5"/>
  <c r="B6" i="5"/>
  <c r="B3" i="5"/>
  <c r="B2" i="5"/>
  <c r="L8" i="4"/>
  <c r="B3" i="4"/>
  <c r="C6" i="4"/>
  <c r="D6" i="4"/>
  <c r="E6" i="4"/>
  <c r="F6" i="4"/>
  <c r="G6" i="4"/>
  <c r="H6" i="4"/>
  <c r="I6" i="4"/>
  <c r="J6" i="4"/>
  <c r="K6" i="4"/>
  <c r="C7" i="4"/>
  <c r="A12" i="4" s="1"/>
  <c r="D7" i="4"/>
  <c r="A13" i="4" s="1"/>
  <c r="E7" i="4"/>
  <c r="A14" i="4" s="1"/>
  <c r="F7" i="4"/>
  <c r="A15" i="4" s="1"/>
  <c r="G7" i="4"/>
  <c r="G10" i="4" s="1"/>
  <c r="H7" i="4"/>
  <c r="H10" i="4" s="1"/>
  <c r="I7" i="4"/>
  <c r="J7" i="4"/>
  <c r="J10" i="4" s="1"/>
  <c r="K7" i="4"/>
  <c r="K10" i="4" s="1"/>
  <c r="B7" i="4"/>
  <c r="A11" i="4" s="1"/>
  <c r="B6" i="4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" i="3"/>
  <c r="B1" i="3"/>
  <c r="C1" i="3"/>
  <c r="D1" i="3"/>
  <c r="E1" i="3"/>
  <c r="F1" i="3"/>
  <c r="G1" i="3"/>
  <c r="H1" i="3"/>
  <c r="I1" i="3"/>
  <c r="J1" i="3"/>
  <c r="K1" i="3"/>
  <c r="C4" i="2"/>
  <c r="D4" i="2"/>
  <c r="E4" i="2"/>
  <c r="F4" i="2"/>
  <c r="G4" i="2"/>
  <c r="H4" i="2"/>
  <c r="I4" i="2"/>
  <c r="J4" i="2"/>
  <c r="K4" i="2"/>
  <c r="B4" i="2"/>
  <c r="K9" i="2"/>
  <c r="K10" i="2"/>
  <c r="K3" i="3" s="1"/>
  <c r="K11" i="2"/>
  <c r="K4" i="3" s="1"/>
  <c r="K12" i="2"/>
  <c r="K5" i="3" s="1"/>
  <c r="K13" i="2"/>
  <c r="K14" i="2"/>
  <c r="K7" i="3" s="1"/>
  <c r="K15" i="2"/>
  <c r="K8" i="3" s="1"/>
  <c r="K16" i="2"/>
  <c r="K9" i="3" s="1"/>
  <c r="K17" i="2"/>
  <c r="K10" i="3" s="1"/>
  <c r="K18" i="2"/>
  <c r="K11" i="3" s="1"/>
  <c r="K19" i="2"/>
  <c r="K20" i="2"/>
  <c r="K13" i="3" s="1"/>
  <c r="K21" i="2"/>
  <c r="K14" i="3" s="1"/>
  <c r="K22" i="2"/>
  <c r="K15" i="3" s="1"/>
  <c r="K23" i="2"/>
  <c r="K24" i="2"/>
  <c r="K17" i="3" s="1"/>
  <c r="K25" i="2"/>
  <c r="K26" i="2"/>
  <c r="K27" i="2"/>
  <c r="K28" i="2"/>
  <c r="K21" i="3" s="1"/>
  <c r="K29" i="2"/>
  <c r="K30" i="2"/>
  <c r="K23" i="3" s="1"/>
  <c r="K31" i="2"/>
  <c r="K24" i="3" s="1"/>
  <c r="K32" i="2"/>
  <c r="K25" i="3" s="1"/>
  <c r="K33" i="2"/>
  <c r="K34" i="2"/>
  <c r="K27" i="3" s="1"/>
  <c r="K35" i="2"/>
  <c r="K36" i="2"/>
  <c r="K37" i="2"/>
  <c r="K38" i="2"/>
  <c r="K31" i="3" s="1"/>
  <c r="K39" i="2"/>
  <c r="K40" i="2"/>
  <c r="K33" i="3" s="1"/>
  <c r="K41" i="2"/>
  <c r="K42" i="2"/>
  <c r="K35" i="3" s="1"/>
  <c r="K43" i="2"/>
  <c r="K44" i="2"/>
  <c r="K37" i="3" s="1"/>
  <c r="K45" i="2"/>
  <c r="K46" i="2"/>
  <c r="K47" i="2"/>
  <c r="K48" i="2"/>
  <c r="K41" i="3" s="1"/>
  <c r="K49" i="2"/>
  <c r="K50" i="2"/>
  <c r="K43" i="3" s="1"/>
  <c r="K51" i="2"/>
  <c r="K52" i="2"/>
  <c r="K45" i="3" s="1"/>
  <c r="K53" i="2"/>
  <c r="K54" i="2"/>
  <c r="K47" i="3" s="1"/>
  <c r="K55" i="2"/>
  <c r="K56" i="2"/>
  <c r="K57" i="2"/>
  <c r="K58" i="2"/>
  <c r="K51" i="3" s="1"/>
  <c r="K59" i="2"/>
  <c r="K60" i="2"/>
  <c r="K53" i="3" s="1"/>
  <c r="K61" i="2"/>
  <c r="K62" i="2"/>
  <c r="K55" i="3" s="1"/>
  <c r="K63" i="2"/>
  <c r="K64" i="2"/>
  <c r="K57" i="3" s="1"/>
  <c r="K65" i="2"/>
  <c r="K66" i="2"/>
  <c r="K67" i="2"/>
  <c r="K68" i="2"/>
  <c r="K61" i="3" s="1"/>
  <c r="K69" i="2"/>
  <c r="K70" i="2"/>
  <c r="K63" i="3" s="1"/>
  <c r="K71" i="2"/>
  <c r="K72" i="2"/>
  <c r="K65" i="3" s="1"/>
  <c r="K73" i="2"/>
  <c r="K74" i="2"/>
  <c r="K67" i="3" s="1"/>
  <c r="K75" i="2"/>
  <c r="K76" i="2"/>
  <c r="K69" i="3" s="1"/>
  <c r="K77" i="2"/>
  <c r="K78" i="2"/>
  <c r="K71" i="3" s="1"/>
  <c r="K79" i="2"/>
  <c r="K80" i="2"/>
  <c r="K73" i="3" s="1"/>
  <c r="K81" i="2"/>
  <c r="K82" i="2"/>
  <c r="K75" i="3" s="1"/>
  <c r="K83" i="2"/>
  <c r="K84" i="2"/>
  <c r="K77" i="3" s="1"/>
  <c r="K85" i="2"/>
  <c r="K86" i="2"/>
  <c r="K79" i="3" s="1"/>
  <c r="K87" i="2"/>
  <c r="K88" i="2"/>
  <c r="K81" i="3" s="1"/>
  <c r="K89" i="2"/>
  <c r="K90" i="2"/>
  <c r="K83" i="3" s="1"/>
  <c r="K91" i="2"/>
  <c r="K92" i="2"/>
  <c r="K85" i="3" s="1"/>
  <c r="K93" i="2"/>
  <c r="K94" i="2"/>
  <c r="K87" i="3" s="1"/>
  <c r="K95" i="2"/>
  <c r="K96" i="2"/>
  <c r="K89" i="3" s="1"/>
  <c r="K97" i="2"/>
  <c r="K98" i="2"/>
  <c r="K91" i="3" s="1"/>
  <c r="K99" i="2"/>
  <c r="K100" i="2"/>
  <c r="K93" i="3" s="1"/>
  <c r="K101" i="2"/>
  <c r="K102" i="2"/>
  <c r="K95" i="3" s="1"/>
  <c r="K103" i="2"/>
  <c r="K104" i="2"/>
  <c r="K97" i="3" s="1"/>
  <c r="K105" i="2"/>
  <c r="K106" i="2"/>
  <c r="K99" i="3" s="1"/>
  <c r="K107" i="2"/>
  <c r="K108" i="2"/>
  <c r="K101" i="3" s="1"/>
  <c r="K109" i="2"/>
  <c r="K110" i="2"/>
  <c r="K103" i="3" s="1"/>
  <c r="K111" i="2"/>
  <c r="K112" i="2"/>
  <c r="K105" i="3" s="1"/>
  <c r="K113" i="2"/>
  <c r="K114" i="2"/>
  <c r="K107" i="3" s="1"/>
  <c r="K115" i="2"/>
  <c r="K116" i="2"/>
  <c r="K109" i="3" s="1"/>
  <c r="K117" i="2"/>
  <c r="K118" i="2"/>
  <c r="K111" i="3" s="1"/>
  <c r="K119" i="2"/>
  <c r="K120" i="2"/>
  <c r="K113" i="3" s="1"/>
  <c r="K121" i="2"/>
  <c r="K122" i="2"/>
  <c r="K115" i="3" s="1"/>
  <c r="K123" i="2"/>
  <c r="K124" i="2"/>
  <c r="K117" i="3" s="1"/>
  <c r="K125" i="2"/>
  <c r="K126" i="2"/>
  <c r="K119" i="3" s="1"/>
  <c r="K127" i="2"/>
  <c r="K128" i="2"/>
  <c r="K121" i="3" s="1"/>
  <c r="J9" i="2"/>
  <c r="J10" i="2"/>
  <c r="J3" i="3" s="1"/>
  <c r="J11" i="2"/>
  <c r="J12" i="2"/>
  <c r="J5" i="3" s="1"/>
  <c r="J13" i="2"/>
  <c r="J14" i="2"/>
  <c r="J7" i="3" s="1"/>
  <c r="J15" i="2"/>
  <c r="J16" i="2"/>
  <c r="J9" i="3" s="1"/>
  <c r="J17" i="2"/>
  <c r="J18" i="2"/>
  <c r="J11" i="3" s="1"/>
  <c r="J19" i="2"/>
  <c r="J20" i="2"/>
  <c r="J13" i="3" s="1"/>
  <c r="J21" i="2"/>
  <c r="J22" i="2"/>
  <c r="J15" i="3" s="1"/>
  <c r="J23" i="2"/>
  <c r="J24" i="2"/>
  <c r="J17" i="3" s="1"/>
  <c r="J25" i="2"/>
  <c r="J26" i="2"/>
  <c r="J19" i="3" s="1"/>
  <c r="J27" i="2"/>
  <c r="J28" i="2"/>
  <c r="J21" i="3" s="1"/>
  <c r="J29" i="2"/>
  <c r="J30" i="2"/>
  <c r="J23" i="3" s="1"/>
  <c r="J31" i="2"/>
  <c r="J32" i="2"/>
  <c r="J25" i="3" s="1"/>
  <c r="J33" i="2"/>
  <c r="J34" i="2"/>
  <c r="J27" i="3" s="1"/>
  <c r="J35" i="2"/>
  <c r="J36" i="2"/>
  <c r="J29" i="3" s="1"/>
  <c r="J37" i="2"/>
  <c r="J38" i="2"/>
  <c r="J31" i="3" s="1"/>
  <c r="J39" i="2"/>
  <c r="J40" i="2"/>
  <c r="J33" i="3" s="1"/>
  <c r="J41" i="2"/>
  <c r="J42" i="2"/>
  <c r="J35" i="3" s="1"/>
  <c r="J43" i="2"/>
  <c r="J44" i="2"/>
  <c r="J37" i="3" s="1"/>
  <c r="J45" i="2"/>
  <c r="J46" i="2"/>
  <c r="J39" i="3" s="1"/>
  <c r="J47" i="2"/>
  <c r="J48" i="2"/>
  <c r="J41" i="3" s="1"/>
  <c r="J49" i="2"/>
  <c r="J50" i="2"/>
  <c r="J43" i="3" s="1"/>
  <c r="J51" i="2"/>
  <c r="J52" i="2"/>
  <c r="J45" i="3" s="1"/>
  <c r="J53" i="2"/>
  <c r="J54" i="2"/>
  <c r="J47" i="3" s="1"/>
  <c r="J55" i="2"/>
  <c r="J56" i="2"/>
  <c r="J49" i="3" s="1"/>
  <c r="J57" i="2"/>
  <c r="J58" i="2"/>
  <c r="J51" i="3" s="1"/>
  <c r="J59" i="2"/>
  <c r="J60" i="2"/>
  <c r="J53" i="3" s="1"/>
  <c r="J61" i="2"/>
  <c r="J62" i="2"/>
  <c r="J55" i="3" s="1"/>
  <c r="J63" i="2"/>
  <c r="J64" i="2"/>
  <c r="J57" i="3" s="1"/>
  <c r="J65" i="2"/>
  <c r="J66" i="2"/>
  <c r="J59" i="3" s="1"/>
  <c r="J67" i="2"/>
  <c r="J68" i="2"/>
  <c r="J61" i="3" s="1"/>
  <c r="J69" i="2"/>
  <c r="J70" i="2"/>
  <c r="J63" i="3" s="1"/>
  <c r="J71" i="2"/>
  <c r="J72" i="2"/>
  <c r="J65" i="3" s="1"/>
  <c r="J73" i="2"/>
  <c r="J74" i="2"/>
  <c r="J67" i="3" s="1"/>
  <c r="J75" i="2"/>
  <c r="J76" i="2"/>
  <c r="J69" i="3" s="1"/>
  <c r="J77" i="2"/>
  <c r="J78" i="2"/>
  <c r="J71" i="3" s="1"/>
  <c r="J79" i="2"/>
  <c r="J80" i="2"/>
  <c r="J73" i="3" s="1"/>
  <c r="J81" i="2"/>
  <c r="J82" i="2"/>
  <c r="J75" i="3" s="1"/>
  <c r="J83" i="2"/>
  <c r="J84" i="2"/>
  <c r="J77" i="3" s="1"/>
  <c r="J85" i="2"/>
  <c r="J86" i="2"/>
  <c r="J79" i="3" s="1"/>
  <c r="J87" i="2"/>
  <c r="J88" i="2"/>
  <c r="J81" i="3" s="1"/>
  <c r="J89" i="2"/>
  <c r="J90" i="2"/>
  <c r="J83" i="3" s="1"/>
  <c r="J91" i="2"/>
  <c r="J92" i="2"/>
  <c r="J85" i="3" s="1"/>
  <c r="J93" i="2"/>
  <c r="J94" i="2"/>
  <c r="J87" i="3" s="1"/>
  <c r="J95" i="2"/>
  <c r="J96" i="2"/>
  <c r="J89" i="3" s="1"/>
  <c r="J97" i="2"/>
  <c r="J98" i="2"/>
  <c r="J91" i="3" s="1"/>
  <c r="J99" i="2"/>
  <c r="J100" i="2"/>
  <c r="J93" i="3" s="1"/>
  <c r="J101" i="2"/>
  <c r="J102" i="2"/>
  <c r="J95" i="3" s="1"/>
  <c r="J103" i="2"/>
  <c r="J104" i="2"/>
  <c r="J97" i="3" s="1"/>
  <c r="J105" i="2"/>
  <c r="J106" i="2"/>
  <c r="J99" i="3" s="1"/>
  <c r="J107" i="2"/>
  <c r="J108" i="2"/>
  <c r="J101" i="3" s="1"/>
  <c r="J109" i="2"/>
  <c r="J110" i="2"/>
  <c r="J103" i="3" s="1"/>
  <c r="J111" i="2"/>
  <c r="J112" i="2"/>
  <c r="J105" i="3" s="1"/>
  <c r="J113" i="2"/>
  <c r="J114" i="2"/>
  <c r="J107" i="3" s="1"/>
  <c r="J115" i="2"/>
  <c r="J116" i="2"/>
  <c r="J109" i="3" s="1"/>
  <c r="J117" i="2"/>
  <c r="J118" i="2"/>
  <c r="J111" i="3" s="1"/>
  <c r="J119" i="2"/>
  <c r="J120" i="2"/>
  <c r="J113" i="3" s="1"/>
  <c r="J121" i="2"/>
  <c r="J122" i="2"/>
  <c r="J115" i="3" s="1"/>
  <c r="J123" i="2"/>
  <c r="J124" i="2"/>
  <c r="J117" i="3" s="1"/>
  <c r="J125" i="2"/>
  <c r="J118" i="3" s="1"/>
  <c r="J126" i="2"/>
  <c r="J119" i="3" s="1"/>
  <c r="J127" i="2"/>
  <c r="J128" i="2"/>
  <c r="J121" i="3" s="1"/>
  <c r="I9" i="2"/>
  <c r="I10" i="2"/>
  <c r="I3" i="3" s="1"/>
  <c r="I11" i="2"/>
  <c r="I12" i="2"/>
  <c r="I5" i="3" s="1"/>
  <c r="I13" i="2"/>
  <c r="I14" i="2"/>
  <c r="I7" i="3" s="1"/>
  <c r="I15" i="2"/>
  <c r="I8" i="3" s="1"/>
  <c r="I16" i="2"/>
  <c r="I9" i="3" s="1"/>
  <c r="I17" i="2"/>
  <c r="I18" i="2"/>
  <c r="I11" i="3" s="1"/>
  <c r="I19" i="2"/>
  <c r="I20" i="2"/>
  <c r="I13" i="3" s="1"/>
  <c r="I21" i="2"/>
  <c r="I22" i="2"/>
  <c r="I15" i="3" s="1"/>
  <c r="I23" i="2"/>
  <c r="I24" i="2"/>
  <c r="I17" i="3" s="1"/>
  <c r="I25" i="2"/>
  <c r="I18" i="3" s="1"/>
  <c r="I26" i="2"/>
  <c r="I19" i="3" s="1"/>
  <c r="I27" i="2"/>
  <c r="I28" i="2"/>
  <c r="I21" i="3" s="1"/>
  <c r="I29" i="2"/>
  <c r="I30" i="2"/>
  <c r="I23" i="3" s="1"/>
  <c r="I31" i="2"/>
  <c r="I32" i="2"/>
  <c r="I25" i="3" s="1"/>
  <c r="I33" i="2"/>
  <c r="I34" i="2"/>
  <c r="I27" i="3" s="1"/>
  <c r="I35" i="2"/>
  <c r="I28" i="3" s="1"/>
  <c r="I36" i="2"/>
  <c r="I37" i="2"/>
  <c r="I38" i="2"/>
  <c r="I31" i="3" s="1"/>
  <c r="I39" i="2"/>
  <c r="I40" i="2"/>
  <c r="I33" i="3" s="1"/>
  <c r="I41" i="2"/>
  <c r="I42" i="2"/>
  <c r="I35" i="3" s="1"/>
  <c r="I43" i="2"/>
  <c r="I44" i="2"/>
  <c r="I37" i="3" s="1"/>
  <c r="I45" i="2"/>
  <c r="I38" i="3" s="1"/>
  <c r="I46" i="2"/>
  <c r="I47" i="2"/>
  <c r="I48" i="2"/>
  <c r="I41" i="3" s="1"/>
  <c r="I49" i="2"/>
  <c r="I50" i="2"/>
  <c r="I43" i="3" s="1"/>
  <c r="I51" i="2"/>
  <c r="I52" i="2"/>
  <c r="I45" i="3" s="1"/>
  <c r="I53" i="2"/>
  <c r="I54" i="2"/>
  <c r="I47" i="3" s="1"/>
  <c r="I55" i="2"/>
  <c r="I48" i="3" s="1"/>
  <c r="I56" i="2"/>
  <c r="I57" i="2"/>
  <c r="I58" i="2"/>
  <c r="I51" i="3" s="1"/>
  <c r="I59" i="2"/>
  <c r="I60" i="2"/>
  <c r="I53" i="3" s="1"/>
  <c r="I61" i="2"/>
  <c r="I62" i="2"/>
  <c r="I55" i="3" s="1"/>
  <c r="I63" i="2"/>
  <c r="I64" i="2"/>
  <c r="I57" i="3" s="1"/>
  <c r="I65" i="2"/>
  <c r="I58" i="3" s="1"/>
  <c r="I66" i="2"/>
  <c r="I67" i="2"/>
  <c r="I68" i="2"/>
  <c r="I61" i="3" s="1"/>
  <c r="I69" i="2"/>
  <c r="I70" i="2"/>
  <c r="I63" i="3" s="1"/>
  <c r="I71" i="2"/>
  <c r="I72" i="2"/>
  <c r="I65" i="3" s="1"/>
  <c r="I73" i="2"/>
  <c r="I74" i="2"/>
  <c r="I67" i="3" s="1"/>
  <c r="I75" i="2"/>
  <c r="I68" i="3" s="1"/>
  <c r="I76" i="2"/>
  <c r="I77" i="2"/>
  <c r="I78" i="2"/>
  <c r="I71" i="3" s="1"/>
  <c r="I79" i="2"/>
  <c r="I80" i="2"/>
  <c r="I73" i="3" s="1"/>
  <c r="I81" i="2"/>
  <c r="I82" i="2"/>
  <c r="I75" i="3" s="1"/>
  <c r="I83" i="2"/>
  <c r="I84" i="2"/>
  <c r="I77" i="3" s="1"/>
  <c r="I85" i="2"/>
  <c r="I78" i="3" s="1"/>
  <c r="I86" i="2"/>
  <c r="I87" i="2"/>
  <c r="I88" i="2"/>
  <c r="I81" i="3" s="1"/>
  <c r="I89" i="2"/>
  <c r="I90" i="2"/>
  <c r="I83" i="3" s="1"/>
  <c r="I91" i="2"/>
  <c r="I92" i="2"/>
  <c r="I85" i="3" s="1"/>
  <c r="I93" i="2"/>
  <c r="I94" i="2"/>
  <c r="I87" i="3" s="1"/>
  <c r="I95" i="2"/>
  <c r="I88" i="3" s="1"/>
  <c r="I96" i="2"/>
  <c r="I97" i="2"/>
  <c r="I98" i="2"/>
  <c r="I91" i="3" s="1"/>
  <c r="I99" i="2"/>
  <c r="I100" i="2"/>
  <c r="I93" i="3" s="1"/>
  <c r="I101" i="2"/>
  <c r="I102" i="2"/>
  <c r="I95" i="3" s="1"/>
  <c r="I103" i="2"/>
  <c r="I104" i="2"/>
  <c r="I97" i="3" s="1"/>
  <c r="I105" i="2"/>
  <c r="I98" i="3" s="1"/>
  <c r="I106" i="2"/>
  <c r="I107" i="2"/>
  <c r="I108" i="2"/>
  <c r="I101" i="3" s="1"/>
  <c r="I109" i="2"/>
  <c r="I110" i="2"/>
  <c r="I103" i="3" s="1"/>
  <c r="I111" i="2"/>
  <c r="I112" i="2"/>
  <c r="I105" i="3" s="1"/>
  <c r="I113" i="2"/>
  <c r="I114" i="2"/>
  <c r="I107" i="3" s="1"/>
  <c r="I115" i="2"/>
  <c r="I108" i="3" s="1"/>
  <c r="I116" i="2"/>
  <c r="I117" i="2"/>
  <c r="I118" i="2"/>
  <c r="I111" i="3" s="1"/>
  <c r="I119" i="2"/>
  <c r="I120" i="2"/>
  <c r="I113" i="3" s="1"/>
  <c r="I121" i="2"/>
  <c r="I122" i="2"/>
  <c r="I115" i="3" s="1"/>
  <c r="I123" i="2"/>
  <c r="I124" i="2"/>
  <c r="I117" i="3" s="1"/>
  <c r="I125" i="2"/>
  <c r="I118" i="3" s="1"/>
  <c r="I126" i="2"/>
  <c r="I127" i="2"/>
  <c r="I128" i="2"/>
  <c r="I121" i="3" s="1"/>
  <c r="H9" i="2"/>
  <c r="H10" i="2"/>
  <c r="H3" i="3" s="1"/>
  <c r="H11" i="2"/>
  <c r="H12" i="2"/>
  <c r="H5" i="3" s="1"/>
  <c r="H13" i="2"/>
  <c r="H14" i="2"/>
  <c r="H7" i="3" s="1"/>
  <c r="H15" i="2"/>
  <c r="H8" i="3" s="1"/>
  <c r="H16" i="2"/>
  <c r="H17" i="2"/>
  <c r="H18" i="2"/>
  <c r="H11" i="3" s="1"/>
  <c r="H19" i="2"/>
  <c r="H20" i="2"/>
  <c r="H13" i="3" s="1"/>
  <c r="H21" i="2"/>
  <c r="H22" i="2"/>
  <c r="H15" i="3" s="1"/>
  <c r="H23" i="2"/>
  <c r="H24" i="2"/>
  <c r="H17" i="3" s="1"/>
  <c r="H25" i="2"/>
  <c r="H18" i="3" s="1"/>
  <c r="H26" i="2"/>
  <c r="H27" i="2"/>
  <c r="H28" i="2"/>
  <c r="H21" i="3" s="1"/>
  <c r="H29" i="2"/>
  <c r="H30" i="2"/>
  <c r="H23" i="3" s="1"/>
  <c r="H31" i="2"/>
  <c r="H32" i="2"/>
  <c r="H25" i="3" s="1"/>
  <c r="H33" i="2"/>
  <c r="H34" i="2"/>
  <c r="H27" i="3" s="1"/>
  <c r="H35" i="2"/>
  <c r="H28" i="3" s="1"/>
  <c r="H36" i="2"/>
  <c r="H37" i="2"/>
  <c r="H38" i="2"/>
  <c r="H31" i="3" s="1"/>
  <c r="H39" i="2"/>
  <c r="H40" i="2"/>
  <c r="H33" i="3" s="1"/>
  <c r="H41" i="2"/>
  <c r="H42" i="2"/>
  <c r="H35" i="3" s="1"/>
  <c r="H43" i="2"/>
  <c r="H44" i="2"/>
  <c r="H37" i="3" s="1"/>
  <c r="H45" i="2"/>
  <c r="H38" i="3" s="1"/>
  <c r="H46" i="2"/>
  <c r="H47" i="2"/>
  <c r="H48" i="2"/>
  <c r="H41" i="3" s="1"/>
  <c r="H49" i="2"/>
  <c r="H50" i="2"/>
  <c r="H43" i="3" s="1"/>
  <c r="H51" i="2"/>
  <c r="H52" i="2"/>
  <c r="H45" i="3" s="1"/>
  <c r="H53" i="2"/>
  <c r="H54" i="2"/>
  <c r="H47" i="3" s="1"/>
  <c r="H55" i="2"/>
  <c r="H48" i="3" s="1"/>
  <c r="H56" i="2"/>
  <c r="H57" i="2"/>
  <c r="H58" i="2"/>
  <c r="H51" i="3" s="1"/>
  <c r="H59" i="2"/>
  <c r="H60" i="2"/>
  <c r="H53" i="3" s="1"/>
  <c r="H61" i="2"/>
  <c r="H62" i="2"/>
  <c r="H55" i="3" s="1"/>
  <c r="H63" i="2"/>
  <c r="H64" i="2"/>
  <c r="H57" i="3" s="1"/>
  <c r="H65" i="2"/>
  <c r="H58" i="3" s="1"/>
  <c r="H66" i="2"/>
  <c r="H67" i="2"/>
  <c r="H68" i="2"/>
  <c r="H61" i="3" s="1"/>
  <c r="H69" i="2"/>
  <c r="H70" i="2"/>
  <c r="H63" i="3" s="1"/>
  <c r="H71" i="2"/>
  <c r="H72" i="2"/>
  <c r="H65" i="3" s="1"/>
  <c r="H73" i="2"/>
  <c r="H74" i="2"/>
  <c r="H67" i="3" s="1"/>
  <c r="H75" i="2"/>
  <c r="H68" i="3" s="1"/>
  <c r="H76" i="2"/>
  <c r="H77" i="2"/>
  <c r="H78" i="2"/>
  <c r="H71" i="3" s="1"/>
  <c r="H79" i="2"/>
  <c r="H80" i="2"/>
  <c r="H73" i="3" s="1"/>
  <c r="H81" i="2"/>
  <c r="H82" i="2"/>
  <c r="H75" i="3" s="1"/>
  <c r="H83" i="2"/>
  <c r="H84" i="2"/>
  <c r="H77" i="3" s="1"/>
  <c r="H85" i="2"/>
  <c r="H78" i="3" s="1"/>
  <c r="H86" i="2"/>
  <c r="H87" i="2"/>
  <c r="H88" i="2"/>
  <c r="H81" i="3" s="1"/>
  <c r="H89" i="2"/>
  <c r="H90" i="2"/>
  <c r="H83" i="3" s="1"/>
  <c r="H91" i="2"/>
  <c r="H92" i="2"/>
  <c r="H85" i="3" s="1"/>
  <c r="H93" i="2"/>
  <c r="H94" i="2"/>
  <c r="H87" i="3" s="1"/>
  <c r="H95" i="2"/>
  <c r="H88" i="3" s="1"/>
  <c r="H96" i="2"/>
  <c r="H97" i="2"/>
  <c r="H98" i="2"/>
  <c r="H91" i="3" s="1"/>
  <c r="H99" i="2"/>
  <c r="H100" i="2"/>
  <c r="H93" i="3" s="1"/>
  <c r="H101" i="2"/>
  <c r="H102" i="2"/>
  <c r="H95" i="3" s="1"/>
  <c r="H103" i="2"/>
  <c r="H104" i="2"/>
  <c r="H97" i="3" s="1"/>
  <c r="H105" i="2"/>
  <c r="H98" i="3" s="1"/>
  <c r="H106" i="2"/>
  <c r="H107" i="2"/>
  <c r="H108" i="2"/>
  <c r="H101" i="3" s="1"/>
  <c r="H109" i="2"/>
  <c r="H110" i="2"/>
  <c r="H103" i="3" s="1"/>
  <c r="H111" i="2"/>
  <c r="H112" i="2"/>
  <c r="H105" i="3" s="1"/>
  <c r="H113" i="2"/>
  <c r="H114" i="2"/>
  <c r="H107" i="3" s="1"/>
  <c r="H115" i="2"/>
  <c r="H108" i="3" s="1"/>
  <c r="H116" i="2"/>
  <c r="H117" i="2"/>
  <c r="H118" i="2"/>
  <c r="H111" i="3" s="1"/>
  <c r="H119" i="2"/>
  <c r="H120" i="2"/>
  <c r="H113" i="3" s="1"/>
  <c r="H121" i="2"/>
  <c r="H122" i="2"/>
  <c r="H115" i="3" s="1"/>
  <c r="H123" i="2"/>
  <c r="H124" i="2"/>
  <c r="H117" i="3" s="1"/>
  <c r="H125" i="2"/>
  <c r="H118" i="3" s="1"/>
  <c r="H126" i="2"/>
  <c r="H127" i="2"/>
  <c r="H128" i="2"/>
  <c r="H121" i="3" s="1"/>
  <c r="G9" i="2"/>
  <c r="G10" i="2"/>
  <c r="G3" i="3" s="1"/>
  <c r="G11" i="2"/>
  <c r="G12" i="2"/>
  <c r="G5" i="3" s="1"/>
  <c r="G13" i="2"/>
  <c r="G14" i="2"/>
  <c r="G7" i="3" s="1"/>
  <c r="G15" i="2"/>
  <c r="G8" i="3" s="1"/>
  <c r="G16" i="2"/>
  <c r="G17" i="2"/>
  <c r="G18" i="2"/>
  <c r="G11" i="3" s="1"/>
  <c r="G19" i="2"/>
  <c r="G20" i="2"/>
  <c r="G13" i="3" s="1"/>
  <c r="G21" i="2"/>
  <c r="G22" i="2"/>
  <c r="G15" i="3" s="1"/>
  <c r="G23" i="2"/>
  <c r="G24" i="2"/>
  <c r="G17" i="3" s="1"/>
  <c r="G25" i="2"/>
  <c r="G18" i="3" s="1"/>
  <c r="G26" i="2"/>
  <c r="G27" i="2"/>
  <c r="G28" i="2"/>
  <c r="G21" i="3" s="1"/>
  <c r="G29" i="2"/>
  <c r="G30" i="2"/>
  <c r="G23" i="3" s="1"/>
  <c r="G31" i="2"/>
  <c r="G32" i="2"/>
  <c r="G25" i="3" s="1"/>
  <c r="G33" i="2"/>
  <c r="G34" i="2"/>
  <c r="G27" i="3" s="1"/>
  <c r="G35" i="2"/>
  <c r="G28" i="3" s="1"/>
  <c r="G36" i="2"/>
  <c r="G37" i="2"/>
  <c r="G38" i="2"/>
  <c r="G31" i="3" s="1"/>
  <c r="G39" i="2"/>
  <c r="G40" i="2"/>
  <c r="G33" i="3" s="1"/>
  <c r="G41" i="2"/>
  <c r="G42" i="2"/>
  <c r="G35" i="3" s="1"/>
  <c r="G43" i="2"/>
  <c r="G44" i="2"/>
  <c r="G37" i="3" s="1"/>
  <c r="G45" i="2"/>
  <c r="G38" i="3" s="1"/>
  <c r="G46" i="2"/>
  <c r="G47" i="2"/>
  <c r="G48" i="2"/>
  <c r="G41" i="3" s="1"/>
  <c r="G49" i="2"/>
  <c r="G50" i="2"/>
  <c r="G43" i="3" s="1"/>
  <c r="G51" i="2"/>
  <c r="G52" i="2"/>
  <c r="G45" i="3" s="1"/>
  <c r="G53" i="2"/>
  <c r="G54" i="2"/>
  <c r="G47" i="3" s="1"/>
  <c r="G55" i="2"/>
  <c r="G48" i="3" s="1"/>
  <c r="G56" i="2"/>
  <c r="G57" i="2"/>
  <c r="G58" i="2"/>
  <c r="G51" i="3" s="1"/>
  <c r="G59" i="2"/>
  <c r="G60" i="2"/>
  <c r="G53" i="3" s="1"/>
  <c r="G61" i="2"/>
  <c r="G62" i="2"/>
  <c r="G55" i="3" s="1"/>
  <c r="G63" i="2"/>
  <c r="G64" i="2"/>
  <c r="G57" i="3" s="1"/>
  <c r="G65" i="2"/>
  <c r="G58" i="3" s="1"/>
  <c r="G66" i="2"/>
  <c r="G67" i="2"/>
  <c r="G68" i="2"/>
  <c r="G61" i="3" s="1"/>
  <c r="G69" i="2"/>
  <c r="G70" i="2"/>
  <c r="G63" i="3" s="1"/>
  <c r="G71" i="2"/>
  <c r="G72" i="2"/>
  <c r="G65" i="3" s="1"/>
  <c r="G73" i="2"/>
  <c r="G74" i="2"/>
  <c r="G67" i="3" s="1"/>
  <c r="G75" i="2"/>
  <c r="G68" i="3" s="1"/>
  <c r="G76" i="2"/>
  <c r="G77" i="2"/>
  <c r="G78" i="2"/>
  <c r="G71" i="3" s="1"/>
  <c r="G79" i="2"/>
  <c r="G80" i="2"/>
  <c r="G73" i="3" s="1"/>
  <c r="G81" i="2"/>
  <c r="G82" i="2"/>
  <c r="G75" i="3" s="1"/>
  <c r="G83" i="2"/>
  <c r="G84" i="2"/>
  <c r="G77" i="3" s="1"/>
  <c r="G85" i="2"/>
  <c r="G78" i="3" s="1"/>
  <c r="G86" i="2"/>
  <c r="G87" i="2"/>
  <c r="G88" i="2"/>
  <c r="G81" i="3" s="1"/>
  <c r="G89" i="2"/>
  <c r="G90" i="2"/>
  <c r="G83" i="3" s="1"/>
  <c r="G91" i="2"/>
  <c r="G92" i="2"/>
  <c r="G85" i="3" s="1"/>
  <c r="G93" i="2"/>
  <c r="G94" i="2"/>
  <c r="G87" i="3" s="1"/>
  <c r="G95" i="2"/>
  <c r="G88" i="3" s="1"/>
  <c r="G96" i="2"/>
  <c r="G97" i="2"/>
  <c r="G98" i="2"/>
  <c r="G91" i="3" s="1"/>
  <c r="G99" i="2"/>
  <c r="G100" i="2"/>
  <c r="G93" i="3" s="1"/>
  <c r="G101" i="2"/>
  <c r="G102" i="2"/>
  <c r="G95" i="3" s="1"/>
  <c r="G103" i="2"/>
  <c r="G104" i="2"/>
  <c r="G97" i="3" s="1"/>
  <c r="G105" i="2"/>
  <c r="G98" i="3" s="1"/>
  <c r="G106" i="2"/>
  <c r="G107" i="2"/>
  <c r="G108" i="2"/>
  <c r="G101" i="3" s="1"/>
  <c r="G109" i="2"/>
  <c r="G110" i="2"/>
  <c r="G103" i="3" s="1"/>
  <c r="G111" i="2"/>
  <c r="G112" i="2"/>
  <c r="G105" i="3" s="1"/>
  <c r="G113" i="2"/>
  <c r="G114" i="2"/>
  <c r="G107" i="3" s="1"/>
  <c r="G115" i="2"/>
  <c r="G108" i="3" s="1"/>
  <c r="G116" i="2"/>
  <c r="G117" i="2"/>
  <c r="G118" i="2"/>
  <c r="G111" i="3" s="1"/>
  <c r="G119" i="2"/>
  <c r="G120" i="2"/>
  <c r="G113" i="3" s="1"/>
  <c r="G121" i="2"/>
  <c r="G122" i="2"/>
  <c r="G115" i="3" s="1"/>
  <c r="G123" i="2"/>
  <c r="G124" i="2"/>
  <c r="G117" i="3" s="1"/>
  <c r="G125" i="2"/>
  <c r="G118" i="3" s="1"/>
  <c r="G126" i="2"/>
  <c r="G127" i="2"/>
  <c r="G128" i="2"/>
  <c r="G121" i="3" s="1"/>
  <c r="F9" i="2"/>
  <c r="F10" i="2"/>
  <c r="F3" i="3" s="1"/>
  <c r="F11" i="2"/>
  <c r="F12" i="2"/>
  <c r="F5" i="3" s="1"/>
  <c r="F13" i="2"/>
  <c r="F14" i="2"/>
  <c r="F7" i="3" s="1"/>
  <c r="F15" i="2"/>
  <c r="F8" i="3" s="1"/>
  <c r="F16" i="2"/>
  <c r="F17" i="2"/>
  <c r="F18" i="2"/>
  <c r="F11" i="3" s="1"/>
  <c r="F19" i="2"/>
  <c r="F20" i="2"/>
  <c r="F13" i="3" s="1"/>
  <c r="F21" i="2"/>
  <c r="F22" i="2"/>
  <c r="F15" i="3" s="1"/>
  <c r="F23" i="2"/>
  <c r="F24" i="2"/>
  <c r="F17" i="3" s="1"/>
  <c r="F25" i="2"/>
  <c r="F18" i="3" s="1"/>
  <c r="F26" i="2"/>
  <c r="F27" i="2"/>
  <c r="F28" i="2"/>
  <c r="F21" i="3" s="1"/>
  <c r="F29" i="2"/>
  <c r="F30" i="2"/>
  <c r="F23" i="3" s="1"/>
  <c r="F31" i="2"/>
  <c r="F32" i="2"/>
  <c r="F25" i="3" s="1"/>
  <c r="F33" i="2"/>
  <c r="F34" i="2"/>
  <c r="F27" i="3" s="1"/>
  <c r="F35" i="2"/>
  <c r="F28" i="3" s="1"/>
  <c r="F36" i="2"/>
  <c r="F37" i="2"/>
  <c r="F38" i="2"/>
  <c r="F31" i="3" s="1"/>
  <c r="F39" i="2"/>
  <c r="F40" i="2"/>
  <c r="F33" i="3" s="1"/>
  <c r="F41" i="2"/>
  <c r="F42" i="2"/>
  <c r="F35" i="3" s="1"/>
  <c r="F43" i="2"/>
  <c r="F44" i="2"/>
  <c r="F37" i="3" s="1"/>
  <c r="F45" i="2"/>
  <c r="F38" i="3" s="1"/>
  <c r="F46" i="2"/>
  <c r="F47" i="2"/>
  <c r="F48" i="2"/>
  <c r="F41" i="3" s="1"/>
  <c r="F49" i="2"/>
  <c r="F50" i="2"/>
  <c r="F43" i="3" s="1"/>
  <c r="F51" i="2"/>
  <c r="F44" i="3" s="1"/>
  <c r="F52" i="2"/>
  <c r="F53" i="2"/>
  <c r="F54" i="2"/>
  <c r="F47" i="3" s="1"/>
  <c r="F55" i="2"/>
  <c r="F48" i="3" s="1"/>
  <c r="F56" i="2"/>
  <c r="F57" i="2"/>
  <c r="F58" i="2"/>
  <c r="F51" i="3" s="1"/>
  <c r="F59" i="2"/>
  <c r="F60" i="2"/>
  <c r="F53" i="3" s="1"/>
  <c r="F61" i="2"/>
  <c r="F54" i="3" s="1"/>
  <c r="F62" i="2"/>
  <c r="F63" i="2"/>
  <c r="F64" i="2"/>
  <c r="F57" i="3" s="1"/>
  <c r="F65" i="2"/>
  <c r="F58" i="3" s="1"/>
  <c r="F66" i="2"/>
  <c r="F67" i="2"/>
  <c r="F68" i="2"/>
  <c r="F61" i="3" s="1"/>
  <c r="F69" i="2"/>
  <c r="F70" i="2"/>
  <c r="F63" i="3" s="1"/>
  <c r="F71" i="2"/>
  <c r="F64" i="3" s="1"/>
  <c r="F72" i="2"/>
  <c r="F73" i="2"/>
  <c r="F74" i="2"/>
  <c r="F67" i="3" s="1"/>
  <c r="F75" i="2"/>
  <c r="F68" i="3" s="1"/>
  <c r="F76" i="2"/>
  <c r="F77" i="2"/>
  <c r="F78" i="2"/>
  <c r="F71" i="3" s="1"/>
  <c r="F79" i="2"/>
  <c r="F80" i="2"/>
  <c r="F73" i="3" s="1"/>
  <c r="F81" i="2"/>
  <c r="F74" i="3" s="1"/>
  <c r="F82" i="2"/>
  <c r="F83" i="2"/>
  <c r="F84" i="2"/>
  <c r="F77" i="3" s="1"/>
  <c r="F85" i="2"/>
  <c r="F78" i="3" s="1"/>
  <c r="F86" i="2"/>
  <c r="F87" i="2"/>
  <c r="F88" i="2"/>
  <c r="F81" i="3" s="1"/>
  <c r="F89" i="2"/>
  <c r="F90" i="2"/>
  <c r="F83" i="3" s="1"/>
  <c r="F91" i="2"/>
  <c r="F84" i="3" s="1"/>
  <c r="F92" i="2"/>
  <c r="F93" i="2"/>
  <c r="F94" i="2"/>
  <c r="F87" i="3" s="1"/>
  <c r="F95" i="2"/>
  <c r="F88" i="3" s="1"/>
  <c r="F96" i="2"/>
  <c r="F97" i="2"/>
  <c r="F98" i="2"/>
  <c r="F91" i="3" s="1"/>
  <c r="F99" i="2"/>
  <c r="F100" i="2"/>
  <c r="F93" i="3" s="1"/>
  <c r="F101" i="2"/>
  <c r="F94" i="3" s="1"/>
  <c r="F102" i="2"/>
  <c r="F103" i="2"/>
  <c r="F104" i="2"/>
  <c r="F97" i="3" s="1"/>
  <c r="F105" i="2"/>
  <c r="F98" i="3" s="1"/>
  <c r="F106" i="2"/>
  <c r="F107" i="2"/>
  <c r="F108" i="2"/>
  <c r="F101" i="3" s="1"/>
  <c r="F109" i="2"/>
  <c r="F110" i="2"/>
  <c r="F103" i="3" s="1"/>
  <c r="F111" i="2"/>
  <c r="F104" i="3" s="1"/>
  <c r="F112" i="2"/>
  <c r="F113" i="2"/>
  <c r="F114" i="2"/>
  <c r="F107" i="3" s="1"/>
  <c r="F115" i="2"/>
  <c r="F108" i="3" s="1"/>
  <c r="F116" i="2"/>
  <c r="F117" i="2"/>
  <c r="F118" i="2"/>
  <c r="F111" i="3" s="1"/>
  <c r="F119" i="2"/>
  <c r="F120" i="2"/>
  <c r="F113" i="3" s="1"/>
  <c r="F121" i="2"/>
  <c r="F114" i="3" s="1"/>
  <c r="F122" i="2"/>
  <c r="F123" i="2"/>
  <c r="F124" i="2"/>
  <c r="F117" i="3" s="1"/>
  <c r="F125" i="2"/>
  <c r="F118" i="3" s="1"/>
  <c r="F126" i="2"/>
  <c r="F127" i="2"/>
  <c r="F128" i="2"/>
  <c r="F121" i="3" s="1"/>
  <c r="E9" i="2"/>
  <c r="E10" i="2"/>
  <c r="E3" i="3" s="1"/>
  <c r="E11" i="2"/>
  <c r="E4" i="3" s="1"/>
  <c r="E12" i="2"/>
  <c r="E13" i="2"/>
  <c r="E14" i="2"/>
  <c r="E7" i="3" s="1"/>
  <c r="E15" i="2"/>
  <c r="E8" i="3" s="1"/>
  <c r="E16" i="2"/>
  <c r="E17" i="2"/>
  <c r="E18" i="2"/>
  <c r="E11" i="3" s="1"/>
  <c r="E19" i="2"/>
  <c r="E20" i="2"/>
  <c r="E13" i="3" s="1"/>
  <c r="E21" i="2"/>
  <c r="E14" i="3" s="1"/>
  <c r="E22" i="2"/>
  <c r="E23" i="2"/>
  <c r="E24" i="2"/>
  <c r="E17" i="3" s="1"/>
  <c r="E25" i="2"/>
  <c r="E18" i="3" s="1"/>
  <c r="E26" i="2"/>
  <c r="E27" i="2"/>
  <c r="E28" i="2"/>
  <c r="E21" i="3" s="1"/>
  <c r="E29" i="2"/>
  <c r="E30" i="2"/>
  <c r="E23" i="3" s="1"/>
  <c r="E31" i="2"/>
  <c r="E24" i="3" s="1"/>
  <c r="E32" i="2"/>
  <c r="E33" i="2"/>
  <c r="E34" i="2"/>
  <c r="E27" i="3" s="1"/>
  <c r="E35" i="2"/>
  <c r="E28" i="3" s="1"/>
  <c r="E36" i="2"/>
  <c r="E37" i="2"/>
  <c r="E38" i="2"/>
  <c r="E31" i="3" s="1"/>
  <c r="E39" i="2"/>
  <c r="E40" i="2"/>
  <c r="E33" i="3" s="1"/>
  <c r="E41" i="2"/>
  <c r="E34" i="3" s="1"/>
  <c r="E42" i="2"/>
  <c r="E43" i="2"/>
  <c r="E44" i="2"/>
  <c r="E37" i="3" s="1"/>
  <c r="E45" i="2"/>
  <c r="E38" i="3" s="1"/>
  <c r="E46" i="2"/>
  <c r="E47" i="2"/>
  <c r="E48" i="2"/>
  <c r="E41" i="3" s="1"/>
  <c r="E49" i="2"/>
  <c r="E50" i="2"/>
  <c r="E43" i="3" s="1"/>
  <c r="E51" i="2"/>
  <c r="E44" i="3" s="1"/>
  <c r="E52" i="2"/>
  <c r="E53" i="2"/>
  <c r="E54" i="2"/>
  <c r="E47" i="3" s="1"/>
  <c r="E55" i="2"/>
  <c r="E48" i="3" s="1"/>
  <c r="E56" i="2"/>
  <c r="E57" i="2"/>
  <c r="E58" i="2"/>
  <c r="E51" i="3" s="1"/>
  <c r="E59" i="2"/>
  <c r="E60" i="2"/>
  <c r="E53" i="3" s="1"/>
  <c r="E61" i="2"/>
  <c r="E54" i="3" s="1"/>
  <c r="E62" i="2"/>
  <c r="E63" i="2"/>
  <c r="E64" i="2"/>
  <c r="E57" i="3" s="1"/>
  <c r="E65" i="2"/>
  <c r="E58" i="3" s="1"/>
  <c r="E66" i="2"/>
  <c r="E67" i="2"/>
  <c r="E68" i="2"/>
  <c r="E61" i="3" s="1"/>
  <c r="E69" i="2"/>
  <c r="E70" i="2"/>
  <c r="E63" i="3" s="1"/>
  <c r="E71" i="2"/>
  <c r="E64" i="3" s="1"/>
  <c r="E72" i="2"/>
  <c r="E73" i="2"/>
  <c r="E74" i="2"/>
  <c r="E67" i="3" s="1"/>
  <c r="E75" i="2"/>
  <c r="E68" i="3" s="1"/>
  <c r="E76" i="2"/>
  <c r="E77" i="2"/>
  <c r="E78" i="2"/>
  <c r="E71" i="3" s="1"/>
  <c r="E79" i="2"/>
  <c r="E80" i="2"/>
  <c r="E73" i="3" s="1"/>
  <c r="E81" i="2"/>
  <c r="E74" i="3" s="1"/>
  <c r="E82" i="2"/>
  <c r="E83" i="2"/>
  <c r="E84" i="2"/>
  <c r="E77" i="3" s="1"/>
  <c r="E85" i="2"/>
  <c r="E78" i="3" s="1"/>
  <c r="E86" i="2"/>
  <c r="E87" i="2"/>
  <c r="E88" i="2"/>
  <c r="E81" i="3" s="1"/>
  <c r="E89" i="2"/>
  <c r="E90" i="2"/>
  <c r="E83" i="3" s="1"/>
  <c r="E91" i="2"/>
  <c r="E84" i="3" s="1"/>
  <c r="E92" i="2"/>
  <c r="E93" i="2"/>
  <c r="E94" i="2"/>
  <c r="E87" i="3" s="1"/>
  <c r="E95" i="2"/>
  <c r="E88" i="3" s="1"/>
  <c r="E96" i="2"/>
  <c r="E97" i="2"/>
  <c r="E98" i="2"/>
  <c r="E91" i="3" s="1"/>
  <c r="E99" i="2"/>
  <c r="E100" i="2"/>
  <c r="E93" i="3" s="1"/>
  <c r="E101" i="2"/>
  <c r="E94" i="3" s="1"/>
  <c r="E102" i="2"/>
  <c r="E103" i="2"/>
  <c r="E104" i="2"/>
  <c r="E97" i="3" s="1"/>
  <c r="E105" i="2"/>
  <c r="E98" i="3" s="1"/>
  <c r="E106" i="2"/>
  <c r="E107" i="2"/>
  <c r="E108" i="2"/>
  <c r="E101" i="3" s="1"/>
  <c r="E109" i="2"/>
  <c r="E110" i="2"/>
  <c r="E103" i="3" s="1"/>
  <c r="E111" i="2"/>
  <c r="E104" i="3" s="1"/>
  <c r="E112" i="2"/>
  <c r="E113" i="2"/>
  <c r="E114" i="2"/>
  <c r="E107" i="3" s="1"/>
  <c r="E115" i="2"/>
  <c r="E108" i="3" s="1"/>
  <c r="E116" i="2"/>
  <c r="E117" i="2"/>
  <c r="E118" i="2"/>
  <c r="E111" i="3" s="1"/>
  <c r="E119" i="2"/>
  <c r="E120" i="2"/>
  <c r="E113" i="3" s="1"/>
  <c r="E121" i="2"/>
  <c r="E114" i="3" s="1"/>
  <c r="E122" i="2"/>
  <c r="E123" i="2"/>
  <c r="E124" i="2"/>
  <c r="E117" i="3" s="1"/>
  <c r="E125" i="2"/>
  <c r="E118" i="3" s="1"/>
  <c r="E126" i="2"/>
  <c r="E127" i="2"/>
  <c r="E128" i="2"/>
  <c r="E121" i="3" s="1"/>
  <c r="D9" i="2"/>
  <c r="D10" i="2"/>
  <c r="D3" i="3" s="1"/>
  <c r="D11" i="2"/>
  <c r="D4" i="3" s="1"/>
  <c r="D12" i="2"/>
  <c r="D13" i="2"/>
  <c r="D14" i="2"/>
  <c r="D7" i="3" s="1"/>
  <c r="D15" i="2"/>
  <c r="D8" i="3" s="1"/>
  <c r="D16" i="2"/>
  <c r="D17" i="2"/>
  <c r="D18" i="2"/>
  <c r="D11" i="3" s="1"/>
  <c r="D19" i="2"/>
  <c r="D20" i="2"/>
  <c r="D13" i="3" s="1"/>
  <c r="D21" i="2"/>
  <c r="D14" i="3" s="1"/>
  <c r="D22" i="2"/>
  <c r="D23" i="2"/>
  <c r="D24" i="2"/>
  <c r="D17" i="3" s="1"/>
  <c r="D25" i="2"/>
  <c r="D18" i="3" s="1"/>
  <c r="D26" i="2"/>
  <c r="D27" i="2"/>
  <c r="D28" i="2"/>
  <c r="D21" i="3" s="1"/>
  <c r="D29" i="2"/>
  <c r="D30" i="2"/>
  <c r="D23" i="3" s="1"/>
  <c r="D31" i="2"/>
  <c r="D24" i="3" s="1"/>
  <c r="D32" i="2"/>
  <c r="D33" i="2"/>
  <c r="D34" i="2"/>
  <c r="D27" i="3" s="1"/>
  <c r="D35" i="2"/>
  <c r="D28" i="3" s="1"/>
  <c r="D36" i="2"/>
  <c r="D37" i="2"/>
  <c r="D38" i="2"/>
  <c r="D31" i="3" s="1"/>
  <c r="D39" i="2"/>
  <c r="D40" i="2"/>
  <c r="D33" i="3" s="1"/>
  <c r="D41" i="2"/>
  <c r="D34" i="3" s="1"/>
  <c r="D42" i="2"/>
  <c r="D43" i="2"/>
  <c r="D44" i="2"/>
  <c r="D37" i="3" s="1"/>
  <c r="D45" i="2"/>
  <c r="D38" i="3" s="1"/>
  <c r="D46" i="2"/>
  <c r="D47" i="2"/>
  <c r="D40" i="3" s="1"/>
  <c r="D48" i="2"/>
  <c r="D41" i="3" s="1"/>
  <c r="D49" i="2"/>
  <c r="D50" i="2"/>
  <c r="D43" i="3" s="1"/>
  <c r="D51" i="2"/>
  <c r="D44" i="3" s="1"/>
  <c r="D52" i="2"/>
  <c r="D53" i="2"/>
  <c r="D54" i="2"/>
  <c r="D47" i="3" s="1"/>
  <c r="D55" i="2"/>
  <c r="D48" i="3" s="1"/>
  <c r="D56" i="2"/>
  <c r="D57" i="2"/>
  <c r="D50" i="3" s="1"/>
  <c r="D58" i="2"/>
  <c r="D51" i="3" s="1"/>
  <c r="D59" i="2"/>
  <c r="D60" i="2"/>
  <c r="D53" i="3" s="1"/>
  <c r="D61" i="2"/>
  <c r="D54" i="3" s="1"/>
  <c r="D62" i="2"/>
  <c r="D63" i="2"/>
  <c r="D64" i="2"/>
  <c r="D57" i="3" s="1"/>
  <c r="D65" i="2"/>
  <c r="D58" i="3" s="1"/>
  <c r="D66" i="2"/>
  <c r="D67" i="2"/>
  <c r="D60" i="3" s="1"/>
  <c r="D68" i="2"/>
  <c r="D61" i="3" s="1"/>
  <c r="D69" i="2"/>
  <c r="D70" i="2"/>
  <c r="D63" i="3" s="1"/>
  <c r="D71" i="2"/>
  <c r="D64" i="3" s="1"/>
  <c r="D72" i="2"/>
  <c r="D73" i="2"/>
  <c r="D74" i="2"/>
  <c r="D67" i="3" s="1"/>
  <c r="D75" i="2"/>
  <c r="D68" i="3" s="1"/>
  <c r="D76" i="2"/>
  <c r="D77" i="2"/>
  <c r="D70" i="3" s="1"/>
  <c r="D78" i="2"/>
  <c r="D71" i="3" s="1"/>
  <c r="D79" i="2"/>
  <c r="D80" i="2"/>
  <c r="D73" i="3" s="1"/>
  <c r="D81" i="2"/>
  <c r="D74" i="3" s="1"/>
  <c r="D82" i="2"/>
  <c r="D83" i="2"/>
  <c r="D84" i="2"/>
  <c r="D77" i="3" s="1"/>
  <c r="D85" i="2"/>
  <c r="D78" i="3" s="1"/>
  <c r="D86" i="2"/>
  <c r="D87" i="2"/>
  <c r="D80" i="3" s="1"/>
  <c r="D88" i="2"/>
  <c r="D81" i="3" s="1"/>
  <c r="D89" i="2"/>
  <c r="D90" i="2"/>
  <c r="D83" i="3" s="1"/>
  <c r="D91" i="2"/>
  <c r="D84" i="3" s="1"/>
  <c r="D92" i="2"/>
  <c r="D93" i="2"/>
  <c r="D94" i="2"/>
  <c r="D87" i="3" s="1"/>
  <c r="D95" i="2"/>
  <c r="D88" i="3" s="1"/>
  <c r="D96" i="2"/>
  <c r="D97" i="2"/>
  <c r="D90" i="3" s="1"/>
  <c r="D98" i="2"/>
  <c r="D91" i="3" s="1"/>
  <c r="D99" i="2"/>
  <c r="D100" i="2"/>
  <c r="D101" i="2"/>
  <c r="D94" i="3" s="1"/>
  <c r="D102" i="2"/>
  <c r="D103" i="2"/>
  <c r="D104" i="2"/>
  <c r="D97" i="3" s="1"/>
  <c r="D105" i="2"/>
  <c r="D98" i="3" s="1"/>
  <c r="D106" i="2"/>
  <c r="D107" i="2"/>
  <c r="D100" i="3" s="1"/>
  <c r="D108" i="2"/>
  <c r="D101" i="3" s="1"/>
  <c r="D109" i="2"/>
  <c r="D110" i="2"/>
  <c r="D111" i="2"/>
  <c r="D104" i="3" s="1"/>
  <c r="D112" i="2"/>
  <c r="D113" i="2"/>
  <c r="D114" i="2"/>
  <c r="D107" i="3" s="1"/>
  <c r="D115" i="2"/>
  <c r="D108" i="3" s="1"/>
  <c r="D116" i="2"/>
  <c r="D117" i="2"/>
  <c r="D110" i="3" s="1"/>
  <c r="D118" i="2"/>
  <c r="D111" i="3" s="1"/>
  <c r="D119" i="2"/>
  <c r="D120" i="2"/>
  <c r="D121" i="2"/>
  <c r="D114" i="3" s="1"/>
  <c r="D122" i="2"/>
  <c r="D123" i="2"/>
  <c r="D124" i="2"/>
  <c r="D117" i="3" s="1"/>
  <c r="D125" i="2"/>
  <c r="D118" i="3" s="1"/>
  <c r="D126" i="2"/>
  <c r="D127" i="2"/>
  <c r="D120" i="3" s="1"/>
  <c r="D128" i="2"/>
  <c r="D121" i="3" s="1"/>
  <c r="E8" i="2"/>
  <c r="F8" i="2"/>
  <c r="G8" i="2"/>
  <c r="H8" i="2"/>
  <c r="I8" i="2"/>
  <c r="J8" i="2"/>
  <c r="K8" i="2"/>
  <c r="D8" i="2"/>
  <c r="C9" i="2"/>
  <c r="C10" i="2"/>
  <c r="C3" i="3" s="1"/>
  <c r="C11" i="2"/>
  <c r="C12" i="2"/>
  <c r="C13" i="2"/>
  <c r="C6" i="3" s="1"/>
  <c r="C14" i="2"/>
  <c r="C15" i="2"/>
  <c r="C16" i="2"/>
  <c r="C9" i="3" s="1"/>
  <c r="C17" i="2"/>
  <c r="C10" i="3" s="1"/>
  <c r="C18" i="2"/>
  <c r="C19" i="2"/>
  <c r="C12" i="3" s="1"/>
  <c r="C20" i="2"/>
  <c r="C13" i="3" s="1"/>
  <c r="C21" i="2"/>
  <c r="C22" i="2"/>
  <c r="C23" i="2"/>
  <c r="C16" i="3" s="1"/>
  <c r="C24" i="2"/>
  <c r="C25" i="2"/>
  <c r="C26" i="2"/>
  <c r="C19" i="3" s="1"/>
  <c r="C27" i="2"/>
  <c r="C20" i="3" s="1"/>
  <c r="C28" i="2"/>
  <c r="C29" i="2"/>
  <c r="C22" i="3" s="1"/>
  <c r="C30" i="2"/>
  <c r="C23" i="3" s="1"/>
  <c r="C31" i="2"/>
  <c r="C32" i="2"/>
  <c r="C33" i="2"/>
  <c r="C26" i="3" s="1"/>
  <c r="C34" i="2"/>
  <c r="C35" i="2"/>
  <c r="C36" i="2"/>
  <c r="C29" i="3" s="1"/>
  <c r="C37" i="2"/>
  <c r="C30" i="3" s="1"/>
  <c r="C38" i="2"/>
  <c r="C39" i="2"/>
  <c r="C32" i="3" s="1"/>
  <c r="C40" i="2"/>
  <c r="C33" i="3" s="1"/>
  <c r="C41" i="2"/>
  <c r="C42" i="2"/>
  <c r="C43" i="2"/>
  <c r="C36" i="3" s="1"/>
  <c r="C44" i="2"/>
  <c r="C45" i="2"/>
  <c r="C46" i="2"/>
  <c r="C39" i="3" s="1"/>
  <c r="C47" i="2"/>
  <c r="C40" i="3" s="1"/>
  <c r="C48" i="2"/>
  <c r="C49" i="2"/>
  <c r="C42" i="3" s="1"/>
  <c r="C50" i="2"/>
  <c r="C43" i="3" s="1"/>
  <c r="C51" i="2"/>
  <c r="C52" i="2"/>
  <c r="C53" i="2"/>
  <c r="C46" i="3" s="1"/>
  <c r="C54" i="2"/>
  <c r="C55" i="2"/>
  <c r="C56" i="2"/>
  <c r="C49" i="3" s="1"/>
  <c r="C57" i="2"/>
  <c r="C50" i="3" s="1"/>
  <c r="C58" i="2"/>
  <c r="C59" i="2"/>
  <c r="C52" i="3" s="1"/>
  <c r="C60" i="2"/>
  <c r="C53" i="3" s="1"/>
  <c r="C61" i="2"/>
  <c r="C62" i="2"/>
  <c r="C63" i="2"/>
  <c r="C56" i="3" s="1"/>
  <c r="C64" i="2"/>
  <c r="C65" i="2"/>
  <c r="C66" i="2"/>
  <c r="C59" i="3" s="1"/>
  <c r="C67" i="2"/>
  <c r="C60" i="3" s="1"/>
  <c r="C68" i="2"/>
  <c r="C69" i="2"/>
  <c r="C62" i="3" s="1"/>
  <c r="C70" i="2"/>
  <c r="C63" i="3" s="1"/>
  <c r="C71" i="2"/>
  <c r="C72" i="2"/>
  <c r="C73" i="2"/>
  <c r="C66" i="3" s="1"/>
  <c r="C74" i="2"/>
  <c r="C75" i="2"/>
  <c r="C76" i="2"/>
  <c r="C69" i="3" s="1"/>
  <c r="C77" i="2"/>
  <c r="C70" i="3" s="1"/>
  <c r="C78" i="2"/>
  <c r="C79" i="2"/>
  <c r="C72" i="3" s="1"/>
  <c r="C80" i="2"/>
  <c r="C73" i="3" s="1"/>
  <c r="C81" i="2"/>
  <c r="C82" i="2"/>
  <c r="C83" i="2"/>
  <c r="C76" i="3" s="1"/>
  <c r="C84" i="2"/>
  <c r="C85" i="2"/>
  <c r="C86" i="2"/>
  <c r="C79" i="3" s="1"/>
  <c r="C87" i="2"/>
  <c r="C80" i="3" s="1"/>
  <c r="C88" i="2"/>
  <c r="C89" i="2"/>
  <c r="C82" i="3" s="1"/>
  <c r="C90" i="2"/>
  <c r="C83" i="3" s="1"/>
  <c r="C91" i="2"/>
  <c r="C92" i="2"/>
  <c r="C93" i="2"/>
  <c r="C86" i="3" s="1"/>
  <c r="C94" i="2"/>
  <c r="C95" i="2"/>
  <c r="C96" i="2"/>
  <c r="C89" i="3" s="1"/>
  <c r="C97" i="2"/>
  <c r="C90" i="3" s="1"/>
  <c r="C98" i="2"/>
  <c r="C99" i="2"/>
  <c r="C92" i="3" s="1"/>
  <c r="C100" i="2"/>
  <c r="C93" i="3" s="1"/>
  <c r="C101" i="2"/>
  <c r="C102" i="2"/>
  <c r="C103" i="2"/>
  <c r="C96" i="3" s="1"/>
  <c r="C104" i="2"/>
  <c r="C105" i="2"/>
  <c r="C106" i="2"/>
  <c r="C99" i="3" s="1"/>
  <c r="C107" i="2"/>
  <c r="C100" i="3" s="1"/>
  <c r="C108" i="2"/>
  <c r="C109" i="2"/>
  <c r="C102" i="3" s="1"/>
  <c r="C110" i="2"/>
  <c r="C103" i="3" s="1"/>
  <c r="C111" i="2"/>
  <c r="C112" i="2"/>
  <c r="C113" i="2"/>
  <c r="C106" i="3" s="1"/>
  <c r="C114" i="2"/>
  <c r="C115" i="2"/>
  <c r="C116" i="2"/>
  <c r="C109" i="3" s="1"/>
  <c r="C117" i="2"/>
  <c r="C110" i="3" s="1"/>
  <c r="C118" i="2"/>
  <c r="C119" i="2"/>
  <c r="C112" i="3" s="1"/>
  <c r="C120" i="2"/>
  <c r="C113" i="3" s="1"/>
  <c r="C121" i="2"/>
  <c r="C122" i="2"/>
  <c r="C123" i="2"/>
  <c r="C116" i="3" s="1"/>
  <c r="C124" i="2"/>
  <c r="C125" i="2"/>
  <c r="C126" i="2"/>
  <c r="C119" i="3" s="1"/>
  <c r="C127" i="2"/>
  <c r="C120" i="3" s="1"/>
  <c r="C128" i="2"/>
  <c r="C8" i="2"/>
  <c r="B8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3" i="1"/>
  <c r="B2514" i="1"/>
  <c r="B2515" i="1"/>
  <c r="B2516" i="1"/>
  <c r="B20" i="1"/>
  <c r="B41" i="1"/>
  <c r="B62" i="1"/>
  <c r="B84" i="1"/>
  <c r="B104" i="1"/>
  <c r="B125" i="1"/>
  <c r="B146" i="1"/>
  <c r="B167" i="1"/>
  <c r="B186" i="1"/>
  <c r="B206" i="1"/>
  <c r="B227" i="1"/>
  <c r="B247" i="1"/>
  <c r="B270" i="1"/>
  <c r="B290" i="1"/>
  <c r="B312" i="1"/>
  <c r="B334" i="1"/>
  <c r="B353" i="1"/>
  <c r="B375" i="1"/>
  <c r="B397" i="1"/>
  <c r="B417" i="1"/>
  <c r="B437" i="1"/>
  <c r="B458" i="1"/>
  <c r="B478" i="1"/>
  <c r="B499" i="1"/>
  <c r="B521" i="1"/>
  <c r="B541" i="1"/>
  <c r="B564" i="1"/>
  <c r="B584" i="1"/>
  <c r="B605" i="1"/>
  <c r="B627" i="1"/>
  <c r="B646" i="1"/>
  <c r="B669" i="1"/>
  <c r="B688" i="1"/>
  <c r="B708" i="1"/>
  <c r="B729" i="1"/>
  <c r="B750" i="1"/>
  <c r="B771" i="1"/>
  <c r="B792" i="1"/>
  <c r="B815" i="1"/>
  <c r="B835" i="1"/>
  <c r="B856" i="1"/>
  <c r="B877" i="1"/>
  <c r="B897" i="1"/>
  <c r="B920" i="1"/>
  <c r="B939" i="1"/>
  <c r="B959" i="1"/>
  <c r="B981" i="1"/>
  <c r="B1002" i="1"/>
  <c r="B1023" i="1"/>
  <c r="B1044" i="1"/>
  <c r="B1066" i="1"/>
  <c r="B1087" i="1"/>
  <c r="B1109" i="1"/>
  <c r="B1129" i="1"/>
  <c r="B1150" i="1"/>
  <c r="B1173" i="1"/>
  <c r="B1192" i="1"/>
  <c r="B1211" i="1"/>
  <c r="B1233" i="1"/>
  <c r="B1253" i="1"/>
  <c r="B1275" i="1"/>
  <c r="B1296" i="1"/>
  <c r="B1317" i="1"/>
  <c r="B1339" i="1"/>
  <c r="B1361" i="1"/>
  <c r="B1381" i="1"/>
  <c r="B1402" i="1"/>
  <c r="B1424" i="1"/>
  <c r="B1443" i="1"/>
  <c r="B1464" i="1"/>
  <c r="B1485" i="1"/>
  <c r="B1505" i="1"/>
  <c r="B1528" i="1"/>
  <c r="B1548" i="1"/>
  <c r="B1570" i="1"/>
  <c r="B1592" i="1"/>
  <c r="B1612" i="1"/>
  <c r="B1634" i="1"/>
  <c r="B1655" i="1"/>
  <c r="B1676" i="1"/>
  <c r="B1695" i="1"/>
  <c r="B1716" i="1"/>
  <c r="B1735" i="1"/>
  <c r="B1756" i="1"/>
  <c r="B1779" i="1"/>
  <c r="B1798" i="1"/>
  <c r="B1821" i="1"/>
  <c r="B1842" i="1"/>
  <c r="B1863" i="1"/>
  <c r="B1885" i="1"/>
  <c r="B1906" i="1"/>
  <c r="B1927" i="1"/>
  <c r="B1946" i="1"/>
  <c r="B1967" i="1"/>
  <c r="B1987" i="1"/>
  <c r="B2008" i="1"/>
  <c r="B2030" i="1"/>
  <c r="B2050" i="1"/>
  <c r="B2073" i="1"/>
  <c r="B2093" i="1"/>
  <c r="B2115" i="1"/>
  <c r="B2137" i="1"/>
  <c r="B2156" i="1"/>
  <c r="B2179" i="1"/>
  <c r="B2198" i="1"/>
  <c r="B2218" i="1"/>
  <c r="B2239" i="1"/>
  <c r="B2260" i="1"/>
  <c r="B2281" i="1"/>
  <c r="B2302" i="1"/>
  <c r="B2325" i="1"/>
  <c r="B2345" i="1"/>
  <c r="B2367" i="1"/>
  <c r="B2388" i="1"/>
  <c r="B2409" i="1"/>
  <c r="B2431" i="1"/>
  <c r="B2451" i="1"/>
  <c r="B2470" i="1"/>
  <c r="B2492" i="1"/>
  <c r="B2512" i="1"/>
  <c r="B2" i="1"/>
  <c r="C4" i="4"/>
  <c r="B4" i="5" l="1" a="1"/>
  <c r="B4" i="5" s="1"/>
  <c r="B39" i="5" s="1" a="1"/>
  <c r="B39" i="5" s="1"/>
  <c r="D39" i="5" s="1" a="1"/>
  <c r="B25" i="5"/>
  <c r="J108" i="3"/>
  <c r="J98" i="3"/>
  <c r="J88" i="3"/>
  <c r="J78" i="3"/>
  <c r="J68" i="3"/>
  <c r="J58" i="3"/>
  <c r="J48" i="3"/>
  <c r="J38" i="3"/>
  <c r="J28" i="3"/>
  <c r="J18" i="3"/>
  <c r="J8" i="3"/>
  <c r="K118" i="3"/>
  <c r="K108" i="3"/>
  <c r="K98" i="3"/>
  <c r="K88" i="3"/>
  <c r="K78" i="3"/>
  <c r="K68" i="3"/>
  <c r="K58" i="3"/>
  <c r="K48" i="3"/>
  <c r="K38" i="3"/>
  <c r="K28" i="3"/>
  <c r="K18" i="3"/>
  <c r="C118" i="3"/>
  <c r="C108" i="3"/>
  <c r="C98" i="3"/>
  <c r="C88" i="3"/>
  <c r="C78" i="3"/>
  <c r="C68" i="3"/>
  <c r="C58" i="3"/>
  <c r="C48" i="3"/>
  <c r="C38" i="3"/>
  <c r="C28" i="3"/>
  <c r="C18" i="3"/>
  <c r="C8" i="3"/>
  <c r="D116" i="3"/>
  <c r="D106" i="3"/>
  <c r="D96" i="3"/>
  <c r="D86" i="3"/>
  <c r="D76" i="3"/>
  <c r="D66" i="3"/>
  <c r="D56" i="3"/>
  <c r="D46" i="3"/>
  <c r="D36" i="3"/>
  <c r="D26" i="3"/>
  <c r="D16" i="3"/>
  <c r="D6" i="3"/>
  <c r="E116" i="3"/>
  <c r="E106" i="3"/>
  <c r="E96" i="3"/>
  <c r="E86" i="3"/>
  <c r="E76" i="3"/>
  <c r="E66" i="3"/>
  <c r="E56" i="3"/>
  <c r="E46" i="3"/>
  <c r="E36" i="3"/>
  <c r="E26" i="3"/>
  <c r="E16" i="3"/>
  <c r="E6" i="3"/>
  <c r="F116" i="3"/>
  <c r="F106" i="3"/>
  <c r="F96" i="3"/>
  <c r="F86" i="3"/>
  <c r="F76" i="3"/>
  <c r="F66" i="3"/>
  <c r="F56" i="3"/>
  <c r="F46" i="3"/>
  <c r="F36" i="3"/>
  <c r="F26" i="3"/>
  <c r="F16" i="3"/>
  <c r="F6" i="3"/>
  <c r="G116" i="3"/>
  <c r="G106" i="3"/>
  <c r="G96" i="3"/>
  <c r="G86" i="3"/>
  <c r="G76" i="3"/>
  <c r="G66" i="3"/>
  <c r="G56" i="3"/>
  <c r="G46" i="3"/>
  <c r="G36" i="3"/>
  <c r="G26" i="3"/>
  <c r="G16" i="3"/>
  <c r="G6" i="3"/>
  <c r="H116" i="3"/>
  <c r="H106" i="3"/>
  <c r="H96" i="3"/>
  <c r="H86" i="3"/>
  <c r="H76" i="3"/>
  <c r="I116" i="3"/>
  <c r="I106" i="3"/>
  <c r="I96" i="3"/>
  <c r="J116" i="3"/>
  <c r="J106" i="3"/>
  <c r="J96" i="3"/>
  <c r="J86" i="3"/>
  <c r="J76" i="3"/>
  <c r="K116" i="3"/>
  <c r="K106" i="3"/>
  <c r="K96" i="3"/>
  <c r="K86" i="3"/>
  <c r="K76" i="3"/>
  <c r="C117" i="3"/>
  <c r="C107" i="3"/>
  <c r="C97" i="3"/>
  <c r="C87" i="3"/>
  <c r="C77" i="3"/>
  <c r="C67" i="3"/>
  <c r="C57" i="3"/>
  <c r="C47" i="3"/>
  <c r="C37" i="3"/>
  <c r="C27" i="3"/>
  <c r="C17" i="3"/>
  <c r="C7" i="3"/>
  <c r="D115" i="3"/>
  <c r="D105" i="3"/>
  <c r="D95" i="3"/>
  <c r="D85" i="3"/>
  <c r="D75" i="3"/>
  <c r="D65" i="3"/>
  <c r="D55" i="3"/>
  <c r="D45" i="3"/>
  <c r="D35" i="3"/>
  <c r="D25" i="3"/>
  <c r="D15" i="3"/>
  <c r="D5" i="3"/>
  <c r="E115" i="3"/>
  <c r="E105" i="3"/>
  <c r="E95" i="3"/>
  <c r="E85" i="3"/>
  <c r="E75" i="3"/>
  <c r="E65" i="3"/>
  <c r="E55" i="3"/>
  <c r="E45" i="3"/>
  <c r="E35" i="3"/>
  <c r="E25" i="3"/>
  <c r="E15" i="3"/>
  <c r="E5" i="3"/>
  <c r="F115" i="3"/>
  <c r="F105" i="3"/>
  <c r="F95" i="3"/>
  <c r="F85" i="3"/>
  <c r="F75" i="3"/>
  <c r="F65" i="3"/>
  <c r="F55" i="3"/>
  <c r="F45" i="3"/>
  <c r="F34" i="3"/>
  <c r="F24" i="3"/>
  <c r="F14" i="3"/>
  <c r="F4" i="3"/>
  <c r="G114" i="3"/>
  <c r="G104" i="3"/>
  <c r="G94" i="3"/>
  <c r="G84" i="3"/>
  <c r="G74" i="3"/>
  <c r="G64" i="3"/>
  <c r="G54" i="3"/>
  <c r="G44" i="3"/>
  <c r="G34" i="3"/>
  <c r="G24" i="3"/>
  <c r="H114" i="3"/>
  <c r="H104" i="3"/>
  <c r="H74" i="3"/>
  <c r="H64" i="3"/>
  <c r="H44" i="3"/>
  <c r="H14" i="3"/>
  <c r="H4" i="3"/>
  <c r="I114" i="3"/>
  <c r="I104" i="3"/>
  <c r="I94" i="3"/>
  <c r="I84" i="3"/>
  <c r="J114" i="3"/>
  <c r="J104" i="3"/>
  <c r="J94" i="3"/>
  <c r="J84" i="3"/>
  <c r="J74" i="3"/>
  <c r="J64" i="3"/>
  <c r="J44" i="3"/>
  <c r="J14" i="3"/>
  <c r="J4" i="3"/>
  <c r="K114" i="3"/>
  <c r="K104" i="3"/>
  <c r="K94" i="3"/>
  <c r="K84" i="3"/>
  <c r="K74" i="3"/>
  <c r="K54" i="3"/>
  <c r="K44" i="3"/>
  <c r="C115" i="3"/>
  <c r="C105" i="3"/>
  <c r="C95" i="3"/>
  <c r="C85" i="3"/>
  <c r="C75" i="3"/>
  <c r="C65" i="3"/>
  <c r="C55" i="3"/>
  <c r="C45" i="3"/>
  <c r="C35" i="3"/>
  <c r="C25" i="3"/>
  <c r="C15" i="3"/>
  <c r="C5" i="3"/>
  <c r="D113" i="3"/>
  <c r="D103" i="3"/>
  <c r="D93" i="3"/>
  <c r="C114" i="3"/>
  <c r="C104" i="3"/>
  <c r="C94" i="3"/>
  <c r="C84" i="3"/>
  <c r="C74" i="3"/>
  <c r="C64" i="3"/>
  <c r="C54" i="3"/>
  <c r="C44" i="3"/>
  <c r="C34" i="3"/>
  <c r="C24" i="3"/>
  <c r="C14" i="3"/>
  <c r="C4" i="3"/>
  <c r="D112" i="3"/>
  <c r="D102" i="3"/>
  <c r="D92" i="3"/>
  <c r="D82" i="3"/>
  <c r="D72" i="3"/>
  <c r="D62" i="3"/>
  <c r="D52" i="3"/>
  <c r="D42" i="3"/>
  <c r="D32" i="3"/>
  <c r="D22" i="3"/>
  <c r="D12" i="3"/>
  <c r="D2" i="3"/>
  <c r="E112" i="3"/>
  <c r="E102" i="3"/>
  <c r="E92" i="3"/>
  <c r="E82" i="3"/>
  <c r="E72" i="3"/>
  <c r="E62" i="3"/>
  <c r="E52" i="3"/>
  <c r="E42" i="3"/>
  <c r="E32" i="3"/>
  <c r="E22" i="3"/>
  <c r="E12" i="3"/>
  <c r="E2" i="3"/>
  <c r="F112" i="3"/>
  <c r="F102" i="3"/>
  <c r="F92" i="3"/>
  <c r="F82" i="3"/>
  <c r="F72" i="3"/>
  <c r="F62" i="3"/>
  <c r="F52" i="3"/>
  <c r="F42" i="3"/>
  <c r="F32" i="3"/>
  <c r="F22" i="3"/>
  <c r="F12" i="3"/>
  <c r="F2" i="3"/>
  <c r="G112" i="3"/>
  <c r="G102" i="3"/>
  <c r="G92" i="3"/>
  <c r="G82" i="3"/>
  <c r="G72" i="3"/>
  <c r="G62" i="3"/>
  <c r="G52" i="3"/>
  <c r="G42" i="3"/>
  <c r="G12" i="3"/>
  <c r="G2" i="3"/>
  <c r="H112" i="3"/>
  <c r="H102" i="3"/>
  <c r="H72" i="3"/>
  <c r="H62" i="3"/>
  <c r="H42" i="3"/>
  <c r="H22" i="3"/>
  <c r="H12" i="3"/>
  <c r="H2" i="3"/>
  <c r="I112" i="3"/>
  <c r="I102" i="3"/>
  <c r="I2" i="3"/>
  <c r="J112" i="3"/>
  <c r="J102" i="3"/>
  <c r="J72" i="3"/>
  <c r="J62" i="3"/>
  <c r="J42" i="3"/>
  <c r="J22" i="3"/>
  <c r="J12" i="3"/>
  <c r="J2" i="3"/>
  <c r="K112" i="3"/>
  <c r="K102" i="3"/>
  <c r="K92" i="3"/>
  <c r="K2" i="3"/>
  <c r="D30" i="3"/>
  <c r="D20" i="3"/>
  <c r="D10" i="3"/>
  <c r="E120" i="3"/>
  <c r="E110" i="3"/>
  <c r="E100" i="3"/>
  <c r="E90" i="3"/>
  <c r="E80" i="3"/>
  <c r="E70" i="3"/>
  <c r="E60" i="3"/>
  <c r="E50" i="3"/>
  <c r="E40" i="3"/>
  <c r="E30" i="3"/>
  <c r="E20" i="3"/>
  <c r="E10" i="3"/>
  <c r="F120" i="3"/>
  <c r="F110" i="3"/>
  <c r="F100" i="3"/>
  <c r="F90" i="3"/>
  <c r="F80" i="3"/>
  <c r="F70" i="3"/>
  <c r="F60" i="3"/>
  <c r="F50" i="3"/>
  <c r="F40" i="3"/>
  <c r="F30" i="3"/>
  <c r="F20" i="3"/>
  <c r="F10" i="3"/>
  <c r="G120" i="3"/>
  <c r="G110" i="3"/>
  <c r="G100" i="3"/>
  <c r="G90" i="3"/>
  <c r="G80" i="3"/>
  <c r="G70" i="3"/>
  <c r="G60" i="3"/>
  <c r="G50" i="3"/>
  <c r="G40" i="3"/>
  <c r="G30" i="3"/>
  <c r="G20" i="3"/>
  <c r="G10" i="3"/>
  <c r="H120" i="3"/>
  <c r="H110" i="3"/>
  <c r="H100" i="3"/>
  <c r="H90" i="3"/>
  <c r="H80" i="3"/>
  <c r="H70" i="3"/>
  <c r="H60" i="3"/>
  <c r="H50" i="3"/>
  <c r="H40" i="3"/>
  <c r="H30" i="3"/>
  <c r="H20" i="3"/>
  <c r="H10" i="3"/>
  <c r="I120" i="3"/>
  <c r="I110" i="3"/>
  <c r="I100" i="3"/>
  <c r="I90" i="3"/>
  <c r="I80" i="3"/>
  <c r="I70" i="3"/>
  <c r="I60" i="3"/>
  <c r="I50" i="3"/>
  <c r="I40" i="3"/>
  <c r="I30" i="3"/>
  <c r="I20" i="3"/>
  <c r="I10" i="3"/>
  <c r="J120" i="3"/>
  <c r="J110" i="3"/>
  <c r="J100" i="3"/>
  <c r="J90" i="3"/>
  <c r="J80" i="3"/>
  <c r="J70" i="3"/>
  <c r="J60" i="3"/>
  <c r="J50" i="3"/>
  <c r="J40" i="3"/>
  <c r="K120" i="3"/>
  <c r="K110" i="3"/>
  <c r="K100" i="3"/>
  <c r="K90" i="3"/>
  <c r="K80" i="3"/>
  <c r="K60" i="3"/>
  <c r="K40" i="3"/>
  <c r="K20" i="3"/>
  <c r="C2" i="3"/>
  <c r="C121" i="3"/>
  <c r="C111" i="3"/>
  <c r="C101" i="3"/>
  <c r="C91" i="3"/>
  <c r="C81" i="3"/>
  <c r="C71" i="3"/>
  <c r="C61" i="3"/>
  <c r="C51" i="3"/>
  <c r="C41" i="3"/>
  <c r="C31" i="3"/>
  <c r="C21" i="3"/>
  <c r="C11" i="3"/>
  <c r="D119" i="3"/>
  <c r="D109" i="3"/>
  <c r="D99" i="3"/>
  <c r="D89" i="3"/>
  <c r="D79" i="3"/>
  <c r="D69" i="3"/>
  <c r="D59" i="3"/>
  <c r="D49" i="3"/>
  <c r="D39" i="3"/>
  <c r="D29" i="3"/>
  <c r="D19" i="3"/>
  <c r="D9" i="3"/>
  <c r="E119" i="3"/>
  <c r="E109" i="3"/>
  <c r="E99" i="3"/>
  <c r="E89" i="3"/>
  <c r="E79" i="3"/>
  <c r="E69" i="3"/>
  <c r="E59" i="3"/>
  <c r="E49" i="3"/>
  <c r="E39" i="3"/>
  <c r="E29" i="3"/>
  <c r="E19" i="3"/>
  <c r="E9" i="3"/>
  <c r="F119" i="3"/>
  <c r="F109" i="3"/>
  <c r="F99" i="3"/>
  <c r="F89" i="3"/>
  <c r="F79" i="3"/>
  <c r="F69" i="3"/>
  <c r="F59" i="3"/>
  <c r="F49" i="3"/>
  <c r="F39" i="3"/>
  <c r="F29" i="3"/>
  <c r="F19" i="3"/>
  <c r="F9" i="3"/>
  <c r="G119" i="3"/>
  <c r="G109" i="3"/>
  <c r="G99" i="3"/>
  <c r="G89" i="3"/>
  <c r="G79" i="3"/>
  <c r="G69" i="3"/>
  <c r="G59" i="3"/>
  <c r="G49" i="3"/>
  <c r="G39" i="3"/>
  <c r="G29" i="3"/>
  <c r="G19" i="3"/>
  <c r="G9" i="3"/>
  <c r="H119" i="3"/>
  <c r="H109" i="3"/>
  <c r="H99" i="3"/>
  <c r="H89" i="3"/>
  <c r="H79" i="3"/>
  <c r="H69" i="3"/>
  <c r="H59" i="3"/>
  <c r="H49" i="3"/>
  <c r="H39" i="3"/>
  <c r="H29" i="3"/>
  <c r="H19" i="3"/>
  <c r="H9" i="3"/>
  <c r="I119" i="3"/>
  <c r="I109" i="3"/>
  <c r="I99" i="3"/>
  <c r="I89" i="3"/>
  <c r="I79" i="3"/>
  <c r="I69" i="3"/>
  <c r="I59" i="3"/>
  <c r="I49" i="3"/>
  <c r="I39" i="3"/>
  <c r="I29" i="3"/>
  <c r="K59" i="3"/>
  <c r="K49" i="3"/>
  <c r="K39" i="3"/>
  <c r="K29" i="3"/>
  <c r="K19" i="3"/>
  <c r="G32" i="3"/>
  <c r="G22" i="3"/>
  <c r="H92" i="3"/>
  <c r="H82" i="3"/>
  <c r="H52" i="3"/>
  <c r="H32" i="3"/>
  <c r="I92" i="3"/>
  <c r="I82" i="3"/>
  <c r="I72" i="3"/>
  <c r="I62" i="3"/>
  <c r="I52" i="3"/>
  <c r="I42" i="3"/>
  <c r="I32" i="3"/>
  <c r="I22" i="3"/>
  <c r="I12" i="3"/>
  <c r="J92" i="3"/>
  <c r="J82" i="3"/>
  <c r="J52" i="3"/>
  <c r="J32" i="3"/>
  <c r="K82" i="3"/>
  <c r="K72" i="3"/>
  <c r="K62" i="3"/>
  <c r="K52" i="3"/>
  <c r="K42" i="3"/>
  <c r="K32" i="3"/>
  <c r="K22" i="3"/>
  <c r="K12" i="3"/>
  <c r="J30" i="3"/>
  <c r="J20" i="3"/>
  <c r="J10" i="3"/>
  <c r="K70" i="3"/>
  <c r="K50" i="3"/>
  <c r="K30" i="3"/>
  <c r="I10" i="4"/>
  <c r="A18" i="4"/>
  <c r="H66" i="3"/>
  <c r="H56" i="3"/>
  <c r="H46" i="3"/>
  <c r="H36" i="3"/>
  <c r="H26" i="3"/>
  <c r="H16" i="3"/>
  <c r="H6" i="3"/>
  <c r="I86" i="3"/>
  <c r="I76" i="3"/>
  <c r="I66" i="3"/>
  <c r="I56" i="3"/>
  <c r="I46" i="3"/>
  <c r="I36" i="3"/>
  <c r="I26" i="3"/>
  <c r="I16" i="3"/>
  <c r="I6" i="3"/>
  <c r="J66" i="3"/>
  <c r="J56" i="3"/>
  <c r="J46" i="3"/>
  <c r="J36" i="3"/>
  <c r="J26" i="3"/>
  <c r="J16" i="3"/>
  <c r="J6" i="3"/>
  <c r="K66" i="3"/>
  <c r="K56" i="3"/>
  <c r="K46" i="3"/>
  <c r="K36" i="3"/>
  <c r="K26" i="3"/>
  <c r="K16" i="3"/>
  <c r="K6" i="3"/>
  <c r="G14" i="3"/>
  <c r="G4" i="3"/>
  <c r="H94" i="3"/>
  <c r="H84" i="3"/>
  <c r="H54" i="3"/>
  <c r="H34" i="3"/>
  <c r="H24" i="3"/>
  <c r="I74" i="3"/>
  <c r="I64" i="3"/>
  <c r="I54" i="3"/>
  <c r="I44" i="3"/>
  <c r="I34" i="3"/>
  <c r="I24" i="3"/>
  <c r="I14" i="3"/>
  <c r="I4" i="3"/>
  <c r="J54" i="3"/>
  <c r="J34" i="3"/>
  <c r="J24" i="3"/>
  <c r="K64" i="3"/>
  <c r="K34" i="3"/>
  <c r="A17" i="4"/>
  <c r="A19" i="4"/>
  <c r="A20" i="4"/>
  <c r="A16" i="4"/>
  <c r="F10" i="4"/>
  <c r="E10" i="4"/>
  <c r="D10" i="4"/>
  <c r="B10" i="4"/>
  <c r="C10" i="4"/>
  <c r="B127" i="2"/>
  <c r="B120" i="3" s="1"/>
  <c r="B117" i="2"/>
  <c r="B107" i="2"/>
  <c r="B97" i="2"/>
  <c r="B87" i="2"/>
  <c r="B77" i="2"/>
  <c r="B70" i="3" s="1"/>
  <c r="B67" i="2"/>
  <c r="B60" i="3" s="1"/>
  <c r="B57" i="2"/>
  <c r="B47" i="2"/>
  <c r="B37" i="2"/>
  <c r="B30" i="3" s="1"/>
  <c r="B27" i="2"/>
  <c r="B20" i="3" s="1"/>
  <c r="B17" i="2"/>
  <c r="B126" i="2"/>
  <c r="B116" i="2"/>
  <c r="B106" i="2"/>
  <c r="B96" i="2"/>
  <c r="B89" i="3" s="1"/>
  <c r="B86" i="2"/>
  <c r="B79" i="3" s="1"/>
  <c r="B76" i="2"/>
  <c r="B66" i="2"/>
  <c r="B56" i="2"/>
  <c r="B49" i="3" s="1"/>
  <c r="B46" i="2"/>
  <c r="B39" i="3" s="1"/>
  <c r="B36" i="2"/>
  <c r="B26" i="2"/>
  <c r="B16" i="2"/>
  <c r="B125" i="2"/>
  <c r="B115" i="2"/>
  <c r="B108" i="3" s="1"/>
  <c r="B105" i="2"/>
  <c r="B98" i="3" s="1"/>
  <c r="B95" i="2"/>
  <c r="B85" i="2"/>
  <c r="B75" i="2"/>
  <c r="B68" i="3" s="1"/>
  <c r="B65" i="2"/>
  <c r="B58" i="3" s="1"/>
  <c r="B55" i="2"/>
  <c r="B45" i="2"/>
  <c r="B35" i="2"/>
  <c r="B25" i="2"/>
  <c r="B15" i="2"/>
  <c r="B8" i="3" s="1"/>
  <c r="B124" i="2"/>
  <c r="B117" i="3" s="1"/>
  <c r="B114" i="2"/>
  <c r="B104" i="2"/>
  <c r="B94" i="2"/>
  <c r="B87" i="3" s="1"/>
  <c r="B84" i="2"/>
  <c r="B77" i="3" s="1"/>
  <c r="B74" i="2"/>
  <c r="B64" i="2"/>
  <c r="B54" i="2"/>
  <c r="B44" i="2"/>
  <c r="B34" i="2"/>
  <c r="B27" i="3" s="1"/>
  <c r="B24" i="2"/>
  <c r="B17" i="3" s="1"/>
  <c r="B14" i="2"/>
  <c r="B123" i="2"/>
  <c r="B113" i="2"/>
  <c r="B106" i="3" s="1"/>
  <c r="B103" i="2"/>
  <c r="B96" i="3" s="1"/>
  <c r="B93" i="2"/>
  <c r="B83" i="2"/>
  <c r="B73" i="2"/>
  <c r="B63" i="2"/>
  <c r="B53" i="2"/>
  <c r="B46" i="3" s="1"/>
  <c r="B43" i="2"/>
  <c r="B36" i="3" s="1"/>
  <c r="B33" i="2"/>
  <c r="B23" i="2"/>
  <c r="B13" i="2"/>
  <c r="B122" i="2"/>
  <c r="B115" i="3" s="1"/>
  <c r="B112" i="2"/>
  <c r="B102" i="2"/>
  <c r="B92" i="2"/>
  <c r="B82" i="2"/>
  <c r="B72" i="2"/>
  <c r="B65" i="3" s="1"/>
  <c r="B62" i="2"/>
  <c r="B55" i="3" s="1"/>
  <c r="B52" i="2"/>
  <c r="B42" i="2"/>
  <c r="B32" i="2"/>
  <c r="B25" i="3" s="1"/>
  <c r="B12" i="2"/>
  <c r="B5" i="3" s="1"/>
  <c r="B22" i="2"/>
  <c r="B121" i="2"/>
  <c r="B111" i="2"/>
  <c r="B101" i="2"/>
  <c r="B91" i="2"/>
  <c r="B84" i="3" s="1"/>
  <c r="B81" i="2"/>
  <c r="B74" i="3" s="1"/>
  <c r="B71" i="2"/>
  <c r="B61" i="2"/>
  <c r="B51" i="2"/>
  <c r="B44" i="3" s="1"/>
  <c r="B41" i="2"/>
  <c r="B34" i="3" s="1"/>
  <c r="B31" i="2"/>
  <c r="B21" i="2"/>
  <c r="B11" i="2"/>
  <c r="B120" i="2"/>
  <c r="B110" i="2"/>
  <c r="B103" i="3" s="1"/>
  <c r="B100" i="2"/>
  <c r="B93" i="3" s="1"/>
  <c r="B90" i="2"/>
  <c r="B80" i="2"/>
  <c r="B70" i="2"/>
  <c r="B63" i="3" s="1"/>
  <c r="B60" i="2"/>
  <c r="B53" i="3" s="1"/>
  <c r="B50" i="2"/>
  <c r="B40" i="2"/>
  <c r="B30" i="2"/>
  <c r="B20" i="2"/>
  <c r="B10" i="2"/>
  <c r="B119" i="2"/>
  <c r="B112" i="3" s="1"/>
  <c r="B109" i="2"/>
  <c r="B99" i="2"/>
  <c r="B89" i="2"/>
  <c r="B82" i="3" s="1"/>
  <c r="B79" i="2"/>
  <c r="B72" i="3" s="1"/>
  <c r="B69" i="2"/>
  <c r="B59" i="2"/>
  <c r="B49" i="2"/>
  <c r="B39" i="2"/>
  <c r="B29" i="2"/>
  <c r="B22" i="3" s="1"/>
  <c r="B19" i="2"/>
  <c r="B12" i="3" s="1"/>
  <c r="B9" i="2"/>
  <c r="B2" i="3" s="1"/>
  <c r="B128" i="2"/>
  <c r="B118" i="2"/>
  <c r="B111" i="3" s="1"/>
  <c r="B108" i="2"/>
  <c r="B101" i="3" s="1"/>
  <c r="B98" i="2"/>
  <c r="B91" i="3" s="1"/>
  <c r="B88" i="2"/>
  <c r="B81" i="3" s="1"/>
  <c r="B78" i="2"/>
  <c r="B71" i="3" s="1"/>
  <c r="B68" i="2"/>
  <c r="B61" i="3" s="1"/>
  <c r="B58" i="2"/>
  <c r="B51" i="3" s="1"/>
  <c r="B48" i="2"/>
  <c r="B41" i="3" s="1"/>
  <c r="B38" i="2"/>
  <c r="B28" i="2"/>
  <c r="B18" i="2"/>
  <c r="B11" i="3" s="1"/>
  <c r="D39" i="5" l="1"/>
  <c r="E40" i="5"/>
  <c r="E45" i="5"/>
  <c r="E43" i="5"/>
  <c r="E42" i="5"/>
  <c r="E44" i="5"/>
  <c r="E41" i="5"/>
  <c r="E48" i="5"/>
  <c r="E46" i="5"/>
  <c r="E47" i="5"/>
  <c r="B3" i="3"/>
  <c r="B56" i="3"/>
  <c r="B37" i="3"/>
  <c r="B18" i="3"/>
  <c r="B118" i="3"/>
  <c r="B99" i="3"/>
  <c r="B80" i="3"/>
  <c r="I22" i="4"/>
  <c r="J18" i="4"/>
  <c r="C18" i="4"/>
  <c r="D18" i="4"/>
  <c r="F18" i="4"/>
  <c r="G18" i="4"/>
  <c r="H18" i="4"/>
  <c r="I18" i="4"/>
  <c r="E18" i="4"/>
  <c r="K18" i="4"/>
  <c r="B94" i="3"/>
  <c r="B42" i="3"/>
  <c r="B23" i="3"/>
  <c r="B4" i="3"/>
  <c r="B104" i="3"/>
  <c r="B85" i="3"/>
  <c r="B66" i="3"/>
  <c r="B47" i="3"/>
  <c r="B28" i="3"/>
  <c r="B9" i="3"/>
  <c r="B109" i="3"/>
  <c r="B90" i="3"/>
  <c r="D16" i="4"/>
  <c r="E16" i="4"/>
  <c r="F16" i="4"/>
  <c r="C16" i="4"/>
  <c r="G16" i="4"/>
  <c r="H16" i="4"/>
  <c r="I16" i="4"/>
  <c r="J16" i="4"/>
  <c r="K16" i="4"/>
  <c r="G22" i="4"/>
  <c r="C15" i="4"/>
  <c r="F15" i="4"/>
  <c r="H15" i="4"/>
  <c r="J15" i="4"/>
  <c r="K15" i="4"/>
  <c r="F22" i="4"/>
  <c r="D15" i="4"/>
  <c r="E15" i="4"/>
  <c r="G15" i="4"/>
  <c r="I15" i="4"/>
  <c r="B113" i="3"/>
  <c r="B75" i="3"/>
  <c r="B57" i="3"/>
  <c r="B38" i="3"/>
  <c r="B19" i="3"/>
  <c r="B119" i="3"/>
  <c r="B100" i="3"/>
  <c r="I19" i="4"/>
  <c r="J22" i="4"/>
  <c r="K19" i="4"/>
  <c r="C19" i="4"/>
  <c r="D19" i="4"/>
  <c r="G19" i="4"/>
  <c r="H19" i="4"/>
  <c r="J19" i="4"/>
  <c r="E19" i="4"/>
  <c r="F19" i="4"/>
  <c r="B32" i="3"/>
  <c r="B13" i="3"/>
  <c r="B52" i="3"/>
  <c r="B33" i="3"/>
  <c r="B14" i="3"/>
  <c r="B114" i="3"/>
  <c r="B95" i="3"/>
  <c r="B76" i="3"/>
  <c r="B62" i="3"/>
  <c r="B43" i="3"/>
  <c r="B24" i="3"/>
  <c r="B15" i="3"/>
  <c r="B105" i="3"/>
  <c r="B86" i="3"/>
  <c r="B67" i="3"/>
  <c r="B48" i="3"/>
  <c r="B29" i="3"/>
  <c r="B10" i="3"/>
  <c r="B110" i="3"/>
  <c r="K17" i="4"/>
  <c r="C17" i="4"/>
  <c r="D17" i="4"/>
  <c r="E17" i="4"/>
  <c r="G17" i="4"/>
  <c r="H17" i="4"/>
  <c r="H22" i="4"/>
  <c r="I17" i="4"/>
  <c r="J17" i="4"/>
  <c r="F17" i="4"/>
  <c r="E14" i="4"/>
  <c r="I14" i="4"/>
  <c r="C14" i="4"/>
  <c r="E22" i="4"/>
  <c r="D14" i="4"/>
  <c r="K14" i="4"/>
  <c r="F14" i="4"/>
  <c r="G14" i="4"/>
  <c r="H14" i="4"/>
  <c r="J14" i="4"/>
  <c r="F13" i="4"/>
  <c r="J13" i="4"/>
  <c r="D13" i="4"/>
  <c r="E13" i="4"/>
  <c r="D22" i="4"/>
  <c r="G13" i="4"/>
  <c r="H13" i="4"/>
  <c r="C13" i="4"/>
  <c r="I13" i="4"/>
  <c r="K13" i="4"/>
  <c r="B6" i="3"/>
  <c r="B16" i="4" s="1"/>
  <c r="B21" i="3"/>
  <c r="K11" i="4" s="1"/>
  <c r="B121" i="3"/>
  <c r="B92" i="3"/>
  <c r="B73" i="3"/>
  <c r="B54" i="3"/>
  <c r="B35" i="3"/>
  <c r="B16" i="3"/>
  <c r="B116" i="3"/>
  <c r="B97" i="3"/>
  <c r="B78" i="3"/>
  <c r="B59" i="3"/>
  <c r="B40" i="3"/>
  <c r="B31" i="3"/>
  <c r="B102" i="3"/>
  <c r="B83" i="3"/>
  <c r="B64" i="3"/>
  <c r="B45" i="3"/>
  <c r="B26" i="3"/>
  <c r="B7" i="3"/>
  <c r="B107" i="3"/>
  <c r="B88" i="3"/>
  <c r="B69" i="3"/>
  <c r="B50" i="3"/>
  <c r="F11" i="4" s="1"/>
  <c r="G12" i="4"/>
  <c r="C22" i="4"/>
  <c r="K12" i="4"/>
  <c r="J12" i="4"/>
  <c r="E12" i="4"/>
  <c r="F12" i="4"/>
  <c r="H12" i="4"/>
  <c r="I12" i="4"/>
  <c r="C12" i="4"/>
  <c r="D12" i="4"/>
  <c r="H20" i="4"/>
  <c r="K22" i="4"/>
  <c r="J20" i="4"/>
  <c r="K20" i="4"/>
  <c r="F20" i="4"/>
  <c r="G20" i="4"/>
  <c r="I20" i="4"/>
  <c r="C20" i="4"/>
  <c r="D20" i="4"/>
  <c r="E20" i="4"/>
  <c r="E39" i="5" l="1"/>
  <c r="D51" i="5" s="1" a="1"/>
  <c r="D51" i="5" s="1"/>
  <c r="C51" i="5" a="1"/>
  <c r="C51" i="5" s="1"/>
  <c r="B12" i="4"/>
  <c r="C11" i="4"/>
  <c r="D11" i="4"/>
  <c r="B17" i="4"/>
  <c r="B22" i="4"/>
  <c r="B26" i="4" s="1"/>
  <c r="B27" i="4" s="1"/>
  <c r="B13" i="4"/>
  <c r="B19" i="4"/>
  <c r="J11" i="4"/>
  <c r="H11" i="4"/>
  <c r="B18" i="4"/>
  <c r="B20" i="4"/>
  <c r="I11" i="4"/>
  <c r="B15" i="4"/>
  <c r="G11" i="4"/>
  <c r="B14" i="4"/>
  <c r="E11" i="4"/>
  <c r="B11" i="4"/>
  <c r="C61" i="5" l="1"/>
  <c r="C63" i="5" a="1"/>
  <c r="C63" i="5" s="1"/>
  <c r="D61" i="5"/>
  <c r="D63" i="5" a="1"/>
  <c r="D63" i="5" s="1"/>
  <c r="B23" i="4" a="1"/>
  <c r="B23" i="4" s="1"/>
  <c r="M11" i="4" l="1" a="1"/>
  <c r="M11" i="4" s="1"/>
  <c r="O22" i="4" s="1" a="1"/>
  <c r="O22" i="4" s="1"/>
  <c r="B24" i="4"/>
  <c r="B25" i="4" s="1"/>
  <c r="B2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<sst xmlns="http://schemas.openxmlformats.org/spreadsheetml/2006/main" count="208" uniqueCount="64">
  <si>
    <t>Dates</t>
  </si>
  <si>
    <t>Monthly</t>
  </si>
  <si>
    <t>Key</t>
  </si>
  <si>
    <t>SPY</t>
  </si>
  <si>
    <t>IWM</t>
  </si>
  <si>
    <t>TLT</t>
  </si>
  <si>
    <t>GLD</t>
  </si>
  <si>
    <t>VNQ</t>
  </si>
  <si>
    <t>ORCL</t>
  </si>
  <si>
    <t>BLK</t>
  </si>
  <si>
    <t>LMT</t>
  </si>
  <si>
    <t>XLV</t>
  </si>
  <si>
    <t>SMCI</t>
  </si>
  <si>
    <t>Company Name</t>
  </si>
  <si>
    <t>S&amp;P 500</t>
  </si>
  <si>
    <t>iShares Russell</t>
  </si>
  <si>
    <t>iShares Yearly Bond</t>
  </si>
  <si>
    <t>SPDR Gold Shares</t>
  </si>
  <si>
    <t>Vanguard Real Estate</t>
  </si>
  <si>
    <t>Oracle</t>
  </si>
  <si>
    <t>BlackRock</t>
  </si>
  <si>
    <t>Lockheed Martin</t>
  </si>
  <si>
    <t>SPDR Select Sector Fund</t>
  </si>
  <si>
    <t>Super Micro Computer Inc</t>
  </si>
  <si>
    <t>Ticker</t>
  </si>
  <si>
    <t>Market Capitalization</t>
  </si>
  <si>
    <t>Benchmark Proposition</t>
  </si>
  <si>
    <t xml:space="preserve">&lt;-- Variable </t>
  </si>
  <si>
    <t>Anticipated Benchmark Return</t>
  </si>
  <si>
    <t>&lt;-- Monthly Return</t>
  </si>
  <si>
    <t>Current T-Bill Rate (Risk Free Rate)</t>
  </si>
  <si>
    <t>&lt;-- Monthly Risk Free Rate</t>
  </si>
  <si>
    <t>Annual Risk Free</t>
  </si>
  <si>
    <t xml:space="preserve">Normalizing Factor </t>
  </si>
  <si>
    <t xml:space="preserve">Ticker </t>
  </si>
  <si>
    <t>Benchmark Porportion</t>
  </si>
  <si>
    <t>ERNF</t>
  </si>
  <si>
    <t>&lt;-- Expected Return with Normalizing Factor</t>
  </si>
  <si>
    <t>Average Return</t>
  </si>
  <si>
    <t>Check: Expected Return of Benchmark</t>
  </si>
  <si>
    <t>Portfolio Variance</t>
  </si>
  <si>
    <t>Portfolio Standard Dev/Month</t>
  </si>
  <si>
    <t>Annualized Volatility</t>
  </si>
  <si>
    <t>Expected Monthly Return</t>
  </si>
  <si>
    <t>Expected Annual Return</t>
  </si>
  <si>
    <t>Sharpe Ratio</t>
  </si>
  <si>
    <t>Anticpated Benchmark Return</t>
  </si>
  <si>
    <t>Current T-Bill Rate</t>
  </si>
  <si>
    <t>Annualized T-Bill Rate</t>
  </si>
  <si>
    <t>Normalizing Factor</t>
  </si>
  <si>
    <t>Ticker </t>
  </si>
  <si>
    <t>Variance-Covariance Matrix</t>
  </si>
  <si>
    <t>BL Tracking Matrix</t>
  </si>
  <si>
    <t>Analyst Confidence Level, γ</t>
  </si>
  <si>
    <t>Expected Benchmark Return, No Opinion</t>
  </si>
  <si>
    <t>Analyst's Opinion, Δ</t>
  </si>
  <si>
    <t>Returns Adjusted for Opinions</t>
  </si>
  <si>
    <t>Returns adj for opinions and confidence levels</t>
  </si>
  <si>
    <t>Optimized Portfolio with no Analyst Opinion</t>
  </si>
  <si>
    <t>Opinion Adjusted optimized portfolio</t>
  </si>
  <si>
    <t>Opinion and Confidence adjusted portfolio</t>
  </si>
  <si>
    <t>Sum</t>
  </si>
  <si>
    <t xml:space="preserve">Expected Portfolio Returns </t>
  </si>
  <si>
    <t>Expected Portfolio Returns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</si>
</sst>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charset val="1"/>
    </font>
    <font>
      <b/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8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1" applyNumberFormat="1" applyFont="1" applyAlignment="1">
      <alignment horizontal="left"/>
    </xf>
    <xf numFmtId="14" fontId="3" fillId="0" borderId="0" xfId="0" applyNumberFormat="1" applyFont="1"/>
    <xf numFmtId="10" fontId="0" fillId="0" borderId="0" xfId="2" applyNumberFormat="1" applyFont="1"/>
    <xf numFmtId="10" fontId="0" fillId="2" borderId="0" xfId="2" applyNumberFormat="1" applyFont="1" applyFill="1"/>
    <xf numFmtId="9" fontId="0" fillId="0" borderId="0" xfId="0" applyNumberFormat="1"/>
    <xf numFmtId="10" fontId="0" fillId="0" borderId="0" xfId="0" applyNumberFormat="1"/>
    <xf numFmtId="0" fontId="0" fillId="0" borderId="0" xfId="2" applyNumberFormat="1" applyFont="1"/>
    <xf numFmtId="0" fontId="0" fillId="3" borderId="0" xfId="0" applyFill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0" fontId="5" fillId="0" borderId="0" xfId="0" applyFont="1" applyAlignment="1"/>
    <xf numFmtId="10" fontId="5" fillId="0" borderId="0" xfId="0" applyNumberFormat="1" applyFont="1" applyAlignment="1"/>
    <xf numFmtId="0" fontId="5" fillId="0" borderId="0" xfId="0" applyFont="1" applyAlignment="1"/>
    <xf numFmtId="11" fontId="5" fillId="0" borderId="0" xfId="0" applyNumberFormat="1" applyFont="1" applyAlignment="1"/>
    <xf numFmtId="0" fontId="5" fillId="0" borderId="0" xfId="0" applyFont="1" applyAlignment="1">
      <alignment wrapText="1"/>
    </xf>
    <xf numFmtId="0" fontId="6" fillId="0" borderId="0" xfId="0" applyFont="1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96AA-CF44-784A-98F7-E390B0B39B55}">
  <dimension ref="A1:M2516"/>
  <sheetViews>
    <sheetView zoomScale="91" workbookViewId="0">
      <selection activeCell="N2" sqref="N2"/>
    </sheetView>
  </sheetViews>
  <sheetFormatPr defaultColWidth="11" defaultRowHeight="15.95"/>
  <cols>
    <col min="1" max="1" width="8.5" bestFit="1" customWidth="1"/>
    <col min="3" max="3" width="10.875" style="5"/>
  </cols>
  <sheetData>
    <row r="1" spans="1:13">
      <c r="A1" s="4" t="s">
        <v>0</v>
      </c>
      <c r="B1" s="7" t="s">
        <v>1</v>
      </c>
      <c r="C1" s="7" t="s">
        <v>2</v>
      </c>
      <c r="D1" s="4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>
      <c r="A2" s="9">
        <v>45954</v>
      </c>
      <c r="B2" s="1">
        <f t="shared" ref="B2:B65" si="0">EOMONTH(A2,-1)+1</f>
        <v>45931</v>
      </c>
      <c r="C2" s="5" t="str">
        <f>TEXT(A2, "yyyy-mm")</f>
        <v>2025-10</v>
      </c>
      <c r="D2" s="3">
        <v>677.25</v>
      </c>
      <c r="E2" s="3">
        <v>249.43</v>
      </c>
      <c r="F2" s="3">
        <v>91.47</v>
      </c>
      <c r="G2" s="3">
        <v>377.52</v>
      </c>
      <c r="H2" s="3">
        <v>92.43</v>
      </c>
      <c r="I2" s="2">
        <v>283.33</v>
      </c>
      <c r="J2" s="2">
        <v>1136.6300000000001</v>
      </c>
      <c r="K2" s="2">
        <v>485.41</v>
      </c>
      <c r="L2" s="3">
        <v>146.03</v>
      </c>
      <c r="M2" s="2">
        <v>48.29</v>
      </c>
    </row>
    <row r="3" spans="1:13">
      <c r="A3" s="9">
        <v>45953</v>
      </c>
      <c r="B3" s="1">
        <f t="shared" si="0"/>
        <v>45931</v>
      </c>
      <c r="C3" s="5" t="str">
        <f t="shared" ref="C3:C66" si="1">TEXT(A3, "yyyy-mm")</f>
        <v>2025-10</v>
      </c>
      <c r="D3" s="3">
        <v>671.76</v>
      </c>
      <c r="E3" s="3">
        <v>246.42</v>
      </c>
      <c r="F3" s="3">
        <v>91.43</v>
      </c>
      <c r="G3" s="3">
        <v>378.79</v>
      </c>
      <c r="H3" s="3">
        <v>92.16</v>
      </c>
      <c r="I3" s="2">
        <v>280.07</v>
      </c>
      <c r="J3" s="2">
        <v>1125</v>
      </c>
      <c r="K3" s="2">
        <v>488.05</v>
      </c>
      <c r="L3" s="3">
        <v>146.04</v>
      </c>
      <c r="M3" s="2">
        <v>47.92</v>
      </c>
    </row>
    <row r="4" spans="1:13">
      <c r="A4" s="9">
        <v>45952</v>
      </c>
      <c r="B4" s="1">
        <f t="shared" si="0"/>
        <v>45931</v>
      </c>
      <c r="C4" s="5" t="str">
        <f t="shared" si="1"/>
        <v>2025-10</v>
      </c>
      <c r="D4" s="3">
        <v>667.8</v>
      </c>
      <c r="E4" s="3">
        <v>243.34</v>
      </c>
      <c r="F4" s="3">
        <v>92.06</v>
      </c>
      <c r="G4" s="3">
        <v>377.28</v>
      </c>
      <c r="H4" s="3">
        <v>92.22</v>
      </c>
      <c r="I4" s="2">
        <v>272.66000000000003</v>
      </c>
      <c r="J4" s="2">
        <v>1129.68</v>
      </c>
      <c r="K4" s="2">
        <v>487.14</v>
      </c>
      <c r="L4" s="3">
        <v>145.96</v>
      </c>
      <c r="M4" s="2">
        <v>52.5</v>
      </c>
    </row>
    <row r="5" spans="1:13">
      <c r="A5" s="9">
        <v>45951</v>
      </c>
      <c r="B5" s="1">
        <f t="shared" si="0"/>
        <v>45931</v>
      </c>
      <c r="C5" s="5" t="str">
        <f t="shared" si="1"/>
        <v>2025-10</v>
      </c>
      <c r="D5" s="3">
        <v>671.29</v>
      </c>
      <c r="E5" s="3">
        <v>246.99</v>
      </c>
      <c r="F5" s="3">
        <v>92</v>
      </c>
      <c r="G5" s="3">
        <v>377.24</v>
      </c>
      <c r="H5" s="3">
        <v>91.83</v>
      </c>
      <c r="I5" s="2">
        <v>275.14999999999998</v>
      </c>
      <c r="J5" s="2">
        <v>1130</v>
      </c>
      <c r="K5" s="2">
        <v>489.5</v>
      </c>
      <c r="L5" s="3">
        <v>145.13</v>
      </c>
      <c r="M5" s="2">
        <v>54.82</v>
      </c>
    </row>
    <row r="6" spans="1:13">
      <c r="A6" s="9">
        <v>45950</v>
      </c>
      <c r="B6" s="1">
        <f t="shared" si="0"/>
        <v>45931</v>
      </c>
      <c r="C6" s="5" t="str">
        <f t="shared" si="1"/>
        <v>2025-10</v>
      </c>
      <c r="D6" s="3">
        <v>671.3</v>
      </c>
      <c r="E6" s="3">
        <v>248.16</v>
      </c>
      <c r="F6" s="3">
        <v>91.55</v>
      </c>
      <c r="G6" s="3">
        <v>403.15</v>
      </c>
      <c r="H6" s="3">
        <v>92.09</v>
      </c>
      <c r="I6" s="2">
        <v>277.18</v>
      </c>
      <c r="J6" s="2">
        <v>1160</v>
      </c>
      <c r="K6" s="2">
        <v>505.9</v>
      </c>
      <c r="L6" s="3">
        <v>144.79</v>
      </c>
      <c r="M6" s="2">
        <v>55.04</v>
      </c>
    </row>
    <row r="7" spans="1:13">
      <c r="A7" s="9">
        <v>45947</v>
      </c>
      <c r="B7" s="1">
        <f t="shared" si="0"/>
        <v>45931</v>
      </c>
      <c r="C7" s="5" t="str">
        <f t="shared" si="1"/>
        <v>2025-10</v>
      </c>
      <c r="D7" s="3">
        <v>664.39</v>
      </c>
      <c r="E7" s="3">
        <v>243.41</v>
      </c>
      <c r="F7" s="3">
        <v>91.2</v>
      </c>
      <c r="G7" s="3">
        <v>388.99</v>
      </c>
      <c r="H7" s="3">
        <v>91.17</v>
      </c>
      <c r="I7" s="2">
        <v>291.31</v>
      </c>
      <c r="J7" s="2">
        <v>1161.1600000000001</v>
      </c>
      <c r="K7" s="2">
        <v>495.15</v>
      </c>
      <c r="L7" s="3">
        <v>143.27000000000001</v>
      </c>
      <c r="M7" s="2">
        <v>52.18</v>
      </c>
    </row>
    <row r="8" spans="1:13">
      <c r="A8" s="9">
        <v>45946</v>
      </c>
      <c r="B8" s="1">
        <f t="shared" si="0"/>
        <v>45931</v>
      </c>
      <c r="C8" s="5" t="str">
        <f t="shared" si="1"/>
        <v>2025-10</v>
      </c>
      <c r="D8" s="3">
        <v>660.64</v>
      </c>
      <c r="E8" s="3">
        <v>245.06</v>
      </c>
      <c r="F8" s="3">
        <v>91.34</v>
      </c>
      <c r="G8" s="3">
        <v>396.45</v>
      </c>
      <c r="H8" s="3">
        <v>90.58</v>
      </c>
      <c r="I8" s="2">
        <v>313</v>
      </c>
      <c r="J8" s="2">
        <v>1171.3599999999999</v>
      </c>
      <c r="K8" s="2">
        <v>493.25</v>
      </c>
      <c r="L8" s="3">
        <v>142.32</v>
      </c>
      <c r="M8" s="2">
        <v>53.84</v>
      </c>
    </row>
    <row r="9" spans="1:13">
      <c r="A9" s="9">
        <v>45945</v>
      </c>
      <c r="B9" s="1">
        <f t="shared" si="0"/>
        <v>45931</v>
      </c>
      <c r="C9" s="5" t="str">
        <f t="shared" si="1"/>
        <v>2025-10</v>
      </c>
      <c r="D9" s="3">
        <v>665.17</v>
      </c>
      <c r="E9" s="3">
        <v>250.33</v>
      </c>
      <c r="F9" s="3">
        <v>90.66</v>
      </c>
      <c r="G9" s="3">
        <v>387.39</v>
      </c>
      <c r="H9" s="3">
        <v>90.9</v>
      </c>
      <c r="I9" s="2">
        <v>303.62</v>
      </c>
      <c r="J9" s="2">
        <v>1202.5899999999999</v>
      </c>
      <c r="K9" s="2">
        <v>499.41</v>
      </c>
      <c r="L9" s="3">
        <v>142.56</v>
      </c>
      <c r="M9" s="2">
        <v>53.94</v>
      </c>
    </row>
    <row r="10" spans="1:13">
      <c r="A10" s="9">
        <v>45944</v>
      </c>
      <c r="B10" s="1">
        <f t="shared" si="0"/>
        <v>45931</v>
      </c>
      <c r="C10" s="5" t="str">
        <f t="shared" si="1"/>
        <v>2025-10</v>
      </c>
      <c r="D10" s="3">
        <v>662.23</v>
      </c>
      <c r="E10" s="3">
        <v>247.9</v>
      </c>
      <c r="F10" s="3">
        <v>90.86</v>
      </c>
      <c r="G10" s="3">
        <v>380.79</v>
      </c>
      <c r="H10" s="3">
        <v>89.6</v>
      </c>
      <c r="I10" s="2">
        <v>299</v>
      </c>
      <c r="J10" s="2">
        <v>1194.26</v>
      </c>
      <c r="K10" s="2">
        <v>505.18</v>
      </c>
      <c r="L10" s="3">
        <v>142.34</v>
      </c>
      <c r="M10" s="2">
        <v>53.11</v>
      </c>
    </row>
    <row r="11" spans="1:13">
      <c r="A11" s="9">
        <v>45943</v>
      </c>
      <c r="B11" s="1">
        <f t="shared" si="0"/>
        <v>45931</v>
      </c>
      <c r="C11" s="5" t="str">
        <f t="shared" si="1"/>
        <v>2025-10</v>
      </c>
      <c r="D11" s="3">
        <v>663.04</v>
      </c>
      <c r="E11" s="3">
        <v>244.41</v>
      </c>
      <c r="F11" s="3">
        <v>90.57</v>
      </c>
      <c r="G11" s="3">
        <v>378.09</v>
      </c>
      <c r="H11" s="3">
        <v>88.69</v>
      </c>
      <c r="I11" s="2">
        <v>308.01</v>
      </c>
      <c r="J11" s="2">
        <v>1155.1199999999999</v>
      </c>
      <c r="K11" s="2">
        <v>503.83</v>
      </c>
      <c r="L11" s="3">
        <v>141.94999999999999</v>
      </c>
      <c r="M11" s="2">
        <v>54.75</v>
      </c>
    </row>
    <row r="12" spans="1:13">
      <c r="A12" s="9">
        <v>45940</v>
      </c>
      <c r="B12" s="1">
        <f t="shared" si="0"/>
        <v>45931</v>
      </c>
      <c r="C12" s="5" t="str">
        <f t="shared" si="1"/>
        <v>2025-10</v>
      </c>
      <c r="D12" s="3">
        <v>653.02</v>
      </c>
      <c r="E12" s="3">
        <v>237.79</v>
      </c>
      <c r="F12" s="3">
        <v>90.62</v>
      </c>
      <c r="G12" s="3">
        <v>369.12</v>
      </c>
      <c r="H12" s="3">
        <v>88.13</v>
      </c>
      <c r="I12" s="2">
        <v>292.95999999999998</v>
      </c>
      <c r="J12" s="2">
        <v>1132.3599999999999</v>
      </c>
      <c r="K12" s="2">
        <v>505.05</v>
      </c>
      <c r="L12" s="3">
        <v>142.11000000000001</v>
      </c>
      <c r="M12" s="2">
        <v>52.86</v>
      </c>
    </row>
    <row r="13" spans="1:13">
      <c r="A13" s="9">
        <v>45939</v>
      </c>
      <c r="B13" s="1">
        <f t="shared" si="0"/>
        <v>45931</v>
      </c>
      <c r="C13" s="5" t="str">
        <f t="shared" si="1"/>
        <v>2025-10</v>
      </c>
      <c r="D13" s="3">
        <v>671.16</v>
      </c>
      <c r="E13" s="3">
        <v>245.13</v>
      </c>
      <c r="F13" s="3">
        <v>89.18</v>
      </c>
      <c r="G13" s="3">
        <v>365.43</v>
      </c>
      <c r="H13" s="3">
        <v>89.27</v>
      </c>
      <c r="I13" s="2">
        <v>296.95999999999998</v>
      </c>
      <c r="J13" s="2">
        <v>1167.43</v>
      </c>
      <c r="K13" s="2">
        <v>507.76</v>
      </c>
      <c r="L13" s="3">
        <v>144.19</v>
      </c>
      <c r="M13" s="2">
        <v>57.98</v>
      </c>
    </row>
    <row r="14" spans="1:13">
      <c r="A14" s="9">
        <v>45938</v>
      </c>
      <c r="B14" s="1">
        <f t="shared" si="0"/>
        <v>45931</v>
      </c>
      <c r="C14" s="5" t="str">
        <f t="shared" si="1"/>
        <v>2025-10</v>
      </c>
      <c r="D14" s="3">
        <v>673.11</v>
      </c>
      <c r="E14" s="3">
        <v>246.72</v>
      </c>
      <c r="F14" s="3">
        <v>89.25</v>
      </c>
      <c r="G14" s="3">
        <v>372.3</v>
      </c>
      <c r="H14" s="3">
        <v>89.76</v>
      </c>
      <c r="I14" s="2">
        <v>288.63</v>
      </c>
      <c r="J14" s="2">
        <v>1165</v>
      </c>
      <c r="K14" s="2">
        <v>514.02</v>
      </c>
      <c r="L14" s="3">
        <v>144.51</v>
      </c>
      <c r="M14" s="2">
        <v>58.68</v>
      </c>
    </row>
    <row r="15" spans="1:13">
      <c r="A15" s="9">
        <v>45937</v>
      </c>
      <c r="B15" s="1">
        <f t="shared" si="0"/>
        <v>45931</v>
      </c>
      <c r="C15" s="5" t="str">
        <f t="shared" si="1"/>
        <v>2025-10</v>
      </c>
      <c r="D15" s="3">
        <v>669.12</v>
      </c>
      <c r="E15" s="3">
        <v>244.16</v>
      </c>
      <c r="F15" s="3">
        <v>89.18</v>
      </c>
      <c r="G15" s="3">
        <v>366.26</v>
      </c>
      <c r="H15" s="3">
        <v>90.23</v>
      </c>
      <c r="I15" s="2">
        <v>284.24</v>
      </c>
      <c r="J15" s="2">
        <v>1166.23</v>
      </c>
      <c r="K15" s="2">
        <v>511.07</v>
      </c>
      <c r="L15" s="3">
        <v>144.22999999999999</v>
      </c>
      <c r="M15" s="2">
        <v>55.07</v>
      </c>
    </row>
    <row r="16" spans="1:13">
      <c r="A16" s="9">
        <v>45936</v>
      </c>
      <c r="B16" s="1">
        <f t="shared" si="0"/>
        <v>45931</v>
      </c>
      <c r="C16" s="5" t="str">
        <f t="shared" si="1"/>
        <v>2025-10</v>
      </c>
      <c r="D16" s="3">
        <v>671.61</v>
      </c>
      <c r="E16" s="3">
        <v>246.81</v>
      </c>
      <c r="F16" s="3">
        <v>88.67</v>
      </c>
      <c r="G16" s="3">
        <v>364.38</v>
      </c>
      <c r="H16" s="3">
        <v>90.56</v>
      </c>
      <c r="I16" s="2">
        <v>291.58999999999997</v>
      </c>
      <c r="J16" s="2">
        <v>1179.27</v>
      </c>
      <c r="K16" s="2">
        <v>514.24</v>
      </c>
      <c r="L16" s="3">
        <v>144.12</v>
      </c>
      <c r="M16" s="2">
        <v>54.62</v>
      </c>
    </row>
    <row r="17" spans="1:13">
      <c r="A17" s="9">
        <v>45933</v>
      </c>
      <c r="B17" s="1">
        <f t="shared" si="0"/>
        <v>45931</v>
      </c>
      <c r="C17" s="5" t="str">
        <f t="shared" si="1"/>
        <v>2025-10</v>
      </c>
      <c r="D17" s="3">
        <v>669.21</v>
      </c>
      <c r="E17" s="3">
        <v>245.83</v>
      </c>
      <c r="F17" s="3">
        <v>89.38</v>
      </c>
      <c r="G17" s="3">
        <v>357.64</v>
      </c>
      <c r="H17" s="3">
        <v>91.42</v>
      </c>
      <c r="I17" s="2">
        <v>286.14</v>
      </c>
      <c r="J17" s="2">
        <v>1160.69</v>
      </c>
      <c r="K17" s="2">
        <v>504.49</v>
      </c>
      <c r="L17" s="3">
        <v>144.82</v>
      </c>
      <c r="M17" s="2">
        <v>51.96</v>
      </c>
    </row>
    <row r="18" spans="1:13">
      <c r="A18" s="9">
        <v>45932</v>
      </c>
      <c r="B18" s="1">
        <f t="shared" si="0"/>
        <v>45931</v>
      </c>
      <c r="C18" s="5" t="str">
        <f t="shared" si="1"/>
        <v>2025-10</v>
      </c>
      <c r="D18" s="3">
        <v>669.22</v>
      </c>
      <c r="E18" s="3">
        <v>244.02</v>
      </c>
      <c r="F18" s="3">
        <v>89.55</v>
      </c>
      <c r="G18" s="3">
        <v>354.79</v>
      </c>
      <c r="H18" s="3">
        <v>91.08</v>
      </c>
      <c r="I18" s="2">
        <v>288.77999999999997</v>
      </c>
      <c r="J18" s="2">
        <v>1160.54</v>
      </c>
      <c r="K18" s="2">
        <v>499.36</v>
      </c>
      <c r="L18" s="3">
        <v>143.19</v>
      </c>
      <c r="M18" s="2">
        <v>52.5</v>
      </c>
    </row>
    <row r="19" spans="1:13">
      <c r="A19" s="9">
        <v>45931</v>
      </c>
      <c r="B19" s="1">
        <f t="shared" si="0"/>
        <v>45931</v>
      </c>
      <c r="C19" s="5" t="str">
        <f t="shared" si="1"/>
        <v>2025-10</v>
      </c>
      <c r="D19" s="3">
        <v>668.45</v>
      </c>
      <c r="E19" s="3">
        <v>242.49</v>
      </c>
      <c r="F19" s="3">
        <v>89.29</v>
      </c>
      <c r="G19" s="3">
        <v>356.03</v>
      </c>
      <c r="H19" s="3">
        <v>91.56</v>
      </c>
      <c r="I19" s="2">
        <v>289.01</v>
      </c>
      <c r="J19" s="2">
        <v>1141.07</v>
      </c>
      <c r="K19" s="2">
        <v>499</v>
      </c>
      <c r="L19" s="3">
        <v>143.47</v>
      </c>
      <c r="M19" s="2">
        <v>52.39</v>
      </c>
    </row>
    <row r="20" spans="1:13">
      <c r="A20" s="9">
        <v>45930</v>
      </c>
      <c r="B20" s="1">
        <f t="shared" si="0"/>
        <v>45901</v>
      </c>
      <c r="C20" s="5" t="str">
        <f t="shared" si="1"/>
        <v>2025-09</v>
      </c>
      <c r="D20" s="3">
        <v>666.18</v>
      </c>
      <c r="E20" s="3">
        <v>241.96</v>
      </c>
      <c r="F20" s="3">
        <v>89.37</v>
      </c>
      <c r="G20" s="3">
        <v>355.47</v>
      </c>
      <c r="H20" s="3">
        <v>91.42</v>
      </c>
      <c r="I20" s="2">
        <v>281.24</v>
      </c>
      <c r="J20" s="2">
        <v>1165.8699999999999</v>
      </c>
      <c r="K20" s="2">
        <v>499.21</v>
      </c>
      <c r="L20" s="3">
        <v>139.16999999999999</v>
      </c>
      <c r="M20" s="2">
        <v>47.94</v>
      </c>
    </row>
    <row r="21" spans="1:13">
      <c r="A21" s="9">
        <v>45929</v>
      </c>
      <c r="B21" s="1">
        <f t="shared" si="0"/>
        <v>45901</v>
      </c>
      <c r="C21" s="5" t="str">
        <f t="shared" si="1"/>
        <v>2025-09</v>
      </c>
      <c r="D21" s="3">
        <v>663.68</v>
      </c>
      <c r="E21" s="3">
        <v>241.62</v>
      </c>
      <c r="F21" s="3">
        <v>89.63</v>
      </c>
      <c r="G21" s="3">
        <v>352.46</v>
      </c>
      <c r="H21" s="3">
        <v>91.05</v>
      </c>
      <c r="I21" s="2">
        <v>282.76</v>
      </c>
      <c r="J21" s="2">
        <v>1175.56</v>
      </c>
      <c r="K21" s="2">
        <v>491.98</v>
      </c>
      <c r="L21" s="3">
        <v>135.9</v>
      </c>
      <c r="M21" s="2">
        <v>46.36</v>
      </c>
    </row>
    <row r="22" spans="1:13">
      <c r="A22" s="9">
        <v>45926</v>
      </c>
      <c r="B22" s="1">
        <f t="shared" si="0"/>
        <v>45901</v>
      </c>
      <c r="C22" s="5" t="str">
        <f t="shared" si="1"/>
        <v>2025-09</v>
      </c>
      <c r="D22" s="3">
        <v>661.82</v>
      </c>
      <c r="E22" s="3">
        <v>241.34</v>
      </c>
      <c r="F22" s="3">
        <v>88.9</v>
      </c>
      <c r="G22" s="3">
        <v>346.74</v>
      </c>
      <c r="H22" s="3">
        <v>91.02</v>
      </c>
      <c r="I22" s="2">
        <v>283.45999999999998</v>
      </c>
      <c r="J22" s="2">
        <v>1156.45</v>
      </c>
      <c r="K22" s="2">
        <v>487.44</v>
      </c>
      <c r="L22" s="3">
        <v>135.5</v>
      </c>
      <c r="M22" s="2">
        <v>45.82</v>
      </c>
    </row>
    <row r="23" spans="1:13">
      <c r="A23" s="9">
        <v>45925</v>
      </c>
      <c r="B23" s="1">
        <f t="shared" si="0"/>
        <v>45901</v>
      </c>
      <c r="C23" s="5" t="str">
        <f t="shared" si="1"/>
        <v>2025-09</v>
      </c>
      <c r="D23" s="3">
        <v>658.05</v>
      </c>
      <c r="E23" s="3">
        <v>239.29</v>
      </c>
      <c r="F23" s="3">
        <v>88.98</v>
      </c>
      <c r="G23" s="3">
        <v>344.75</v>
      </c>
      <c r="H23" s="3">
        <v>90.13</v>
      </c>
      <c r="I23" s="2">
        <v>291.33</v>
      </c>
      <c r="J23" s="2">
        <v>1147.29</v>
      </c>
      <c r="K23" s="2">
        <v>484.34</v>
      </c>
      <c r="L23" s="3">
        <v>134.13</v>
      </c>
      <c r="M23" s="2">
        <v>46.24</v>
      </c>
    </row>
    <row r="24" spans="1:13">
      <c r="A24" s="9">
        <v>45924</v>
      </c>
      <c r="B24" s="1">
        <f t="shared" si="0"/>
        <v>45901</v>
      </c>
      <c r="C24" s="5" t="str">
        <f t="shared" si="1"/>
        <v>2025-09</v>
      </c>
      <c r="D24" s="3">
        <v>661.1</v>
      </c>
      <c r="E24" s="3">
        <v>241.6</v>
      </c>
      <c r="F24" s="3">
        <v>88.98</v>
      </c>
      <c r="G24" s="3">
        <v>343.32</v>
      </c>
      <c r="H24" s="3">
        <v>90.4</v>
      </c>
      <c r="I24" s="2">
        <v>308.45999999999998</v>
      </c>
      <c r="J24" s="2">
        <v>1127.98</v>
      </c>
      <c r="K24" s="2">
        <v>486.25</v>
      </c>
      <c r="L24" s="3">
        <v>136.38999999999999</v>
      </c>
      <c r="M24" s="2">
        <v>46.2</v>
      </c>
    </row>
    <row r="25" spans="1:13">
      <c r="A25" s="9">
        <v>45923</v>
      </c>
      <c r="B25" s="1">
        <f t="shared" si="0"/>
        <v>45901</v>
      </c>
      <c r="C25" s="5" t="str">
        <f t="shared" si="1"/>
        <v>2025-09</v>
      </c>
      <c r="D25" s="3">
        <v>663.21</v>
      </c>
      <c r="E25" s="3">
        <v>243.84</v>
      </c>
      <c r="F25" s="3">
        <v>89.32</v>
      </c>
      <c r="G25" s="3">
        <v>346.46</v>
      </c>
      <c r="H25" s="3">
        <v>92.17</v>
      </c>
      <c r="I25" s="2">
        <v>313.83</v>
      </c>
      <c r="J25" s="2">
        <v>1131.75</v>
      </c>
      <c r="K25" s="2">
        <v>486.67</v>
      </c>
      <c r="L25" s="3">
        <v>136.94</v>
      </c>
      <c r="M25" s="2">
        <v>46.99</v>
      </c>
    </row>
    <row r="26" spans="1:13">
      <c r="A26" s="9">
        <v>45922</v>
      </c>
      <c r="B26" s="1">
        <f t="shared" si="0"/>
        <v>45901</v>
      </c>
      <c r="C26" s="5" t="str">
        <f t="shared" si="1"/>
        <v>2025-09</v>
      </c>
      <c r="D26" s="3">
        <v>666.84</v>
      </c>
      <c r="E26" s="3">
        <v>244.39</v>
      </c>
      <c r="F26" s="3">
        <v>88.7</v>
      </c>
      <c r="G26" s="3">
        <v>345.05</v>
      </c>
      <c r="H26" s="3">
        <v>91.67</v>
      </c>
      <c r="I26" s="2">
        <v>328.15</v>
      </c>
      <c r="J26" s="2">
        <v>1136.21</v>
      </c>
      <c r="K26" s="2">
        <v>480.39</v>
      </c>
      <c r="L26" s="3">
        <v>136.63</v>
      </c>
      <c r="M26" s="2">
        <v>46.87</v>
      </c>
    </row>
    <row r="27" spans="1:13">
      <c r="A27" s="9">
        <v>45919</v>
      </c>
      <c r="B27" s="1">
        <f t="shared" si="0"/>
        <v>45901</v>
      </c>
      <c r="C27" s="5" t="str">
        <f t="shared" si="1"/>
        <v>2025-09</v>
      </c>
      <c r="D27" s="3">
        <v>663.7</v>
      </c>
      <c r="E27" s="3">
        <v>242.98</v>
      </c>
      <c r="F27" s="3">
        <v>89.02</v>
      </c>
      <c r="G27" s="3">
        <v>339.18</v>
      </c>
      <c r="H27" s="3">
        <v>91.65</v>
      </c>
      <c r="I27" s="2">
        <v>308.66000000000003</v>
      </c>
      <c r="J27" s="2">
        <v>1142.8499999999999</v>
      </c>
      <c r="K27" s="2">
        <v>472.94</v>
      </c>
      <c r="L27" s="3">
        <v>137.29</v>
      </c>
      <c r="M27" s="2">
        <v>45.81</v>
      </c>
    </row>
    <row r="28" spans="1:13">
      <c r="A28" s="9">
        <v>45918</v>
      </c>
      <c r="B28" s="1">
        <f t="shared" si="0"/>
        <v>45901</v>
      </c>
      <c r="C28" s="5" t="str">
        <f t="shared" si="1"/>
        <v>2025-09</v>
      </c>
      <c r="D28" s="3">
        <v>662.26</v>
      </c>
      <c r="E28" s="3">
        <v>244.84</v>
      </c>
      <c r="F28" s="3">
        <v>89.19</v>
      </c>
      <c r="G28" s="3">
        <v>335.62</v>
      </c>
      <c r="H28" s="3">
        <v>92.25</v>
      </c>
      <c r="I28" s="2">
        <v>296.62</v>
      </c>
      <c r="J28" s="2">
        <v>1137.1300000000001</v>
      </c>
      <c r="K28" s="2">
        <v>473.62</v>
      </c>
      <c r="L28" s="3">
        <v>137.47</v>
      </c>
      <c r="M28" s="2">
        <v>45.94</v>
      </c>
    </row>
    <row r="29" spans="1:13">
      <c r="A29" s="9">
        <v>45917</v>
      </c>
      <c r="B29" s="1">
        <f t="shared" si="0"/>
        <v>45901</v>
      </c>
      <c r="C29" s="5" t="str">
        <f t="shared" si="1"/>
        <v>2025-09</v>
      </c>
      <c r="D29" s="3">
        <v>659.18</v>
      </c>
      <c r="E29" s="3">
        <v>238.89</v>
      </c>
      <c r="F29" s="3">
        <v>90.12</v>
      </c>
      <c r="G29" s="3">
        <v>336.97</v>
      </c>
      <c r="H29" s="3">
        <v>92.05</v>
      </c>
      <c r="I29" s="2">
        <v>301.41000000000003</v>
      </c>
      <c r="J29" s="2">
        <v>1131.78</v>
      </c>
      <c r="K29" s="2">
        <v>473.12</v>
      </c>
      <c r="L29" s="3">
        <v>137.19999999999999</v>
      </c>
      <c r="M29" s="2">
        <v>44.9</v>
      </c>
    </row>
    <row r="30" spans="1:13">
      <c r="A30" s="9">
        <v>45916</v>
      </c>
      <c r="B30" s="1">
        <f t="shared" si="0"/>
        <v>45901</v>
      </c>
      <c r="C30" s="5" t="str">
        <f t="shared" si="1"/>
        <v>2025-09</v>
      </c>
      <c r="D30" s="3">
        <v>660</v>
      </c>
      <c r="E30" s="3">
        <v>238.28</v>
      </c>
      <c r="F30" s="3">
        <v>90.35</v>
      </c>
      <c r="G30" s="3">
        <v>339.59</v>
      </c>
      <c r="H30" s="3">
        <v>92.17</v>
      </c>
      <c r="I30" s="2">
        <v>306.64999999999998</v>
      </c>
      <c r="J30" s="2">
        <v>1118.8900000000001</v>
      </c>
      <c r="K30" s="2">
        <v>474.32</v>
      </c>
      <c r="L30" s="3">
        <v>136.93</v>
      </c>
      <c r="M30" s="2">
        <v>44.91</v>
      </c>
    </row>
    <row r="31" spans="1:13">
      <c r="A31" s="9">
        <v>45915</v>
      </c>
      <c r="B31" s="1">
        <f t="shared" si="0"/>
        <v>45901</v>
      </c>
      <c r="C31" s="5" t="str">
        <f t="shared" si="1"/>
        <v>2025-09</v>
      </c>
      <c r="D31" s="3">
        <v>660.91</v>
      </c>
      <c r="E31" s="3">
        <v>239.35</v>
      </c>
      <c r="F31" s="3">
        <v>90.16</v>
      </c>
      <c r="G31" s="3">
        <v>338.91</v>
      </c>
      <c r="H31" s="3">
        <v>92.66</v>
      </c>
      <c r="I31" s="2">
        <v>302.14</v>
      </c>
      <c r="J31" s="2">
        <v>1115.1099999999999</v>
      </c>
      <c r="K31" s="2">
        <v>473.25</v>
      </c>
      <c r="L31" s="3">
        <v>136.93</v>
      </c>
      <c r="M31" s="2">
        <v>45.38</v>
      </c>
    </row>
    <row r="32" spans="1:13">
      <c r="A32" s="9">
        <v>45912</v>
      </c>
      <c r="B32" s="1">
        <f t="shared" si="0"/>
        <v>45901</v>
      </c>
      <c r="C32" s="5" t="str">
        <f t="shared" si="1"/>
        <v>2025-09</v>
      </c>
      <c r="D32" s="3">
        <v>657.41</v>
      </c>
      <c r="E32" s="3">
        <v>238.34</v>
      </c>
      <c r="F32" s="3">
        <v>89.95</v>
      </c>
      <c r="G32" s="3">
        <v>335.42</v>
      </c>
      <c r="H32" s="3">
        <v>92.81</v>
      </c>
      <c r="I32" s="2">
        <v>292.18</v>
      </c>
      <c r="J32" s="2">
        <v>1123.4100000000001</v>
      </c>
      <c r="K32" s="2">
        <v>471.31</v>
      </c>
      <c r="L32" s="3">
        <v>138.11000000000001</v>
      </c>
      <c r="M32" s="2">
        <v>45</v>
      </c>
    </row>
    <row r="33" spans="1:13">
      <c r="A33" s="9">
        <v>45911</v>
      </c>
      <c r="B33" s="1">
        <f t="shared" si="0"/>
        <v>45901</v>
      </c>
      <c r="C33" s="5" t="str">
        <f t="shared" si="1"/>
        <v>2025-09</v>
      </c>
      <c r="D33" s="3">
        <v>657.63</v>
      </c>
      <c r="E33" s="3">
        <v>240.8</v>
      </c>
      <c r="F33" s="3">
        <v>90.34</v>
      </c>
      <c r="G33" s="3">
        <v>334.76</v>
      </c>
      <c r="H33" s="3">
        <v>93.24</v>
      </c>
      <c r="I33" s="2">
        <v>307.86</v>
      </c>
      <c r="J33" s="2">
        <v>1134.18</v>
      </c>
      <c r="K33" s="2">
        <v>470.73</v>
      </c>
      <c r="L33" s="3">
        <v>139.72</v>
      </c>
      <c r="M33" s="2">
        <v>43.95</v>
      </c>
    </row>
    <row r="34" spans="1:13">
      <c r="A34" s="9">
        <v>45910</v>
      </c>
      <c r="B34" s="1">
        <f t="shared" si="0"/>
        <v>45901</v>
      </c>
      <c r="C34" s="5" t="str">
        <f t="shared" si="1"/>
        <v>2025-09</v>
      </c>
      <c r="D34" s="3">
        <v>652.21</v>
      </c>
      <c r="E34" s="3">
        <v>236.43</v>
      </c>
      <c r="F34" s="3">
        <v>89.74</v>
      </c>
      <c r="G34" s="3">
        <v>335.26</v>
      </c>
      <c r="H34" s="3">
        <v>91.57</v>
      </c>
      <c r="I34" s="2">
        <v>328.33</v>
      </c>
      <c r="J34" s="2">
        <v>1102.8900000000001</v>
      </c>
      <c r="K34" s="2">
        <v>463.87</v>
      </c>
      <c r="L34" s="3">
        <v>137.33000000000001</v>
      </c>
      <c r="M34" s="2">
        <v>43.91</v>
      </c>
    </row>
    <row r="35" spans="1:13">
      <c r="A35" s="9">
        <v>45909</v>
      </c>
      <c r="B35" s="1">
        <f t="shared" si="0"/>
        <v>45901</v>
      </c>
      <c r="C35" s="5" t="str">
        <f t="shared" si="1"/>
        <v>2025-09</v>
      </c>
      <c r="D35" s="3">
        <v>650.33000000000004</v>
      </c>
      <c r="E35" s="3">
        <v>236.85</v>
      </c>
      <c r="F35" s="3">
        <v>89.23</v>
      </c>
      <c r="G35" s="3">
        <v>334.06</v>
      </c>
      <c r="H35" s="3">
        <v>91.72</v>
      </c>
      <c r="I35" s="2">
        <v>241.51</v>
      </c>
      <c r="J35" s="2">
        <v>1105.67</v>
      </c>
      <c r="K35" s="2">
        <v>457.06</v>
      </c>
      <c r="L35" s="3">
        <v>138.59</v>
      </c>
      <c r="M35" s="2">
        <v>42.92</v>
      </c>
    </row>
    <row r="36" spans="1:13">
      <c r="A36" s="9">
        <v>45908</v>
      </c>
      <c r="B36" s="1">
        <f t="shared" si="0"/>
        <v>45901</v>
      </c>
      <c r="C36" s="5" t="str">
        <f t="shared" si="1"/>
        <v>2025-09</v>
      </c>
      <c r="D36" s="3">
        <v>648.83000000000004</v>
      </c>
      <c r="E36" s="3">
        <v>238.25</v>
      </c>
      <c r="F36" s="3">
        <v>89.74</v>
      </c>
      <c r="G36" s="3">
        <v>334.82</v>
      </c>
      <c r="H36" s="3">
        <v>91.93</v>
      </c>
      <c r="I36" s="2">
        <v>238.48</v>
      </c>
      <c r="J36" s="2">
        <v>1104.92</v>
      </c>
      <c r="K36" s="2">
        <v>459.11</v>
      </c>
      <c r="L36" s="3">
        <v>137.85</v>
      </c>
      <c r="M36" s="2">
        <v>40.04</v>
      </c>
    </row>
    <row r="37" spans="1:13">
      <c r="A37" s="9">
        <v>45905</v>
      </c>
      <c r="B37" s="1">
        <f t="shared" si="0"/>
        <v>45901</v>
      </c>
      <c r="C37" s="5" t="str">
        <f t="shared" si="1"/>
        <v>2025-09</v>
      </c>
      <c r="D37" s="3">
        <v>647.24</v>
      </c>
      <c r="E37" s="3">
        <v>237.77</v>
      </c>
      <c r="F37" s="3">
        <v>88.56</v>
      </c>
      <c r="G37" s="3">
        <v>331.05</v>
      </c>
      <c r="H37" s="3">
        <v>92.47</v>
      </c>
      <c r="I37" s="2">
        <v>232.8</v>
      </c>
      <c r="J37" s="2">
        <v>1099.1500000000001</v>
      </c>
      <c r="K37" s="2">
        <v>463.9</v>
      </c>
      <c r="L37" s="3">
        <v>137.9</v>
      </c>
      <c r="M37" s="2">
        <v>40.409999999999997</v>
      </c>
    </row>
    <row r="38" spans="1:13">
      <c r="A38" s="9">
        <v>45904</v>
      </c>
      <c r="B38" s="1">
        <f t="shared" si="0"/>
        <v>45901</v>
      </c>
      <c r="C38" s="5" t="str">
        <f t="shared" si="1"/>
        <v>2025-09</v>
      </c>
      <c r="D38" s="3">
        <v>649.12</v>
      </c>
      <c r="E38" s="3">
        <v>236.59</v>
      </c>
      <c r="F38" s="3">
        <v>87.23</v>
      </c>
      <c r="G38" s="3">
        <v>326.69</v>
      </c>
      <c r="H38" s="3">
        <v>91.44</v>
      </c>
      <c r="I38" s="2">
        <v>223</v>
      </c>
      <c r="J38" s="2">
        <v>1108.76</v>
      </c>
      <c r="K38" s="2">
        <v>456.85</v>
      </c>
      <c r="L38" s="3">
        <v>137.43</v>
      </c>
      <c r="M38" s="2">
        <v>40.700000000000003</v>
      </c>
    </row>
    <row r="39" spans="1:13">
      <c r="A39" s="9">
        <v>45903</v>
      </c>
      <c r="B39" s="1">
        <f t="shared" si="0"/>
        <v>45901</v>
      </c>
      <c r="C39" s="5" t="str">
        <f t="shared" si="1"/>
        <v>2025-09</v>
      </c>
      <c r="D39" s="3">
        <v>643.74</v>
      </c>
      <c r="E39" s="3">
        <v>233.67</v>
      </c>
      <c r="F39" s="3">
        <v>86.57</v>
      </c>
      <c r="G39" s="3">
        <v>328.14</v>
      </c>
      <c r="H39" s="3">
        <v>90.76</v>
      </c>
      <c r="I39" s="2">
        <v>223.45</v>
      </c>
      <c r="J39" s="2">
        <v>1099.49</v>
      </c>
      <c r="K39" s="2">
        <v>449.06</v>
      </c>
      <c r="L39" s="3">
        <v>136.91</v>
      </c>
      <c r="M39" s="2">
        <v>40.1</v>
      </c>
    </row>
    <row r="40" spans="1:13">
      <c r="A40" s="9">
        <v>45902</v>
      </c>
      <c r="B40" s="1">
        <f t="shared" si="0"/>
        <v>45901</v>
      </c>
      <c r="C40" s="5" t="str">
        <f t="shared" si="1"/>
        <v>2025-09</v>
      </c>
      <c r="D40" s="3">
        <v>640.27</v>
      </c>
      <c r="E40" s="3">
        <v>233.9</v>
      </c>
      <c r="F40" s="3">
        <v>85.63</v>
      </c>
      <c r="G40" s="3">
        <v>325.58999999999997</v>
      </c>
      <c r="H40" s="3">
        <v>90.71</v>
      </c>
      <c r="I40" s="2">
        <v>225.3</v>
      </c>
      <c r="J40" s="2">
        <v>1114.77</v>
      </c>
      <c r="K40" s="2">
        <v>452.5</v>
      </c>
      <c r="L40" s="3">
        <v>137.56</v>
      </c>
      <c r="M40" s="2">
        <v>40.78</v>
      </c>
    </row>
    <row r="41" spans="1:13">
      <c r="A41" s="9">
        <v>45898</v>
      </c>
      <c r="B41" s="1">
        <f t="shared" si="0"/>
        <v>45870</v>
      </c>
      <c r="C41" s="5" t="str">
        <f t="shared" si="1"/>
        <v>2025-08</v>
      </c>
      <c r="D41" s="3">
        <v>645.04999999999995</v>
      </c>
      <c r="E41" s="3">
        <v>235.17</v>
      </c>
      <c r="F41" s="3">
        <v>86.6</v>
      </c>
      <c r="G41" s="3">
        <v>318.07</v>
      </c>
      <c r="H41" s="3">
        <v>92.24</v>
      </c>
      <c r="I41" s="2">
        <v>226.13</v>
      </c>
      <c r="J41" s="2">
        <v>1127.1400000000001</v>
      </c>
      <c r="K41" s="2">
        <v>455.63</v>
      </c>
      <c r="L41" s="3">
        <v>137.43</v>
      </c>
      <c r="M41" s="2">
        <v>41.54</v>
      </c>
    </row>
    <row r="42" spans="1:13">
      <c r="A42" s="9">
        <v>45897</v>
      </c>
      <c r="B42" s="1">
        <f t="shared" si="0"/>
        <v>45870</v>
      </c>
      <c r="C42" s="5" t="str">
        <f t="shared" si="1"/>
        <v>2025-08</v>
      </c>
      <c r="D42" s="3">
        <v>648.91999999999996</v>
      </c>
      <c r="E42" s="3">
        <v>236.22</v>
      </c>
      <c r="F42" s="3">
        <v>87.22</v>
      </c>
      <c r="G42" s="3">
        <v>315.02999999999997</v>
      </c>
      <c r="H42" s="3">
        <v>91.74</v>
      </c>
      <c r="I42" s="2">
        <v>240.32</v>
      </c>
      <c r="J42" s="2">
        <v>1130.48</v>
      </c>
      <c r="K42" s="2">
        <v>456.18</v>
      </c>
      <c r="L42" s="3">
        <v>136.43</v>
      </c>
      <c r="M42" s="2">
        <v>43.97</v>
      </c>
    </row>
    <row r="43" spans="1:13">
      <c r="A43" s="9">
        <v>45896</v>
      </c>
      <c r="B43" s="1">
        <f t="shared" si="0"/>
        <v>45870</v>
      </c>
      <c r="C43" s="5" t="str">
        <f t="shared" si="1"/>
        <v>2025-08</v>
      </c>
      <c r="D43" s="3">
        <v>646.63</v>
      </c>
      <c r="E43" s="3">
        <v>235.94</v>
      </c>
      <c r="F43" s="3">
        <v>86.65</v>
      </c>
      <c r="G43" s="3">
        <v>312.70999999999998</v>
      </c>
      <c r="H43" s="3">
        <v>91.98</v>
      </c>
      <c r="I43" s="2">
        <v>235.81</v>
      </c>
      <c r="J43" s="2">
        <v>1131.6300000000001</v>
      </c>
      <c r="K43" s="2">
        <v>454.47</v>
      </c>
      <c r="L43" s="3">
        <v>136.97</v>
      </c>
      <c r="M43" s="2">
        <v>44.76</v>
      </c>
    </row>
    <row r="44" spans="1:13">
      <c r="A44" s="9">
        <v>45895</v>
      </c>
      <c r="B44" s="1">
        <f t="shared" si="0"/>
        <v>45870</v>
      </c>
      <c r="C44" s="5" t="str">
        <f t="shared" si="1"/>
        <v>2025-08</v>
      </c>
      <c r="D44" s="3">
        <v>645.16</v>
      </c>
      <c r="E44" s="3">
        <v>234.28</v>
      </c>
      <c r="F44" s="3">
        <v>86.75</v>
      </c>
      <c r="G44" s="3">
        <v>312.08</v>
      </c>
      <c r="H44" s="3">
        <v>91.41</v>
      </c>
      <c r="I44" s="2">
        <v>234.21</v>
      </c>
      <c r="J44" s="2">
        <v>1139.8</v>
      </c>
      <c r="K44" s="2">
        <v>455.46</v>
      </c>
      <c r="L44" s="3">
        <v>137.05000000000001</v>
      </c>
      <c r="M44" s="2">
        <v>44.36</v>
      </c>
    </row>
    <row r="45" spans="1:13">
      <c r="A45" s="9">
        <v>45894</v>
      </c>
      <c r="B45" s="1">
        <f t="shared" si="0"/>
        <v>45870</v>
      </c>
      <c r="C45" s="5" t="str">
        <f t="shared" si="1"/>
        <v>2025-08</v>
      </c>
      <c r="D45" s="3">
        <v>642.47</v>
      </c>
      <c r="E45" s="3">
        <v>232.36</v>
      </c>
      <c r="F45" s="3">
        <v>86.8</v>
      </c>
      <c r="G45" s="3">
        <v>309.83</v>
      </c>
      <c r="H45" s="3">
        <v>91.65</v>
      </c>
      <c r="I45" s="2">
        <v>235.41</v>
      </c>
      <c r="J45" s="2">
        <v>1137.0999999999999</v>
      </c>
      <c r="K45" s="2">
        <v>447.72</v>
      </c>
      <c r="L45" s="3">
        <v>136.19999999999999</v>
      </c>
      <c r="M45" s="2">
        <v>44.07</v>
      </c>
    </row>
    <row r="46" spans="1:13">
      <c r="A46" s="9">
        <v>45891</v>
      </c>
      <c r="B46" s="1">
        <f t="shared" si="0"/>
        <v>45870</v>
      </c>
      <c r="C46" s="5" t="str">
        <f t="shared" si="1"/>
        <v>2025-08</v>
      </c>
      <c r="D46" s="3">
        <v>645.30999999999995</v>
      </c>
      <c r="E46" s="3">
        <v>234.83</v>
      </c>
      <c r="F46" s="3">
        <v>87.05</v>
      </c>
      <c r="G46" s="3">
        <v>310.58</v>
      </c>
      <c r="H46" s="3">
        <v>92.18</v>
      </c>
      <c r="I46" s="2">
        <v>236.37</v>
      </c>
      <c r="J46" s="2">
        <v>1148.17</v>
      </c>
      <c r="K46" s="2">
        <v>446.2</v>
      </c>
      <c r="L46" s="3">
        <v>138.16999999999999</v>
      </c>
      <c r="M46" s="2">
        <v>43.88</v>
      </c>
    </row>
    <row r="47" spans="1:13">
      <c r="A47" s="9">
        <v>45890</v>
      </c>
      <c r="B47" s="1">
        <f t="shared" si="0"/>
        <v>45870</v>
      </c>
      <c r="C47" s="5" t="str">
        <f t="shared" si="1"/>
        <v>2025-08</v>
      </c>
      <c r="D47" s="3">
        <v>635.54999999999995</v>
      </c>
      <c r="E47" s="3">
        <v>225.97</v>
      </c>
      <c r="F47" s="3">
        <v>86.41</v>
      </c>
      <c r="G47" s="3">
        <v>307.29000000000002</v>
      </c>
      <c r="H47" s="3">
        <v>90.43</v>
      </c>
      <c r="I47" s="2">
        <v>233.16</v>
      </c>
      <c r="J47" s="2">
        <v>1124.75</v>
      </c>
      <c r="K47" s="2">
        <v>447.2</v>
      </c>
      <c r="L47" s="3">
        <v>137.04</v>
      </c>
      <c r="M47" s="2">
        <v>42.31</v>
      </c>
    </row>
    <row r="48" spans="1:13">
      <c r="A48" s="9">
        <v>45889</v>
      </c>
      <c r="B48" s="1">
        <f t="shared" si="0"/>
        <v>45870</v>
      </c>
      <c r="C48" s="5" t="str">
        <f t="shared" si="1"/>
        <v>2025-08</v>
      </c>
      <c r="D48" s="3">
        <v>638.11</v>
      </c>
      <c r="E48" s="3">
        <v>225.41</v>
      </c>
      <c r="F48" s="3">
        <v>86.84</v>
      </c>
      <c r="G48" s="3">
        <v>308.36</v>
      </c>
      <c r="H48" s="3">
        <v>90.7</v>
      </c>
      <c r="I48" s="2">
        <v>235.06</v>
      </c>
      <c r="J48" s="2">
        <v>1128.46</v>
      </c>
      <c r="K48" s="2">
        <v>446</v>
      </c>
      <c r="L48" s="3">
        <v>137.5</v>
      </c>
      <c r="M48" s="2">
        <v>42.61</v>
      </c>
    </row>
    <row r="49" spans="1:13">
      <c r="A49" s="9">
        <v>45888</v>
      </c>
      <c r="B49" s="1">
        <f t="shared" si="0"/>
        <v>45870</v>
      </c>
      <c r="C49" s="5" t="str">
        <f t="shared" si="1"/>
        <v>2025-08</v>
      </c>
      <c r="D49" s="3">
        <v>639.80999999999995</v>
      </c>
      <c r="E49" s="3">
        <v>226.21</v>
      </c>
      <c r="F49" s="3">
        <v>86.65</v>
      </c>
      <c r="G49" s="3">
        <v>305.27</v>
      </c>
      <c r="H49" s="3">
        <v>90.44</v>
      </c>
      <c r="I49" s="2">
        <v>234.62</v>
      </c>
      <c r="J49" s="2">
        <v>1128.47</v>
      </c>
      <c r="K49" s="2">
        <v>441.1</v>
      </c>
      <c r="L49" s="3">
        <v>136.76</v>
      </c>
      <c r="M49" s="2">
        <v>43.24</v>
      </c>
    </row>
    <row r="50" spans="1:13">
      <c r="A50" s="9">
        <v>45887</v>
      </c>
      <c r="B50" s="1">
        <f t="shared" si="0"/>
        <v>45870</v>
      </c>
      <c r="C50" s="5" t="str">
        <f t="shared" si="1"/>
        <v>2025-08</v>
      </c>
      <c r="D50" s="3">
        <v>643.29999999999995</v>
      </c>
      <c r="E50" s="3">
        <v>227.96</v>
      </c>
      <c r="F50" s="3">
        <v>86.15</v>
      </c>
      <c r="G50" s="3">
        <v>306.95</v>
      </c>
      <c r="H50" s="3">
        <v>88.91</v>
      </c>
      <c r="I50" s="2">
        <v>249.07</v>
      </c>
      <c r="J50" s="2">
        <v>1136.1199999999999</v>
      </c>
      <c r="K50" s="2">
        <v>440.64</v>
      </c>
      <c r="L50" s="3">
        <v>135.88999999999999</v>
      </c>
      <c r="M50" s="2">
        <v>45.86</v>
      </c>
    </row>
    <row r="51" spans="1:13">
      <c r="A51" s="9">
        <v>45884</v>
      </c>
      <c r="B51" s="1">
        <f t="shared" si="0"/>
        <v>45870</v>
      </c>
      <c r="C51" s="5" t="str">
        <f t="shared" si="1"/>
        <v>2025-08</v>
      </c>
      <c r="D51" s="3">
        <v>643.44000000000005</v>
      </c>
      <c r="E51" s="3">
        <v>227.13</v>
      </c>
      <c r="F51" s="3">
        <v>86.4</v>
      </c>
      <c r="G51" s="3">
        <v>307.43</v>
      </c>
      <c r="H51" s="3">
        <v>89.67</v>
      </c>
      <c r="I51" s="2">
        <v>248.28</v>
      </c>
      <c r="J51" s="2">
        <v>1135.01</v>
      </c>
      <c r="K51" s="2">
        <v>437.56</v>
      </c>
      <c r="L51" s="3">
        <v>136.21</v>
      </c>
      <c r="M51" s="2">
        <v>45.37</v>
      </c>
    </row>
    <row r="52" spans="1:13">
      <c r="A52" s="9">
        <v>45883</v>
      </c>
      <c r="B52" s="1">
        <f t="shared" si="0"/>
        <v>45870</v>
      </c>
      <c r="C52" s="5" t="str">
        <f t="shared" si="1"/>
        <v>2025-08</v>
      </c>
      <c r="D52" s="3">
        <v>644.95000000000005</v>
      </c>
      <c r="E52" s="3">
        <v>228.24</v>
      </c>
      <c r="F52" s="3">
        <v>87.02</v>
      </c>
      <c r="G52" s="3">
        <v>307.25</v>
      </c>
      <c r="H52" s="3">
        <v>89.16</v>
      </c>
      <c r="I52" s="2">
        <v>244.96</v>
      </c>
      <c r="J52" s="2">
        <v>1160.1600000000001</v>
      </c>
      <c r="K52" s="2">
        <v>437.32</v>
      </c>
      <c r="L52" s="3">
        <v>133.96</v>
      </c>
      <c r="M52" s="2">
        <v>45.49</v>
      </c>
    </row>
    <row r="53" spans="1:13">
      <c r="A53" s="9">
        <v>45882</v>
      </c>
      <c r="B53" s="1">
        <f t="shared" si="0"/>
        <v>45870</v>
      </c>
      <c r="C53" s="5" t="str">
        <f t="shared" si="1"/>
        <v>2025-08</v>
      </c>
      <c r="D53" s="3">
        <v>644.89</v>
      </c>
      <c r="E53" s="3">
        <v>231.22</v>
      </c>
      <c r="F53" s="3">
        <v>87.67</v>
      </c>
      <c r="G53" s="3">
        <v>309.20999999999998</v>
      </c>
      <c r="H53" s="3">
        <v>89.8</v>
      </c>
      <c r="I53" s="2">
        <v>244.18</v>
      </c>
      <c r="J53" s="2">
        <v>1160.03</v>
      </c>
      <c r="K53" s="2">
        <v>442.57</v>
      </c>
      <c r="L53" s="3">
        <v>133.29</v>
      </c>
      <c r="M53" s="2">
        <v>46.07</v>
      </c>
    </row>
    <row r="54" spans="1:13">
      <c r="A54" s="9">
        <v>45881</v>
      </c>
      <c r="B54" s="1">
        <f t="shared" si="0"/>
        <v>45870</v>
      </c>
      <c r="C54" s="5" t="str">
        <f t="shared" si="1"/>
        <v>2025-08</v>
      </c>
      <c r="D54" s="3">
        <v>642.69000000000005</v>
      </c>
      <c r="E54" s="3">
        <v>226.81</v>
      </c>
      <c r="F54" s="3">
        <v>86.95</v>
      </c>
      <c r="G54" s="3">
        <v>308.27</v>
      </c>
      <c r="H54" s="3">
        <v>88.97</v>
      </c>
      <c r="I54" s="2">
        <v>253.86</v>
      </c>
      <c r="J54" s="2">
        <v>1159.6099999999999</v>
      </c>
      <c r="K54" s="2">
        <v>431.56</v>
      </c>
      <c r="L54" s="3">
        <v>131.19</v>
      </c>
      <c r="M54" s="2">
        <v>46.43</v>
      </c>
    </row>
    <row r="55" spans="1:13">
      <c r="A55" s="9">
        <v>45880</v>
      </c>
      <c r="B55" s="1">
        <f t="shared" si="0"/>
        <v>45870</v>
      </c>
      <c r="C55" s="5" t="str">
        <f t="shared" si="1"/>
        <v>2025-08</v>
      </c>
      <c r="D55" s="3">
        <v>635.91999999999996</v>
      </c>
      <c r="E55" s="3">
        <v>220.27</v>
      </c>
      <c r="F55" s="3">
        <v>87.39</v>
      </c>
      <c r="G55" s="3">
        <v>308.55</v>
      </c>
      <c r="H55" s="3">
        <v>88.47</v>
      </c>
      <c r="I55" s="2">
        <v>252.68</v>
      </c>
      <c r="J55" s="2">
        <v>1127.93</v>
      </c>
      <c r="K55" s="2">
        <v>426.26</v>
      </c>
      <c r="L55" s="3">
        <v>130.29</v>
      </c>
      <c r="M55" s="2">
        <v>45.2</v>
      </c>
    </row>
    <row r="56" spans="1:13">
      <c r="A56" s="9">
        <v>45877</v>
      </c>
      <c r="B56" s="1">
        <f t="shared" si="0"/>
        <v>45870</v>
      </c>
      <c r="C56" s="5" t="str">
        <f t="shared" si="1"/>
        <v>2025-08</v>
      </c>
      <c r="D56" s="3">
        <v>637.17999999999995</v>
      </c>
      <c r="E56" s="3">
        <v>220.32</v>
      </c>
      <c r="F56" s="3">
        <v>87.29</v>
      </c>
      <c r="G56" s="3">
        <v>313.05</v>
      </c>
      <c r="H56" s="3">
        <v>89.06</v>
      </c>
      <c r="I56" s="2">
        <v>250.05</v>
      </c>
      <c r="J56" s="2">
        <v>1124.97</v>
      </c>
      <c r="K56" s="2">
        <v>425.63</v>
      </c>
      <c r="L56" s="3">
        <v>130.16</v>
      </c>
      <c r="M56" s="2">
        <v>44.6</v>
      </c>
    </row>
    <row r="57" spans="1:13">
      <c r="A57" s="9">
        <v>45876</v>
      </c>
      <c r="B57" s="1">
        <f t="shared" si="0"/>
        <v>45870</v>
      </c>
      <c r="C57" s="5" t="str">
        <f t="shared" si="1"/>
        <v>2025-08</v>
      </c>
      <c r="D57" s="3">
        <v>632.25</v>
      </c>
      <c r="E57" s="3">
        <v>219.84</v>
      </c>
      <c r="F57" s="3">
        <v>87.67</v>
      </c>
      <c r="G57" s="3">
        <v>313.12</v>
      </c>
      <c r="H57" s="3">
        <v>89.8</v>
      </c>
      <c r="I57" s="2">
        <v>249.39</v>
      </c>
      <c r="J57" s="2">
        <v>1112.83</v>
      </c>
      <c r="K57" s="2">
        <v>430.75</v>
      </c>
      <c r="L57" s="3">
        <v>129.01</v>
      </c>
      <c r="M57" s="2">
        <v>46.67</v>
      </c>
    </row>
    <row r="58" spans="1:13">
      <c r="A58" s="9">
        <v>45875</v>
      </c>
      <c r="B58" s="1">
        <f t="shared" si="0"/>
        <v>45870</v>
      </c>
      <c r="C58" s="5" t="str">
        <f t="shared" si="1"/>
        <v>2025-08</v>
      </c>
      <c r="D58" s="3">
        <v>632.78</v>
      </c>
      <c r="E58" s="3">
        <v>220.56</v>
      </c>
      <c r="F58" s="3">
        <v>87.82</v>
      </c>
      <c r="G58" s="3">
        <v>310.5</v>
      </c>
      <c r="H58" s="3">
        <v>89.54</v>
      </c>
      <c r="I58" s="2">
        <v>256.43</v>
      </c>
      <c r="J58" s="2">
        <v>1120.54</v>
      </c>
      <c r="K58" s="2">
        <v>434.85</v>
      </c>
      <c r="L58" s="3">
        <v>130.51</v>
      </c>
      <c r="M58" s="2">
        <v>46.79</v>
      </c>
    </row>
    <row r="59" spans="1:13">
      <c r="A59" s="9">
        <v>45874</v>
      </c>
      <c r="B59" s="1">
        <f t="shared" si="0"/>
        <v>45870</v>
      </c>
      <c r="C59" s="5" t="str">
        <f t="shared" si="1"/>
        <v>2025-08</v>
      </c>
      <c r="D59" s="3">
        <v>627.97</v>
      </c>
      <c r="E59" s="3">
        <v>220.85</v>
      </c>
      <c r="F59" s="3">
        <v>88.33</v>
      </c>
      <c r="G59" s="3">
        <v>311.16000000000003</v>
      </c>
      <c r="H59" s="3">
        <v>90.24</v>
      </c>
      <c r="I59" s="2">
        <v>255.67</v>
      </c>
      <c r="J59" s="2">
        <v>1109.6400000000001</v>
      </c>
      <c r="K59" s="2">
        <v>428.24</v>
      </c>
      <c r="L59" s="3">
        <v>132.5</v>
      </c>
      <c r="M59" s="2">
        <v>57.26</v>
      </c>
    </row>
    <row r="60" spans="1:13">
      <c r="A60" s="9">
        <v>45873</v>
      </c>
      <c r="B60" s="1">
        <f t="shared" si="0"/>
        <v>45870</v>
      </c>
      <c r="C60" s="5" t="str">
        <f t="shared" si="1"/>
        <v>2025-08</v>
      </c>
      <c r="D60" s="3">
        <v>631.16999999999996</v>
      </c>
      <c r="E60" s="3">
        <v>219.73</v>
      </c>
      <c r="F60" s="3">
        <v>88.06</v>
      </c>
      <c r="G60" s="3">
        <v>310.91000000000003</v>
      </c>
      <c r="H60" s="3">
        <v>89.83</v>
      </c>
      <c r="I60" s="2">
        <v>252.53</v>
      </c>
      <c r="J60" s="2">
        <v>1116.06</v>
      </c>
      <c r="K60" s="2">
        <v>423.7</v>
      </c>
      <c r="L60" s="3">
        <v>133.01</v>
      </c>
      <c r="M60" s="2">
        <v>58.23</v>
      </c>
    </row>
    <row r="61" spans="1:13">
      <c r="A61" s="9">
        <v>45870</v>
      </c>
      <c r="B61" s="1">
        <f t="shared" si="0"/>
        <v>45870</v>
      </c>
      <c r="C61" s="5" t="str">
        <f t="shared" si="1"/>
        <v>2025-08</v>
      </c>
      <c r="D61" s="3">
        <v>621.72</v>
      </c>
      <c r="E61" s="3">
        <v>214.92</v>
      </c>
      <c r="F61" s="3">
        <v>87.82</v>
      </c>
      <c r="G61" s="3">
        <v>309.11</v>
      </c>
      <c r="H61" s="3">
        <v>88.92</v>
      </c>
      <c r="I61" s="2">
        <v>244.42</v>
      </c>
      <c r="J61" s="2">
        <v>1091.8</v>
      </c>
      <c r="K61" s="2">
        <v>421.01</v>
      </c>
      <c r="L61" s="3">
        <v>131.13</v>
      </c>
      <c r="M61" s="2">
        <v>56.64</v>
      </c>
    </row>
    <row r="62" spans="1:13">
      <c r="A62" s="9">
        <v>45869</v>
      </c>
      <c r="B62" s="1">
        <f t="shared" si="0"/>
        <v>45839</v>
      </c>
      <c r="C62" s="5" t="str">
        <f t="shared" si="1"/>
        <v>2025-07</v>
      </c>
      <c r="D62" s="3">
        <v>632.08000000000004</v>
      </c>
      <c r="E62" s="3">
        <v>219.39</v>
      </c>
      <c r="F62" s="3">
        <v>86.92</v>
      </c>
      <c r="G62" s="3">
        <v>302.95999999999998</v>
      </c>
      <c r="H62" s="3">
        <v>89.14</v>
      </c>
      <c r="I62" s="2">
        <v>253.77</v>
      </c>
      <c r="J62" s="2">
        <v>1106.01</v>
      </c>
      <c r="K62" s="2">
        <v>420.98</v>
      </c>
      <c r="L62" s="3">
        <v>130.43</v>
      </c>
      <c r="M62" s="2">
        <v>58.97</v>
      </c>
    </row>
    <row r="63" spans="1:13">
      <c r="A63" s="9">
        <v>45868</v>
      </c>
      <c r="B63" s="1">
        <f t="shared" si="0"/>
        <v>45839</v>
      </c>
      <c r="C63" s="5" t="str">
        <f t="shared" si="1"/>
        <v>2025-07</v>
      </c>
      <c r="D63" s="3">
        <v>634.46</v>
      </c>
      <c r="E63" s="3">
        <v>221.56</v>
      </c>
      <c r="F63" s="3">
        <v>86.87</v>
      </c>
      <c r="G63" s="3">
        <v>300.95999999999998</v>
      </c>
      <c r="H63" s="3">
        <v>90.41</v>
      </c>
      <c r="I63" s="2">
        <v>250.6</v>
      </c>
      <c r="J63" s="2">
        <v>1114.6500000000001</v>
      </c>
      <c r="K63" s="2">
        <v>418.68</v>
      </c>
      <c r="L63" s="3">
        <v>134.19</v>
      </c>
      <c r="M63" s="2">
        <v>60.71</v>
      </c>
    </row>
    <row r="64" spans="1:13">
      <c r="A64" s="9">
        <v>45867</v>
      </c>
      <c r="B64" s="1">
        <f t="shared" si="0"/>
        <v>45839</v>
      </c>
      <c r="C64" s="5" t="str">
        <f t="shared" si="1"/>
        <v>2025-07</v>
      </c>
      <c r="D64" s="3">
        <v>635.26</v>
      </c>
      <c r="E64" s="3">
        <v>222.69</v>
      </c>
      <c r="F64" s="3">
        <v>87.32</v>
      </c>
      <c r="G64" s="3">
        <v>306.25</v>
      </c>
      <c r="H64" s="3">
        <v>91.71</v>
      </c>
      <c r="I64" s="2">
        <v>249.98</v>
      </c>
      <c r="J64" s="2">
        <v>1121.53</v>
      </c>
      <c r="K64" s="2">
        <v>420.13</v>
      </c>
      <c r="L64" s="3">
        <v>134.43</v>
      </c>
      <c r="M64" s="2">
        <v>58.63</v>
      </c>
    </row>
    <row r="65" spans="1:13">
      <c r="A65" s="9">
        <v>45866</v>
      </c>
      <c r="B65" s="1">
        <f t="shared" si="0"/>
        <v>45839</v>
      </c>
      <c r="C65" s="5" t="str">
        <f t="shared" si="1"/>
        <v>2025-07</v>
      </c>
      <c r="D65" s="3">
        <v>636.94000000000005</v>
      </c>
      <c r="E65" s="3">
        <v>224.12</v>
      </c>
      <c r="F65" s="3">
        <v>85.87</v>
      </c>
      <c r="G65" s="3">
        <v>305.41000000000003</v>
      </c>
      <c r="H65" s="3">
        <v>90.26</v>
      </c>
      <c r="I65" s="2">
        <v>247.71</v>
      </c>
      <c r="J65" s="2">
        <v>1117.82</v>
      </c>
      <c r="K65" s="2">
        <v>421.34</v>
      </c>
      <c r="L65" s="3">
        <v>135.29</v>
      </c>
      <c r="M65" s="2">
        <v>60.05</v>
      </c>
    </row>
    <row r="66" spans="1:13">
      <c r="A66" s="9">
        <v>45863</v>
      </c>
      <c r="B66" s="1">
        <f t="shared" ref="B66:B129" si="2">EOMONTH(A66,-1)+1</f>
        <v>45839</v>
      </c>
      <c r="C66" s="5" t="str">
        <f t="shared" si="1"/>
        <v>2025-07</v>
      </c>
      <c r="D66" s="3">
        <v>637.1</v>
      </c>
      <c r="E66" s="3">
        <v>224.38</v>
      </c>
      <c r="F66" s="3">
        <v>86.43</v>
      </c>
      <c r="G66" s="3">
        <v>307.39999999999998</v>
      </c>
      <c r="H66" s="3">
        <v>91.73</v>
      </c>
      <c r="I66" s="2">
        <v>245.12</v>
      </c>
      <c r="J66" s="2">
        <v>1123.28</v>
      </c>
      <c r="K66" s="2">
        <v>421.17</v>
      </c>
      <c r="L66" s="3">
        <v>136.47999999999999</v>
      </c>
      <c r="M66" s="2">
        <v>54.47</v>
      </c>
    </row>
    <row r="67" spans="1:13">
      <c r="A67" s="9">
        <v>45862</v>
      </c>
      <c r="B67" s="1">
        <f t="shared" si="2"/>
        <v>45839</v>
      </c>
      <c r="C67" s="5" t="str">
        <f t="shared" ref="C67:C130" si="3">TEXT(A67, "yyyy-mm")</f>
        <v>2025-07</v>
      </c>
      <c r="D67" s="3">
        <v>634.41999999999996</v>
      </c>
      <c r="E67" s="3">
        <v>223.55</v>
      </c>
      <c r="F67" s="3">
        <v>85.89</v>
      </c>
      <c r="G67" s="3">
        <v>310.27</v>
      </c>
      <c r="H67" s="3">
        <v>91.72</v>
      </c>
      <c r="I67" s="2">
        <v>242.83</v>
      </c>
      <c r="J67" s="2">
        <v>1118.3699999999999</v>
      </c>
      <c r="K67" s="2">
        <v>420.55</v>
      </c>
      <c r="L67" s="3">
        <v>135.76</v>
      </c>
      <c r="M67" s="2">
        <v>52.52</v>
      </c>
    </row>
    <row r="68" spans="1:13">
      <c r="A68" s="9">
        <v>45861</v>
      </c>
      <c r="B68" s="1">
        <f t="shared" si="2"/>
        <v>45839</v>
      </c>
      <c r="C68" s="5" t="str">
        <f t="shared" si="3"/>
        <v>2025-07</v>
      </c>
      <c r="D68" s="3">
        <v>634.21</v>
      </c>
      <c r="E68" s="3">
        <v>226.68</v>
      </c>
      <c r="F68" s="3">
        <v>86.04</v>
      </c>
      <c r="G68" s="3">
        <v>312.18</v>
      </c>
      <c r="H68" s="3">
        <v>92.04</v>
      </c>
      <c r="I68" s="2">
        <v>241.9</v>
      </c>
      <c r="J68" s="2">
        <v>1120.3699999999999</v>
      </c>
      <c r="K68" s="2">
        <v>419.39</v>
      </c>
      <c r="L68" s="3">
        <v>136.27000000000001</v>
      </c>
      <c r="M68" s="2">
        <v>51.7</v>
      </c>
    </row>
    <row r="69" spans="1:13">
      <c r="A69" s="9">
        <v>45860</v>
      </c>
      <c r="B69" s="1">
        <f t="shared" si="2"/>
        <v>45839</v>
      </c>
      <c r="C69" s="5" t="str">
        <f t="shared" si="3"/>
        <v>2025-07</v>
      </c>
      <c r="D69" s="3">
        <v>628.86</v>
      </c>
      <c r="E69" s="3">
        <v>223.27</v>
      </c>
      <c r="F69" s="3">
        <v>86.52</v>
      </c>
      <c r="G69" s="3">
        <v>316.10000000000002</v>
      </c>
      <c r="H69" s="3">
        <v>91.86</v>
      </c>
      <c r="I69" s="2">
        <v>238.11</v>
      </c>
      <c r="J69" s="2">
        <v>1100.3900000000001</v>
      </c>
      <c r="K69" s="2">
        <v>410.74</v>
      </c>
      <c r="L69" s="3">
        <v>133.53</v>
      </c>
      <c r="M69" s="2">
        <v>49.86</v>
      </c>
    </row>
    <row r="70" spans="1:13">
      <c r="A70" s="9">
        <v>45859</v>
      </c>
      <c r="B70" s="1">
        <f t="shared" si="2"/>
        <v>45839</v>
      </c>
      <c r="C70" s="5" t="str">
        <f t="shared" si="3"/>
        <v>2025-07</v>
      </c>
      <c r="D70" s="3">
        <v>628.77</v>
      </c>
      <c r="E70" s="3">
        <v>221.43</v>
      </c>
      <c r="F70" s="3">
        <v>86</v>
      </c>
      <c r="G70" s="3">
        <v>313.13</v>
      </c>
      <c r="H70" s="3">
        <v>90.31</v>
      </c>
      <c r="I70" s="2">
        <v>243.54</v>
      </c>
      <c r="J70" s="2">
        <v>1093.02</v>
      </c>
      <c r="K70" s="2">
        <v>460.53</v>
      </c>
      <c r="L70" s="3">
        <v>131.09</v>
      </c>
      <c r="M70" s="2">
        <v>51.5</v>
      </c>
    </row>
    <row r="71" spans="1:13">
      <c r="A71" s="9">
        <v>45856</v>
      </c>
      <c r="B71" s="1">
        <f t="shared" si="2"/>
        <v>45839</v>
      </c>
      <c r="C71" s="5" t="str">
        <f t="shared" si="3"/>
        <v>2025-07</v>
      </c>
      <c r="D71" s="3">
        <v>627.58000000000004</v>
      </c>
      <c r="E71" s="3">
        <v>222.33</v>
      </c>
      <c r="F71" s="3">
        <v>85.24</v>
      </c>
      <c r="G71" s="3">
        <v>308.39</v>
      </c>
      <c r="H71" s="3">
        <v>89.94</v>
      </c>
      <c r="I71" s="2">
        <v>245.45</v>
      </c>
      <c r="J71" s="2">
        <v>1103.5899999999999</v>
      </c>
      <c r="K71" s="2">
        <v>463.96</v>
      </c>
      <c r="L71" s="3">
        <v>131.84</v>
      </c>
      <c r="M71" s="2">
        <v>51.77</v>
      </c>
    </row>
    <row r="72" spans="1:13">
      <c r="A72" s="9">
        <v>45855</v>
      </c>
      <c r="B72" s="1">
        <f t="shared" si="2"/>
        <v>45839</v>
      </c>
      <c r="C72" s="5" t="str">
        <f t="shared" si="3"/>
        <v>2025-07</v>
      </c>
      <c r="D72" s="3">
        <v>628.04</v>
      </c>
      <c r="E72" s="3">
        <v>223.92</v>
      </c>
      <c r="F72" s="3">
        <v>85.11</v>
      </c>
      <c r="G72" s="3">
        <v>307.58999999999997</v>
      </c>
      <c r="H72" s="3">
        <v>89.75</v>
      </c>
      <c r="I72" s="2">
        <v>248.75</v>
      </c>
      <c r="J72" s="2">
        <v>1105.3800000000001</v>
      </c>
      <c r="K72" s="2">
        <v>469.2</v>
      </c>
      <c r="L72" s="3">
        <v>132.72</v>
      </c>
      <c r="M72" s="2">
        <v>52.75</v>
      </c>
    </row>
    <row r="73" spans="1:13">
      <c r="A73" s="9">
        <v>45854</v>
      </c>
      <c r="B73" s="1">
        <f t="shared" si="2"/>
        <v>45839</v>
      </c>
      <c r="C73" s="5" t="str">
        <f t="shared" si="3"/>
        <v>2025-07</v>
      </c>
      <c r="D73" s="3">
        <v>624.22</v>
      </c>
      <c r="E73" s="3">
        <v>221.02</v>
      </c>
      <c r="F73" s="3">
        <v>85.13</v>
      </c>
      <c r="G73" s="3">
        <v>308.26</v>
      </c>
      <c r="H73" s="3">
        <v>89.85</v>
      </c>
      <c r="I73" s="2">
        <v>241.3</v>
      </c>
      <c r="J73" s="2">
        <v>1082.24</v>
      </c>
      <c r="K73" s="2">
        <v>471.47</v>
      </c>
      <c r="L73" s="3">
        <v>134.25</v>
      </c>
      <c r="M73" s="2">
        <v>53.22</v>
      </c>
    </row>
    <row r="74" spans="1:13">
      <c r="A74" s="9">
        <v>45853</v>
      </c>
      <c r="B74" s="1">
        <f t="shared" si="2"/>
        <v>45839</v>
      </c>
      <c r="C74" s="5" t="str">
        <f t="shared" si="3"/>
        <v>2025-07</v>
      </c>
      <c r="D74" s="3">
        <v>622.14</v>
      </c>
      <c r="E74" s="3">
        <v>218.82</v>
      </c>
      <c r="F74" s="3">
        <v>85.01</v>
      </c>
      <c r="G74" s="3">
        <v>306.73</v>
      </c>
      <c r="H74" s="3">
        <v>89.01</v>
      </c>
      <c r="I74" s="2">
        <v>234.96</v>
      </c>
      <c r="J74" s="2">
        <v>1046.1600000000001</v>
      </c>
      <c r="K74" s="2">
        <v>470.12</v>
      </c>
      <c r="L74" s="3">
        <v>132.6</v>
      </c>
      <c r="M74" s="2">
        <v>53.17</v>
      </c>
    </row>
    <row r="75" spans="1:13">
      <c r="A75" s="9">
        <v>45852</v>
      </c>
      <c r="B75" s="1">
        <f t="shared" si="2"/>
        <v>45839</v>
      </c>
      <c r="C75" s="5" t="str">
        <f t="shared" si="3"/>
        <v>2025-07</v>
      </c>
      <c r="D75" s="3">
        <v>624.80999999999995</v>
      </c>
      <c r="E75" s="3">
        <v>223.19</v>
      </c>
      <c r="F75" s="3">
        <v>85.61</v>
      </c>
      <c r="G75" s="3">
        <v>308.01</v>
      </c>
      <c r="H75" s="3">
        <v>90.34</v>
      </c>
      <c r="I75" s="2">
        <v>229.28</v>
      </c>
      <c r="J75" s="2">
        <v>1111.46</v>
      </c>
      <c r="K75" s="2">
        <v>473.57</v>
      </c>
      <c r="L75" s="3">
        <v>135.03</v>
      </c>
      <c r="M75" s="2">
        <v>49.73</v>
      </c>
    </row>
    <row r="76" spans="1:13">
      <c r="A76" s="9">
        <v>45849</v>
      </c>
      <c r="B76" s="1">
        <f t="shared" si="2"/>
        <v>45839</v>
      </c>
      <c r="C76" s="5" t="str">
        <f t="shared" si="3"/>
        <v>2025-07</v>
      </c>
      <c r="D76" s="3">
        <v>623.62</v>
      </c>
      <c r="E76" s="3">
        <v>221.7</v>
      </c>
      <c r="F76" s="3">
        <v>85.79</v>
      </c>
      <c r="G76" s="3">
        <v>309.14</v>
      </c>
      <c r="H76" s="3">
        <v>89.76</v>
      </c>
      <c r="I76" s="2">
        <v>230.56</v>
      </c>
      <c r="J76" s="2">
        <v>1101.6400000000001</v>
      </c>
      <c r="K76" s="2">
        <v>467.51</v>
      </c>
      <c r="L76" s="3">
        <v>135.19</v>
      </c>
      <c r="M76" s="2">
        <v>49.24</v>
      </c>
    </row>
    <row r="77" spans="1:13">
      <c r="A77" s="9">
        <v>45848</v>
      </c>
      <c r="B77" s="1">
        <f t="shared" si="2"/>
        <v>45839</v>
      </c>
      <c r="C77" s="5" t="str">
        <f t="shared" si="3"/>
        <v>2025-07</v>
      </c>
      <c r="D77" s="3">
        <v>625.82000000000005</v>
      </c>
      <c r="E77" s="3">
        <v>224.8</v>
      </c>
      <c r="F77" s="3">
        <v>86.99</v>
      </c>
      <c r="G77" s="3">
        <v>306.2</v>
      </c>
      <c r="H77" s="3">
        <v>89.75</v>
      </c>
      <c r="I77" s="2">
        <v>235</v>
      </c>
      <c r="J77" s="2">
        <v>1104.05</v>
      </c>
      <c r="K77" s="2">
        <v>464.31</v>
      </c>
      <c r="L77" s="3">
        <v>136.32</v>
      </c>
      <c r="M77" s="2">
        <v>50.36</v>
      </c>
    </row>
    <row r="78" spans="1:13">
      <c r="A78" s="9">
        <v>45847</v>
      </c>
      <c r="B78" s="1">
        <f t="shared" si="2"/>
        <v>45839</v>
      </c>
      <c r="C78" s="5" t="str">
        <f t="shared" si="3"/>
        <v>2025-07</v>
      </c>
      <c r="D78" s="3">
        <v>624.05999999999995</v>
      </c>
      <c r="E78" s="3">
        <v>223.65</v>
      </c>
      <c r="F78" s="3">
        <v>86.93</v>
      </c>
      <c r="G78" s="3">
        <v>305.52</v>
      </c>
      <c r="H78" s="3">
        <v>89.19</v>
      </c>
      <c r="I78" s="2">
        <v>235.81</v>
      </c>
      <c r="J78" s="2">
        <v>1088.75</v>
      </c>
      <c r="K78" s="2">
        <v>463.06</v>
      </c>
      <c r="L78" s="3">
        <v>135.49</v>
      </c>
      <c r="M78" s="2">
        <v>50.02</v>
      </c>
    </row>
    <row r="79" spans="1:13">
      <c r="A79" s="9">
        <v>45846</v>
      </c>
      <c r="B79" s="1">
        <f t="shared" si="2"/>
        <v>45839</v>
      </c>
      <c r="C79" s="5" t="str">
        <f t="shared" si="3"/>
        <v>2025-07</v>
      </c>
      <c r="D79" s="3">
        <v>620.34</v>
      </c>
      <c r="E79" s="3">
        <v>221.25</v>
      </c>
      <c r="F79" s="3">
        <v>86.03</v>
      </c>
      <c r="G79" s="3">
        <v>304.16000000000003</v>
      </c>
      <c r="H79" s="3">
        <v>89.12</v>
      </c>
      <c r="I79" s="2">
        <v>234.5</v>
      </c>
      <c r="J79" s="2">
        <v>1075.02</v>
      </c>
      <c r="K79" s="2">
        <v>463.01</v>
      </c>
      <c r="L79" s="3">
        <v>134.97</v>
      </c>
      <c r="M79" s="2">
        <v>49.11</v>
      </c>
    </row>
    <row r="80" spans="1:13">
      <c r="A80" s="9">
        <v>45845</v>
      </c>
      <c r="B80" s="1">
        <f t="shared" si="2"/>
        <v>45839</v>
      </c>
      <c r="C80" s="5" t="str">
        <f t="shared" si="3"/>
        <v>2025-07</v>
      </c>
      <c r="D80" s="3">
        <v>620.67999999999995</v>
      </c>
      <c r="E80" s="3">
        <v>219.73</v>
      </c>
      <c r="F80" s="3">
        <v>86.14</v>
      </c>
      <c r="G80" s="3">
        <v>307.37</v>
      </c>
      <c r="H80" s="3">
        <v>89.25</v>
      </c>
      <c r="I80" s="2">
        <v>232.26</v>
      </c>
      <c r="J80" s="2">
        <v>1075.97</v>
      </c>
      <c r="K80" s="2">
        <v>469.06</v>
      </c>
      <c r="L80" s="3">
        <v>134.36000000000001</v>
      </c>
      <c r="M80" s="2">
        <v>47.11</v>
      </c>
    </row>
    <row r="81" spans="1:13">
      <c r="A81" s="9">
        <v>45841</v>
      </c>
      <c r="B81" s="1">
        <f t="shared" si="2"/>
        <v>45839</v>
      </c>
      <c r="C81" s="5" t="str">
        <f t="shared" si="3"/>
        <v>2025-07</v>
      </c>
      <c r="D81" s="3">
        <v>625.34</v>
      </c>
      <c r="E81" s="3">
        <v>223.08</v>
      </c>
      <c r="F81" s="3">
        <v>86.97</v>
      </c>
      <c r="G81" s="3">
        <v>307.14</v>
      </c>
      <c r="H81" s="3">
        <v>90.02</v>
      </c>
      <c r="I81" s="2">
        <v>237.32</v>
      </c>
      <c r="J81" s="2">
        <v>1082.1500000000001</v>
      </c>
      <c r="K81" s="2">
        <v>462.52</v>
      </c>
      <c r="L81" s="3">
        <v>135.5</v>
      </c>
      <c r="M81" s="2">
        <v>48.56</v>
      </c>
    </row>
    <row r="82" spans="1:13">
      <c r="A82" s="9">
        <v>45840</v>
      </c>
      <c r="B82" s="1">
        <f t="shared" si="2"/>
        <v>45839</v>
      </c>
      <c r="C82" s="5" t="str">
        <f t="shared" si="3"/>
        <v>2025-07</v>
      </c>
      <c r="D82" s="3">
        <v>620.45000000000005</v>
      </c>
      <c r="E82" s="3">
        <v>221.03</v>
      </c>
      <c r="F82" s="3">
        <v>87.58</v>
      </c>
      <c r="G82" s="3">
        <v>309.25</v>
      </c>
      <c r="H82" s="3">
        <v>89.92</v>
      </c>
      <c r="I82" s="2">
        <v>229.98</v>
      </c>
      <c r="J82" s="2">
        <v>1070.57</v>
      </c>
      <c r="K82" s="2">
        <v>462.55</v>
      </c>
      <c r="L82" s="3">
        <v>135.36000000000001</v>
      </c>
      <c r="M82" s="2">
        <v>48.74</v>
      </c>
    </row>
    <row r="83" spans="1:13">
      <c r="A83" s="9">
        <v>45839</v>
      </c>
      <c r="B83" s="1">
        <f t="shared" si="2"/>
        <v>45839</v>
      </c>
      <c r="C83" s="5" t="str">
        <f t="shared" si="3"/>
        <v>2025-07</v>
      </c>
      <c r="D83" s="3">
        <v>617.65</v>
      </c>
      <c r="E83" s="3">
        <v>218.01</v>
      </c>
      <c r="F83" s="3">
        <v>88.14</v>
      </c>
      <c r="G83" s="3">
        <v>307.55</v>
      </c>
      <c r="H83" s="3">
        <v>89.71</v>
      </c>
      <c r="I83" s="2">
        <v>218.96</v>
      </c>
      <c r="J83" s="2">
        <v>1054.27</v>
      </c>
      <c r="K83" s="2">
        <v>465.94</v>
      </c>
      <c r="L83" s="3">
        <v>136.71</v>
      </c>
      <c r="M83" s="2">
        <v>47.2</v>
      </c>
    </row>
    <row r="84" spans="1:13">
      <c r="A84" s="9">
        <v>45838</v>
      </c>
      <c r="B84" s="1">
        <f t="shared" si="2"/>
        <v>45809</v>
      </c>
      <c r="C84" s="5" t="str">
        <f t="shared" si="3"/>
        <v>2025-06</v>
      </c>
      <c r="D84" s="3">
        <v>617.85</v>
      </c>
      <c r="E84" s="3">
        <v>215.79</v>
      </c>
      <c r="F84" s="3">
        <v>88.25</v>
      </c>
      <c r="G84" s="3">
        <v>304.83</v>
      </c>
      <c r="H84" s="3">
        <v>89.06</v>
      </c>
      <c r="I84" s="2">
        <v>218.63</v>
      </c>
      <c r="J84" s="2">
        <v>1049.25</v>
      </c>
      <c r="K84" s="2">
        <v>463.14</v>
      </c>
      <c r="L84" s="3">
        <v>134.79</v>
      </c>
      <c r="M84" s="2">
        <v>49.01</v>
      </c>
    </row>
    <row r="85" spans="1:13">
      <c r="A85" s="9">
        <v>45835</v>
      </c>
      <c r="B85" s="1">
        <f t="shared" si="2"/>
        <v>45809</v>
      </c>
      <c r="C85" s="5" t="str">
        <f t="shared" si="3"/>
        <v>2025-06</v>
      </c>
      <c r="D85" s="3">
        <v>614.91</v>
      </c>
      <c r="E85" s="3">
        <v>215.48</v>
      </c>
      <c r="F85" s="3">
        <v>87.39</v>
      </c>
      <c r="G85" s="3">
        <v>301.22000000000003</v>
      </c>
      <c r="H85" s="3">
        <v>88.49</v>
      </c>
      <c r="I85" s="2">
        <v>210.24</v>
      </c>
      <c r="J85" s="2">
        <v>1047.82</v>
      </c>
      <c r="K85" s="2">
        <v>458.59</v>
      </c>
      <c r="L85" s="3">
        <v>133.93</v>
      </c>
      <c r="M85" s="2">
        <v>47.58</v>
      </c>
    </row>
    <row r="86" spans="1:13">
      <c r="A86" s="9">
        <v>45834</v>
      </c>
      <c r="B86" s="1">
        <f t="shared" si="2"/>
        <v>45809</v>
      </c>
      <c r="C86" s="5" t="str">
        <f t="shared" si="3"/>
        <v>2025-06</v>
      </c>
      <c r="D86" s="3">
        <v>611.87</v>
      </c>
      <c r="E86" s="3">
        <v>215.41</v>
      </c>
      <c r="F86" s="3">
        <v>87.95</v>
      </c>
      <c r="G86" s="3">
        <v>306.77999999999997</v>
      </c>
      <c r="H86" s="3">
        <v>88.27</v>
      </c>
      <c r="I86" s="2">
        <v>212.82</v>
      </c>
      <c r="J86" s="2">
        <v>1030.79</v>
      </c>
      <c r="K86" s="2">
        <v>457.9</v>
      </c>
      <c r="L86" s="3">
        <v>134.22</v>
      </c>
      <c r="M86" s="2">
        <v>49.27</v>
      </c>
    </row>
    <row r="87" spans="1:13">
      <c r="A87" s="9">
        <v>45833</v>
      </c>
      <c r="B87" s="1">
        <f t="shared" si="2"/>
        <v>45809</v>
      </c>
      <c r="C87" s="5" t="str">
        <f t="shared" si="3"/>
        <v>2025-06</v>
      </c>
      <c r="D87" s="3">
        <v>607.12</v>
      </c>
      <c r="E87" s="3">
        <v>211.97</v>
      </c>
      <c r="F87" s="3">
        <v>87.51</v>
      </c>
      <c r="G87" s="3">
        <v>307.12</v>
      </c>
      <c r="H87" s="3">
        <v>89.22</v>
      </c>
      <c r="I87" s="2">
        <v>210.72</v>
      </c>
      <c r="J87" s="2">
        <v>1018.08</v>
      </c>
      <c r="K87" s="2">
        <v>458.39</v>
      </c>
      <c r="L87" s="3">
        <v>133.9</v>
      </c>
      <c r="M87" s="2">
        <v>46.61</v>
      </c>
    </row>
    <row r="88" spans="1:13">
      <c r="A88" s="9">
        <v>45832</v>
      </c>
      <c r="B88" s="1">
        <f t="shared" si="2"/>
        <v>45809</v>
      </c>
      <c r="C88" s="5" t="str">
        <f t="shared" si="3"/>
        <v>2025-06</v>
      </c>
      <c r="D88" s="3">
        <v>606.78</v>
      </c>
      <c r="E88" s="3">
        <v>214.47</v>
      </c>
      <c r="F88" s="3">
        <v>87.4</v>
      </c>
      <c r="G88" s="3">
        <v>306.19</v>
      </c>
      <c r="H88" s="3">
        <v>91.42</v>
      </c>
      <c r="I88" s="2">
        <v>215.27</v>
      </c>
      <c r="J88" s="2">
        <v>1004.97</v>
      </c>
      <c r="K88" s="2">
        <v>460.2</v>
      </c>
      <c r="L88" s="3">
        <v>133.78</v>
      </c>
      <c r="M88" s="2">
        <v>42.84</v>
      </c>
    </row>
    <row r="89" spans="1:13">
      <c r="A89" s="9">
        <v>45831</v>
      </c>
      <c r="B89" s="1">
        <f t="shared" si="2"/>
        <v>45809</v>
      </c>
      <c r="C89" s="5" t="str">
        <f t="shared" si="3"/>
        <v>2025-06</v>
      </c>
      <c r="D89" s="3">
        <v>600.15</v>
      </c>
      <c r="E89" s="3">
        <v>211.77</v>
      </c>
      <c r="F89" s="3">
        <v>86.77</v>
      </c>
      <c r="G89" s="3">
        <v>311.08</v>
      </c>
      <c r="H89" s="3">
        <v>91.18</v>
      </c>
      <c r="I89" s="2">
        <v>207.04</v>
      </c>
      <c r="J89" s="2">
        <v>986.3</v>
      </c>
      <c r="K89" s="2">
        <v>472.46</v>
      </c>
      <c r="L89" s="3">
        <v>132.16</v>
      </c>
      <c r="M89" s="2">
        <v>40.89</v>
      </c>
    </row>
    <row r="90" spans="1:13">
      <c r="A90" s="9">
        <v>45828</v>
      </c>
      <c r="B90" s="1">
        <f t="shared" si="2"/>
        <v>45809</v>
      </c>
      <c r="C90" s="5" t="str">
        <f t="shared" si="3"/>
        <v>2025-06</v>
      </c>
      <c r="D90" s="3">
        <v>594.28</v>
      </c>
      <c r="E90" s="3">
        <v>209.21</v>
      </c>
      <c r="F90" s="3">
        <v>86.49</v>
      </c>
      <c r="G90" s="3">
        <v>310.13</v>
      </c>
      <c r="H90" s="3">
        <v>89.83</v>
      </c>
      <c r="I90" s="2">
        <v>205.17</v>
      </c>
      <c r="J90" s="2">
        <v>974.44</v>
      </c>
      <c r="K90" s="2">
        <v>470.56</v>
      </c>
      <c r="L90" s="3">
        <v>132.6</v>
      </c>
      <c r="M90" s="2">
        <v>45.32</v>
      </c>
    </row>
    <row r="91" spans="1:13">
      <c r="A91" s="9">
        <v>45826</v>
      </c>
      <c r="B91" s="1">
        <f t="shared" si="2"/>
        <v>45809</v>
      </c>
      <c r="C91" s="5" t="str">
        <f t="shared" si="3"/>
        <v>2025-06</v>
      </c>
      <c r="D91" s="3">
        <v>597.44000000000005</v>
      </c>
      <c r="E91" s="3">
        <v>209.65</v>
      </c>
      <c r="F91" s="3">
        <v>86.65</v>
      </c>
      <c r="G91" s="3">
        <v>310.26</v>
      </c>
      <c r="H91" s="3">
        <v>89.89</v>
      </c>
      <c r="I91" s="2">
        <v>210.87</v>
      </c>
      <c r="J91" s="2">
        <v>979.52</v>
      </c>
      <c r="K91" s="2">
        <v>468.6</v>
      </c>
      <c r="L91" s="3">
        <v>133.24</v>
      </c>
      <c r="M91" s="2">
        <v>44.47</v>
      </c>
    </row>
    <row r="92" spans="1:13">
      <c r="A92" s="9">
        <v>45825</v>
      </c>
      <c r="B92" s="1">
        <f t="shared" si="2"/>
        <v>45809</v>
      </c>
      <c r="C92" s="5" t="str">
        <f t="shared" si="3"/>
        <v>2025-06</v>
      </c>
      <c r="D92" s="3">
        <v>597.53</v>
      </c>
      <c r="E92" s="3">
        <v>208.55</v>
      </c>
      <c r="F92" s="3">
        <v>86.5</v>
      </c>
      <c r="G92" s="3">
        <v>311.94</v>
      </c>
      <c r="H92" s="3">
        <v>89.58</v>
      </c>
      <c r="I92" s="2">
        <v>208.18</v>
      </c>
      <c r="J92" s="2">
        <v>969.18</v>
      </c>
      <c r="K92" s="2">
        <v>479.34</v>
      </c>
      <c r="L92" s="3">
        <v>133.47</v>
      </c>
      <c r="M92" s="2">
        <v>43.11</v>
      </c>
    </row>
    <row r="93" spans="1:13">
      <c r="A93" s="9">
        <v>45824</v>
      </c>
      <c r="B93" s="1">
        <f t="shared" si="2"/>
        <v>45809</v>
      </c>
      <c r="C93" s="5" t="str">
        <f t="shared" si="3"/>
        <v>2025-06</v>
      </c>
      <c r="D93" s="3">
        <v>602.67999999999995</v>
      </c>
      <c r="E93" s="3">
        <v>210.77</v>
      </c>
      <c r="F93" s="3">
        <v>85.46</v>
      </c>
      <c r="G93" s="3">
        <v>311.77999999999997</v>
      </c>
      <c r="H93" s="3">
        <v>89.9</v>
      </c>
      <c r="I93" s="2">
        <v>211.1</v>
      </c>
      <c r="J93" s="2">
        <v>982.1</v>
      </c>
      <c r="K93" s="2">
        <v>467.06</v>
      </c>
      <c r="L93" s="3">
        <v>135.71</v>
      </c>
      <c r="M93" s="2">
        <v>43.69</v>
      </c>
    </row>
    <row r="94" spans="1:13">
      <c r="A94" s="9">
        <v>45821</v>
      </c>
      <c r="B94" s="1">
        <f t="shared" si="2"/>
        <v>45809</v>
      </c>
      <c r="C94" s="5" t="str">
        <f t="shared" si="3"/>
        <v>2025-06</v>
      </c>
      <c r="D94" s="3">
        <v>597</v>
      </c>
      <c r="E94" s="3">
        <v>208.89</v>
      </c>
      <c r="F94" s="3">
        <v>86.33</v>
      </c>
      <c r="G94" s="3">
        <v>316.29000000000002</v>
      </c>
      <c r="H94" s="3">
        <v>89.83</v>
      </c>
      <c r="I94" s="2">
        <v>215.22</v>
      </c>
      <c r="J94" s="2">
        <v>971.82</v>
      </c>
      <c r="K94" s="2">
        <v>486.45</v>
      </c>
      <c r="L94" s="3">
        <v>136.13</v>
      </c>
      <c r="M94" s="2">
        <v>41.56</v>
      </c>
    </row>
    <row r="95" spans="1:13">
      <c r="A95" s="9">
        <v>45820</v>
      </c>
      <c r="B95" s="1">
        <f t="shared" si="2"/>
        <v>45809</v>
      </c>
      <c r="C95" s="5" t="str">
        <f t="shared" si="3"/>
        <v>2025-06</v>
      </c>
      <c r="D95" s="3">
        <v>603.75</v>
      </c>
      <c r="E95" s="3">
        <v>212.78</v>
      </c>
      <c r="F95" s="3">
        <v>87.17</v>
      </c>
      <c r="G95" s="3">
        <v>312.2</v>
      </c>
      <c r="H95" s="3">
        <v>90.71</v>
      </c>
      <c r="I95" s="2">
        <v>199.86</v>
      </c>
      <c r="J95" s="2">
        <v>988.25</v>
      </c>
      <c r="K95" s="2">
        <v>469.27</v>
      </c>
      <c r="L95" s="3">
        <v>136.81</v>
      </c>
      <c r="M95" s="2">
        <v>43.36</v>
      </c>
    </row>
    <row r="96" spans="1:13">
      <c r="A96" s="9">
        <v>45819</v>
      </c>
      <c r="B96" s="1">
        <f t="shared" si="2"/>
        <v>45809</v>
      </c>
      <c r="C96" s="5" t="str">
        <f t="shared" si="3"/>
        <v>2025-06</v>
      </c>
      <c r="D96" s="3">
        <v>601.36</v>
      </c>
      <c r="E96" s="3">
        <v>213.63</v>
      </c>
      <c r="F96" s="3">
        <v>86.14</v>
      </c>
      <c r="G96" s="3">
        <v>308.37</v>
      </c>
      <c r="H96" s="3">
        <v>90.27</v>
      </c>
      <c r="I96" s="2">
        <v>176.38</v>
      </c>
      <c r="J96" s="2">
        <v>993.3</v>
      </c>
      <c r="K96" s="2">
        <v>456.6</v>
      </c>
      <c r="L96" s="3">
        <v>135.75</v>
      </c>
      <c r="M96" s="2">
        <v>43.21</v>
      </c>
    </row>
    <row r="97" spans="1:13">
      <c r="A97" s="9">
        <v>45818</v>
      </c>
      <c r="B97" s="1">
        <f t="shared" si="2"/>
        <v>45809</v>
      </c>
      <c r="C97" s="5" t="str">
        <f t="shared" si="3"/>
        <v>2025-06</v>
      </c>
      <c r="D97" s="3">
        <v>603.08000000000004</v>
      </c>
      <c r="E97" s="3">
        <v>214.51</v>
      </c>
      <c r="F97" s="3">
        <v>85.88</v>
      </c>
      <c r="G97" s="3">
        <v>306.70999999999998</v>
      </c>
      <c r="H97" s="3">
        <v>90.76</v>
      </c>
      <c r="I97" s="2">
        <v>177.48</v>
      </c>
      <c r="J97" s="2">
        <v>991.9</v>
      </c>
      <c r="K97" s="2">
        <v>476.9</v>
      </c>
      <c r="L97" s="3">
        <v>135.68</v>
      </c>
      <c r="M97" s="2">
        <v>42.91</v>
      </c>
    </row>
    <row r="98" spans="1:13">
      <c r="A98" s="9">
        <v>45817</v>
      </c>
      <c r="B98" s="1">
        <f t="shared" si="2"/>
        <v>45809</v>
      </c>
      <c r="C98" s="5" t="str">
        <f t="shared" si="3"/>
        <v>2025-06</v>
      </c>
      <c r="D98" s="3">
        <v>599.67999999999995</v>
      </c>
      <c r="E98" s="3">
        <v>213.36</v>
      </c>
      <c r="F98" s="3">
        <v>85.44</v>
      </c>
      <c r="G98" s="3">
        <v>306.62</v>
      </c>
      <c r="H98" s="3">
        <v>89.99</v>
      </c>
      <c r="I98" s="2">
        <v>177.15</v>
      </c>
      <c r="J98" s="2">
        <v>988.84</v>
      </c>
      <c r="K98" s="2">
        <v>480.83</v>
      </c>
      <c r="L98" s="3">
        <v>134.15</v>
      </c>
      <c r="M98" s="2">
        <v>43.12</v>
      </c>
    </row>
    <row r="99" spans="1:13">
      <c r="A99" s="9">
        <v>45814</v>
      </c>
      <c r="B99" s="1">
        <f t="shared" si="2"/>
        <v>45809</v>
      </c>
      <c r="C99" s="5" t="str">
        <f t="shared" si="3"/>
        <v>2025-06</v>
      </c>
      <c r="D99" s="3">
        <v>599.14</v>
      </c>
      <c r="E99" s="3">
        <v>211.9</v>
      </c>
      <c r="F99" s="3">
        <v>85.35</v>
      </c>
      <c r="G99" s="3">
        <v>305.18</v>
      </c>
      <c r="H99" s="3">
        <v>89.87</v>
      </c>
      <c r="I99" s="2">
        <v>174.02</v>
      </c>
      <c r="J99" s="2">
        <v>989.05</v>
      </c>
      <c r="K99" s="2">
        <v>481.69</v>
      </c>
      <c r="L99" s="3">
        <v>134.38</v>
      </c>
      <c r="M99" s="2">
        <v>41.55</v>
      </c>
    </row>
    <row r="100" spans="1:13">
      <c r="A100" s="9">
        <v>45813</v>
      </c>
      <c r="B100" s="1">
        <f t="shared" si="2"/>
        <v>45809</v>
      </c>
      <c r="C100" s="5" t="str">
        <f t="shared" si="3"/>
        <v>2025-06</v>
      </c>
      <c r="D100" s="3">
        <v>593.04999999999995</v>
      </c>
      <c r="E100" s="3">
        <v>208.53</v>
      </c>
      <c r="F100" s="3">
        <v>86.45</v>
      </c>
      <c r="G100" s="3">
        <v>309.33</v>
      </c>
      <c r="H100" s="3">
        <v>89.44</v>
      </c>
      <c r="I100" s="2">
        <v>171.14</v>
      </c>
      <c r="J100" s="2">
        <v>985.46</v>
      </c>
      <c r="K100" s="2">
        <v>478.03</v>
      </c>
      <c r="L100" s="3">
        <v>133.11000000000001</v>
      </c>
      <c r="M100" s="2">
        <v>40.770000000000003</v>
      </c>
    </row>
    <row r="101" spans="1:13">
      <c r="A101" s="9">
        <v>45812</v>
      </c>
      <c r="B101" s="1">
        <f t="shared" si="2"/>
        <v>45809</v>
      </c>
      <c r="C101" s="5" t="str">
        <f t="shared" si="3"/>
        <v>2025-06</v>
      </c>
      <c r="D101" s="3">
        <v>595.92999999999995</v>
      </c>
      <c r="E101" s="3">
        <v>208.44</v>
      </c>
      <c r="F101" s="3">
        <v>86.39</v>
      </c>
      <c r="G101" s="3">
        <v>310.89999999999998</v>
      </c>
      <c r="H101" s="3">
        <v>89.51</v>
      </c>
      <c r="I101" s="2">
        <v>168.1</v>
      </c>
      <c r="J101" s="2">
        <v>988.97</v>
      </c>
      <c r="K101" s="2">
        <v>482.21</v>
      </c>
      <c r="L101" s="3">
        <v>133.29</v>
      </c>
      <c r="M101" s="2">
        <v>44.13</v>
      </c>
    </row>
    <row r="102" spans="1:13">
      <c r="A102" s="9">
        <v>45811</v>
      </c>
      <c r="B102" s="1">
        <f t="shared" si="2"/>
        <v>45809</v>
      </c>
      <c r="C102" s="5" t="str">
        <f t="shared" si="3"/>
        <v>2025-06</v>
      </c>
      <c r="D102" s="3">
        <v>596.09</v>
      </c>
      <c r="E102" s="3">
        <v>209.03</v>
      </c>
      <c r="F102" s="3">
        <v>85.01</v>
      </c>
      <c r="G102" s="3">
        <v>308.91000000000003</v>
      </c>
      <c r="H102" s="3">
        <v>89.26</v>
      </c>
      <c r="I102" s="2">
        <v>169.14</v>
      </c>
      <c r="J102" s="2">
        <v>982.13</v>
      </c>
      <c r="K102" s="2">
        <v>480.17</v>
      </c>
      <c r="L102" s="3">
        <v>133.03</v>
      </c>
      <c r="M102" s="2">
        <v>43.19</v>
      </c>
    </row>
    <row r="103" spans="1:13">
      <c r="A103" s="9">
        <v>45810</v>
      </c>
      <c r="B103" s="1">
        <f t="shared" si="2"/>
        <v>45809</v>
      </c>
      <c r="C103" s="5" t="str">
        <f t="shared" si="3"/>
        <v>2025-06</v>
      </c>
      <c r="D103" s="3">
        <v>592.71</v>
      </c>
      <c r="E103" s="3">
        <v>205.71</v>
      </c>
      <c r="F103" s="3">
        <v>85.16</v>
      </c>
      <c r="G103" s="3">
        <v>311.67</v>
      </c>
      <c r="H103" s="3">
        <v>89.44</v>
      </c>
      <c r="I103" s="2">
        <v>166.57</v>
      </c>
      <c r="J103" s="2">
        <v>978.07</v>
      </c>
      <c r="K103" s="2">
        <v>478.82</v>
      </c>
      <c r="L103" s="3">
        <v>132.72</v>
      </c>
      <c r="M103" s="2">
        <v>41.2</v>
      </c>
    </row>
    <row r="104" spans="1:13">
      <c r="A104" s="9">
        <v>45807</v>
      </c>
      <c r="B104" s="1">
        <f t="shared" si="2"/>
        <v>45778</v>
      </c>
      <c r="C104" s="5" t="str">
        <f t="shared" si="3"/>
        <v>2025-05</v>
      </c>
      <c r="D104" s="3">
        <v>589.39</v>
      </c>
      <c r="E104" s="3">
        <v>205.07</v>
      </c>
      <c r="F104" s="3">
        <v>86.28</v>
      </c>
      <c r="G104" s="3">
        <v>303.60000000000002</v>
      </c>
      <c r="H104" s="3">
        <v>89.32</v>
      </c>
      <c r="I104" s="2">
        <v>165.53</v>
      </c>
      <c r="J104" s="2">
        <v>979.89</v>
      </c>
      <c r="K104" s="2">
        <v>482.38</v>
      </c>
      <c r="L104" s="3">
        <v>132.63999999999999</v>
      </c>
      <c r="M104" s="2">
        <v>40.020000000000003</v>
      </c>
    </row>
    <row r="105" spans="1:13">
      <c r="A105" s="9">
        <v>45806</v>
      </c>
      <c r="B105" s="1">
        <f t="shared" si="2"/>
        <v>45778</v>
      </c>
      <c r="C105" s="5" t="str">
        <f t="shared" si="3"/>
        <v>2025-05</v>
      </c>
      <c r="D105" s="3">
        <v>590.04999999999995</v>
      </c>
      <c r="E105" s="3">
        <v>206.12</v>
      </c>
      <c r="F105" s="3">
        <v>86.15</v>
      </c>
      <c r="G105" s="3">
        <v>305.61</v>
      </c>
      <c r="H105" s="3">
        <v>89.32</v>
      </c>
      <c r="I105" s="2">
        <v>162.9</v>
      </c>
      <c r="J105" s="2">
        <v>976.32</v>
      </c>
      <c r="K105" s="2">
        <v>473.69</v>
      </c>
      <c r="L105" s="3">
        <v>132.36000000000001</v>
      </c>
      <c r="M105" s="2">
        <v>41.15</v>
      </c>
    </row>
    <row r="106" spans="1:13">
      <c r="A106" s="9">
        <v>45805</v>
      </c>
      <c r="B106" s="1">
        <f t="shared" si="2"/>
        <v>45778</v>
      </c>
      <c r="C106" s="5" t="str">
        <f t="shared" si="3"/>
        <v>2025-05</v>
      </c>
      <c r="D106" s="3">
        <v>587.73</v>
      </c>
      <c r="E106" s="3">
        <v>205.51</v>
      </c>
      <c r="F106" s="3">
        <v>85.36</v>
      </c>
      <c r="G106" s="3">
        <v>303.81</v>
      </c>
      <c r="H106" s="3">
        <v>88.52</v>
      </c>
      <c r="I106" s="2">
        <v>163.85</v>
      </c>
      <c r="J106" s="2">
        <v>971.28</v>
      </c>
      <c r="K106" s="2">
        <v>469.98</v>
      </c>
      <c r="L106" s="3">
        <v>131.47999999999999</v>
      </c>
      <c r="M106" s="2">
        <v>41.96</v>
      </c>
    </row>
    <row r="107" spans="1:13">
      <c r="A107" s="9">
        <v>45804</v>
      </c>
      <c r="B107" s="1">
        <f t="shared" si="2"/>
        <v>45778</v>
      </c>
      <c r="C107" s="5" t="str">
        <f t="shared" si="3"/>
        <v>2025-05</v>
      </c>
      <c r="D107" s="3">
        <v>591.15</v>
      </c>
      <c r="E107" s="3">
        <v>207.7</v>
      </c>
      <c r="F107" s="3">
        <v>85.73</v>
      </c>
      <c r="G107" s="3">
        <v>304.5</v>
      </c>
      <c r="H107" s="3">
        <v>88.61</v>
      </c>
      <c r="I107" s="2">
        <v>161.91</v>
      </c>
      <c r="J107" s="2">
        <v>981.32</v>
      </c>
      <c r="K107" s="2">
        <v>476.85</v>
      </c>
      <c r="L107" s="3">
        <v>132.16</v>
      </c>
      <c r="M107" s="2">
        <v>41.57</v>
      </c>
    </row>
    <row r="108" spans="1:13">
      <c r="A108" s="9">
        <v>45800</v>
      </c>
      <c r="B108" s="1">
        <f t="shared" si="2"/>
        <v>45778</v>
      </c>
      <c r="C108" s="5" t="str">
        <f t="shared" si="3"/>
        <v>2025-05</v>
      </c>
      <c r="D108" s="3">
        <v>579.11</v>
      </c>
      <c r="E108" s="3">
        <v>202.56</v>
      </c>
      <c r="F108" s="3">
        <v>84.55</v>
      </c>
      <c r="G108" s="3">
        <v>309.75</v>
      </c>
      <c r="H108" s="3">
        <v>87.09</v>
      </c>
      <c r="I108" s="2">
        <v>155.97</v>
      </c>
      <c r="J108" s="2">
        <v>963.18</v>
      </c>
      <c r="K108" s="2">
        <v>468.88</v>
      </c>
      <c r="L108" s="3">
        <v>130.34</v>
      </c>
      <c r="M108" s="2">
        <v>40.090000000000003</v>
      </c>
    </row>
    <row r="109" spans="1:13">
      <c r="A109" s="9">
        <v>45799</v>
      </c>
      <c r="B109" s="1">
        <f t="shared" si="2"/>
        <v>45778</v>
      </c>
      <c r="C109" s="5" t="str">
        <f t="shared" si="3"/>
        <v>2025-05</v>
      </c>
      <c r="D109" s="3">
        <v>583.09</v>
      </c>
      <c r="E109" s="3">
        <v>203.2</v>
      </c>
      <c r="F109" s="3">
        <v>84.41</v>
      </c>
      <c r="G109" s="3">
        <v>303.11</v>
      </c>
      <c r="H109" s="3">
        <v>87</v>
      </c>
      <c r="I109" s="2">
        <v>157.31</v>
      </c>
      <c r="J109" s="2">
        <v>969.9</v>
      </c>
      <c r="K109" s="2">
        <v>470.45</v>
      </c>
      <c r="L109" s="3">
        <v>130.55000000000001</v>
      </c>
      <c r="M109" s="2">
        <v>41.32</v>
      </c>
    </row>
    <row r="110" spans="1:13">
      <c r="A110" s="9">
        <v>45798</v>
      </c>
      <c r="B110" s="1">
        <f t="shared" si="2"/>
        <v>45778</v>
      </c>
      <c r="C110" s="5" t="str">
        <f t="shared" si="3"/>
        <v>2025-05</v>
      </c>
      <c r="D110" s="3">
        <v>582.86</v>
      </c>
      <c r="E110" s="3">
        <v>203.21</v>
      </c>
      <c r="F110" s="3">
        <v>83.97</v>
      </c>
      <c r="G110" s="3">
        <v>305.82</v>
      </c>
      <c r="H110" s="3">
        <v>87.4</v>
      </c>
      <c r="I110" s="2">
        <v>157.18</v>
      </c>
      <c r="J110" s="2">
        <v>972.83</v>
      </c>
      <c r="K110" s="2">
        <v>470.28</v>
      </c>
      <c r="L110" s="3">
        <v>131.58000000000001</v>
      </c>
      <c r="M110" s="2">
        <v>41.65</v>
      </c>
    </row>
    <row r="111" spans="1:13">
      <c r="A111" s="9">
        <v>45797</v>
      </c>
      <c r="B111" s="1">
        <f t="shared" si="2"/>
        <v>45778</v>
      </c>
      <c r="C111" s="5" t="str">
        <f t="shared" si="3"/>
        <v>2025-05</v>
      </c>
      <c r="D111" s="3">
        <v>592.85</v>
      </c>
      <c r="E111" s="3">
        <v>209.08</v>
      </c>
      <c r="F111" s="3">
        <v>85.43</v>
      </c>
      <c r="G111" s="3">
        <v>303.58</v>
      </c>
      <c r="H111" s="3">
        <v>89.79</v>
      </c>
      <c r="I111" s="2">
        <v>160.31</v>
      </c>
      <c r="J111" s="2">
        <v>997.71</v>
      </c>
      <c r="K111" s="2">
        <v>475.82</v>
      </c>
      <c r="L111" s="3">
        <v>134.69999999999999</v>
      </c>
      <c r="M111" s="2">
        <v>42.77</v>
      </c>
    </row>
    <row r="112" spans="1:13">
      <c r="A112" s="9">
        <v>45796</v>
      </c>
      <c r="B112" s="1">
        <f t="shared" si="2"/>
        <v>45778</v>
      </c>
      <c r="C112" s="5" t="str">
        <f t="shared" si="3"/>
        <v>2025-05</v>
      </c>
      <c r="D112" s="3">
        <v>594.85</v>
      </c>
      <c r="E112" s="3">
        <v>208.97</v>
      </c>
      <c r="F112" s="3">
        <v>86.05</v>
      </c>
      <c r="G112" s="3">
        <v>298.02999999999997</v>
      </c>
      <c r="H112" s="3">
        <v>90.32</v>
      </c>
      <c r="I112" s="2">
        <v>159.63999999999999</v>
      </c>
      <c r="J112" s="2">
        <v>993.66</v>
      </c>
      <c r="K112" s="2">
        <v>473.06</v>
      </c>
      <c r="L112" s="3">
        <v>134.37</v>
      </c>
      <c r="M112" s="2">
        <v>44.79</v>
      </c>
    </row>
    <row r="113" spans="1:13">
      <c r="A113" s="9">
        <v>45793</v>
      </c>
      <c r="B113" s="1">
        <f t="shared" si="2"/>
        <v>45778</v>
      </c>
      <c r="C113" s="5" t="str">
        <f t="shared" si="3"/>
        <v>2025-05</v>
      </c>
      <c r="D113" s="3">
        <v>594.20000000000005</v>
      </c>
      <c r="E113" s="3">
        <v>209.85</v>
      </c>
      <c r="F113" s="3">
        <v>86.3</v>
      </c>
      <c r="G113" s="3">
        <v>294.24</v>
      </c>
      <c r="H113" s="3">
        <v>90.3</v>
      </c>
      <c r="I113" s="2">
        <v>160.49</v>
      </c>
      <c r="J113" s="2">
        <v>989.71</v>
      </c>
      <c r="K113" s="2">
        <v>468.32</v>
      </c>
      <c r="L113" s="3">
        <v>133.09</v>
      </c>
      <c r="M113" s="2">
        <v>46.15</v>
      </c>
    </row>
    <row r="114" spans="1:13">
      <c r="A114" s="9">
        <v>45792</v>
      </c>
      <c r="B114" s="1">
        <f t="shared" si="2"/>
        <v>45778</v>
      </c>
      <c r="C114" s="5" t="str">
        <f t="shared" si="3"/>
        <v>2025-05</v>
      </c>
      <c r="D114" s="3">
        <v>590.46</v>
      </c>
      <c r="E114" s="3">
        <v>208.13</v>
      </c>
      <c r="F114" s="3">
        <v>86.07</v>
      </c>
      <c r="G114" s="3">
        <v>297.83999999999997</v>
      </c>
      <c r="H114" s="3">
        <v>89.19</v>
      </c>
      <c r="I114" s="2">
        <v>159.4</v>
      </c>
      <c r="J114" s="2">
        <v>983.08</v>
      </c>
      <c r="K114" s="2">
        <v>465.14</v>
      </c>
      <c r="L114" s="3">
        <v>130.46</v>
      </c>
      <c r="M114" s="2">
        <v>43.96</v>
      </c>
    </row>
    <row r="115" spans="1:13">
      <c r="A115" s="9">
        <v>45791</v>
      </c>
      <c r="B115" s="1">
        <f t="shared" si="2"/>
        <v>45778</v>
      </c>
      <c r="C115" s="5" t="str">
        <f t="shared" si="3"/>
        <v>2025-05</v>
      </c>
      <c r="D115" s="3">
        <v>587.59</v>
      </c>
      <c r="E115" s="3">
        <v>206.78</v>
      </c>
      <c r="F115" s="3">
        <v>85.32</v>
      </c>
      <c r="G115" s="3">
        <v>293.16000000000003</v>
      </c>
      <c r="H115" s="3">
        <v>87.59</v>
      </c>
      <c r="I115" s="2">
        <v>162.94999999999999</v>
      </c>
      <c r="J115" s="2">
        <v>967.06</v>
      </c>
      <c r="K115" s="2">
        <v>449.18</v>
      </c>
      <c r="L115" s="3">
        <v>128.77000000000001</v>
      </c>
      <c r="M115" s="2">
        <v>45</v>
      </c>
    </row>
    <row r="116" spans="1:13">
      <c r="A116" s="9">
        <v>45790</v>
      </c>
      <c r="B116" s="1">
        <f t="shared" si="2"/>
        <v>45778</v>
      </c>
      <c r="C116" s="5" t="str">
        <f t="shared" si="3"/>
        <v>2025-05</v>
      </c>
      <c r="D116" s="3">
        <v>586.84</v>
      </c>
      <c r="E116" s="3">
        <v>208.63</v>
      </c>
      <c r="F116" s="3">
        <v>85.89</v>
      </c>
      <c r="G116" s="3">
        <v>299.45999999999998</v>
      </c>
      <c r="H116" s="3">
        <v>88.46</v>
      </c>
      <c r="I116" s="2">
        <v>162.27000000000001</v>
      </c>
      <c r="J116" s="2">
        <v>959.18</v>
      </c>
      <c r="K116" s="2">
        <v>459.83</v>
      </c>
      <c r="L116" s="3">
        <v>131.87</v>
      </c>
      <c r="M116" s="2">
        <v>38.89</v>
      </c>
    </row>
    <row r="117" spans="1:13">
      <c r="A117" s="9">
        <v>45789</v>
      </c>
      <c r="B117" s="1">
        <f t="shared" si="2"/>
        <v>45778</v>
      </c>
      <c r="C117" s="5" t="str">
        <f t="shared" si="3"/>
        <v>2025-05</v>
      </c>
      <c r="D117" s="3">
        <v>582.99</v>
      </c>
      <c r="E117" s="3">
        <v>207.87</v>
      </c>
      <c r="F117" s="3">
        <v>86.24</v>
      </c>
      <c r="G117" s="3">
        <v>298.19</v>
      </c>
      <c r="H117" s="3">
        <v>89.6</v>
      </c>
      <c r="I117" s="2">
        <v>157.22</v>
      </c>
      <c r="J117" s="2">
        <v>958.03</v>
      </c>
      <c r="K117" s="2">
        <v>473.16</v>
      </c>
      <c r="L117" s="3">
        <v>135.96</v>
      </c>
      <c r="M117" s="2">
        <v>33.520000000000003</v>
      </c>
    </row>
    <row r="118" spans="1:13">
      <c r="A118" s="9">
        <v>45786</v>
      </c>
      <c r="B118" s="1">
        <f t="shared" si="2"/>
        <v>45778</v>
      </c>
      <c r="C118" s="5" t="str">
        <f t="shared" si="3"/>
        <v>2025-05</v>
      </c>
      <c r="D118" s="3">
        <v>564.34</v>
      </c>
      <c r="E118" s="3">
        <v>200.81</v>
      </c>
      <c r="F118" s="3">
        <v>87.05</v>
      </c>
      <c r="G118" s="3">
        <v>306.83999999999997</v>
      </c>
      <c r="H118" s="3">
        <v>89.16</v>
      </c>
      <c r="I118" s="2">
        <v>150.34</v>
      </c>
      <c r="J118" s="2">
        <v>923.44</v>
      </c>
      <c r="K118" s="2">
        <v>473.52</v>
      </c>
      <c r="L118" s="3">
        <v>132.68</v>
      </c>
      <c r="M118" s="2">
        <v>31.99</v>
      </c>
    </row>
    <row r="119" spans="1:13">
      <c r="A119" s="9">
        <v>45785</v>
      </c>
      <c r="B119" s="1">
        <f t="shared" si="2"/>
        <v>45778</v>
      </c>
      <c r="C119" s="5" t="str">
        <f t="shared" si="3"/>
        <v>2025-05</v>
      </c>
      <c r="D119" s="3">
        <v>565.05999999999995</v>
      </c>
      <c r="E119" s="3">
        <v>201.18</v>
      </c>
      <c r="F119" s="3">
        <v>86.92</v>
      </c>
      <c r="G119" s="3">
        <v>304.63</v>
      </c>
      <c r="H119" s="3">
        <v>88.57</v>
      </c>
      <c r="I119" s="2">
        <v>150.30000000000001</v>
      </c>
      <c r="J119" s="2">
        <v>928.64</v>
      </c>
      <c r="K119" s="2">
        <v>474.53</v>
      </c>
      <c r="L119" s="3">
        <v>134.13999999999999</v>
      </c>
      <c r="M119" s="2">
        <v>32.11</v>
      </c>
    </row>
    <row r="120" spans="1:13">
      <c r="A120" s="9">
        <v>45784</v>
      </c>
      <c r="B120" s="1">
        <f t="shared" si="2"/>
        <v>45778</v>
      </c>
      <c r="C120" s="5" t="str">
        <f t="shared" si="3"/>
        <v>2025-05</v>
      </c>
      <c r="D120" s="3">
        <v>561.15</v>
      </c>
      <c r="E120" s="3">
        <v>197.42</v>
      </c>
      <c r="F120" s="3">
        <v>87.9</v>
      </c>
      <c r="G120" s="3">
        <v>310.75</v>
      </c>
      <c r="H120" s="3">
        <v>88.92</v>
      </c>
      <c r="I120" s="2">
        <v>149.37</v>
      </c>
      <c r="J120" s="2">
        <v>920.36</v>
      </c>
      <c r="K120" s="2">
        <v>471.32</v>
      </c>
      <c r="L120" s="3">
        <v>135.36000000000001</v>
      </c>
      <c r="M120" s="2">
        <v>32.479999999999997</v>
      </c>
    </row>
    <row r="121" spans="1:13">
      <c r="A121" s="9">
        <v>45783</v>
      </c>
      <c r="B121" s="1">
        <f t="shared" si="2"/>
        <v>45778</v>
      </c>
      <c r="C121" s="5" t="str">
        <f t="shared" si="3"/>
        <v>2025-05</v>
      </c>
      <c r="D121" s="3">
        <v>558.79999999999995</v>
      </c>
      <c r="E121" s="3">
        <v>196.77</v>
      </c>
      <c r="F121" s="3">
        <v>87.53</v>
      </c>
      <c r="G121" s="3">
        <v>315.48</v>
      </c>
      <c r="H121" s="3">
        <v>88.82</v>
      </c>
      <c r="I121" s="2">
        <v>147.69999999999999</v>
      </c>
      <c r="J121" s="2">
        <v>914.97</v>
      </c>
      <c r="K121" s="2">
        <v>468.21</v>
      </c>
      <c r="L121" s="3">
        <v>134.33000000000001</v>
      </c>
      <c r="M121" s="2">
        <v>32.94</v>
      </c>
    </row>
    <row r="122" spans="1:13">
      <c r="A122" s="9">
        <v>45782</v>
      </c>
      <c r="B122" s="1">
        <f t="shared" si="2"/>
        <v>45778</v>
      </c>
      <c r="C122" s="5" t="str">
        <f t="shared" si="3"/>
        <v>2025-05</v>
      </c>
      <c r="D122" s="3">
        <v>563.51</v>
      </c>
      <c r="E122" s="3">
        <v>198.94</v>
      </c>
      <c r="F122" s="3">
        <v>87.24</v>
      </c>
      <c r="G122" s="3">
        <v>306.88</v>
      </c>
      <c r="H122" s="3">
        <v>89.51</v>
      </c>
      <c r="I122" s="2">
        <v>149.29</v>
      </c>
      <c r="J122" s="2">
        <v>920.53</v>
      </c>
      <c r="K122" s="2">
        <v>471.56</v>
      </c>
      <c r="L122" s="3">
        <v>138.13999999999999</v>
      </c>
      <c r="M122" s="2">
        <v>32.17</v>
      </c>
    </row>
    <row r="123" spans="1:13">
      <c r="A123" s="9">
        <v>45779</v>
      </c>
      <c r="B123" s="1">
        <f t="shared" si="2"/>
        <v>45778</v>
      </c>
      <c r="C123" s="5" t="str">
        <f t="shared" si="3"/>
        <v>2025-05</v>
      </c>
      <c r="D123" s="3">
        <v>566.76</v>
      </c>
      <c r="E123" s="3">
        <v>200.48</v>
      </c>
      <c r="F123" s="3">
        <v>87.73</v>
      </c>
      <c r="G123" s="3">
        <v>297.98</v>
      </c>
      <c r="H123" s="3">
        <v>89.71</v>
      </c>
      <c r="I123" s="2">
        <v>150.72999999999999</v>
      </c>
      <c r="J123" s="2">
        <v>929.2</v>
      </c>
      <c r="K123" s="2">
        <v>472.8</v>
      </c>
      <c r="L123" s="3">
        <v>138.53</v>
      </c>
      <c r="M123" s="2">
        <v>33.71</v>
      </c>
    </row>
    <row r="124" spans="1:13">
      <c r="A124" s="9">
        <v>45778</v>
      </c>
      <c r="B124" s="1">
        <f t="shared" si="2"/>
        <v>45778</v>
      </c>
      <c r="C124" s="5" t="str">
        <f t="shared" si="3"/>
        <v>2025-05</v>
      </c>
      <c r="D124" s="3">
        <v>558.47</v>
      </c>
      <c r="E124" s="3">
        <v>196.07</v>
      </c>
      <c r="F124" s="3">
        <v>88.69</v>
      </c>
      <c r="G124" s="3">
        <v>297.45999999999998</v>
      </c>
      <c r="H124" s="3">
        <v>88.62</v>
      </c>
      <c r="I124" s="2">
        <v>145.49</v>
      </c>
      <c r="J124" s="2">
        <v>916.14</v>
      </c>
      <c r="K124" s="2">
        <v>477.72</v>
      </c>
      <c r="L124" s="3">
        <v>136.63999999999999</v>
      </c>
      <c r="M124" s="2">
        <v>32.729999999999997</v>
      </c>
    </row>
    <row r="125" spans="1:13">
      <c r="A125" s="9">
        <v>45777</v>
      </c>
      <c r="B125" s="1">
        <f t="shared" si="2"/>
        <v>45748</v>
      </c>
      <c r="C125" s="5" t="str">
        <f t="shared" si="3"/>
        <v>2025-04</v>
      </c>
      <c r="D125" s="3">
        <v>554.54</v>
      </c>
      <c r="E125" s="3">
        <v>194.86</v>
      </c>
      <c r="F125" s="3">
        <v>89.47</v>
      </c>
      <c r="G125" s="3">
        <v>303.77</v>
      </c>
      <c r="H125" s="3">
        <v>88.33</v>
      </c>
      <c r="I125" s="2">
        <v>140.72</v>
      </c>
      <c r="J125" s="2">
        <v>914.26</v>
      </c>
      <c r="K125" s="2">
        <v>477.75</v>
      </c>
      <c r="L125" s="3">
        <v>140.47</v>
      </c>
      <c r="M125" s="2">
        <v>31.86</v>
      </c>
    </row>
    <row r="126" spans="1:13">
      <c r="A126" s="9">
        <v>45776</v>
      </c>
      <c r="B126" s="1">
        <f t="shared" si="2"/>
        <v>45748</v>
      </c>
      <c r="C126" s="5" t="str">
        <f t="shared" si="3"/>
        <v>2025-04</v>
      </c>
      <c r="D126" s="3">
        <v>554.32000000000005</v>
      </c>
      <c r="E126" s="3">
        <v>196.09</v>
      </c>
      <c r="F126" s="3">
        <v>90.2</v>
      </c>
      <c r="G126" s="3">
        <v>306.06</v>
      </c>
      <c r="H126" s="3">
        <v>88.02</v>
      </c>
      <c r="I126" s="2">
        <v>140.79</v>
      </c>
      <c r="J126" s="2">
        <v>920.52</v>
      </c>
      <c r="K126" s="2">
        <v>475.88</v>
      </c>
      <c r="L126" s="3">
        <v>139.28</v>
      </c>
      <c r="M126" s="2">
        <v>36</v>
      </c>
    </row>
    <row r="127" spans="1:13">
      <c r="A127" s="9">
        <v>45775</v>
      </c>
      <c r="B127" s="1">
        <f t="shared" si="2"/>
        <v>45748</v>
      </c>
      <c r="C127" s="5" t="str">
        <f t="shared" si="3"/>
        <v>2025-04</v>
      </c>
      <c r="D127" s="3">
        <v>550.85</v>
      </c>
      <c r="E127" s="3">
        <v>194.94</v>
      </c>
      <c r="F127" s="3">
        <v>89.45</v>
      </c>
      <c r="G127" s="3">
        <v>309.07</v>
      </c>
      <c r="H127" s="3">
        <v>87.55</v>
      </c>
      <c r="I127" s="2">
        <v>140.13999999999999</v>
      </c>
      <c r="J127" s="2">
        <v>913.74</v>
      </c>
      <c r="K127" s="2">
        <v>476.29</v>
      </c>
      <c r="L127" s="3">
        <v>138.6</v>
      </c>
      <c r="M127" s="2">
        <v>37.270000000000003</v>
      </c>
    </row>
    <row r="128" spans="1:13">
      <c r="A128" s="9">
        <v>45772</v>
      </c>
      <c r="B128" s="1">
        <f t="shared" si="2"/>
        <v>45748</v>
      </c>
      <c r="C128" s="5" t="str">
        <f t="shared" si="3"/>
        <v>2025-04</v>
      </c>
      <c r="D128" s="3">
        <v>550.64</v>
      </c>
      <c r="E128" s="3">
        <v>194.12</v>
      </c>
      <c r="F128" s="3">
        <v>88.89</v>
      </c>
      <c r="G128" s="3">
        <v>304.73</v>
      </c>
      <c r="H128" s="3">
        <v>87.01</v>
      </c>
      <c r="I128" s="2">
        <v>138.49</v>
      </c>
      <c r="J128" s="2">
        <v>907.69</v>
      </c>
      <c r="K128" s="2">
        <v>477.64</v>
      </c>
      <c r="L128" s="3">
        <v>138.05000000000001</v>
      </c>
      <c r="M128" s="2">
        <v>36.47</v>
      </c>
    </row>
    <row r="129" spans="1:13">
      <c r="A129" s="9">
        <v>45771</v>
      </c>
      <c r="B129" s="1">
        <f t="shared" si="2"/>
        <v>45748</v>
      </c>
      <c r="C129" s="5" t="str">
        <f t="shared" si="3"/>
        <v>2025-04</v>
      </c>
      <c r="D129" s="3">
        <v>546.69000000000005</v>
      </c>
      <c r="E129" s="3">
        <v>194.06</v>
      </c>
      <c r="F129" s="3">
        <v>88.24</v>
      </c>
      <c r="G129" s="3">
        <v>308.07</v>
      </c>
      <c r="H129" s="3">
        <v>87.16</v>
      </c>
      <c r="I129" s="2">
        <v>137.51</v>
      </c>
      <c r="J129" s="2">
        <v>916.26</v>
      </c>
      <c r="K129" s="2">
        <v>466.81</v>
      </c>
      <c r="L129" s="3">
        <v>137.38999999999999</v>
      </c>
      <c r="M129" s="2">
        <v>35.81</v>
      </c>
    </row>
    <row r="130" spans="1:13">
      <c r="A130" s="9">
        <v>45770</v>
      </c>
      <c r="B130" s="1">
        <f t="shared" ref="B130:B193" si="4">EOMONTH(A130,-1)+1</f>
        <v>45748</v>
      </c>
      <c r="C130" s="5" t="str">
        <f t="shared" si="3"/>
        <v>2025-04</v>
      </c>
      <c r="D130" s="3">
        <v>535.41999999999996</v>
      </c>
      <c r="E130" s="3">
        <v>190.25</v>
      </c>
      <c r="F130" s="3">
        <v>87.32</v>
      </c>
      <c r="G130" s="3">
        <v>303.64999999999998</v>
      </c>
      <c r="H130" s="3">
        <v>86.84</v>
      </c>
      <c r="I130" s="2">
        <v>131.4</v>
      </c>
      <c r="J130" s="2">
        <v>892.54</v>
      </c>
      <c r="K130" s="2">
        <v>463.55</v>
      </c>
      <c r="L130" s="3">
        <v>135.72999999999999</v>
      </c>
      <c r="M130" s="2">
        <v>32.9</v>
      </c>
    </row>
    <row r="131" spans="1:13">
      <c r="A131" s="9">
        <v>45769</v>
      </c>
      <c r="B131" s="1">
        <f t="shared" si="4"/>
        <v>45748</v>
      </c>
      <c r="C131" s="5" t="str">
        <f t="shared" ref="C131:C194" si="5">TEXT(A131, "yyyy-mm")</f>
        <v>2025-04</v>
      </c>
      <c r="D131" s="3">
        <v>527.25</v>
      </c>
      <c r="E131" s="3">
        <v>187.47</v>
      </c>
      <c r="F131" s="3">
        <v>86.48</v>
      </c>
      <c r="G131" s="3">
        <v>311.11</v>
      </c>
      <c r="H131" s="3">
        <v>86.68</v>
      </c>
      <c r="I131" s="2">
        <v>127.24</v>
      </c>
      <c r="J131" s="2">
        <v>887.22</v>
      </c>
      <c r="K131" s="2">
        <v>462.08</v>
      </c>
      <c r="L131" s="3">
        <v>135.06</v>
      </c>
      <c r="M131" s="2">
        <v>30.58</v>
      </c>
    </row>
    <row r="132" spans="1:13">
      <c r="A132" s="9">
        <v>45768</v>
      </c>
      <c r="B132" s="1">
        <f t="shared" si="4"/>
        <v>45748</v>
      </c>
      <c r="C132" s="5" t="str">
        <f t="shared" si="5"/>
        <v>2025-04</v>
      </c>
      <c r="D132" s="3">
        <v>513.88</v>
      </c>
      <c r="E132" s="3">
        <v>182.74</v>
      </c>
      <c r="F132" s="3">
        <v>86</v>
      </c>
      <c r="G132" s="3">
        <v>315.58999999999997</v>
      </c>
      <c r="H132" s="3">
        <v>85.03</v>
      </c>
      <c r="I132" s="2">
        <v>122.82</v>
      </c>
      <c r="J132" s="2">
        <v>854</v>
      </c>
      <c r="K132" s="2">
        <v>458.33</v>
      </c>
      <c r="L132" s="3">
        <v>132.57</v>
      </c>
      <c r="M132" s="2">
        <v>29.51</v>
      </c>
    </row>
    <row r="133" spans="1:13">
      <c r="A133" s="9">
        <v>45764</v>
      </c>
      <c r="B133" s="1">
        <f t="shared" si="4"/>
        <v>45748</v>
      </c>
      <c r="C133" s="5" t="str">
        <f t="shared" si="5"/>
        <v>2025-04</v>
      </c>
      <c r="D133" s="3">
        <v>526.41</v>
      </c>
      <c r="E133" s="3">
        <v>186.48</v>
      </c>
      <c r="F133" s="3">
        <v>87.53</v>
      </c>
      <c r="G133" s="3">
        <v>306.12</v>
      </c>
      <c r="H133" s="3">
        <v>86.84</v>
      </c>
      <c r="I133" s="2">
        <v>128.62</v>
      </c>
      <c r="J133" s="2">
        <v>875.78</v>
      </c>
      <c r="K133" s="2">
        <v>464.08</v>
      </c>
      <c r="L133" s="3">
        <v>135.49</v>
      </c>
      <c r="M133" s="2">
        <v>31.51</v>
      </c>
    </row>
    <row r="134" spans="1:13">
      <c r="A134" s="9">
        <v>45763</v>
      </c>
      <c r="B134" s="1">
        <f t="shared" si="4"/>
        <v>45748</v>
      </c>
      <c r="C134" s="5" t="str">
        <f t="shared" si="5"/>
        <v>2025-04</v>
      </c>
      <c r="D134" s="3">
        <v>525.66</v>
      </c>
      <c r="E134" s="3">
        <v>184.97</v>
      </c>
      <c r="F134" s="3">
        <v>88.31</v>
      </c>
      <c r="G134" s="3">
        <v>307.47000000000003</v>
      </c>
      <c r="H134" s="3">
        <v>85.56</v>
      </c>
      <c r="I134" s="2">
        <v>129.76</v>
      </c>
      <c r="J134" s="2">
        <v>865.78</v>
      </c>
      <c r="K134" s="2">
        <v>477.08</v>
      </c>
      <c r="L134" s="3">
        <v>136.29</v>
      </c>
      <c r="M134" s="2">
        <v>31.89</v>
      </c>
    </row>
    <row r="135" spans="1:13">
      <c r="A135" s="9">
        <v>45762</v>
      </c>
      <c r="B135" s="1">
        <f t="shared" si="4"/>
        <v>45748</v>
      </c>
      <c r="C135" s="5" t="str">
        <f t="shared" si="5"/>
        <v>2025-04</v>
      </c>
      <c r="D135" s="3">
        <v>537.61</v>
      </c>
      <c r="E135" s="3">
        <v>186.76</v>
      </c>
      <c r="F135" s="3">
        <v>87.82</v>
      </c>
      <c r="G135" s="3">
        <v>297.77999999999997</v>
      </c>
      <c r="H135" s="3">
        <v>85.62</v>
      </c>
      <c r="I135" s="2">
        <v>133.94</v>
      </c>
      <c r="J135" s="2">
        <v>888.44</v>
      </c>
      <c r="K135" s="2">
        <v>469.58</v>
      </c>
      <c r="L135" s="3">
        <v>137.69</v>
      </c>
      <c r="M135" s="2">
        <v>33.479999999999997</v>
      </c>
    </row>
    <row r="136" spans="1:13">
      <c r="A136" s="9">
        <v>45761</v>
      </c>
      <c r="B136" s="1">
        <f t="shared" si="4"/>
        <v>45748</v>
      </c>
      <c r="C136" s="5" t="str">
        <f t="shared" si="5"/>
        <v>2025-04</v>
      </c>
      <c r="D136" s="3">
        <v>539.12</v>
      </c>
      <c r="E136" s="3">
        <v>186.53</v>
      </c>
      <c r="F136" s="3">
        <v>87.51</v>
      </c>
      <c r="G136" s="3">
        <v>296.23</v>
      </c>
      <c r="H136" s="3">
        <v>85.36</v>
      </c>
      <c r="I136" s="2">
        <v>134.63999999999999</v>
      </c>
      <c r="J136" s="2">
        <v>889.95</v>
      </c>
      <c r="K136" s="2">
        <v>475.34</v>
      </c>
      <c r="L136" s="3">
        <v>138.54</v>
      </c>
      <c r="M136" s="2">
        <v>33.119999999999997</v>
      </c>
    </row>
    <row r="137" spans="1:13">
      <c r="A137" s="9">
        <v>45758</v>
      </c>
      <c r="B137" s="1">
        <f t="shared" si="4"/>
        <v>45748</v>
      </c>
      <c r="C137" s="5" t="str">
        <f t="shared" si="5"/>
        <v>2025-04</v>
      </c>
      <c r="D137" s="3">
        <v>533.94000000000005</v>
      </c>
      <c r="E137" s="3">
        <v>184.36</v>
      </c>
      <c r="F137" s="3">
        <v>86.89</v>
      </c>
      <c r="G137" s="3">
        <v>297.93</v>
      </c>
      <c r="H137" s="3">
        <v>83.63</v>
      </c>
      <c r="I137" s="2">
        <v>132.35</v>
      </c>
      <c r="J137" s="2">
        <v>878.78</v>
      </c>
      <c r="K137" s="2">
        <v>474.9</v>
      </c>
      <c r="L137" s="3">
        <v>136.87</v>
      </c>
      <c r="M137" s="2">
        <v>33.15</v>
      </c>
    </row>
    <row r="138" spans="1:13">
      <c r="A138" s="9">
        <v>45757</v>
      </c>
      <c r="B138" s="1">
        <f t="shared" si="4"/>
        <v>45748</v>
      </c>
      <c r="C138" s="5" t="str">
        <f t="shared" si="5"/>
        <v>2025-04</v>
      </c>
      <c r="D138" s="3">
        <v>524.58000000000004</v>
      </c>
      <c r="E138" s="3">
        <v>181.71</v>
      </c>
      <c r="F138" s="3">
        <v>86.42</v>
      </c>
      <c r="G138" s="3">
        <v>292.35000000000002</v>
      </c>
      <c r="H138" s="3">
        <v>82.62</v>
      </c>
      <c r="I138" s="2">
        <v>133.35</v>
      </c>
      <c r="J138" s="2">
        <v>858.78</v>
      </c>
      <c r="K138" s="2">
        <v>463.7</v>
      </c>
      <c r="L138" s="3">
        <v>134.88999999999999</v>
      </c>
      <c r="M138" s="2">
        <v>33.68</v>
      </c>
    </row>
    <row r="139" spans="1:13">
      <c r="A139" s="9">
        <v>45756</v>
      </c>
      <c r="B139" s="1">
        <f t="shared" si="4"/>
        <v>45748</v>
      </c>
      <c r="C139" s="5" t="str">
        <f t="shared" si="5"/>
        <v>2025-04</v>
      </c>
      <c r="D139" s="3">
        <v>548.62</v>
      </c>
      <c r="E139" s="3">
        <v>189.68</v>
      </c>
      <c r="F139" s="3">
        <v>88.87</v>
      </c>
      <c r="G139" s="3">
        <v>285.38</v>
      </c>
      <c r="H139" s="3">
        <v>84.55</v>
      </c>
      <c r="I139" s="2">
        <v>139.69</v>
      </c>
      <c r="J139" s="2">
        <v>897.08</v>
      </c>
      <c r="K139" s="2">
        <v>462.24</v>
      </c>
      <c r="L139" s="3">
        <v>138.76</v>
      </c>
      <c r="M139" s="2">
        <v>36.71</v>
      </c>
    </row>
    <row r="140" spans="1:13">
      <c r="A140" s="9">
        <v>45755</v>
      </c>
      <c r="B140" s="1">
        <f t="shared" si="4"/>
        <v>45748</v>
      </c>
      <c r="C140" s="5" t="str">
        <f t="shared" si="5"/>
        <v>2025-04</v>
      </c>
      <c r="D140" s="3">
        <v>496.48</v>
      </c>
      <c r="E140" s="3">
        <v>174.82</v>
      </c>
      <c r="F140" s="3">
        <v>88.35</v>
      </c>
      <c r="G140" s="3">
        <v>275.2</v>
      </c>
      <c r="H140" s="3">
        <v>79.790000000000006</v>
      </c>
      <c r="I140" s="2">
        <v>124.5</v>
      </c>
      <c r="J140" s="2">
        <v>815.72</v>
      </c>
      <c r="K140" s="2">
        <v>443.36</v>
      </c>
      <c r="L140" s="3">
        <v>132.97999999999999</v>
      </c>
      <c r="M140" s="2">
        <v>31.71</v>
      </c>
    </row>
    <row r="141" spans="1:13">
      <c r="A141" s="9">
        <v>45754</v>
      </c>
      <c r="B141" s="1">
        <f t="shared" si="4"/>
        <v>45748</v>
      </c>
      <c r="C141" s="5" t="str">
        <f t="shared" si="5"/>
        <v>2025-04</v>
      </c>
      <c r="D141" s="3">
        <v>504.38</v>
      </c>
      <c r="E141" s="3">
        <v>179.55</v>
      </c>
      <c r="F141" s="3">
        <v>90.05</v>
      </c>
      <c r="G141" s="3">
        <v>273.70999999999998</v>
      </c>
      <c r="H141" s="3">
        <v>81.99</v>
      </c>
      <c r="I141" s="2">
        <v>127.16</v>
      </c>
      <c r="J141" s="2">
        <v>817.5</v>
      </c>
      <c r="K141" s="2">
        <v>430.82</v>
      </c>
      <c r="L141" s="3">
        <v>134.47</v>
      </c>
      <c r="M141" s="2">
        <v>33</v>
      </c>
    </row>
    <row r="142" spans="1:13">
      <c r="A142" s="9">
        <v>45751</v>
      </c>
      <c r="B142" s="1">
        <f t="shared" si="4"/>
        <v>45748</v>
      </c>
      <c r="C142" s="5" t="str">
        <f t="shared" si="5"/>
        <v>2025-04</v>
      </c>
      <c r="D142" s="3">
        <v>505.28</v>
      </c>
      <c r="E142" s="3">
        <v>181.19</v>
      </c>
      <c r="F142" s="3">
        <v>92.85</v>
      </c>
      <c r="G142" s="3">
        <v>279.72000000000003</v>
      </c>
      <c r="H142" s="3">
        <v>84.2</v>
      </c>
      <c r="I142" s="2">
        <v>128.27000000000001</v>
      </c>
      <c r="J142" s="2">
        <v>822.62</v>
      </c>
      <c r="K142" s="2">
        <v>432.15</v>
      </c>
      <c r="L142" s="3">
        <v>135.28</v>
      </c>
      <c r="M142" s="2">
        <v>29.82</v>
      </c>
    </row>
    <row r="143" spans="1:13">
      <c r="A143" s="9">
        <v>45750</v>
      </c>
      <c r="B143" s="1">
        <f t="shared" si="4"/>
        <v>45748</v>
      </c>
      <c r="C143" s="5" t="str">
        <f t="shared" si="5"/>
        <v>2025-04</v>
      </c>
      <c r="D143" s="3">
        <v>536.70000000000005</v>
      </c>
      <c r="E143" s="3">
        <v>189.65</v>
      </c>
      <c r="F143" s="3">
        <v>91.85</v>
      </c>
      <c r="G143" s="3">
        <v>286.42</v>
      </c>
      <c r="H143" s="3">
        <v>88.02</v>
      </c>
      <c r="I143" s="2">
        <v>137.22999999999999</v>
      </c>
      <c r="J143" s="2">
        <v>887.65</v>
      </c>
      <c r="K143" s="2">
        <v>454.78</v>
      </c>
      <c r="L143" s="3">
        <v>143.13</v>
      </c>
      <c r="M143" s="2">
        <v>32.32</v>
      </c>
    </row>
    <row r="144" spans="1:13">
      <c r="A144" s="9">
        <v>45749</v>
      </c>
      <c r="B144" s="1">
        <f t="shared" si="4"/>
        <v>45748</v>
      </c>
      <c r="C144" s="5" t="str">
        <f t="shared" si="5"/>
        <v>2025-04</v>
      </c>
      <c r="D144" s="3">
        <v>564.52</v>
      </c>
      <c r="E144" s="3">
        <v>202.66</v>
      </c>
      <c r="F144" s="3">
        <v>91.43</v>
      </c>
      <c r="G144" s="3">
        <v>288.16000000000003</v>
      </c>
      <c r="H144" s="3">
        <v>91.13</v>
      </c>
      <c r="I144" s="2">
        <v>145.86000000000001</v>
      </c>
      <c r="J144" s="2">
        <v>961.84</v>
      </c>
      <c r="K144" s="2">
        <v>452.87</v>
      </c>
      <c r="L144" s="3">
        <v>144.30000000000001</v>
      </c>
      <c r="M144" s="2">
        <v>35.090000000000003</v>
      </c>
    </row>
    <row r="145" spans="1:13">
      <c r="A145" s="9">
        <v>45748</v>
      </c>
      <c r="B145" s="1">
        <f t="shared" si="4"/>
        <v>45748</v>
      </c>
      <c r="C145" s="5" t="str">
        <f t="shared" si="5"/>
        <v>2025-04</v>
      </c>
      <c r="D145" s="3">
        <v>560.97</v>
      </c>
      <c r="E145" s="3">
        <v>199.51</v>
      </c>
      <c r="F145" s="3">
        <v>91.49</v>
      </c>
      <c r="G145" s="3">
        <v>287.57</v>
      </c>
      <c r="H145" s="3">
        <v>90.58</v>
      </c>
      <c r="I145" s="2">
        <v>141.94</v>
      </c>
      <c r="J145" s="2">
        <v>944.08</v>
      </c>
      <c r="K145" s="2">
        <v>448.64</v>
      </c>
      <c r="L145" s="3">
        <v>143.34</v>
      </c>
      <c r="M145" s="2">
        <v>35.049999999999997</v>
      </c>
    </row>
    <row r="146" spans="1:13">
      <c r="A146" s="9">
        <v>45747</v>
      </c>
      <c r="B146" s="1">
        <f t="shared" si="4"/>
        <v>45717</v>
      </c>
      <c r="C146" s="5" t="str">
        <f t="shared" si="5"/>
        <v>2025-03</v>
      </c>
      <c r="D146" s="3">
        <v>559.39</v>
      </c>
      <c r="E146" s="3">
        <v>199.49</v>
      </c>
      <c r="F146" s="3">
        <v>91.03</v>
      </c>
      <c r="G146" s="3">
        <v>288.14</v>
      </c>
      <c r="H146" s="3">
        <v>90.54</v>
      </c>
      <c r="I146" s="2">
        <v>139.81</v>
      </c>
      <c r="J146" s="2">
        <v>946.48</v>
      </c>
      <c r="K146" s="2">
        <v>446.71</v>
      </c>
      <c r="L146" s="3">
        <v>146.01</v>
      </c>
      <c r="M146" s="2">
        <v>34.24</v>
      </c>
    </row>
    <row r="147" spans="1:13">
      <c r="A147" s="9">
        <v>45744</v>
      </c>
      <c r="B147" s="1">
        <f t="shared" si="4"/>
        <v>45717</v>
      </c>
      <c r="C147" s="5" t="str">
        <f t="shared" si="5"/>
        <v>2025-03</v>
      </c>
      <c r="D147" s="3">
        <v>555.66</v>
      </c>
      <c r="E147" s="3">
        <v>200.45</v>
      </c>
      <c r="F147" s="3">
        <v>90.14</v>
      </c>
      <c r="G147" s="3">
        <v>284.06</v>
      </c>
      <c r="H147" s="3">
        <v>89.71</v>
      </c>
      <c r="I147" s="2">
        <v>140.87</v>
      </c>
      <c r="J147" s="2">
        <v>946.7</v>
      </c>
      <c r="K147" s="2">
        <v>441.49</v>
      </c>
      <c r="L147" s="3">
        <v>144.52000000000001</v>
      </c>
      <c r="M147" s="2">
        <v>34.26</v>
      </c>
    </row>
    <row r="148" spans="1:13">
      <c r="A148" s="9">
        <v>45743</v>
      </c>
      <c r="B148" s="1">
        <f t="shared" si="4"/>
        <v>45717</v>
      </c>
      <c r="C148" s="5" t="str">
        <f t="shared" si="5"/>
        <v>2025-03</v>
      </c>
      <c r="D148" s="3">
        <v>567.08000000000004</v>
      </c>
      <c r="E148" s="3">
        <v>204.61</v>
      </c>
      <c r="F148" s="3">
        <v>88.91</v>
      </c>
      <c r="G148" s="3">
        <v>281.97000000000003</v>
      </c>
      <c r="H148" s="3">
        <v>89.83</v>
      </c>
      <c r="I148" s="2">
        <v>145.78</v>
      </c>
      <c r="J148" s="2">
        <v>967.94</v>
      </c>
      <c r="K148" s="2">
        <v>442.28</v>
      </c>
      <c r="L148" s="3">
        <v>144.97</v>
      </c>
      <c r="M148" s="2">
        <v>34.72</v>
      </c>
    </row>
    <row r="149" spans="1:13">
      <c r="A149" s="9">
        <v>45742</v>
      </c>
      <c r="B149" s="1">
        <f t="shared" si="4"/>
        <v>45717</v>
      </c>
      <c r="C149" s="5" t="str">
        <f t="shared" si="5"/>
        <v>2025-03</v>
      </c>
      <c r="D149" s="3">
        <v>568.59</v>
      </c>
      <c r="E149" s="3">
        <v>205.59</v>
      </c>
      <c r="F149" s="3">
        <v>89.17</v>
      </c>
      <c r="G149" s="3">
        <v>278.24</v>
      </c>
      <c r="H149" s="3">
        <v>90.06</v>
      </c>
      <c r="I149" s="2">
        <v>147.80000000000001</v>
      </c>
      <c r="J149" s="2">
        <v>968.24</v>
      </c>
      <c r="K149" s="2">
        <v>445.17</v>
      </c>
      <c r="L149" s="3">
        <v>144.74</v>
      </c>
      <c r="M149" s="2">
        <v>37.04</v>
      </c>
    </row>
    <row r="150" spans="1:13">
      <c r="A150" s="9">
        <v>45741</v>
      </c>
      <c r="B150" s="1">
        <f t="shared" si="4"/>
        <v>45717</v>
      </c>
      <c r="C150" s="5" t="str">
        <f t="shared" si="5"/>
        <v>2025-03</v>
      </c>
      <c r="D150" s="3">
        <v>575.46</v>
      </c>
      <c r="E150" s="3">
        <v>207.7</v>
      </c>
      <c r="F150" s="3">
        <v>89.76</v>
      </c>
      <c r="G150" s="3">
        <v>278.47000000000003</v>
      </c>
      <c r="H150" s="3">
        <v>89.71</v>
      </c>
      <c r="I150" s="2">
        <v>153.93</v>
      </c>
      <c r="J150" s="2">
        <v>973.48</v>
      </c>
      <c r="K150" s="2">
        <v>442.07</v>
      </c>
      <c r="L150" s="3">
        <v>145.27000000000001</v>
      </c>
      <c r="M150" s="2">
        <v>40.64</v>
      </c>
    </row>
    <row r="151" spans="1:13">
      <c r="A151" s="9">
        <v>45740</v>
      </c>
      <c r="B151" s="1">
        <f t="shared" si="4"/>
        <v>45717</v>
      </c>
      <c r="C151" s="5" t="str">
        <f t="shared" si="5"/>
        <v>2025-03</v>
      </c>
      <c r="D151" s="3">
        <v>574.08000000000004</v>
      </c>
      <c r="E151" s="3">
        <v>208.86</v>
      </c>
      <c r="F151" s="3">
        <v>89.77</v>
      </c>
      <c r="G151" s="3">
        <v>277.25</v>
      </c>
      <c r="H151" s="3">
        <v>91.66</v>
      </c>
      <c r="I151" s="2">
        <v>154.87</v>
      </c>
      <c r="J151" s="2">
        <v>963.5</v>
      </c>
      <c r="K151" s="2">
        <v>434.98</v>
      </c>
      <c r="L151" s="3">
        <v>147.15</v>
      </c>
      <c r="M151" s="2">
        <v>41.72</v>
      </c>
    </row>
    <row r="152" spans="1:13">
      <c r="A152" s="9">
        <v>45737</v>
      </c>
      <c r="B152" s="1">
        <f t="shared" si="4"/>
        <v>45717</v>
      </c>
      <c r="C152" s="5" t="str">
        <f t="shared" si="5"/>
        <v>2025-03</v>
      </c>
      <c r="D152" s="3">
        <v>563.98</v>
      </c>
      <c r="E152" s="3">
        <v>203.79</v>
      </c>
      <c r="F152" s="3">
        <v>90.7</v>
      </c>
      <c r="G152" s="3">
        <v>278.49</v>
      </c>
      <c r="H152" s="3">
        <v>90.27</v>
      </c>
      <c r="I152" s="2">
        <v>152.22999999999999</v>
      </c>
      <c r="J152" s="2">
        <v>951.73</v>
      </c>
      <c r="K152" s="2">
        <v>439.7</v>
      </c>
      <c r="L152" s="3">
        <v>146.6</v>
      </c>
      <c r="M152" s="2">
        <v>42.15</v>
      </c>
    </row>
    <row r="153" spans="1:13">
      <c r="A153" s="9">
        <v>45736</v>
      </c>
      <c r="B153" s="1">
        <f t="shared" si="4"/>
        <v>45717</v>
      </c>
      <c r="C153" s="5" t="str">
        <f t="shared" si="5"/>
        <v>2025-03</v>
      </c>
      <c r="D153" s="3">
        <v>565.49</v>
      </c>
      <c r="E153" s="3">
        <v>205.06</v>
      </c>
      <c r="F153" s="3">
        <v>91.24</v>
      </c>
      <c r="G153" s="3">
        <v>280.75</v>
      </c>
      <c r="H153" s="3">
        <v>91.28</v>
      </c>
      <c r="I153" s="2">
        <v>152.72</v>
      </c>
      <c r="J153" s="2">
        <v>954.17</v>
      </c>
      <c r="K153" s="2">
        <v>466.74</v>
      </c>
      <c r="L153" s="3">
        <v>147.01</v>
      </c>
      <c r="M153" s="2">
        <v>39.1</v>
      </c>
    </row>
    <row r="154" spans="1:13">
      <c r="A154" s="9">
        <v>45735</v>
      </c>
      <c r="B154" s="1">
        <f t="shared" si="4"/>
        <v>45717</v>
      </c>
      <c r="C154" s="5" t="str">
        <f t="shared" si="5"/>
        <v>2025-03</v>
      </c>
      <c r="D154" s="3">
        <v>567.13</v>
      </c>
      <c r="E154" s="3">
        <v>206.37</v>
      </c>
      <c r="F154" s="3">
        <v>91.18</v>
      </c>
      <c r="G154" s="3">
        <v>281.11</v>
      </c>
      <c r="H154" s="3">
        <v>91.34</v>
      </c>
      <c r="I154" s="2">
        <v>152.44999999999999</v>
      </c>
      <c r="J154" s="2">
        <v>957.23</v>
      </c>
      <c r="K154" s="2">
        <v>470.55</v>
      </c>
      <c r="L154" s="3">
        <v>146.91999999999999</v>
      </c>
      <c r="M154" s="2">
        <v>40.1</v>
      </c>
    </row>
    <row r="155" spans="1:13">
      <c r="A155" s="9">
        <v>45734</v>
      </c>
      <c r="B155" s="1">
        <f t="shared" si="4"/>
        <v>45717</v>
      </c>
      <c r="C155" s="5" t="str">
        <f t="shared" si="5"/>
        <v>2025-03</v>
      </c>
      <c r="D155" s="3">
        <v>561.02</v>
      </c>
      <c r="E155" s="3">
        <v>203.21</v>
      </c>
      <c r="F155" s="3">
        <v>90.71</v>
      </c>
      <c r="G155" s="3">
        <v>279.95999999999998</v>
      </c>
      <c r="H155" s="3">
        <v>91.23</v>
      </c>
      <c r="I155" s="2">
        <v>149.44999999999999</v>
      </c>
      <c r="J155" s="2">
        <v>958.62</v>
      </c>
      <c r="K155" s="2">
        <v>469.28</v>
      </c>
      <c r="L155" s="3">
        <v>146.84</v>
      </c>
      <c r="M155" s="2">
        <v>37.9</v>
      </c>
    </row>
    <row r="156" spans="1:13">
      <c r="A156" s="9">
        <v>45733</v>
      </c>
      <c r="B156" s="1">
        <f t="shared" si="4"/>
        <v>45717</v>
      </c>
      <c r="C156" s="5" t="str">
        <f t="shared" si="5"/>
        <v>2025-03</v>
      </c>
      <c r="D156" s="3">
        <v>567.15</v>
      </c>
      <c r="E156" s="3">
        <v>205.45</v>
      </c>
      <c r="F156" s="3">
        <v>90.62</v>
      </c>
      <c r="G156" s="3">
        <v>276.73</v>
      </c>
      <c r="H156" s="3">
        <v>91.71</v>
      </c>
      <c r="I156" s="2">
        <v>154.01</v>
      </c>
      <c r="J156" s="2">
        <v>958</v>
      </c>
      <c r="K156" s="2">
        <v>467.61</v>
      </c>
      <c r="L156" s="3">
        <v>146.77000000000001</v>
      </c>
      <c r="M156" s="2">
        <v>41.94</v>
      </c>
    </row>
    <row r="157" spans="1:13">
      <c r="A157" s="9">
        <v>45730</v>
      </c>
      <c r="B157" s="1">
        <f t="shared" si="4"/>
        <v>45717</v>
      </c>
      <c r="C157" s="5" t="str">
        <f t="shared" si="5"/>
        <v>2025-03</v>
      </c>
      <c r="D157" s="3">
        <v>562.80999999999995</v>
      </c>
      <c r="E157" s="3">
        <v>202.89</v>
      </c>
      <c r="F157" s="3">
        <v>90.17</v>
      </c>
      <c r="G157" s="3">
        <v>275.24</v>
      </c>
      <c r="H157" s="3">
        <v>90.17</v>
      </c>
      <c r="I157" s="2">
        <v>149.27000000000001</v>
      </c>
      <c r="J157" s="2">
        <v>928.7</v>
      </c>
      <c r="K157" s="2">
        <v>466.17</v>
      </c>
      <c r="L157" s="3">
        <v>144.93</v>
      </c>
      <c r="M157" s="2">
        <v>42.17</v>
      </c>
    </row>
    <row r="158" spans="1:13">
      <c r="A158" s="9">
        <v>45729</v>
      </c>
      <c r="B158" s="1">
        <f t="shared" si="4"/>
        <v>45717</v>
      </c>
      <c r="C158" s="5" t="str">
        <f t="shared" si="5"/>
        <v>2025-03</v>
      </c>
      <c r="D158" s="3">
        <v>551.41999999999996</v>
      </c>
      <c r="E158" s="3">
        <v>198.1</v>
      </c>
      <c r="F158" s="3">
        <v>90.65</v>
      </c>
      <c r="G158" s="3">
        <v>275.13</v>
      </c>
      <c r="H158" s="3">
        <v>88.4</v>
      </c>
      <c r="I158" s="2">
        <v>147.66</v>
      </c>
      <c r="J158" s="2">
        <v>900.46</v>
      </c>
      <c r="K158" s="2">
        <v>467.93</v>
      </c>
      <c r="L158" s="3">
        <v>143.83000000000001</v>
      </c>
      <c r="M158" s="2">
        <v>39.08</v>
      </c>
    </row>
    <row r="159" spans="1:13">
      <c r="A159" s="9">
        <v>45728</v>
      </c>
      <c r="B159" s="1">
        <f t="shared" si="4"/>
        <v>45717</v>
      </c>
      <c r="C159" s="5" t="str">
        <f t="shared" si="5"/>
        <v>2025-03</v>
      </c>
      <c r="D159" s="3">
        <v>558.87</v>
      </c>
      <c r="E159" s="3">
        <v>201.1</v>
      </c>
      <c r="F159" s="3">
        <v>89.86</v>
      </c>
      <c r="G159" s="3">
        <v>270.33</v>
      </c>
      <c r="H159" s="3">
        <v>90.18</v>
      </c>
      <c r="I159" s="2">
        <v>150.88999999999999</v>
      </c>
      <c r="J159" s="2">
        <v>910.06</v>
      </c>
      <c r="K159" s="2">
        <v>461.5</v>
      </c>
      <c r="L159" s="3">
        <v>144.6</v>
      </c>
      <c r="M159" s="2">
        <v>42.47</v>
      </c>
    </row>
    <row r="160" spans="1:13">
      <c r="A160" s="9">
        <v>45727</v>
      </c>
      <c r="B160" s="1">
        <f t="shared" si="4"/>
        <v>45717</v>
      </c>
      <c r="C160" s="5" t="str">
        <f t="shared" si="5"/>
        <v>2025-03</v>
      </c>
      <c r="D160" s="3">
        <v>555.91999999999996</v>
      </c>
      <c r="E160" s="3">
        <v>200.75</v>
      </c>
      <c r="F160" s="3">
        <v>90.4</v>
      </c>
      <c r="G160" s="3">
        <v>269.16000000000003</v>
      </c>
      <c r="H160" s="3">
        <v>90.46</v>
      </c>
      <c r="I160" s="2">
        <v>144.18</v>
      </c>
      <c r="J160" s="2">
        <v>910.37</v>
      </c>
      <c r="K160" s="2">
        <v>468.88</v>
      </c>
      <c r="L160" s="3">
        <v>146.06</v>
      </c>
      <c r="M160" s="2">
        <v>40.840000000000003</v>
      </c>
    </row>
    <row r="161" spans="1:13">
      <c r="A161" s="9">
        <v>45726</v>
      </c>
      <c r="B161" s="1">
        <f t="shared" si="4"/>
        <v>45717</v>
      </c>
      <c r="C161" s="5" t="str">
        <f t="shared" si="5"/>
        <v>2025-03</v>
      </c>
      <c r="D161" s="3">
        <v>560.58000000000004</v>
      </c>
      <c r="E161" s="3">
        <v>200.77</v>
      </c>
      <c r="F161" s="3">
        <v>91.05</v>
      </c>
      <c r="G161" s="3">
        <v>266.04000000000002</v>
      </c>
      <c r="H161" s="3">
        <v>91.53</v>
      </c>
      <c r="I161" s="2">
        <v>148.79</v>
      </c>
      <c r="J161" s="2">
        <v>915.26</v>
      </c>
      <c r="K161" s="2">
        <v>479.17</v>
      </c>
      <c r="L161" s="3">
        <v>147.66999999999999</v>
      </c>
      <c r="M161" s="2">
        <v>36.9</v>
      </c>
    </row>
    <row r="162" spans="1:13">
      <c r="A162" s="9">
        <v>45723</v>
      </c>
      <c r="B162" s="1">
        <f t="shared" si="4"/>
        <v>45717</v>
      </c>
      <c r="C162" s="5" t="str">
        <f t="shared" si="5"/>
        <v>2025-03</v>
      </c>
      <c r="D162" s="3">
        <v>575.91999999999996</v>
      </c>
      <c r="E162" s="3">
        <v>205.95</v>
      </c>
      <c r="F162" s="3">
        <v>90.11</v>
      </c>
      <c r="G162" s="3">
        <v>268.39</v>
      </c>
      <c r="H162" s="3">
        <v>92.42</v>
      </c>
      <c r="I162" s="2">
        <v>155.16</v>
      </c>
      <c r="J162" s="2">
        <v>946.92</v>
      </c>
      <c r="K162" s="2">
        <v>473.65</v>
      </c>
      <c r="L162" s="3">
        <v>149.28</v>
      </c>
      <c r="M162" s="2">
        <v>38.24</v>
      </c>
    </row>
    <row r="163" spans="1:13">
      <c r="A163" s="9">
        <v>45722</v>
      </c>
      <c r="B163" s="1">
        <f t="shared" si="4"/>
        <v>45717</v>
      </c>
      <c r="C163" s="5" t="str">
        <f t="shared" si="5"/>
        <v>2025-03</v>
      </c>
      <c r="D163" s="3">
        <v>572.71</v>
      </c>
      <c r="E163" s="3">
        <v>205.28</v>
      </c>
      <c r="F163" s="3">
        <v>90.4</v>
      </c>
      <c r="G163" s="3">
        <v>268.25</v>
      </c>
      <c r="H163" s="3">
        <v>91.87</v>
      </c>
      <c r="I163" s="2">
        <v>150.94</v>
      </c>
      <c r="J163" s="2">
        <v>959.64</v>
      </c>
      <c r="K163" s="2">
        <v>461.5</v>
      </c>
      <c r="L163" s="3">
        <v>149.27000000000001</v>
      </c>
      <c r="M163" s="2">
        <v>37.049999999999997</v>
      </c>
    </row>
    <row r="164" spans="1:13">
      <c r="A164" s="9">
        <v>45721</v>
      </c>
      <c r="B164" s="1">
        <f t="shared" si="4"/>
        <v>45717</v>
      </c>
      <c r="C164" s="5" t="str">
        <f t="shared" si="5"/>
        <v>2025-03</v>
      </c>
      <c r="D164" s="3">
        <v>583.05999999999995</v>
      </c>
      <c r="E164" s="3">
        <v>208.47</v>
      </c>
      <c r="F164" s="3">
        <v>90.7</v>
      </c>
      <c r="G164" s="3">
        <v>269.62</v>
      </c>
      <c r="H164" s="3">
        <v>94.29</v>
      </c>
      <c r="I164" s="2">
        <v>161.56</v>
      </c>
      <c r="J164" s="2">
        <v>968.14</v>
      </c>
      <c r="K164" s="2">
        <v>460.42</v>
      </c>
      <c r="L164" s="3">
        <v>149.68</v>
      </c>
      <c r="M164" s="2">
        <v>38.9</v>
      </c>
    </row>
    <row r="165" spans="1:13">
      <c r="A165" s="9">
        <v>45720</v>
      </c>
      <c r="B165" s="1">
        <f t="shared" si="4"/>
        <v>45717</v>
      </c>
      <c r="C165" s="5" t="str">
        <f t="shared" si="5"/>
        <v>2025-03</v>
      </c>
      <c r="D165" s="3">
        <v>576.86</v>
      </c>
      <c r="E165" s="3">
        <v>206.42</v>
      </c>
      <c r="F165" s="3">
        <v>91.43</v>
      </c>
      <c r="G165" s="3">
        <v>269.06</v>
      </c>
      <c r="H165" s="3">
        <v>93.25</v>
      </c>
      <c r="I165" s="2">
        <v>157.47</v>
      </c>
      <c r="J165" s="2">
        <v>951.79</v>
      </c>
      <c r="K165" s="2">
        <v>448.82</v>
      </c>
      <c r="L165" s="3">
        <v>148.19</v>
      </c>
      <c r="M165" s="2">
        <v>39.14</v>
      </c>
    </row>
    <row r="166" spans="1:13">
      <c r="A166" s="9">
        <v>45719</v>
      </c>
      <c r="B166" s="1">
        <f t="shared" si="4"/>
        <v>45717</v>
      </c>
      <c r="C166" s="5" t="str">
        <f t="shared" si="5"/>
        <v>2025-03</v>
      </c>
      <c r="D166" s="3">
        <v>583.77</v>
      </c>
      <c r="E166" s="3">
        <v>208.78</v>
      </c>
      <c r="F166" s="3">
        <v>92.57</v>
      </c>
      <c r="G166" s="3">
        <v>266.74</v>
      </c>
      <c r="H166" s="3">
        <v>94.34</v>
      </c>
      <c r="I166" s="2">
        <v>162.02000000000001</v>
      </c>
      <c r="J166" s="2">
        <v>966.47</v>
      </c>
      <c r="K166" s="2">
        <v>451.94</v>
      </c>
      <c r="L166" s="3">
        <v>149.58000000000001</v>
      </c>
      <c r="M166" s="2">
        <v>36.07</v>
      </c>
    </row>
    <row r="167" spans="1:13">
      <c r="A167" s="9">
        <v>45716</v>
      </c>
      <c r="B167" s="1">
        <f t="shared" si="4"/>
        <v>45689</v>
      </c>
      <c r="C167" s="5" t="str">
        <f t="shared" si="5"/>
        <v>2025-02</v>
      </c>
      <c r="D167" s="3">
        <v>594.17999999999995</v>
      </c>
      <c r="E167" s="3">
        <v>214.65</v>
      </c>
      <c r="F167" s="3">
        <v>92.43</v>
      </c>
      <c r="G167" s="3">
        <v>263.27</v>
      </c>
      <c r="H167" s="3">
        <v>93.9</v>
      </c>
      <c r="I167" s="2">
        <v>166.06</v>
      </c>
      <c r="J167" s="2">
        <v>977.78</v>
      </c>
      <c r="K167" s="2">
        <v>450.37</v>
      </c>
      <c r="L167" s="3">
        <v>148.93</v>
      </c>
      <c r="M167" s="2">
        <v>41.46</v>
      </c>
    </row>
    <row r="168" spans="1:13">
      <c r="A168" s="9">
        <v>45715</v>
      </c>
      <c r="B168" s="1">
        <f t="shared" si="4"/>
        <v>45689</v>
      </c>
      <c r="C168" s="5" t="str">
        <f t="shared" si="5"/>
        <v>2025-02</v>
      </c>
      <c r="D168" s="3">
        <v>585.04999999999995</v>
      </c>
      <c r="E168" s="3">
        <v>212.39</v>
      </c>
      <c r="F168" s="3">
        <v>91.31</v>
      </c>
      <c r="G168" s="3">
        <v>264.93</v>
      </c>
      <c r="H168" s="3">
        <v>93.11</v>
      </c>
      <c r="I168" s="2">
        <v>164.76</v>
      </c>
      <c r="J168" s="2">
        <v>944.89</v>
      </c>
      <c r="K168" s="2">
        <v>446.46</v>
      </c>
      <c r="L168" s="3">
        <v>147.22</v>
      </c>
      <c r="M168" s="2">
        <v>42.95</v>
      </c>
    </row>
    <row r="169" spans="1:13">
      <c r="A169" s="9">
        <v>45714</v>
      </c>
      <c r="B169" s="1">
        <f t="shared" si="4"/>
        <v>45689</v>
      </c>
      <c r="C169" s="5" t="str">
        <f t="shared" si="5"/>
        <v>2025-02</v>
      </c>
      <c r="D169" s="3">
        <v>594.54</v>
      </c>
      <c r="E169" s="3">
        <v>215.68</v>
      </c>
      <c r="F169" s="3">
        <v>91.96</v>
      </c>
      <c r="G169" s="3">
        <v>269.02999999999997</v>
      </c>
      <c r="H169" s="3">
        <v>92.74</v>
      </c>
      <c r="I169" s="2">
        <v>172.47</v>
      </c>
      <c r="J169" s="2">
        <v>953.77</v>
      </c>
      <c r="K169" s="2">
        <v>441.5</v>
      </c>
      <c r="L169" s="3">
        <v>147.82</v>
      </c>
      <c r="M169" s="2">
        <v>51.11</v>
      </c>
    </row>
    <row r="170" spans="1:13">
      <c r="A170" s="9">
        <v>45713</v>
      </c>
      <c r="B170" s="1">
        <f t="shared" si="4"/>
        <v>45689</v>
      </c>
      <c r="C170" s="5" t="str">
        <f t="shared" si="5"/>
        <v>2025-02</v>
      </c>
      <c r="D170" s="3">
        <v>594.24</v>
      </c>
      <c r="E170" s="3">
        <v>215.41</v>
      </c>
      <c r="F170" s="3">
        <v>91.42</v>
      </c>
      <c r="G170" s="3">
        <v>268.62</v>
      </c>
      <c r="H170" s="3">
        <v>93.13</v>
      </c>
      <c r="I170" s="2">
        <v>168.54</v>
      </c>
      <c r="J170" s="2">
        <v>958.01</v>
      </c>
      <c r="K170" s="2">
        <v>448.46</v>
      </c>
      <c r="L170" s="3">
        <v>148.88999999999999</v>
      </c>
      <c r="M170" s="2">
        <v>45.54</v>
      </c>
    </row>
    <row r="171" spans="1:13">
      <c r="A171" s="9">
        <v>45712</v>
      </c>
      <c r="B171" s="1">
        <f t="shared" si="4"/>
        <v>45689</v>
      </c>
      <c r="C171" s="5" t="str">
        <f t="shared" si="5"/>
        <v>2025-02</v>
      </c>
      <c r="D171" s="3">
        <v>597.21</v>
      </c>
      <c r="E171" s="3">
        <v>216.23</v>
      </c>
      <c r="F171" s="3">
        <v>89.87</v>
      </c>
      <c r="G171" s="3">
        <v>272.20999999999998</v>
      </c>
      <c r="H171" s="3">
        <v>92</v>
      </c>
      <c r="I171" s="2">
        <v>169.96</v>
      </c>
      <c r="J171" s="2">
        <v>952.8</v>
      </c>
      <c r="K171" s="2">
        <v>440.27</v>
      </c>
      <c r="L171" s="3">
        <v>147.62</v>
      </c>
      <c r="M171" s="2">
        <v>51.61</v>
      </c>
    </row>
    <row r="172" spans="1:13">
      <c r="A172" s="9">
        <v>45709</v>
      </c>
      <c r="B172" s="1">
        <f t="shared" si="4"/>
        <v>45689</v>
      </c>
      <c r="C172" s="5" t="str">
        <f t="shared" si="5"/>
        <v>2025-02</v>
      </c>
      <c r="D172" s="3">
        <v>599.94000000000005</v>
      </c>
      <c r="E172" s="3">
        <v>217.8</v>
      </c>
      <c r="F172" s="3">
        <v>89.61</v>
      </c>
      <c r="G172" s="3">
        <v>270.74</v>
      </c>
      <c r="H172" s="3">
        <v>91.64</v>
      </c>
      <c r="I172" s="2">
        <v>167.81</v>
      </c>
      <c r="J172" s="2">
        <v>974.22</v>
      </c>
      <c r="K172" s="2">
        <v>440.72</v>
      </c>
      <c r="L172" s="3">
        <v>146.43</v>
      </c>
      <c r="M172" s="2">
        <v>56.07</v>
      </c>
    </row>
    <row r="173" spans="1:13">
      <c r="A173" s="9">
        <v>45708</v>
      </c>
      <c r="B173" s="1">
        <f t="shared" si="4"/>
        <v>45689</v>
      </c>
      <c r="C173" s="5" t="str">
        <f t="shared" si="5"/>
        <v>2025-02</v>
      </c>
      <c r="D173" s="3">
        <v>610.38</v>
      </c>
      <c r="E173" s="3">
        <v>224.26</v>
      </c>
      <c r="F173" s="3">
        <v>88.54</v>
      </c>
      <c r="G173" s="3">
        <v>270.99</v>
      </c>
      <c r="H173" s="3">
        <v>92.55</v>
      </c>
      <c r="I173" s="2">
        <v>176</v>
      </c>
      <c r="J173" s="2">
        <v>989.38</v>
      </c>
      <c r="K173" s="2">
        <v>436.29</v>
      </c>
      <c r="L173" s="3">
        <v>147.22</v>
      </c>
      <c r="M173" s="2">
        <v>59.27</v>
      </c>
    </row>
    <row r="174" spans="1:13">
      <c r="A174" s="9">
        <v>45707</v>
      </c>
      <c r="B174" s="1">
        <f t="shared" si="4"/>
        <v>45689</v>
      </c>
      <c r="C174" s="5" t="str">
        <f t="shared" si="5"/>
        <v>2025-02</v>
      </c>
      <c r="D174" s="3">
        <v>612.92999999999995</v>
      </c>
      <c r="E174" s="3">
        <v>226.43</v>
      </c>
      <c r="F174" s="3">
        <v>88.21</v>
      </c>
      <c r="G174" s="3">
        <v>270.85000000000002</v>
      </c>
      <c r="H174" s="3">
        <v>92.11</v>
      </c>
      <c r="I174" s="2">
        <v>181.52</v>
      </c>
      <c r="J174" s="2">
        <v>986.34</v>
      </c>
      <c r="K174" s="2">
        <v>432.95</v>
      </c>
      <c r="L174" s="3">
        <v>146.4</v>
      </c>
      <c r="M174" s="2">
        <v>60.25</v>
      </c>
    </row>
    <row r="175" spans="1:13">
      <c r="A175" s="9">
        <v>45706</v>
      </c>
      <c r="B175" s="1">
        <f t="shared" si="4"/>
        <v>45689</v>
      </c>
      <c r="C175" s="5" t="str">
        <f t="shared" si="5"/>
        <v>2025-02</v>
      </c>
      <c r="D175" s="3">
        <v>611.49</v>
      </c>
      <c r="E175" s="3">
        <v>227.21</v>
      </c>
      <c r="F175" s="3">
        <v>88.1</v>
      </c>
      <c r="G175" s="3">
        <v>270.7</v>
      </c>
      <c r="H175" s="3">
        <v>92.04</v>
      </c>
      <c r="I175" s="2">
        <v>179.8</v>
      </c>
      <c r="J175" s="2">
        <v>977.86</v>
      </c>
      <c r="K175" s="2">
        <v>428.54</v>
      </c>
      <c r="L175" s="3">
        <v>144.52000000000001</v>
      </c>
      <c r="M175" s="2">
        <v>55.8</v>
      </c>
    </row>
    <row r="176" spans="1:13">
      <c r="A176" s="9">
        <v>45702</v>
      </c>
      <c r="B176" s="1">
        <f t="shared" si="4"/>
        <v>45689</v>
      </c>
      <c r="C176" s="5" t="str">
        <f t="shared" si="5"/>
        <v>2025-02</v>
      </c>
      <c r="D176" s="3">
        <v>609.70000000000005</v>
      </c>
      <c r="E176" s="3">
        <v>225.97</v>
      </c>
      <c r="F176" s="3">
        <v>89.15</v>
      </c>
      <c r="G176" s="3">
        <v>266.29000000000002</v>
      </c>
      <c r="H176" s="3">
        <v>91.63</v>
      </c>
      <c r="I176" s="2">
        <v>174.16</v>
      </c>
      <c r="J176" s="2">
        <v>973.92</v>
      </c>
      <c r="K176" s="2">
        <v>423.19</v>
      </c>
      <c r="L176" s="3">
        <v>144.80000000000001</v>
      </c>
      <c r="M176" s="2">
        <v>47.91</v>
      </c>
    </row>
    <row r="177" spans="1:13">
      <c r="A177" s="9">
        <v>45701</v>
      </c>
      <c r="B177" s="1">
        <f t="shared" si="4"/>
        <v>45689</v>
      </c>
      <c r="C177" s="5" t="str">
        <f t="shared" si="5"/>
        <v>2025-02</v>
      </c>
      <c r="D177" s="3">
        <v>609.73</v>
      </c>
      <c r="E177" s="3">
        <v>226.14</v>
      </c>
      <c r="F177" s="3">
        <v>88.68</v>
      </c>
      <c r="G177" s="3">
        <v>270.31</v>
      </c>
      <c r="H177" s="3">
        <v>92.05</v>
      </c>
      <c r="I177" s="2">
        <v>173.86</v>
      </c>
      <c r="J177" s="2">
        <v>980.3</v>
      </c>
      <c r="K177" s="2">
        <v>434.72</v>
      </c>
      <c r="L177" s="3">
        <v>146.38999999999999</v>
      </c>
      <c r="M177" s="2">
        <v>42.28</v>
      </c>
    </row>
    <row r="178" spans="1:13">
      <c r="A178" s="9">
        <v>45700</v>
      </c>
      <c r="B178" s="1">
        <f t="shared" si="4"/>
        <v>45689</v>
      </c>
      <c r="C178" s="5" t="str">
        <f t="shared" si="5"/>
        <v>2025-02</v>
      </c>
      <c r="D178" s="3">
        <v>603.36</v>
      </c>
      <c r="E178" s="3">
        <v>223.62</v>
      </c>
      <c r="F178" s="3">
        <v>87.23</v>
      </c>
      <c r="G178" s="3">
        <v>267.67</v>
      </c>
      <c r="H178" s="3">
        <v>91.14</v>
      </c>
      <c r="I178" s="2">
        <v>172.22</v>
      </c>
      <c r="J178" s="2">
        <v>973.71</v>
      </c>
      <c r="K178" s="2">
        <v>441.97</v>
      </c>
      <c r="L178" s="3">
        <v>145.82</v>
      </c>
      <c r="M178" s="2">
        <v>39.68</v>
      </c>
    </row>
    <row r="179" spans="1:13">
      <c r="A179" s="9">
        <v>45699</v>
      </c>
      <c r="B179" s="1">
        <f t="shared" si="4"/>
        <v>45689</v>
      </c>
      <c r="C179" s="5" t="str">
        <f t="shared" si="5"/>
        <v>2025-02</v>
      </c>
      <c r="D179" s="3">
        <v>605.30999999999995</v>
      </c>
      <c r="E179" s="3">
        <v>225.7</v>
      </c>
      <c r="F179" s="3">
        <v>88.43</v>
      </c>
      <c r="G179" s="3">
        <v>267.39</v>
      </c>
      <c r="H179" s="3">
        <v>91.99</v>
      </c>
      <c r="I179" s="2">
        <v>177.19</v>
      </c>
      <c r="J179" s="2">
        <v>988.2</v>
      </c>
      <c r="K179" s="2">
        <v>449.36</v>
      </c>
      <c r="L179" s="3">
        <v>146.03</v>
      </c>
      <c r="M179" s="2">
        <v>38.61</v>
      </c>
    </row>
    <row r="180" spans="1:13">
      <c r="A180" s="9">
        <v>45698</v>
      </c>
      <c r="B180" s="1">
        <f t="shared" si="4"/>
        <v>45689</v>
      </c>
      <c r="C180" s="5" t="str">
        <f t="shared" si="5"/>
        <v>2025-02</v>
      </c>
      <c r="D180" s="3">
        <v>604.85</v>
      </c>
      <c r="E180" s="3">
        <v>227.02</v>
      </c>
      <c r="F180" s="3">
        <v>89</v>
      </c>
      <c r="G180" s="3">
        <v>268.37</v>
      </c>
      <c r="H180" s="3">
        <v>91.59</v>
      </c>
      <c r="I180" s="2">
        <v>178.92</v>
      </c>
      <c r="J180" s="2">
        <v>985.55</v>
      </c>
      <c r="K180" s="2">
        <v>448.22</v>
      </c>
      <c r="L180" s="3">
        <v>146.30000000000001</v>
      </c>
      <c r="M180" s="2">
        <v>42.65</v>
      </c>
    </row>
    <row r="181" spans="1:13">
      <c r="A181" s="9">
        <v>45695</v>
      </c>
      <c r="B181" s="1">
        <f t="shared" si="4"/>
        <v>45689</v>
      </c>
      <c r="C181" s="5" t="str">
        <f t="shared" si="5"/>
        <v>2025-02</v>
      </c>
      <c r="D181" s="3">
        <v>600.77</v>
      </c>
      <c r="E181" s="3">
        <v>226</v>
      </c>
      <c r="F181" s="3">
        <v>89.27</v>
      </c>
      <c r="G181" s="3">
        <v>263.89999999999998</v>
      </c>
      <c r="H181" s="3">
        <v>91.63</v>
      </c>
      <c r="I181" s="2">
        <v>174.46</v>
      </c>
      <c r="J181" s="2">
        <v>992.04</v>
      </c>
      <c r="K181" s="2">
        <v>444.39</v>
      </c>
      <c r="L181" s="3">
        <v>146.43</v>
      </c>
      <c r="M181" s="2">
        <v>36.28</v>
      </c>
    </row>
    <row r="182" spans="1:13">
      <c r="A182" s="9">
        <v>45694</v>
      </c>
      <c r="B182" s="1">
        <f t="shared" si="4"/>
        <v>45689</v>
      </c>
      <c r="C182" s="5" t="str">
        <f t="shared" si="5"/>
        <v>2025-02</v>
      </c>
      <c r="D182" s="3">
        <v>606.32000000000005</v>
      </c>
      <c r="E182" s="3">
        <v>228.65</v>
      </c>
      <c r="F182" s="3">
        <v>89.85</v>
      </c>
      <c r="G182" s="3">
        <v>263.43</v>
      </c>
      <c r="H182" s="3">
        <v>91.93</v>
      </c>
      <c r="I182" s="2">
        <v>172.35</v>
      </c>
      <c r="J182" s="2">
        <v>1006.62</v>
      </c>
      <c r="K182" s="2">
        <v>448.52</v>
      </c>
      <c r="L182" s="3">
        <v>147.12</v>
      </c>
      <c r="M182" s="2">
        <v>33.840000000000003</v>
      </c>
    </row>
    <row r="183" spans="1:13">
      <c r="A183" s="9">
        <v>45693</v>
      </c>
      <c r="B183" s="1">
        <f t="shared" si="4"/>
        <v>45689</v>
      </c>
      <c r="C183" s="5" t="str">
        <f t="shared" si="5"/>
        <v>2025-02</v>
      </c>
      <c r="D183" s="3">
        <v>604.22</v>
      </c>
      <c r="E183" s="3">
        <v>229.4</v>
      </c>
      <c r="F183" s="3">
        <v>89.89</v>
      </c>
      <c r="G183" s="3">
        <v>264.13</v>
      </c>
      <c r="H183" s="3">
        <v>91.7</v>
      </c>
      <c r="I183" s="2">
        <v>171.66</v>
      </c>
      <c r="J183" s="2">
        <v>1014.5</v>
      </c>
      <c r="K183" s="2">
        <v>449.87</v>
      </c>
      <c r="L183" s="3">
        <v>148.44999999999999</v>
      </c>
      <c r="M183" s="2">
        <v>31.49</v>
      </c>
    </row>
    <row r="184" spans="1:13">
      <c r="A184" s="9">
        <v>45692</v>
      </c>
      <c r="B184" s="1">
        <f t="shared" si="4"/>
        <v>45689</v>
      </c>
      <c r="C184" s="5" t="str">
        <f t="shared" si="5"/>
        <v>2025-02</v>
      </c>
      <c r="D184" s="3">
        <v>601.78</v>
      </c>
      <c r="E184" s="3">
        <v>226.93</v>
      </c>
      <c r="F184" s="3">
        <v>88.43</v>
      </c>
      <c r="G184" s="3">
        <v>262.5</v>
      </c>
      <c r="H184" s="3">
        <v>90.43</v>
      </c>
      <c r="I184" s="2">
        <v>167.89</v>
      </c>
      <c r="J184" s="2">
        <v>1015.66</v>
      </c>
      <c r="K184" s="2">
        <v>453.68</v>
      </c>
      <c r="L184" s="3">
        <v>147.04</v>
      </c>
      <c r="M184" s="2">
        <v>29.16</v>
      </c>
    </row>
    <row r="185" spans="1:13">
      <c r="A185" s="9">
        <v>45691</v>
      </c>
      <c r="B185" s="1">
        <f t="shared" si="4"/>
        <v>45689</v>
      </c>
      <c r="C185" s="5" t="str">
        <f t="shared" si="5"/>
        <v>2025-02</v>
      </c>
      <c r="D185" s="3">
        <v>597.77</v>
      </c>
      <c r="E185" s="3">
        <v>223.83</v>
      </c>
      <c r="F185" s="3">
        <v>88.16</v>
      </c>
      <c r="G185" s="3">
        <v>259.94</v>
      </c>
      <c r="H185" s="3">
        <v>90.36</v>
      </c>
      <c r="I185" s="2">
        <v>168.6</v>
      </c>
      <c r="J185" s="2">
        <v>1013.75</v>
      </c>
      <c r="K185" s="2">
        <v>455.42</v>
      </c>
      <c r="L185" s="3">
        <v>147.44</v>
      </c>
      <c r="M185" s="2">
        <v>26.85</v>
      </c>
    </row>
    <row r="186" spans="1:13">
      <c r="A186" s="9">
        <v>45688</v>
      </c>
      <c r="B186" s="1">
        <f t="shared" si="4"/>
        <v>45658</v>
      </c>
      <c r="C186" s="5" t="str">
        <f t="shared" si="5"/>
        <v>2025-01</v>
      </c>
      <c r="D186" s="3">
        <v>601.82000000000005</v>
      </c>
      <c r="E186" s="3">
        <v>226.48</v>
      </c>
      <c r="F186" s="3">
        <v>87.76</v>
      </c>
      <c r="G186" s="3">
        <v>258.56</v>
      </c>
      <c r="H186" s="3">
        <v>90.55</v>
      </c>
      <c r="I186" s="2">
        <v>170.06</v>
      </c>
      <c r="J186" s="2">
        <v>1075.5</v>
      </c>
      <c r="K186" s="2">
        <v>462.95</v>
      </c>
      <c r="L186" s="3">
        <v>146.87</v>
      </c>
      <c r="M186" s="2">
        <v>28.52</v>
      </c>
    </row>
    <row r="187" spans="1:13">
      <c r="A187" s="9">
        <v>45687</v>
      </c>
      <c r="B187" s="1">
        <f t="shared" si="4"/>
        <v>45658</v>
      </c>
      <c r="C187" s="5" t="str">
        <f t="shared" si="5"/>
        <v>2025-01</v>
      </c>
      <c r="D187" s="3">
        <v>605.04</v>
      </c>
      <c r="E187" s="3">
        <v>228.53</v>
      </c>
      <c r="F187" s="3">
        <v>88.34</v>
      </c>
      <c r="G187" s="3">
        <v>258.05</v>
      </c>
      <c r="H187" s="3">
        <v>90.75</v>
      </c>
      <c r="I187" s="2">
        <v>170.38</v>
      </c>
      <c r="J187" s="2">
        <v>1071.52</v>
      </c>
      <c r="K187" s="2">
        <v>459.65</v>
      </c>
      <c r="L187" s="3">
        <v>147.34</v>
      </c>
      <c r="M187" s="2">
        <v>28.64</v>
      </c>
    </row>
    <row r="188" spans="1:13">
      <c r="A188" s="9">
        <v>45686</v>
      </c>
      <c r="B188" s="1">
        <f t="shared" si="4"/>
        <v>45658</v>
      </c>
      <c r="C188" s="5" t="str">
        <f t="shared" si="5"/>
        <v>2025-01</v>
      </c>
      <c r="D188" s="3">
        <v>601.80999999999995</v>
      </c>
      <c r="E188" s="3">
        <v>226.23</v>
      </c>
      <c r="F188" s="3">
        <v>88.01</v>
      </c>
      <c r="G188" s="3">
        <v>254.2</v>
      </c>
      <c r="H188" s="3">
        <v>89.61</v>
      </c>
      <c r="I188" s="2">
        <v>162.02000000000001</v>
      </c>
      <c r="J188" s="2">
        <v>1052.6099999999999</v>
      </c>
      <c r="K188" s="2">
        <v>454.36</v>
      </c>
      <c r="L188" s="3">
        <v>145.66</v>
      </c>
      <c r="M188" s="2">
        <v>27.8</v>
      </c>
    </row>
    <row r="189" spans="1:13">
      <c r="A189" s="9">
        <v>45685</v>
      </c>
      <c r="B189" s="1">
        <f t="shared" si="4"/>
        <v>45658</v>
      </c>
      <c r="C189" s="5" t="str">
        <f t="shared" si="5"/>
        <v>2025-01</v>
      </c>
      <c r="D189" s="3">
        <v>604.52</v>
      </c>
      <c r="E189" s="3">
        <v>226.75</v>
      </c>
      <c r="F189" s="3">
        <v>88.19</v>
      </c>
      <c r="G189" s="3">
        <v>255.18</v>
      </c>
      <c r="H189" s="3">
        <v>90.81</v>
      </c>
      <c r="I189" s="2">
        <v>164</v>
      </c>
      <c r="J189" s="2">
        <v>1051.2</v>
      </c>
      <c r="K189" s="2">
        <v>457.45</v>
      </c>
      <c r="L189" s="3">
        <v>146.52000000000001</v>
      </c>
      <c r="M189" s="2">
        <v>28.18</v>
      </c>
    </row>
    <row r="190" spans="1:13">
      <c r="A190" s="9">
        <v>45684</v>
      </c>
      <c r="B190" s="1">
        <f t="shared" si="4"/>
        <v>45658</v>
      </c>
      <c r="C190" s="5" t="str">
        <f t="shared" si="5"/>
        <v>2025-01</v>
      </c>
      <c r="D190" s="3">
        <v>599.37</v>
      </c>
      <c r="E190" s="3">
        <v>226.5</v>
      </c>
      <c r="F190" s="3">
        <v>88.25</v>
      </c>
      <c r="G190" s="3">
        <v>252.99</v>
      </c>
      <c r="H190" s="3">
        <v>91.92</v>
      </c>
      <c r="I190" s="2">
        <v>158.28</v>
      </c>
      <c r="J190" s="2">
        <v>1029.94</v>
      </c>
      <c r="K190" s="2">
        <v>503.69</v>
      </c>
      <c r="L190" s="3">
        <v>147.55000000000001</v>
      </c>
      <c r="M190" s="2">
        <v>29.07</v>
      </c>
    </row>
    <row r="191" spans="1:13">
      <c r="A191" s="9">
        <v>45681</v>
      </c>
      <c r="B191" s="1">
        <f t="shared" si="4"/>
        <v>45658</v>
      </c>
      <c r="C191" s="5" t="str">
        <f t="shared" si="5"/>
        <v>2025-01</v>
      </c>
      <c r="D191" s="3">
        <v>607.97</v>
      </c>
      <c r="E191" s="3">
        <v>228.69</v>
      </c>
      <c r="F191" s="3">
        <v>87.22</v>
      </c>
      <c r="G191" s="3">
        <v>255.65</v>
      </c>
      <c r="H191" s="3">
        <v>90.71</v>
      </c>
      <c r="I191" s="2">
        <v>183.6</v>
      </c>
      <c r="J191" s="2">
        <v>1020.45</v>
      </c>
      <c r="K191" s="2">
        <v>496.96</v>
      </c>
      <c r="L191" s="3">
        <v>144.31</v>
      </c>
      <c r="M191" s="2">
        <v>33.270000000000003</v>
      </c>
    </row>
    <row r="192" spans="1:13">
      <c r="A192" s="9">
        <v>45680</v>
      </c>
      <c r="B192" s="1">
        <f t="shared" si="4"/>
        <v>45658</v>
      </c>
      <c r="C192" s="5" t="str">
        <f t="shared" si="5"/>
        <v>2025-01</v>
      </c>
      <c r="D192" s="3">
        <v>609.75</v>
      </c>
      <c r="E192" s="3">
        <v>229.33</v>
      </c>
      <c r="F192" s="3">
        <v>86.83</v>
      </c>
      <c r="G192" s="3">
        <v>254.07</v>
      </c>
      <c r="H192" s="3">
        <v>90.4</v>
      </c>
      <c r="I192" s="2">
        <v>186.47</v>
      </c>
      <c r="J192" s="2">
        <v>1017.73</v>
      </c>
      <c r="K192" s="2">
        <v>497.28</v>
      </c>
      <c r="L192" s="3">
        <v>144.08000000000001</v>
      </c>
      <c r="M192" s="2">
        <v>33.409999999999997</v>
      </c>
    </row>
    <row r="193" spans="1:13">
      <c r="A193" s="9">
        <v>45679</v>
      </c>
      <c r="B193" s="1">
        <f t="shared" si="4"/>
        <v>45658</v>
      </c>
      <c r="C193" s="5" t="str">
        <f t="shared" si="5"/>
        <v>2025-01</v>
      </c>
      <c r="D193" s="3">
        <v>606.44000000000005</v>
      </c>
      <c r="E193" s="3">
        <v>228.29</v>
      </c>
      <c r="F193" s="3">
        <v>87.51</v>
      </c>
      <c r="G193" s="3">
        <v>254.43</v>
      </c>
      <c r="H193" s="3">
        <v>89.74</v>
      </c>
      <c r="I193" s="2">
        <v>184.22</v>
      </c>
      <c r="J193" s="2">
        <v>1006.34</v>
      </c>
      <c r="K193" s="2">
        <v>499.34</v>
      </c>
      <c r="L193" s="3">
        <v>142.18</v>
      </c>
      <c r="M193" s="2">
        <v>33.86</v>
      </c>
    </row>
    <row r="194" spans="1:13">
      <c r="A194" s="9">
        <v>45678</v>
      </c>
      <c r="B194" s="1">
        <f t="shared" ref="B194:B257" si="6">EOMONTH(A194,-1)+1</f>
        <v>45658</v>
      </c>
      <c r="C194" s="5" t="str">
        <f t="shared" si="5"/>
        <v>2025-01</v>
      </c>
      <c r="D194" s="3">
        <v>603.04999999999995</v>
      </c>
      <c r="E194" s="3">
        <v>229.79</v>
      </c>
      <c r="F194" s="3">
        <v>87.97</v>
      </c>
      <c r="G194" s="3">
        <v>253.13</v>
      </c>
      <c r="H194" s="3">
        <v>91.33</v>
      </c>
      <c r="I194" s="2">
        <v>172.57</v>
      </c>
      <c r="J194" s="2">
        <v>1012.09</v>
      </c>
      <c r="K194" s="2">
        <v>506.29</v>
      </c>
      <c r="L194" s="3">
        <v>142.5</v>
      </c>
      <c r="M194" s="2">
        <v>32.450000000000003</v>
      </c>
    </row>
    <row r="195" spans="1:13">
      <c r="A195" s="9">
        <v>45674</v>
      </c>
      <c r="B195" s="1">
        <f t="shared" si="6"/>
        <v>45658</v>
      </c>
      <c r="C195" s="5" t="str">
        <f t="shared" ref="C195:C258" si="7">TEXT(A195, "yyyy-mm")</f>
        <v>2025-01</v>
      </c>
      <c r="D195" s="3">
        <v>597.58000000000004</v>
      </c>
      <c r="E195" s="3">
        <v>225.46</v>
      </c>
      <c r="F195" s="3">
        <v>87.19</v>
      </c>
      <c r="G195" s="3">
        <v>249.27</v>
      </c>
      <c r="H195" s="3">
        <v>89.65</v>
      </c>
      <c r="I195" s="2">
        <v>161.03</v>
      </c>
      <c r="J195" s="2">
        <v>1004.96</v>
      </c>
      <c r="K195" s="2">
        <v>490.32</v>
      </c>
      <c r="L195" s="3">
        <v>140.18</v>
      </c>
      <c r="M195" s="2">
        <v>30.82</v>
      </c>
    </row>
    <row r="196" spans="1:13">
      <c r="A196" s="9">
        <v>45673</v>
      </c>
      <c r="B196" s="1">
        <f t="shared" si="6"/>
        <v>45658</v>
      </c>
      <c r="C196" s="5" t="str">
        <f t="shared" si="7"/>
        <v>2025-01</v>
      </c>
      <c r="D196" s="3">
        <v>591.64</v>
      </c>
      <c r="E196" s="3">
        <v>224.49</v>
      </c>
      <c r="F196" s="3">
        <v>87.04</v>
      </c>
      <c r="G196" s="3">
        <v>250.6</v>
      </c>
      <c r="H196" s="3">
        <v>89.71</v>
      </c>
      <c r="I196" s="2">
        <v>159.54</v>
      </c>
      <c r="J196" s="2">
        <v>995.72</v>
      </c>
      <c r="K196" s="2">
        <v>486.86</v>
      </c>
      <c r="L196" s="3">
        <v>141.13</v>
      </c>
      <c r="M196" s="2">
        <v>31.12</v>
      </c>
    </row>
    <row r="197" spans="1:13">
      <c r="A197" s="9">
        <v>45672</v>
      </c>
      <c r="B197" s="1">
        <f t="shared" si="6"/>
        <v>45658</v>
      </c>
      <c r="C197" s="5" t="str">
        <f t="shared" si="7"/>
        <v>2025-01</v>
      </c>
      <c r="D197" s="3">
        <v>592.78</v>
      </c>
      <c r="E197" s="3">
        <v>224.04</v>
      </c>
      <c r="F197" s="3">
        <v>86.76</v>
      </c>
      <c r="G197" s="3">
        <v>248.88</v>
      </c>
      <c r="H197" s="3">
        <v>87.89</v>
      </c>
      <c r="I197" s="2">
        <v>158.31</v>
      </c>
      <c r="J197" s="2">
        <v>1013.18</v>
      </c>
      <c r="K197" s="2">
        <v>483.97</v>
      </c>
      <c r="L197" s="3">
        <v>140.57</v>
      </c>
      <c r="M197" s="2">
        <v>30.99</v>
      </c>
    </row>
    <row r="198" spans="1:13">
      <c r="A198" s="9">
        <v>45671</v>
      </c>
      <c r="B198" s="1">
        <f t="shared" si="6"/>
        <v>45658</v>
      </c>
      <c r="C198" s="5" t="str">
        <f t="shared" si="7"/>
        <v>2025-01</v>
      </c>
      <c r="D198" s="3">
        <v>582.19000000000005</v>
      </c>
      <c r="E198" s="3">
        <v>219.72</v>
      </c>
      <c r="F198" s="3">
        <v>85.29</v>
      </c>
      <c r="G198" s="3">
        <v>247.03</v>
      </c>
      <c r="H198" s="3">
        <v>87.39</v>
      </c>
      <c r="I198" s="2">
        <v>156.31</v>
      </c>
      <c r="J198" s="2">
        <v>963.17</v>
      </c>
      <c r="K198" s="2">
        <v>484.46</v>
      </c>
      <c r="L198" s="3">
        <v>140</v>
      </c>
      <c r="M198" s="2">
        <v>30.53</v>
      </c>
    </row>
    <row r="199" spans="1:13">
      <c r="A199" s="9">
        <v>45670</v>
      </c>
      <c r="B199" s="1">
        <f t="shared" si="6"/>
        <v>45658</v>
      </c>
      <c r="C199" s="5" t="str">
        <f t="shared" si="7"/>
        <v>2025-01</v>
      </c>
      <c r="D199" s="3">
        <v>581.39</v>
      </c>
      <c r="E199" s="3">
        <v>217.25</v>
      </c>
      <c r="F199" s="3">
        <v>85.43</v>
      </c>
      <c r="G199" s="3">
        <v>245.74</v>
      </c>
      <c r="H199" s="3">
        <v>86.6</v>
      </c>
      <c r="I199" s="2">
        <v>153.91999999999999</v>
      </c>
      <c r="J199" s="2">
        <v>955.01</v>
      </c>
      <c r="K199" s="2">
        <v>483.16</v>
      </c>
      <c r="L199" s="3">
        <v>141.46</v>
      </c>
      <c r="M199" s="2">
        <v>31.08</v>
      </c>
    </row>
    <row r="200" spans="1:13">
      <c r="A200" s="9">
        <v>45667</v>
      </c>
      <c r="B200" s="1">
        <f t="shared" si="6"/>
        <v>45658</v>
      </c>
      <c r="C200" s="5" t="str">
        <f t="shared" si="7"/>
        <v>2025-01</v>
      </c>
      <c r="D200" s="3">
        <v>580.49</v>
      </c>
      <c r="E200" s="3">
        <v>216.83</v>
      </c>
      <c r="F200" s="3">
        <v>85.46</v>
      </c>
      <c r="G200" s="3">
        <v>248.21</v>
      </c>
      <c r="H200" s="3">
        <v>85.55</v>
      </c>
      <c r="I200" s="2">
        <v>154.5</v>
      </c>
      <c r="J200" s="2">
        <v>955.64</v>
      </c>
      <c r="K200" s="2">
        <v>468.05</v>
      </c>
      <c r="L200" s="3">
        <v>139.63999999999999</v>
      </c>
      <c r="M200" s="2">
        <v>32.6</v>
      </c>
    </row>
    <row r="201" spans="1:13">
      <c r="A201" s="9">
        <v>45665</v>
      </c>
      <c r="B201" s="1">
        <f t="shared" si="6"/>
        <v>45658</v>
      </c>
      <c r="C201" s="5" t="str">
        <f t="shared" si="7"/>
        <v>2025-01</v>
      </c>
      <c r="D201" s="3">
        <v>589.49</v>
      </c>
      <c r="E201" s="3">
        <v>221.71</v>
      </c>
      <c r="F201" s="3">
        <v>86.03</v>
      </c>
      <c r="G201" s="3">
        <v>245.86</v>
      </c>
      <c r="H201" s="3">
        <v>87.69</v>
      </c>
      <c r="I201" s="2">
        <v>163.13999999999999</v>
      </c>
      <c r="J201" s="2">
        <v>986.1</v>
      </c>
      <c r="K201" s="2">
        <v>468.85</v>
      </c>
      <c r="L201" s="3">
        <v>140.43</v>
      </c>
      <c r="M201" s="2">
        <v>32.61</v>
      </c>
    </row>
    <row r="202" spans="1:13">
      <c r="A202" s="9">
        <v>45664</v>
      </c>
      <c r="B202" s="1">
        <f t="shared" si="6"/>
        <v>45658</v>
      </c>
      <c r="C202" s="5" t="str">
        <f t="shared" si="7"/>
        <v>2025-01</v>
      </c>
      <c r="D202" s="3">
        <v>588.63</v>
      </c>
      <c r="E202" s="3">
        <v>222.72</v>
      </c>
      <c r="F202" s="3">
        <v>85.92</v>
      </c>
      <c r="G202" s="3">
        <v>244.56</v>
      </c>
      <c r="H202" s="3">
        <v>87.46</v>
      </c>
      <c r="I202" s="2">
        <v>162.03</v>
      </c>
      <c r="J202" s="2">
        <v>980.76</v>
      </c>
      <c r="K202" s="2">
        <v>463.96</v>
      </c>
      <c r="L202" s="3">
        <v>139.71</v>
      </c>
      <c r="M202" s="2">
        <v>34.380000000000003</v>
      </c>
    </row>
    <row r="203" spans="1:13">
      <c r="A203" s="9">
        <v>45663</v>
      </c>
      <c r="B203" s="1">
        <f t="shared" si="6"/>
        <v>45658</v>
      </c>
      <c r="C203" s="5" t="str">
        <f t="shared" si="7"/>
        <v>2025-01</v>
      </c>
      <c r="D203" s="3">
        <v>595.36</v>
      </c>
      <c r="E203" s="3">
        <v>224.52</v>
      </c>
      <c r="F203" s="3">
        <v>86.9</v>
      </c>
      <c r="G203" s="3">
        <v>243.19</v>
      </c>
      <c r="H203" s="3">
        <v>88.3</v>
      </c>
      <c r="I203" s="2">
        <v>165.69</v>
      </c>
      <c r="J203" s="2">
        <v>1012.74</v>
      </c>
      <c r="K203" s="2">
        <v>466</v>
      </c>
      <c r="L203" s="3">
        <v>139.02000000000001</v>
      </c>
      <c r="M203" s="2">
        <v>36.450000000000003</v>
      </c>
    </row>
    <row r="204" spans="1:13">
      <c r="A204" s="9">
        <v>45660</v>
      </c>
      <c r="B204" s="1">
        <f t="shared" si="6"/>
        <v>45658</v>
      </c>
      <c r="C204" s="5" t="str">
        <f t="shared" si="7"/>
        <v>2025-01</v>
      </c>
      <c r="D204" s="3">
        <v>591.95000000000005</v>
      </c>
      <c r="E204" s="3">
        <v>224.43</v>
      </c>
      <c r="F204" s="3">
        <v>87.29</v>
      </c>
      <c r="G204" s="3">
        <v>243.49</v>
      </c>
      <c r="H204" s="3">
        <v>89.45</v>
      </c>
      <c r="I204" s="2">
        <v>166.32</v>
      </c>
      <c r="J204" s="2">
        <v>1020.83</v>
      </c>
      <c r="K204" s="2">
        <v>481.82</v>
      </c>
      <c r="L204" s="3">
        <v>138.96</v>
      </c>
      <c r="M204" s="2">
        <v>33.33</v>
      </c>
    </row>
    <row r="205" spans="1:13">
      <c r="A205" s="9">
        <v>45659</v>
      </c>
      <c r="B205" s="1">
        <f t="shared" si="6"/>
        <v>45658</v>
      </c>
      <c r="C205" s="5" t="str">
        <f t="shared" si="7"/>
        <v>2025-01</v>
      </c>
      <c r="D205" s="3">
        <v>584.64</v>
      </c>
      <c r="E205" s="3">
        <v>221.14</v>
      </c>
      <c r="F205" s="3">
        <v>87.57</v>
      </c>
      <c r="G205" s="3">
        <v>245.42</v>
      </c>
      <c r="H205" s="3">
        <v>88.29</v>
      </c>
      <c r="I205" s="2">
        <v>166.03</v>
      </c>
      <c r="J205" s="2">
        <v>1017.4</v>
      </c>
      <c r="K205" s="2">
        <v>482.25</v>
      </c>
      <c r="L205" s="3">
        <v>137.61000000000001</v>
      </c>
      <c r="M205" s="2">
        <v>30.05</v>
      </c>
    </row>
    <row r="206" spans="1:13">
      <c r="A206" s="9">
        <v>45657</v>
      </c>
      <c r="B206" s="1">
        <f t="shared" si="6"/>
        <v>45627</v>
      </c>
      <c r="C206" s="5" t="str">
        <f t="shared" si="7"/>
        <v>2024-12</v>
      </c>
      <c r="D206" s="3">
        <v>586.08000000000004</v>
      </c>
      <c r="E206" s="3">
        <v>220.96</v>
      </c>
      <c r="F206" s="3">
        <v>87.33</v>
      </c>
      <c r="G206" s="3">
        <v>242.13</v>
      </c>
      <c r="H206" s="3">
        <v>89.08</v>
      </c>
      <c r="I206" s="2">
        <v>166.64</v>
      </c>
      <c r="J206" s="2">
        <v>1025.1099999999999</v>
      </c>
      <c r="K206" s="2">
        <v>485.94</v>
      </c>
      <c r="L206" s="3">
        <v>137.57</v>
      </c>
      <c r="M206" s="2">
        <v>30.48</v>
      </c>
    </row>
    <row r="207" spans="1:13">
      <c r="A207" s="9">
        <v>45656</v>
      </c>
      <c r="B207" s="1">
        <f t="shared" si="6"/>
        <v>45627</v>
      </c>
      <c r="C207" s="5" t="str">
        <f t="shared" si="7"/>
        <v>2024-12</v>
      </c>
      <c r="D207" s="3">
        <v>588.22</v>
      </c>
      <c r="E207" s="3">
        <v>220.68</v>
      </c>
      <c r="F207" s="3">
        <v>87.8</v>
      </c>
      <c r="G207" s="3">
        <v>240.63</v>
      </c>
      <c r="H207" s="3">
        <v>88.31</v>
      </c>
      <c r="I207" s="2">
        <v>166.91</v>
      </c>
      <c r="J207" s="2">
        <v>1027.43</v>
      </c>
      <c r="K207" s="2">
        <v>483.37</v>
      </c>
      <c r="L207" s="3">
        <v>137.24</v>
      </c>
      <c r="M207" s="2">
        <v>30.68</v>
      </c>
    </row>
    <row r="208" spans="1:13">
      <c r="A208" s="9">
        <v>45653</v>
      </c>
      <c r="B208" s="1">
        <f t="shared" si="6"/>
        <v>45627</v>
      </c>
      <c r="C208" s="5" t="str">
        <f t="shared" si="7"/>
        <v>2024-12</v>
      </c>
      <c r="D208" s="3">
        <v>595.01</v>
      </c>
      <c r="E208" s="3">
        <v>222.39</v>
      </c>
      <c r="F208" s="3">
        <v>87.1</v>
      </c>
      <c r="G208" s="3">
        <v>241.4</v>
      </c>
      <c r="H208" s="3">
        <v>88.75</v>
      </c>
      <c r="I208" s="2">
        <v>168.96</v>
      </c>
      <c r="J208" s="2">
        <v>1044.18</v>
      </c>
      <c r="K208" s="2">
        <v>488.97</v>
      </c>
      <c r="L208" s="3">
        <v>138.94999999999999</v>
      </c>
      <c r="M208" s="2">
        <v>31.98</v>
      </c>
    </row>
    <row r="209" spans="1:13">
      <c r="A209" s="9">
        <v>45652</v>
      </c>
      <c r="B209" s="1">
        <f t="shared" si="6"/>
        <v>45627</v>
      </c>
      <c r="C209" s="5" t="str">
        <f t="shared" si="7"/>
        <v>2024-12</v>
      </c>
      <c r="D209" s="3">
        <v>601.34</v>
      </c>
      <c r="E209" s="3">
        <v>225.68</v>
      </c>
      <c r="F209" s="3">
        <v>87.82</v>
      </c>
      <c r="G209" s="3">
        <v>243.07</v>
      </c>
      <c r="H209" s="3">
        <v>89.65</v>
      </c>
      <c r="I209" s="2">
        <v>171.68</v>
      </c>
      <c r="J209" s="2">
        <v>1054.28</v>
      </c>
      <c r="K209" s="2">
        <v>489.98</v>
      </c>
      <c r="L209" s="3">
        <v>139.6</v>
      </c>
      <c r="M209" s="2">
        <v>33.74</v>
      </c>
    </row>
    <row r="210" spans="1:13">
      <c r="A210" s="9">
        <v>45650</v>
      </c>
      <c r="B210" s="1">
        <f t="shared" si="6"/>
        <v>45627</v>
      </c>
      <c r="C210" s="5" t="str">
        <f t="shared" si="7"/>
        <v>2024-12</v>
      </c>
      <c r="D210" s="3">
        <v>601.29999999999995</v>
      </c>
      <c r="E210" s="3">
        <v>223.39</v>
      </c>
      <c r="F210" s="3">
        <v>87.87</v>
      </c>
      <c r="G210" s="3">
        <v>241.44</v>
      </c>
      <c r="H210" s="3">
        <v>89.41</v>
      </c>
      <c r="I210" s="2">
        <v>171.41</v>
      </c>
      <c r="J210" s="2">
        <v>1054.83</v>
      </c>
      <c r="K210" s="2">
        <v>488.13</v>
      </c>
      <c r="L210" s="3">
        <v>139.32</v>
      </c>
      <c r="M210" s="2">
        <v>34.33</v>
      </c>
    </row>
    <row r="211" spans="1:13">
      <c r="A211" s="9">
        <v>45649</v>
      </c>
      <c r="B211" s="1">
        <f t="shared" si="6"/>
        <v>45627</v>
      </c>
      <c r="C211" s="5" t="str">
        <f t="shared" si="7"/>
        <v>2024-12</v>
      </c>
      <c r="D211" s="3">
        <v>594.69000000000005</v>
      </c>
      <c r="E211" s="3">
        <v>221.41</v>
      </c>
      <c r="F211" s="3">
        <v>87.5</v>
      </c>
      <c r="G211" s="3">
        <v>240.96</v>
      </c>
      <c r="H211" s="3">
        <v>88.82</v>
      </c>
      <c r="I211" s="2">
        <v>169.14</v>
      </c>
      <c r="J211" s="2">
        <v>1039.7</v>
      </c>
      <c r="K211" s="2">
        <v>486.49</v>
      </c>
      <c r="L211" s="3">
        <v>138.75</v>
      </c>
      <c r="M211" s="2">
        <v>32.4</v>
      </c>
    </row>
    <row r="212" spans="1:13">
      <c r="A212" s="9">
        <v>45646</v>
      </c>
      <c r="B212" s="1">
        <f t="shared" si="6"/>
        <v>45627</v>
      </c>
      <c r="C212" s="5" t="str">
        <f t="shared" si="7"/>
        <v>2024-12</v>
      </c>
      <c r="D212" s="3">
        <v>591.15</v>
      </c>
      <c r="E212" s="3">
        <v>221.92</v>
      </c>
      <c r="F212" s="3">
        <v>88.31</v>
      </c>
      <c r="G212" s="3">
        <v>242.1</v>
      </c>
      <c r="H212" s="3">
        <v>89.33</v>
      </c>
      <c r="I212" s="2">
        <v>169.66</v>
      </c>
      <c r="J212" s="2">
        <v>1028.69</v>
      </c>
      <c r="K212" s="2">
        <v>489.02</v>
      </c>
      <c r="L212" s="3">
        <v>138</v>
      </c>
      <c r="M212" s="2">
        <v>31.59</v>
      </c>
    </row>
    <row r="213" spans="1:13">
      <c r="A213" s="9">
        <v>45645</v>
      </c>
      <c r="B213" s="1">
        <f t="shared" si="6"/>
        <v>45627</v>
      </c>
      <c r="C213" s="5" t="str">
        <f t="shared" si="7"/>
        <v>2024-12</v>
      </c>
      <c r="D213" s="3">
        <v>586.1</v>
      </c>
      <c r="E213" s="3">
        <v>219.86</v>
      </c>
      <c r="F213" s="3">
        <v>87.81</v>
      </c>
      <c r="G213" s="3">
        <v>239.6</v>
      </c>
      <c r="H213" s="3">
        <v>87.85</v>
      </c>
      <c r="I213" s="2">
        <v>168.79</v>
      </c>
      <c r="J213" s="2">
        <v>1016.33</v>
      </c>
      <c r="K213" s="2">
        <v>479.66</v>
      </c>
      <c r="L213" s="3">
        <v>136.28</v>
      </c>
      <c r="M213" s="2">
        <v>31.24</v>
      </c>
    </row>
    <row r="214" spans="1:13">
      <c r="A214" s="9">
        <v>45644</v>
      </c>
      <c r="B214" s="1">
        <f t="shared" si="6"/>
        <v>45627</v>
      </c>
      <c r="C214" s="5" t="str">
        <f t="shared" si="7"/>
        <v>2024-12</v>
      </c>
      <c r="D214" s="3">
        <v>586.28</v>
      </c>
      <c r="E214" s="3">
        <v>220.84</v>
      </c>
      <c r="F214" s="3">
        <v>89.16</v>
      </c>
      <c r="G214" s="3">
        <v>239.26</v>
      </c>
      <c r="H214" s="3">
        <v>89.23</v>
      </c>
      <c r="I214" s="2">
        <v>165.41</v>
      </c>
      <c r="J214" s="2">
        <v>1020.3</v>
      </c>
      <c r="K214" s="2">
        <v>482.94</v>
      </c>
      <c r="L214" s="3">
        <v>137.32</v>
      </c>
      <c r="M214" s="2">
        <v>32.229999999999997</v>
      </c>
    </row>
    <row r="215" spans="1:13">
      <c r="A215" s="9">
        <v>45643</v>
      </c>
      <c r="B215" s="1">
        <f t="shared" si="6"/>
        <v>45627</v>
      </c>
      <c r="C215" s="5" t="str">
        <f t="shared" si="7"/>
        <v>2024-12</v>
      </c>
      <c r="D215" s="3">
        <v>604.29</v>
      </c>
      <c r="E215" s="3">
        <v>231.07</v>
      </c>
      <c r="F215" s="3">
        <v>90.64</v>
      </c>
      <c r="G215" s="3">
        <v>243.94</v>
      </c>
      <c r="H215" s="3">
        <v>93.07</v>
      </c>
      <c r="I215" s="2">
        <v>169.71</v>
      </c>
      <c r="J215" s="2">
        <v>1049.22</v>
      </c>
      <c r="K215" s="2">
        <v>490.61</v>
      </c>
      <c r="L215" s="3">
        <v>139.21</v>
      </c>
      <c r="M215" s="2">
        <v>33.799999999999997</v>
      </c>
    </row>
    <row r="216" spans="1:13">
      <c r="A216" s="9">
        <v>45642</v>
      </c>
      <c r="B216" s="1">
        <f t="shared" si="6"/>
        <v>45627</v>
      </c>
      <c r="C216" s="5" t="str">
        <f t="shared" si="7"/>
        <v>2024-12</v>
      </c>
      <c r="D216" s="3">
        <v>606.79</v>
      </c>
      <c r="E216" s="3">
        <v>234.44</v>
      </c>
      <c r="F216" s="3">
        <v>90.42</v>
      </c>
      <c r="G216" s="3">
        <v>244.88</v>
      </c>
      <c r="H216" s="3">
        <v>93.52</v>
      </c>
      <c r="I216" s="2">
        <v>171.23</v>
      </c>
      <c r="J216" s="2">
        <v>1064.6500000000001</v>
      </c>
      <c r="K216" s="2">
        <v>491.65</v>
      </c>
      <c r="L216" s="3">
        <v>139.31</v>
      </c>
      <c r="M216" s="2">
        <v>33.44</v>
      </c>
    </row>
    <row r="217" spans="1:13">
      <c r="A217" s="9">
        <v>45639</v>
      </c>
      <c r="B217" s="1">
        <f t="shared" si="6"/>
        <v>45627</v>
      </c>
      <c r="C217" s="5" t="str">
        <f t="shared" si="7"/>
        <v>2024-12</v>
      </c>
      <c r="D217" s="3">
        <v>604.21</v>
      </c>
      <c r="E217" s="3">
        <v>233.07</v>
      </c>
      <c r="F217" s="3">
        <v>90.15</v>
      </c>
      <c r="G217" s="3">
        <v>244.29</v>
      </c>
      <c r="H217" s="3">
        <v>93.85</v>
      </c>
      <c r="I217" s="2">
        <v>173.39</v>
      </c>
      <c r="J217" s="2">
        <v>1056.54</v>
      </c>
      <c r="K217" s="2">
        <v>494.65</v>
      </c>
      <c r="L217" s="3">
        <v>140.99</v>
      </c>
      <c r="M217" s="2">
        <v>36.450000000000003</v>
      </c>
    </row>
    <row r="218" spans="1:13">
      <c r="A218" s="9">
        <v>45638</v>
      </c>
      <c r="B218" s="1">
        <f t="shared" si="6"/>
        <v>45627</v>
      </c>
      <c r="C218" s="5" t="str">
        <f t="shared" si="7"/>
        <v>2024-12</v>
      </c>
      <c r="D218" s="3">
        <v>604.33000000000004</v>
      </c>
      <c r="E218" s="3">
        <v>234.68</v>
      </c>
      <c r="F218" s="3">
        <v>91.08</v>
      </c>
      <c r="G218" s="3">
        <v>247.28</v>
      </c>
      <c r="H218" s="3">
        <v>94.12</v>
      </c>
      <c r="I218" s="2">
        <v>175.32</v>
      </c>
      <c r="J218" s="2">
        <v>1058.82</v>
      </c>
      <c r="K218" s="2">
        <v>496.58</v>
      </c>
      <c r="L218" s="3">
        <v>141.01</v>
      </c>
      <c r="M218" s="2">
        <v>37.93</v>
      </c>
    </row>
    <row r="219" spans="1:13">
      <c r="A219" s="9">
        <v>45637</v>
      </c>
      <c r="B219" s="1">
        <f t="shared" si="6"/>
        <v>45627</v>
      </c>
      <c r="C219" s="5" t="str">
        <f t="shared" si="7"/>
        <v>2024-12</v>
      </c>
      <c r="D219" s="3">
        <v>607.46</v>
      </c>
      <c r="E219" s="3">
        <v>237.77</v>
      </c>
      <c r="F219" s="3">
        <v>92.2</v>
      </c>
      <c r="G219" s="3">
        <v>250.96</v>
      </c>
      <c r="H219" s="3">
        <v>94.27</v>
      </c>
      <c r="I219" s="2">
        <v>178.58</v>
      </c>
      <c r="J219" s="2">
        <v>1065.26</v>
      </c>
      <c r="K219" s="2">
        <v>504.24</v>
      </c>
      <c r="L219" s="3">
        <v>142.13999999999999</v>
      </c>
      <c r="M219" s="2">
        <v>38.29</v>
      </c>
    </row>
    <row r="220" spans="1:13">
      <c r="A220" s="9">
        <v>45636</v>
      </c>
      <c r="B220" s="1">
        <f t="shared" si="6"/>
        <v>45627</v>
      </c>
      <c r="C220" s="5" t="str">
        <f t="shared" si="7"/>
        <v>2024-12</v>
      </c>
      <c r="D220" s="3">
        <v>602.79999999999995</v>
      </c>
      <c r="E220" s="3">
        <v>236.7</v>
      </c>
      <c r="F220" s="3">
        <v>93.08</v>
      </c>
      <c r="G220" s="3">
        <v>248.59</v>
      </c>
      <c r="H220" s="3">
        <v>94.49</v>
      </c>
      <c r="I220" s="2">
        <v>177.74</v>
      </c>
      <c r="J220" s="2">
        <v>1057.07</v>
      </c>
      <c r="K220" s="2">
        <v>512.94000000000005</v>
      </c>
      <c r="L220" s="3">
        <v>144.1</v>
      </c>
      <c r="M220" s="2">
        <v>40.54</v>
      </c>
    </row>
    <row r="221" spans="1:13">
      <c r="A221" s="9">
        <v>45635</v>
      </c>
      <c r="B221" s="1">
        <f t="shared" si="6"/>
        <v>45627</v>
      </c>
      <c r="C221" s="5" t="str">
        <f t="shared" si="7"/>
        <v>2024-12</v>
      </c>
      <c r="D221" s="3">
        <v>604.67999999999995</v>
      </c>
      <c r="E221" s="3">
        <v>237.73</v>
      </c>
      <c r="F221" s="3">
        <v>93.52</v>
      </c>
      <c r="G221" s="3">
        <v>245.36</v>
      </c>
      <c r="H221" s="3">
        <v>95.88</v>
      </c>
      <c r="I221" s="2">
        <v>190.45</v>
      </c>
      <c r="J221" s="2">
        <v>1046.3800000000001</v>
      </c>
      <c r="K221" s="2">
        <v>510.01</v>
      </c>
      <c r="L221" s="3">
        <v>144.69999999999999</v>
      </c>
      <c r="M221" s="2">
        <v>44.16</v>
      </c>
    </row>
    <row r="222" spans="1:13">
      <c r="A222" s="9">
        <v>45632</v>
      </c>
      <c r="B222" s="1">
        <f t="shared" si="6"/>
        <v>45627</v>
      </c>
      <c r="C222" s="5" t="str">
        <f t="shared" si="7"/>
        <v>2024-12</v>
      </c>
      <c r="D222" s="3">
        <v>607.80999999999995</v>
      </c>
      <c r="E222" s="3">
        <v>238.93</v>
      </c>
      <c r="F222" s="3">
        <v>94.39</v>
      </c>
      <c r="G222" s="3">
        <v>242.95</v>
      </c>
      <c r="H222" s="3">
        <v>95.61</v>
      </c>
      <c r="I222" s="2">
        <v>191.69</v>
      </c>
      <c r="J222" s="2">
        <v>1042.8699999999999</v>
      </c>
      <c r="K222" s="2">
        <v>513.03</v>
      </c>
      <c r="L222" s="3">
        <v>144.28</v>
      </c>
      <c r="M222" s="2">
        <v>43.93</v>
      </c>
    </row>
    <row r="223" spans="1:13">
      <c r="A223" s="9">
        <v>45631</v>
      </c>
      <c r="B223" s="1">
        <f t="shared" si="6"/>
        <v>45627</v>
      </c>
      <c r="C223" s="5" t="str">
        <f t="shared" si="7"/>
        <v>2024-12</v>
      </c>
      <c r="D223" s="3">
        <v>606.66</v>
      </c>
      <c r="E223" s="3">
        <v>238.08</v>
      </c>
      <c r="F223" s="3">
        <v>94.25</v>
      </c>
      <c r="G223" s="3">
        <v>242.86</v>
      </c>
      <c r="H223" s="3">
        <v>95.75</v>
      </c>
      <c r="I223" s="2">
        <v>186.24</v>
      </c>
      <c r="J223" s="2">
        <v>1044.78</v>
      </c>
      <c r="K223" s="2">
        <v>517.48</v>
      </c>
      <c r="L223" s="3">
        <v>145.1</v>
      </c>
      <c r="M223" s="2">
        <v>41.14</v>
      </c>
    </row>
    <row r="224" spans="1:13">
      <c r="A224" s="9">
        <v>45630</v>
      </c>
      <c r="B224" s="1">
        <f t="shared" si="6"/>
        <v>45627</v>
      </c>
      <c r="C224" s="5" t="str">
        <f t="shared" si="7"/>
        <v>2024-12</v>
      </c>
      <c r="D224" s="3">
        <v>607.66</v>
      </c>
      <c r="E224" s="3">
        <v>240.89</v>
      </c>
      <c r="F224" s="3">
        <v>94.06</v>
      </c>
      <c r="G224" s="3">
        <v>244.67</v>
      </c>
      <c r="H224" s="3">
        <v>95.98</v>
      </c>
      <c r="I224" s="2">
        <v>188.19</v>
      </c>
      <c r="J224" s="2">
        <v>1035</v>
      </c>
      <c r="K224" s="2">
        <v>517.5</v>
      </c>
      <c r="L224" s="3">
        <v>146.74</v>
      </c>
      <c r="M224" s="2">
        <v>41.81</v>
      </c>
    </row>
    <row r="225" spans="1:13">
      <c r="A225" s="9">
        <v>45629</v>
      </c>
      <c r="B225" s="1">
        <f t="shared" si="6"/>
        <v>45627</v>
      </c>
      <c r="C225" s="5" t="str">
        <f t="shared" si="7"/>
        <v>2024-12</v>
      </c>
      <c r="D225" s="3">
        <v>603.91</v>
      </c>
      <c r="E225" s="3">
        <v>240.03</v>
      </c>
      <c r="F225" s="3">
        <v>93.06</v>
      </c>
      <c r="G225" s="3">
        <v>243.93</v>
      </c>
      <c r="H225" s="3">
        <v>96.24</v>
      </c>
      <c r="I225" s="2">
        <v>182.89</v>
      </c>
      <c r="J225" s="2">
        <v>1039</v>
      </c>
      <c r="K225" s="2">
        <v>517</v>
      </c>
      <c r="L225" s="3">
        <v>146.82</v>
      </c>
      <c r="M225" s="2">
        <v>40.21</v>
      </c>
    </row>
    <row r="226" spans="1:13">
      <c r="A226" s="9">
        <v>45628</v>
      </c>
      <c r="B226" s="1">
        <f t="shared" si="6"/>
        <v>45627</v>
      </c>
      <c r="C226" s="5" t="str">
        <f t="shared" si="7"/>
        <v>2024-12</v>
      </c>
      <c r="D226" s="3">
        <v>603.63</v>
      </c>
      <c r="E226" s="3">
        <v>241.75</v>
      </c>
      <c r="F226" s="3">
        <v>93.87</v>
      </c>
      <c r="G226" s="3">
        <v>243.44</v>
      </c>
      <c r="H226" s="3">
        <v>96.73</v>
      </c>
      <c r="I226" s="2">
        <v>181.41</v>
      </c>
      <c r="J226" s="2">
        <v>1020.11</v>
      </c>
      <c r="K226" s="2">
        <v>520.34</v>
      </c>
      <c r="L226" s="3">
        <v>147.15</v>
      </c>
      <c r="M226" s="2">
        <v>42</v>
      </c>
    </row>
    <row r="227" spans="1:13">
      <c r="A227" s="9">
        <v>45625</v>
      </c>
      <c r="B227" s="1">
        <f t="shared" si="6"/>
        <v>45597</v>
      </c>
      <c r="C227" s="5" t="str">
        <f t="shared" si="7"/>
        <v>2024-11</v>
      </c>
      <c r="D227" s="3">
        <v>602.54999999999995</v>
      </c>
      <c r="E227" s="3">
        <v>241.87</v>
      </c>
      <c r="F227" s="3">
        <v>93.97</v>
      </c>
      <c r="G227" s="3">
        <v>245.59</v>
      </c>
      <c r="H227" s="3">
        <v>98.16</v>
      </c>
      <c r="I227" s="2">
        <v>184.84</v>
      </c>
      <c r="J227" s="2">
        <v>1022.8</v>
      </c>
      <c r="K227" s="2">
        <v>529.41</v>
      </c>
      <c r="L227" s="3">
        <v>147.41</v>
      </c>
      <c r="M227" s="2">
        <v>32.64</v>
      </c>
    </row>
    <row r="228" spans="1:13">
      <c r="A228" s="9">
        <v>45623</v>
      </c>
      <c r="B228" s="1">
        <f t="shared" si="6"/>
        <v>45597</v>
      </c>
      <c r="C228" s="5" t="str">
        <f t="shared" si="7"/>
        <v>2024-11</v>
      </c>
      <c r="D228" s="3">
        <v>598.83000000000004</v>
      </c>
      <c r="E228" s="3">
        <v>240.95</v>
      </c>
      <c r="F228" s="3">
        <v>93.01</v>
      </c>
      <c r="G228" s="3">
        <v>243.49</v>
      </c>
      <c r="H228" s="3">
        <v>98.6</v>
      </c>
      <c r="I228" s="2">
        <v>182.7</v>
      </c>
      <c r="J228" s="2">
        <v>1019.45</v>
      </c>
      <c r="K228" s="2">
        <v>525.75</v>
      </c>
      <c r="L228" s="3">
        <v>146.94999999999999</v>
      </c>
      <c r="M228" s="2">
        <v>35.07</v>
      </c>
    </row>
    <row r="229" spans="1:13">
      <c r="A229" s="9">
        <v>45622</v>
      </c>
      <c r="B229" s="1">
        <f t="shared" si="6"/>
        <v>45597</v>
      </c>
      <c r="C229" s="5" t="str">
        <f t="shared" si="7"/>
        <v>2024-11</v>
      </c>
      <c r="D229" s="3">
        <v>600.65</v>
      </c>
      <c r="E229" s="3">
        <v>240.62</v>
      </c>
      <c r="F229" s="3">
        <v>92.37</v>
      </c>
      <c r="G229" s="3">
        <v>242.95</v>
      </c>
      <c r="H229" s="3">
        <v>97.97</v>
      </c>
      <c r="I229" s="2">
        <v>190.37</v>
      </c>
      <c r="J229" s="2">
        <v>1026.48</v>
      </c>
      <c r="K229" s="2">
        <v>521.45000000000005</v>
      </c>
      <c r="L229" s="3">
        <v>146.16999999999999</v>
      </c>
      <c r="M229" s="2">
        <v>34.43</v>
      </c>
    </row>
    <row r="230" spans="1:13">
      <c r="A230" s="9">
        <v>45621</v>
      </c>
      <c r="B230" s="1">
        <f t="shared" si="6"/>
        <v>45597</v>
      </c>
      <c r="C230" s="5" t="str">
        <f t="shared" si="7"/>
        <v>2024-11</v>
      </c>
      <c r="D230" s="3">
        <v>597.53</v>
      </c>
      <c r="E230" s="3">
        <v>242.4</v>
      </c>
      <c r="F230" s="3">
        <v>92.73</v>
      </c>
      <c r="G230" s="3">
        <v>242.48</v>
      </c>
      <c r="H230" s="3">
        <v>97.58</v>
      </c>
      <c r="I230" s="2">
        <v>187.99</v>
      </c>
      <c r="J230" s="2">
        <v>1031.49</v>
      </c>
      <c r="K230" s="2">
        <v>521.89</v>
      </c>
      <c r="L230" s="3">
        <v>145.38999999999999</v>
      </c>
      <c r="M230" s="2">
        <v>38.409999999999997</v>
      </c>
    </row>
    <row r="231" spans="1:13">
      <c r="A231" s="9">
        <v>45618</v>
      </c>
      <c r="B231" s="1">
        <f t="shared" si="6"/>
        <v>45597</v>
      </c>
      <c r="C231" s="5" t="str">
        <f t="shared" si="7"/>
        <v>2024-11</v>
      </c>
      <c r="D231" s="3">
        <v>595.51</v>
      </c>
      <c r="E231" s="3">
        <v>238.77</v>
      </c>
      <c r="F231" s="3">
        <v>90.39</v>
      </c>
      <c r="G231" s="3">
        <v>249.84</v>
      </c>
      <c r="H231" s="3">
        <v>96.24</v>
      </c>
      <c r="I231" s="2">
        <v>192.29</v>
      </c>
      <c r="J231" s="2">
        <v>1036.46</v>
      </c>
      <c r="K231" s="2">
        <v>542.22</v>
      </c>
      <c r="L231" s="3">
        <v>144.16</v>
      </c>
      <c r="M231" s="2">
        <v>33.15</v>
      </c>
    </row>
    <row r="232" spans="1:13">
      <c r="A232" s="9">
        <v>45617</v>
      </c>
      <c r="B232" s="1">
        <f t="shared" si="6"/>
        <v>45597</v>
      </c>
      <c r="C232" s="5" t="str">
        <f t="shared" si="7"/>
        <v>2024-11</v>
      </c>
      <c r="D232" s="3">
        <v>593.66999999999996</v>
      </c>
      <c r="E232" s="3">
        <v>234.44</v>
      </c>
      <c r="F232" s="3">
        <v>90.34</v>
      </c>
      <c r="G232" s="3">
        <v>246.66</v>
      </c>
      <c r="H232" s="3">
        <v>95.52</v>
      </c>
      <c r="I232" s="2">
        <v>192.43</v>
      </c>
      <c r="J232" s="2">
        <v>1028</v>
      </c>
      <c r="K232" s="2">
        <v>542.01</v>
      </c>
      <c r="L232" s="3">
        <v>144.03</v>
      </c>
      <c r="M232" s="2">
        <v>29.7</v>
      </c>
    </row>
    <row r="233" spans="1:13">
      <c r="A233" s="9">
        <v>45616</v>
      </c>
      <c r="B233" s="1">
        <f t="shared" si="6"/>
        <v>45597</v>
      </c>
      <c r="C233" s="5" t="str">
        <f t="shared" si="7"/>
        <v>2024-11</v>
      </c>
      <c r="D233" s="3">
        <v>590.5</v>
      </c>
      <c r="E233" s="3">
        <v>230.93</v>
      </c>
      <c r="F233" s="3">
        <v>90.41</v>
      </c>
      <c r="G233" s="3">
        <v>244.62</v>
      </c>
      <c r="H233" s="3">
        <v>94.82</v>
      </c>
      <c r="I233" s="2">
        <v>190.75</v>
      </c>
      <c r="J233" s="2">
        <v>1024.67</v>
      </c>
      <c r="K233" s="2">
        <v>534.73</v>
      </c>
      <c r="L233" s="3">
        <v>142.88</v>
      </c>
      <c r="M233" s="2">
        <v>25.8</v>
      </c>
    </row>
    <row r="234" spans="1:13">
      <c r="A234" s="9">
        <v>45615</v>
      </c>
      <c r="B234" s="1">
        <f t="shared" si="6"/>
        <v>45597</v>
      </c>
      <c r="C234" s="5" t="str">
        <f t="shared" si="7"/>
        <v>2024-11</v>
      </c>
      <c r="D234" s="3">
        <v>590.29999999999995</v>
      </c>
      <c r="E234" s="3">
        <v>230.63</v>
      </c>
      <c r="F234" s="3">
        <v>90.7</v>
      </c>
      <c r="G234" s="3">
        <v>243.25</v>
      </c>
      <c r="H234" s="3">
        <v>94.94</v>
      </c>
      <c r="I234" s="2">
        <v>188.9</v>
      </c>
      <c r="J234" s="2">
        <v>1028.1099999999999</v>
      </c>
      <c r="K234" s="2">
        <v>533.26</v>
      </c>
      <c r="L234" s="3">
        <v>141.21</v>
      </c>
      <c r="M234" s="2">
        <v>28.27</v>
      </c>
    </row>
    <row r="235" spans="1:13">
      <c r="A235" s="9">
        <v>45614</v>
      </c>
      <c r="B235" s="1">
        <f t="shared" si="6"/>
        <v>45597</v>
      </c>
      <c r="C235" s="5" t="str">
        <f t="shared" si="7"/>
        <v>2024-11</v>
      </c>
      <c r="D235" s="3">
        <v>588.15</v>
      </c>
      <c r="E235" s="3">
        <v>228.93</v>
      </c>
      <c r="F235" s="3">
        <v>90.24</v>
      </c>
      <c r="G235" s="3">
        <v>241.09</v>
      </c>
      <c r="H235" s="3">
        <v>94.48</v>
      </c>
      <c r="I235" s="2">
        <v>185.73</v>
      </c>
      <c r="J235" s="2">
        <v>1049.97</v>
      </c>
      <c r="K235" s="2">
        <v>530.96</v>
      </c>
      <c r="L235" s="3">
        <v>141.94</v>
      </c>
      <c r="M235" s="2">
        <v>21.54</v>
      </c>
    </row>
    <row r="236" spans="1:13">
      <c r="A236" s="9">
        <v>45611</v>
      </c>
      <c r="B236" s="1">
        <f t="shared" si="6"/>
        <v>45597</v>
      </c>
      <c r="C236" s="5" t="str">
        <f t="shared" si="7"/>
        <v>2024-11</v>
      </c>
      <c r="D236" s="3">
        <v>585.75</v>
      </c>
      <c r="E236" s="3">
        <v>228.48</v>
      </c>
      <c r="F236" s="3">
        <v>90.08</v>
      </c>
      <c r="G236" s="3">
        <v>236.59</v>
      </c>
      <c r="H236" s="3">
        <v>93.8</v>
      </c>
      <c r="I236" s="2">
        <v>183.74</v>
      </c>
      <c r="J236" s="2">
        <v>1047.3699999999999</v>
      </c>
      <c r="K236" s="2">
        <v>534.83000000000004</v>
      </c>
      <c r="L236" s="3">
        <v>141.84</v>
      </c>
      <c r="M236" s="2">
        <v>18.579999999999998</v>
      </c>
    </row>
    <row r="237" spans="1:13">
      <c r="A237" s="9">
        <v>45610</v>
      </c>
      <c r="B237" s="1">
        <f t="shared" si="6"/>
        <v>45597</v>
      </c>
      <c r="C237" s="5" t="str">
        <f t="shared" si="7"/>
        <v>2024-11</v>
      </c>
      <c r="D237" s="3">
        <v>593.35</v>
      </c>
      <c r="E237" s="3">
        <v>231.94</v>
      </c>
      <c r="F237" s="3">
        <v>90.32</v>
      </c>
      <c r="G237" s="3">
        <v>237.01</v>
      </c>
      <c r="H237" s="3">
        <v>93.75</v>
      </c>
      <c r="I237" s="2">
        <v>187.05</v>
      </c>
      <c r="J237" s="2">
        <v>1047.08</v>
      </c>
      <c r="K237" s="2">
        <v>538.99</v>
      </c>
      <c r="L237" s="3">
        <v>144.52000000000001</v>
      </c>
      <c r="M237" s="2">
        <v>18.010000000000002</v>
      </c>
    </row>
    <row r="238" spans="1:13">
      <c r="A238" s="9">
        <v>45609</v>
      </c>
      <c r="B238" s="1">
        <f t="shared" si="6"/>
        <v>45597</v>
      </c>
      <c r="C238" s="5" t="str">
        <f t="shared" si="7"/>
        <v>2024-11</v>
      </c>
      <c r="D238" s="3">
        <v>597.19000000000005</v>
      </c>
      <c r="E238" s="3">
        <v>235.11</v>
      </c>
      <c r="F238" s="3">
        <v>89.8</v>
      </c>
      <c r="G238" s="3">
        <v>237.63</v>
      </c>
      <c r="H238" s="3">
        <v>94.6</v>
      </c>
      <c r="I238" s="2">
        <v>189.63</v>
      </c>
      <c r="J238" s="2">
        <v>1030.98</v>
      </c>
      <c r="K238" s="2">
        <v>557.73</v>
      </c>
      <c r="L238" s="3">
        <v>146.83000000000001</v>
      </c>
      <c r="M238" s="2">
        <v>20.329999999999998</v>
      </c>
    </row>
    <row r="239" spans="1:13">
      <c r="A239" s="9">
        <v>45608</v>
      </c>
      <c r="B239" s="1">
        <f t="shared" si="6"/>
        <v>45597</v>
      </c>
      <c r="C239" s="5" t="str">
        <f t="shared" si="7"/>
        <v>2024-11</v>
      </c>
      <c r="D239" s="3">
        <v>596.9</v>
      </c>
      <c r="E239" s="3">
        <v>237.46</v>
      </c>
      <c r="F239" s="3">
        <v>90.66</v>
      </c>
      <c r="G239" s="3">
        <v>240.05</v>
      </c>
      <c r="H239" s="3">
        <v>94.08</v>
      </c>
      <c r="I239" s="2">
        <v>189.58</v>
      </c>
      <c r="J239" s="2">
        <v>1036.3499999999999</v>
      </c>
      <c r="K239" s="2">
        <v>565.96</v>
      </c>
      <c r="L239" s="3">
        <v>147.22</v>
      </c>
      <c r="M239" s="2">
        <v>21.7</v>
      </c>
    </row>
    <row r="240" spans="1:13">
      <c r="A240" s="9">
        <v>45607</v>
      </c>
      <c r="B240" s="1">
        <f t="shared" si="6"/>
        <v>45597</v>
      </c>
      <c r="C240" s="5" t="str">
        <f t="shared" si="7"/>
        <v>2024-11</v>
      </c>
      <c r="D240" s="3">
        <v>598.76</v>
      </c>
      <c r="E240" s="3">
        <v>241.7</v>
      </c>
      <c r="F240" s="3">
        <v>92.04</v>
      </c>
      <c r="G240" s="3">
        <v>242.14</v>
      </c>
      <c r="H240" s="3">
        <v>95.4</v>
      </c>
      <c r="I240" s="2">
        <v>189.13</v>
      </c>
      <c r="J240" s="2">
        <v>1053.8399999999999</v>
      </c>
      <c r="K240" s="2">
        <v>570.58000000000004</v>
      </c>
      <c r="L240" s="3">
        <v>149.30000000000001</v>
      </c>
      <c r="M240" s="2">
        <v>23.23</v>
      </c>
    </row>
    <row r="241" spans="1:13">
      <c r="A241" s="9">
        <v>45604</v>
      </c>
      <c r="B241" s="1">
        <f t="shared" si="6"/>
        <v>45597</v>
      </c>
      <c r="C241" s="5" t="str">
        <f t="shared" si="7"/>
        <v>2024-11</v>
      </c>
      <c r="D241" s="3">
        <v>598.19000000000005</v>
      </c>
      <c r="E241" s="3">
        <v>238.12</v>
      </c>
      <c r="F241" s="3">
        <v>92.49</v>
      </c>
      <c r="G241" s="3">
        <v>247.96</v>
      </c>
      <c r="H241" s="3">
        <v>95.88</v>
      </c>
      <c r="I241" s="2">
        <v>189.25</v>
      </c>
      <c r="J241" s="2">
        <v>1039.28</v>
      </c>
      <c r="K241" s="2">
        <v>564.55999999999995</v>
      </c>
      <c r="L241" s="3">
        <v>150.18</v>
      </c>
      <c r="M241" s="2">
        <v>24.52</v>
      </c>
    </row>
    <row r="242" spans="1:13">
      <c r="A242" s="9">
        <v>45603</v>
      </c>
      <c r="B242" s="1">
        <f t="shared" si="6"/>
        <v>45597</v>
      </c>
      <c r="C242" s="5" t="str">
        <f t="shared" si="7"/>
        <v>2024-11</v>
      </c>
      <c r="D242" s="3">
        <v>595.61</v>
      </c>
      <c r="E242" s="3">
        <v>236.38</v>
      </c>
      <c r="F242" s="3">
        <v>91.33</v>
      </c>
      <c r="G242" s="3">
        <v>249.65</v>
      </c>
      <c r="H242" s="3">
        <v>94.47</v>
      </c>
      <c r="I242" s="2">
        <v>186.37</v>
      </c>
      <c r="J242" s="2">
        <v>1036.06</v>
      </c>
      <c r="K242" s="2">
        <v>551.84</v>
      </c>
      <c r="L242" s="3">
        <v>149.11000000000001</v>
      </c>
      <c r="M242" s="2">
        <v>25.48</v>
      </c>
    </row>
    <row r="243" spans="1:13">
      <c r="A243" s="9">
        <v>45602</v>
      </c>
      <c r="B243" s="1">
        <f t="shared" si="6"/>
        <v>45597</v>
      </c>
      <c r="C243" s="5" t="str">
        <f t="shared" si="7"/>
        <v>2024-11</v>
      </c>
      <c r="D243" s="3">
        <v>591.04</v>
      </c>
      <c r="E243" s="3">
        <v>237.22</v>
      </c>
      <c r="F243" s="3">
        <v>90.2</v>
      </c>
      <c r="G243" s="3">
        <v>245.7</v>
      </c>
      <c r="H243" s="3">
        <v>93.35</v>
      </c>
      <c r="I243" s="2">
        <v>181.24</v>
      </c>
      <c r="J243" s="2">
        <v>1029.82</v>
      </c>
      <c r="K243" s="2">
        <v>551.82000000000005</v>
      </c>
      <c r="L243" s="3">
        <v>148.04</v>
      </c>
      <c r="M243" s="2">
        <v>22.7</v>
      </c>
    </row>
    <row r="244" spans="1:13">
      <c r="A244" s="9">
        <v>45601</v>
      </c>
      <c r="B244" s="1">
        <f t="shared" si="6"/>
        <v>45597</v>
      </c>
      <c r="C244" s="5" t="str">
        <f t="shared" si="7"/>
        <v>2024-11</v>
      </c>
      <c r="D244" s="3">
        <v>576.70000000000005</v>
      </c>
      <c r="E244" s="3">
        <v>224.23</v>
      </c>
      <c r="F244" s="3">
        <v>92.74</v>
      </c>
      <c r="G244" s="3">
        <v>253.4</v>
      </c>
      <c r="H244" s="3">
        <v>95.38</v>
      </c>
      <c r="I244" s="2">
        <v>171.78</v>
      </c>
      <c r="J244" s="2">
        <v>1014.35</v>
      </c>
      <c r="K244" s="2">
        <v>546.75</v>
      </c>
      <c r="L244" s="3">
        <v>147.85</v>
      </c>
      <c r="M244" s="2">
        <v>27.7</v>
      </c>
    </row>
    <row r="245" spans="1:13">
      <c r="A245" s="9">
        <v>45600</v>
      </c>
      <c r="B245" s="1">
        <f t="shared" si="6"/>
        <v>45597</v>
      </c>
      <c r="C245" s="5" t="str">
        <f t="shared" si="7"/>
        <v>2024-11</v>
      </c>
      <c r="D245" s="3">
        <v>569.80999999999995</v>
      </c>
      <c r="E245" s="3">
        <v>220.09</v>
      </c>
      <c r="F245" s="3">
        <v>92.25</v>
      </c>
      <c r="G245" s="3">
        <v>252.83</v>
      </c>
      <c r="H245" s="3">
        <v>94.13</v>
      </c>
      <c r="I245" s="2">
        <v>169.59</v>
      </c>
      <c r="J245" s="2">
        <v>991.5</v>
      </c>
      <c r="K245" s="2">
        <v>543.1</v>
      </c>
      <c r="L245" s="3">
        <v>146.77000000000001</v>
      </c>
      <c r="M245" s="2">
        <v>26.03</v>
      </c>
    </row>
    <row r="246" spans="1:13">
      <c r="A246" s="9">
        <v>45597</v>
      </c>
      <c r="B246" s="1">
        <f t="shared" si="6"/>
        <v>45597</v>
      </c>
      <c r="C246" s="5" t="str">
        <f t="shared" si="7"/>
        <v>2024-11</v>
      </c>
      <c r="D246" s="3">
        <v>571.04</v>
      </c>
      <c r="E246" s="3">
        <v>218.98</v>
      </c>
      <c r="F246" s="3">
        <v>90.84</v>
      </c>
      <c r="G246" s="3">
        <v>252.47</v>
      </c>
      <c r="H246" s="3">
        <v>93.11</v>
      </c>
      <c r="I246" s="2">
        <v>170.02</v>
      </c>
      <c r="J246" s="2">
        <v>985.08</v>
      </c>
      <c r="K246" s="2">
        <v>545.35</v>
      </c>
      <c r="L246" s="3">
        <v>147.74</v>
      </c>
      <c r="M246" s="2">
        <v>26.05</v>
      </c>
    </row>
    <row r="247" spans="1:13">
      <c r="A247" s="9">
        <v>45596</v>
      </c>
      <c r="B247" s="1">
        <f t="shared" si="6"/>
        <v>45566</v>
      </c>
      <c r="C247" s="5" t="str">
        <f t="shared" si="7"/>
        <v>2024-10</v>
      </c>
      <c r="D247" s="3">
        <v>568.64</v>
      </c>
      <c r="E247" s="3">
        <v>217.76</v>
      </c>
      <c r="F247" s="3">
        <v>92.45</v>
      </c>
      <c r="G247" s="3">
        <v>253.51</v>
      </c>
      <c r="H247" s="3">
        <v>94.15</v>
      </c>
      <c r="I247" s="2">
        <v>167.84</v>
      </c>
      <c r="J247" s="2">
        <v>981.03</v>
      </c>
      <c r="K247" s="2">
        <v>546.04999999999995</v>
      </c>
      <c r="L247" s="3">
        <v>146.87</v>
      </c>
      <c r="M247" s="2">
        <v>29.11</v>
      </c>
    </row>
    <row r="248" spans="1:13">
      <c r="A248" s="9">
        <v>45595</v>
      </c>
      <c r="B248" s="1">
        <f t="shared" si="6"/>
        <v>45566</v>
      </c>
      <c r="C248" s="5" t="str">
        <f t="shared" si="7"/>
        <v>2024-10</v>
      </c>
      <c r="D248" s="3">
        <v>580.01</v>
      </c>
      <c r="E248" s="3">
        <v>221.44</v>
      </c>
      <c r="F248" s="3">
        <v>92.3</v>
      </c>
      <c r="G248" s="3">
        <v>257.5</v>
      </c>
      <c r="H248" s="3">
        <v>95.77</v>
      </c>
      <c r="I248" s="2">
        <v>174.56</v>
      </c>
      <c r="J248" s="2">
        <v>979.87</v>
      </c>
      <c r="K248" s="2">
        <v>545.94000000000005</v>
      </c>
      <c r="L248" s="3">
        <v>148.12</v>
      </c>
      <c r="M248" s="2">
        <v>33.07</v>
      </c>
    </row>
    <row r="249" spans="1:13">
      <c r="A249" s="9">
        <v>45594</v>
      </c>
      <c r="B249" s="1">
        <f t="shared" si="6"/>
        <v>45566</v>
      </c>
      <c r="C249" s="5" t="str">
        <f t="shared" si="7"/>
        <v>2024-10</v>
      </c>
      <c r="D249" s="3">
        <v>581.77</v>
      </c>
      <c r="E249" s="3">
        <v>221.74</v>
      </c>
      <c r="F249" s="3">
        <v>92.03</v>
      </c>
      <c r="G249" s="3">
        <v>256.08999999999997</v>
      </c>
      <c r="H249" s="3">
        <v>95.35</v>
      </c>
      <c r="I249" s="2">
        <v>173.43</v>
      </c>
      <c r="J249" s="2">
        <v>983.17</v>
      </c>
      <c r="K249" s="2">
        <v>546.79999999999995</v>
      </c>
      <c r="L249" s="3">
        <v>148.4</v>
      </c>
      <c r="M249" s="2">
        <v>49.12</v>
      </c>
    </row>
    <row r="250" spans="1:13">
      <c r="A250" s="9">
        <v>45593</v>
      </c>
      <c r="B250" s="1">
        <f t="shared" si="6"/>
        <v>45566</v>
      </c>
      <c r="C250" s="5" t="str">
        <f t="shared" si="7"/>
        <v>2024-10</v>
      </c>
      <c r="D250" s="3">
        <v>580.83000000000004</v>
      </c>
      <c r="E250" s="3">
        <v>222.46</v>
      </c>
      <c r="F250" s="3">
        <v>91.89</v>
      </c>
      <c r="G250" s="3">
        <v>253.33</v>
      </c>
      <c r="H250" s="3">
        <v>96.04</v>
      </c>
      <c r="I250" s="2">
        <v>172.42</v>
      </c>
      <c r="J250" s="2">
        <v>986.22</v>
      </c>
      <c r="K250" s="2">
        <v>555.16999999999996</v>
      </c>
      <c r="L250" s="3">
        <v>148.81</v>
      </c>
      <c r="M250" s="2">
        <v>47.72</v>
      </c>
    </row>
    <row r="251" spans="1:13">
      <c r="A251" s="9">
        <v>45590</v>
      </c>
      <c r="B251" s="1">
        <f t="shared" si="6"/>
        <v>45566</v>
      </c>
      <c r="C251" s="5" t="str">
        <f t="shared" si="7"/>
        <v>2024-10</v>
      </c>
      <c r="D251" s="3">
        <v>579.04</v>
      </c>
      <c r="E251" s="3">
        <v>218.89</v>
      </c>
      <c r="F251" s="3">
        <v>92.14</v>
      </c>
      <c r="G251" s="3">
        <v>253.32</v>
      </c>
      <c r="H251" s="3">
        <v>95.74</v>
      </c>
      <c r="I251" s="2">
        <v>173.52</v>
      </c>
      <c r="J251" s="2">
        <v>974.07</v>
      </c>
      <c r="K251" s="2">
        <v>562.29</v>
      </c>
      <c r="L251" s="3">
        <v>148.59</v>
      </c>
      <c r="M251" s="2">
        <v>47.27</v>
      </c>
    </row>
    <row r="252" spans="1:13">
      <c r="A252" s="9">
        <v>45589</v>
      </c>
      <c r="B252" s="1">
        <f t="shared" si="6"/>
        <v>45566</v>
      </c>
      <c r="C252" s="5" t="str">
        <f t="shared" si="7"/>
        <v>2024-10</v>
      </c>
      <c r="D252" s="3">
        <v>579.24</v>
      </c>
      <c r="E252" s="3">
        <v>219.72</v>
      </c>
      <c r="F252" s="3">
        <v>92.66</v>
      </c>
      <c r="G252" s="3">
        <v>252.8</v>
      </c>
      <c r="H252" s="3">
        <v>96.65</v>
      </c>
      <c r="I252" s="2">
        <v>174.38</v>
      </c>
      <c r="J252" s="2">
        <v>984</v>
      </c>
      <c r="K252" s="2">
        <v>564.21</v>
      </c>
      <c r="L252" s="3">
        <v>149.41</v>
      </c>
      <c r="M252" s="2">
        <v>46.23</v>
      </c>
    </row>
    <row r="253" spans="1:13">
      <c r="A253" s="9">
        <v>45588</v>
      </c>
      <c r="B253" s="1">
        <f t="shared" si="6"/>
        <v>45566</v>
      </c>
      <c r="C253" s="5" t="str">
        <f t="shared" si="7"/>
        <v>2024-10</v>
      </c>
      <c r="D253" s="3">
        <v>577.99</v>
      </c>
      <c r="E253" s="3">
        <v>219.24</v>
      </c>
      <c r="F253" s="3">
        <v>92.07</v>
      </c>
      <c r="G253" s="3">
        <v>250.87</v>
      </c>
      <c r="H253" s="3">
        <v>96.44</v>
      </c>
      <c r="I253" s="2">
        <v>173.1</v>
      </c>
      <c r="J253" s="2">
        <v>988.16</v>
      </c>
      <c r="K253" s="2">
        <v>571.1</v>
      </c>
      <c r="L253" s="3">
        <v>150.4</v>
      </c>
      <c r="M253" s="2">
        <v>45.36</v>
      </c>
    </row>
    <row r="254" spans="1:13">
      <c r="A254" s="9">
        <v>45587</v>
      </c>
      <c r="B254" s="1">
        <f t="shared" si="6"/>
        <v>45566</v>
      </c>
      <c r="C254" s="5" t="str">
        <f t="shared" si="7"/>
        <v>2024-10</v>
      </c>
      <c r="D254" s="3">
        <v>583.32000000000005</v>
      </c>
      <c r="E254" s="3">
        <v>221.26</v>
      </c>
      <c r="F254" s="3">
        <v>92.32</v>
      </c>
      <c r="G254" s="3">
        <v>253.93</v>
      </c>
      <c r="H254" s="3">
        <v>95.74</v>
      </c>
      <c r="I254" s="2">
        <v>175.31</v>
      </c>
      <c r="J254" s="2">
        <v>1000.81</v>
      </c>
      <c r="K254" s="2">
        <v>576.98</v>
      </c>
      <c r="L254" s="3">
        <v>151.11000000000001</v>
      </c>
      <c r="M254" s="2">
        <v>45.97</v>
      </c>
    </row>
    <row r="255" spans="1:13">
      <c r="A255" s="9">
        <v>45586</v>
      </c>
      <c r="B255" s="1">
        <f t="shared" si="6"/>
        <v>45566</v>
      </c>
      <c r="C255" s="5" t="str">
        <f t="shared" si="7"/>
        <v>2024-10</v>
      </c>
      <c r="D255" s="3">
        <v>583.63</v>
      </c>
      <c r="E255" s="3">
        <v>222.1</v>
      </c>
      <c r="F255" s="3">
        <v>92.23</v>
      </c>
      <c r="G255" s="3">
        <v>251.22</v>
      </c>
      <c r="H255" s="3">
        <v>95.6</v>
      </c>
      <c r="I255" s="2">
        <v>173.76</v>
      </c>
      <c r="J255" s="2">
        <v>1000.53</v>
      </c>
      <c r="K255" s="2">
        <v>614.61</v>
      </c>
      <c r="L255" s="3">
        <v>151.33000000000001</v>
      </c>
      <c r="M255" s="2">
        <v>47.8</v>
      </c>
    </row>
    <row r="256" spans="1:13">
      <c r="A256" s="9">
        <v>45583</v>
      </c>
      <c r="B256" s="1">
        <f t="shared" si="6"/>
        <v>45566</v>
      </c>
      <c r="C256" s="5" t="str">
        <f t="shared" si="7"/>
        <v>2024-10</v>
      </c>
      <c r="D256" s="3">
        <v>584.59</v>
      </c>
      <c r="E256" s="3">
        <v>225.65</v>
      </c>
      <c r="F256" s="3">
        <v>93.87</v>
      </c>
      <c r="G256" s="3">
        <v>251.27</v>
      </c>
      <c r="H256" s="3">
        <v>97.51</v>
      </c>
      <c r="I256" s="2">
        <v>174.69</v>
      </c>
      <c r="J256" s="2">
        <v>1007.02</v>
      </c>
      <c r="K256" s="2">
        <v>611.80999999999995</v>
      </c>
      <c r="L256" s="3">
        <v>153.13</v>
      </c>
      <c r="M256" s="2">
        <v>47.26</v>
      </c>
    </row>
    <row r="257" spans="1:13">
      <c r="A257" s="9">
        <v>45582</v>
      </c>
      <c r="B257" s="1">
        <f t="shared" si="6"/>
        <v>45566</v>
      </c>
      <c r="C257" s="5" t="str">
        <f t="shared" si="7"/>
        <v>2024-10</v>
      </c>
      <c r="D257" s="3">
        <v>582.35</v>
      </c>
      <c r="E257" s="3">
        <v>226.12</v>
      </c>
      <c r="F257" s="3">
        <v>93.8</v>
      </c>
      <c r="G257" s="3">
        <v>248.63</v>
      </c>
      <c r="H257" s="3">
        <v>96.79</v>
      </c>
      <c r="I257" s="2">
        <v>175.68</v>
      </c>
      <c r="J257" s="2">
        <v>1002.5</v>
      </c>
      <c r="K257" s="2">
        <v>609.62</v>
      </c>
      <c r="L257" s="3">
        <v>152.38999999999999</v>
      </c>
      <c r="M257" s="2">
        <v>47.59</v>
      </c>
    </row>
    <row r="258" spans="1:13">
      <c r="A258" s="9">
        <v>45581</v>
      </c>
      <c r="B258" s="1">
        <f t="shared" ref="B258:B321" si="8">EOMONTH(A258,-1)+1</f>
        <v>45566</v>
      </c>
      <c r="C258" s="5" t="str">
        <f t="shared" si="7"/>
        <v>2024-10</v>
      </c>
      <c r="D258" s="3">
        <v>582.29999999999995</v>
      </c>
      <c r="E258" s="3">
        <v>226.74</v>
      </c>
      <c r="F258" s="3">
        <v>95.31</v>
      </c>
      <c r="G258" s="3">
        <v>247.15</v>
      </c>
      <c r="H258" s="3">
        <v>97.56</v>
      </c>
      <c r="I258" s="2">
        <v>174.77</v>
      </c>
      <c r="J258" s="2">
        <v>1015.75</v>
      </c>
      <c r="K258" s="2">
        <v>612.83000000000004</v>
      </c>
      <c r="L258" s="3">
        <v>153.28</v>
      </c>
      <c r="M258" s="2">
        <v>48.75</v>
      </c>
    </row>
    <row r="259" spans="1:13">
      <c r="A259" s="9">
        <v>45580</v>
      </c>
      <c r="B259" s="1">
        <f t="shared" si="8"/>
        <v>45566</v>
      </c>
      <c r="C259" s="5" t="str">
        <f t="shared" ref="C259:C322" si="9">TEXT(A259, "yyyy-mm")</f>
        <v>2024-10</v>
      </c>
      <c r="D259" s="3">
        <v>579.78</v>
      </c>
      <c r="E259" s="3">
        <v>223.07</v>
      </c>
      <c r="F259" s="3">
        <v>94.91</v>
      </c>
      <c r="G259" s="3">
        <v>245.92</v>
      </c>
      <c r="H259" s="3">
        <v>96.5</v>
      </c>
      <c r="I259" s="2">
        <v>174.09</v>
      </c>
      <c r="J259" s="2">
        <v>1007</v>
      </c>
      <c r="K259" s="2">
        <v>605</v>
      </c>
      <c r="L259" s="3">
        <v>152.85</v>
      </c>
      <c r="M259" s="2">
        <v>47.76</v>
      </c>
    </row>
    <row r="260" spans="1:13">
      <c r="A260" s="9">
        <v>45579</v>
      </c>
      <c r="B260" s="1">
        <f t="shared" si="8"/>
        <v>45566</v>
      </c>
      <c r="C260" s="5" t="str">
        <f t="shared" si="9"/>
        <v>2024-10</v>
      </c>
      <c r="D260" s="3">
        <v>584.32000000000005</v>
      </c>
      <c r="E260" s="3">
        <v>222.89</v>
      </c>
      <c r="F260" s="3">
        <v>93.765000000000001</v>
      </c>
      <c r="G260" s="3">
        <v>245.07</v>
      </c>
      <c r="H260" s="3">
        <v>95.35</v>
      </c>
      <c r="I260" s="2">
        <v>176.12</v>
      </c>
      <c r="J260" s="2">
        <v>991.72</v>
      </c>
      <c r="K260" s="2">
        <v>610.87</v>
      </c>
      <c r="L260" s="3">
        <v>154.74</v>
      </c>
      <c r="M260" s="2">
        <v>47.39</v>
      </c>
    </row>
    <row r="261" spans="1:13">
      <c r="A261" s="9">
        <v>45576</v>
      </c>
      <c r="B261" s="1">
        <f t="shared" si="8"/>
        <v>45566</v>
      </c>
      <c r="C261" s="5" t="str">
        <f t="shared" si="9"/>
        <v>2024-10</v>
      </c>
      <c r="D261" s="3">
        <v>579.58000000000004</v>
      </c>
      <c r="E261" s="3">
        <v>221.26</v>
      </c>
      <c r="F261" s="3">
        <v>93.7</v>
      </c>
      <c r="G261" s="3">
        <v>245.47</v>
      </c>
      <c r="H261" s="3">
        <v>94.78</v>
      </c>
      <c r="I261" s="2">
        <v>175.77</v>
      </c>
      <c r="J261" s="2">
        <v>990.26</v>
      </c>
      <c r="K261" s="2">
        <v>604.16999999999996</v>
      </c>
      <c r="L261" s="3">
        <v>153.88999999999999</v>
      </c>
      <c r="M261" s="2">
        <v>47.8</v>
      </c>
    </row>
    <row r="262" spans="1:13">
      <c r="A262" s="9">
        <v>45575</v>
      </c>
      <c r="B262" s="1">
        <f t="shared" si="8"/>
        <v>45566</v>
      </c>
      <c r="C262" s="5" t="str">
        <f t="shared" si="9"/>
        <v>2024-10</v>
      </c>
      <c r="D262" s="3">
        <v>576.13</v>
      </c>
      <c r="E262" s="3">
        <v>216.85</v>
      </c>
      <c r="F262" s="3">
        <v>94.08</v>
      </c>
      <c r="G262" s="3">
        <v>242.82</v>
      </c>
      <c r="H262" s="3">
        <v>93.72</v>
      </c>
      <c r="I262" s="2">
        <v>175.41</v>
      </c>
      <c r="J262" s="2">
        <v>955.59</v>
      </c>
      <c r="K262" s="2">
        <v>597.49</v>
      </c>
      <c r="L262" s="3">
        <v>152.77000000000001</v>
      </c>
      <c r="M262" s="2">
        <v>46.47</v>
      </c>
    </row>
    <row r="263" spans="1:13">
      <c r="A263" s="9">
        <v>45574</v>
      </c>
      <c r="B263" s="1">
        <f t="shared" si="8"/>
        <v>45566</v>
      </c>
      <c r="C263" s="5" t="str">
        <f t="shared" si="9"/>
        <v>2024-10</v>
      </c>
      <c r="D263" s="3">
        <v>577.14</v>
      </c>
      <c r="E263" s="3">
        <v>218.06</v>
      </c>
      <c r="F263" s="3">
        <v>94.45</v>
      </c>
      <c r="G263" s="3">
        <v>241.05</v>
      </c>
      <c r="H263" s="3">
        <v>94.56</v>
      </c>
      <c r="I263" s="2">
        <v>178.29</v>
      </c>
      <c r="J263" s="2">
        <v>955.92</v>
      </c>
      <c r="K263" s="2">
        <v>605.11</v>
      </c>
      <c r="L263" s="3">
        <v>153.34</v>
      </c>
      <c r="M263" s="2">
        <v>47.29</v>
      </c>
    </row>
    <row r="264" spans="1:13">
      <c r="A264" s="9">
        <v>45573</v>
      </c>
      <c r="B264" s="1">
        <f t="shared" si="8"/>
        <v>45566</v>
      </c>
      <c r="C264" s="5" t="str">
        <f t="shared" si="9"/>
        <v>2024-10</v>
      </c>
      <c r="D264" s="3">
        <v>573.16999999999996</v>
      </c>
      <c r="E264" s="3">
        <v>217.58</v>
      </c>
      <c r="F264" s="3">
        <v>94.99</v>
      </c>
      <c r="G264" s="3">
        <v>242.37</v>
      </c>
      <c r="H264" s="3">
        <v>94.46</v>
      </c>
      <c r="I264" s="2">
        <v>174.37</v>
      </c>
      <c r="J264" s="2">
        <v>949.07</v>
      </c>
      <c r="K264" s="2">
        <v>608.04999999999995</v>
      </c>
      <c r="L264" s="3">
        <v>151.79</v>
      </c>
      <c r="M264" s="2">
        <v>45.35</v>
      </c>
    </row>
    <row r="265" spans="1:13">
      <c r="A265" s="9">
        <v>45572</v>
      </c>
      <c r="B265" s="1">
        <f t="shared" si="8"/>
        <v>45566</v>
      </c>
      <c r="C265" s="5" t="str">
        <f t="shared" si="9"/>
        <v>2024-10</v>
      </c>
      <c r="D265" s="3">
        <v>567.79999999999995</v>
      </c>
      <c r="E265" s="3">
        <v>217.43</v>
      </c>
      <c r="F265" s="3">
        <v>94.83</v>
      </c>
      <c r="G265" s="3">
        <v>244.17</v>
      </c>
      <c r="H265" s="3">
        <v>94.27</v>
      </c>
      <c r="I265" s="2">
        <v>169.97</v>
      </c>
      <c r="J265" s="2">
        <v>940.67</v>
      </c>
      <c r="K265" s="2">
        <v>605.54</v>
      </c>
      <c r="L265" s="3">
        <v>150.97</v>
      </c>
      <c r="M265" s="2">
        <v>47.74</v>
      </c>
    </row>
    <row r="266" spans="1:13">
      <c r="A266" s="9">
        <v>45569</v>
      </c>
      <c r="B266" s="1">
        <f t="shared" si="8"/>
        <v>45566</v>
      </c>
      <c r="C266" s="5" t="str">
        <f t="shared" si="9"/>
        <v>2024-10</v>
      </c>
      <c r="D266" s="3">
        <v>572.98</v>
      </c>
      <c r="E266" s="3">
        <v>219.15</v>
      </c>
      <c r="F266" s="3">
        <v>95.55</v>
      </c>
      <c r="G266" s="3">
        <v>245</v>
      </c>
      <c r="H266" s="3">
        <v>95.11</v>
      </c>
      <c r="I266" s="2">
        <v>170.86</v>
      </c>
      <c r="J266" s="2">
        <v>949.19</v>
      </c>
      <c r="K266" s="2">
        <v>605.13</v>
      </c>
      <c r="L266" s="3">
        <v>151.63999999999999</v>
      </c>
      <c r="M266" s="2">
        <v>41.23</v>
      </c>
    </row>
    <row r="267" spans="1:13">
      <c r="A267" s="9">
        <v>45568</v>
      </c>
      <c r="B267" s="1">
        <f t="shared" si="8"/>
        <v>45566</v>
      </c>
      <c r="C267" s="5" t="str">
        <f t="shared" si="9"/>
        <v>2024-10</v>
      </c>
      <c r="D267" s="3">
        <v>567.82000000000005</v>
      </c>
      <c r="E267" s="3">
        <v>216.13</v>
      </c>
      <c r="F267" s="3">
        <v>96.74</v>
      </c>
      <c r="G267" s="3">
        <v>245.49</v>
      </c>
      <c r="H267" s="3">
        <v>95.57</v>
      </c>
      <c r="I267" s="2">
        <v>166.86</v>
      </c>
      <c r="J267" s="2">
        <v>951.49</v>
      </c>
      <c r="K267" s="2">
        <v>605.82000000000005</v>
      </c>
      <c r="L267" s="3">
        <v>151.52000000000001</v>
      </c>
      <c r="M267" s="2">
        <v>41.55</v>
      </c>
    </row>
    <row r="268" spans="1:13">
      <c r="A268" s="9">
        <v>45567</v>
      </c>
      <c r="B268" s="1">
        <f t="shared" si="8"/>
        <v>45566</v>
      </c>
      <c r="C268" s="5" t="str">
        <f t="shared" si="9"/>
        <v>2024-10</v>
      </c>
      <c r="D268" s="3">
        <v>568.86</v>
      </c>
      <c r="E268" s="3">
        <v>217.59</v>
      </c>
      <c r="F268" s="3">
        <v>97.66</v>
      </c>
      <c r="G268" s="3">
        <v>245.66</v>
      </c>
      <c r="H268" s="3">
        <v>96.45</v>
      </c>
      <c r="I268" s="2">
        <v>167.71</v>
      </c>
      <c r="J268" s="2">
        <v>957.25</v>
      </c>
      <c r="K268" s="2">
        <v>603.20000000000005</v>
      </c>
      <c r="L268" s="3">
        <v>152.9</v>
      </c>
      <c r="M268" s="2">
        <v>42</v>
      </c>
    </row>
    <row r="269" spans="1:13">
      <c r="A269" s="9">
        <v>45566</v>
      </c>
      <c r="B269" s="1">
        <f t="shared" si="8"/>
        <v>45566</v>
      </c>
      <c r="C269" s="5" t="str">
        <f t="shared" si="9"/>
        <v>2024-10</v>
      </c>
      <c r="D269" s="3">
        <v>568.62</v>
      </c>
      <c r="E269" s="3">
        <v>217.89</v>
      </c>
      <c r="F269" s="3">
        <v>98.49</v>
      </c>
      <c r="G269" s="3">
        <v>245.61</v>
      </c>
      <c r="H269" s="3">
        <v>96.79</v>
      </c>
      <c r="I269" s="2">
        <v>167.16</v>
      </c>
      <c r="J269" s="2">
        <v>934.02</v>
      </c>
      <c r="K269" s="2">
        <v>605.86</v>
      </c>
      <c r="L269" s="3">
        <v>153.21</v>
      </c>
      <c r="M269" s="2">
        <v>40.549999999999997</v>
      </c>
    </row>
    <row r="270" spans="1:13">
      <c r="A270" s="9">
        <v>45565</v>
      </c>
      <c r="B270" s="1">
        <f t="shared" si="8"/>
        <v>45536</v>
      </c>
      <c r="C270" s="5" t="str">
        <f t="shared" si="9"/>
        <v>2024-09</v>
      </c>
      <c r="D270" s="3">
        <v>573.76</v>
      </c>
      <c r="E270" s="3">
        <v>220.89</v>
      </c>
      <c r="F270" s="3">
        <v>98.1</v>
      </c>
      <c r="G270" s="3">
        <v>243.06</v>
      </c>
      <c r="H270" s="3">
        <v>97.42</v>
      </c>
      <c r="I270" s="2">
        <v>170.4</v>
      </c>
      <c r="J270" s="2">
        <v>949.51</v>
      </c>
      <c r="K270" s="2">
        <v>584.55999999999995</v>
      </c>
      <c r="L270" s="3">
        <v>154.02000000000001</v>
      </c>
      <c r="M270" s="2">
        <v>41.64</v>
      </c>
    </row>
    <row r="271" spans="1:13">
      <c r="A271" s="9">
        <v>45562</v>
      </c>
      <c r="B271" s="1">
        <f t="shared" si="8"/>
        <v>45536</v>
      </c>
      <c r="C271" s="5" t="str">
        <f t="shared" si="9"/>
        <v>2024-09</v>
      </c>
      <c r="D271" s="3">
        <v>571.47</v>
      </c>
      <c r="E271" s="3">
        <v>220.33</v>
      </c>
      <c r="F271" s="3">
        <v>98.57</v>
      </c>
      <c r="G271" s="3">
        <v>245.02</v>
      </c>
      <c r="H271" s="3">
        <v>96.66</v>
      </c>
      <c r="I271" s="2">
        <v>168.74</v>
      </c>
      <c r="J271" s="2">
        <v>945.21</v>
      </c>
      <c r="K271" s="2">
        <v>582.36</v>
      </c>
      <c r="L271" s="3">
        <v>153.02000000000001</v>
      </c>
      <c r="M271" s="2">
        <v>41.97</v>
      </c>
    </row>
    <row r="272" spans="1:13">
      <c r="A272" s="9">
        <v>45561</v>
      </c>
      <c r="B272" s="1">
        <f t="shared" si="8"/>
        <v>45536</v>
      </c>
      <c r="C272" s="5" t="str">
        <f t="shared" si="9"/>
        <v>2024-09</v>
      </c>
      <c r="D272" s="3">
        <v>572.29999999999995</v>
      </c>
      <c r="E272" s="3">
        <v>218.85</v>
      </c>
      <c r="F272" s="3">
        <v>98.06</v>
      </c>
      <c r="G272" s="3">
        <v>246.98</v>
      </c>
      <c r="H272" s="3">
        <v>97.35</v>
      </c>
      <c r="I272" s="2">
        <v>168.1</v>
      </c>
      <c r="J272" s="2">
        <v>945.02</v>
      </c>
      <c r="K272" s="2">
        <v>577.4</v>
      </c>
      <c r="L272" s="3">
        <v>153.1</v>
      </c>
      <c r="M272" s="2">
        <v>40.24</v>
      </c>
    </row>
    <row r="273" spans="1:13">
      <c r="A273" s="9">
        <v>45560</v>
      </c>
      <c r="B273" s="1">
        <f t="shared" si="8"/>
        <v>45536</v>
      </c>
      <c r="C273" s="5" t="str">
        <f t="shared" si="9"/>
        <v>2024-09</v>
      </c>
      <c r="D273" s="3">
        <v>570.04</v>
      </c>
      <c r="E273" s="3">
        <v>217.69</v>
      </c>
      <c r="F273" s="3">
        <v>97.83</v>
      </c>
      <c r="G273" s="3">
        <v>245.73</v>
      </c>
      <c r="H273" s="3">
        <v>98.24</v>
      </c>
      <c r="I273" s="2">
        <v>166.28</v>
      </c>
      <c r="J273" s="2">
        <v>936.8</v>
      </c>
      <c r="K273" s="2">
        <v>577.94000000000005</v>
      </c>
      <c r="L273" s="3">
        <v>152.59</v>
      </c>
      <c r="M273" s="2">
        <v>45.82</v>
      </c>
    </row>
    <row r="274" spans="1:13">
      <c r="A274" s="9">
        <v>45559</v>
      </c>
      <c r="B274" s="1">
        <f t="shared" si="8"/>
        <v>45536</v>
      </c>
      <c r="C274" s="5" t="str">
        <f t="shared" si="9"/>
        <v>2024-09</v>
      </c>
      <c r="D274" s="3">
        <v>571.29999999999995</v>
      </c>
      <c r="E274" s="3">
        <v>221.13</v>
      </c>
      <c r="F274" s="3">
        <v>98.65</v>
      </c>
      <c r="G274" s="3">
        <v>246.07</v>
      </c>
      <c r="H274" s="3">
        <v>98.9</v>
      </c>
      <c r="I274" s="2">
        <v>165.8</v>
      </c>
      <c r="J274" s="2">
        <v>941.23</v>
      </c>
      <c r="K274" s="2">
        <v>578.63</v>
      </c>
      <c r="L274" s="3">
        <v>154.09</v>
      </c>
      <c r="M274" s="2">
        <v>46.36</v>
      </c>
    </row>
    <row r="275" spans="1:13">
      <c r="A275" s="9">
        <v>45558</v>
      </c>
      <c r="B275" s="1">
        <f t="shared" si="8"/>
        <v>45536</v>
      </c>
      <c r="C275" s="5" t="str">
        <f t="shared" si="9"/>
        <v>2024-09</v>
      </c>
      <c r="D275" s="3">
        <v>569.66999999999996</v>
      </c>
      <c r="E275" s="3">
        <v>220.76</v>
      </c>
      <c r="F275" s="3">
        <v>98.67</v>
      </c>
      <c r="G275" s="3">
        <v>242.68</v>
      </c>
      <c r="H275" s="3">
        <v>98.76</v>
      </c>
      <c r="I275" s="2">
        <v>165.95</v>
      </c>
      <c r="J275" s="2">
        <v>937.61</v>
      </c>
      <c r="K275" s="2">
        <v>580.51</v>
      </c>
      <c r="L275" s="3">
        <v>154.4</v>
      </c>
      <c r="M275" s="2">
        <v>46.59</v>
      </c>
    </row>
    <row r="276" spans="1:13">
      <c r="A276" s="9">
        <v>45555</v>
      </c>
      <c r="B276" s="1">
        <f t="shared" si="8"/>
        <v>45536</v>
      </c>
      <c r="C276" s="5" t="str">
        <f t="shared" si="9"/>
        <v>2024-09</v>
      </c>
      <c r="D276" s="3">
        <v>568.25</v>
      </c>
      <c r="E276" s="3">
        <v>221.57</v>
      </c>
      <c r="F276" s="3">
        <v>98.88</v>
      </c>
      <c r="G276" s="3">
        <v>242.21</v>
      </c>
      <c r="H276" s="3">
        <v>97.79</v>
      </c>
      <c r="I276" s="2">
        <v>168</v>
      </c>
      <c r="J276" s="2">
        <v>928.79</v>
      </c>
      <c r="K276" s="2">
        <v>571.91999999999996</v>
      </c>
      <c r="L276" s="3">
        <v>155.28</v>
      </c>
      <c r="M276" s="2">
        <v>45.73</v>
      </c>
    </row>
    <row r="277" spans="1:13">
      <c r="A277" s="9">
        <v>45554</v>
      </c>
      <c r="B277" s="1">
        <f t="shared" si="8"/>
        <v>45536</v>
      </c>
      <c r="C277" s="5" t="str">
        <f t="shared" si="9"/>
        <v>2024-09</v>
      </c>
      <c r="D277" s="3">
        <v>570.98</v>
      </c>
      <c r="E277" s="3">
        <v>223.97</v>
      </c>
      <c r="F277" s="3">
        <v>99.26</v>
      </c>
      <c r="G277" s="3">
        <v>239.17</v>
      </c>
      <c r="H277" s="3">
        <v>98.18</v>
      </c>
      <c r="I277" s="2">
        <v>167.59</v>
      </c>
      <c r="J277" s="2">
        <v>934.87</v>
      </c>
      <c r="K277" s="2">
        <v>565.17999999999995</v>
      </c>
      <c r="L277" s="3">
        <v>155.91999999999999</v>
      </c>
      <c r="M277" s="2">
        <v>43.72</v>
      </c>
    </row>
    <row r="278" spans="1:13">
      <c r="A278" s="9">
        <v>45553</v>
      </c>
      <c r="B278" s="1">
        <f t="shared" si="8"/>
        <v>45536</v>
      </c>
      <c r="C278" s="5" t="str">
        <f t="shared" si="9"/>
        <v>2024-09</v>
      </c>
      <c r="D278" s="3">
        <v>561.4</v>
      </c>
      <c r="E278" s="3">
        <v>219.45</v>
      </c>
      <c r="F278" s="3">
        <v>99.59</v>
      </c>
      <c r="G278" s="3">
        <v>235.51</v>
      </c>
      <c r="H278" s="3">
        <v>98.16</v>
      </c>
      <c r="I278" s="2">
        <v>164.53</v>
      </c>
      <c r="J278" s="2">
        <v>922.71</v>
      </c>
      <c r="K278" s="2">
        <v>565.49</v>
      </c>
      <c r="L278" s="3">
        <v>155.36000000000001</v>
      </c>
      <c r="M278" s="2">
        <v>43.69</v>
      </c>
    </row>
    <row r="279" spans="1:13">
      <c r="A279" s="9">
        <v>45552</v>
      </c>
      <c r="B279" s="1">
        <f t="shared" si="8"/>
        <v>45536</v>
      </c>
      <c r="C279" s="5" t="str">
        <f t="shared" si="9"/>
        <v>2024-09</v>
      </c>
      <c r="D279" s="3">
        <v>563.07000000000005</v>
      </c>
      <c r="E279" s="3">
        <v>219.41</v>
      </c>
      <c r="F279" s="3">
        <v>100.84</v>
      </c>
      <c r="G279" s="3">
        <v>237.34</v>
      </c>
      <c r="H279" s="3">
        <v>98.28</v>
      </c>
      <c r="I279" s="2">
        <v>167.47</v>
      </c>
      <c r="J279" s="2">
        <v>904.52</v>
      </c>
      <c r="K279" s="2">
        <v>567.01</v>
      </c>
      <c r="L279" s="3">
        <v>155.62</v>
      </c>
      <c r="M279" s="2">
        <v>43.94</v>
      </c>
    </row>
    <row r="280" spans="1:13">
      <c r="A280" s="9">
        <v>45551</v>
      </c>
      <c r="B280" s="1">
        <f t="shared" si="8"/>
        <v>45536</v>
      </c>
      <c r="C280" s="5" t="str">
        <f t="shared" si="9"/>
        <v>2024-09</v>
      </c>
      <c r="D280" s="3">
        <v>562.84</v>
      </c>
      <c r="E280" s="3">
        <v>217.61</v>
      </c>
      <c r="F280" s="3">
        <v>101.33</v>
      </c>
      <c r="G280" s="3">
        <v>238.66</v>
      </c>
      <c r="H280" s="3">
        <v>98.97</v>
      </c>
      <c r="I280" s="2">
        <v>170.33</v>
      </c>
      <c r="J280" s="2">
        <v>895.18</v>
      </c>
      <c r="K280" s="2">
        <v>572.91999999999996</v>
      </c>
      <c r="L280" s="3">
        <v>157.24</v>
      </c>
      <c r="M280" s="2">
        <v>44.91</v>
      </c>
    </row>
    <row r="281" spans="1:13">
      <c r="A281" s="9">
        <v>45548</v>
      </c>
      <c r="B281" s="1">
        <f t="shared" si="8"/>
        <v>45536</v>
      </c>
      <c r="C281" s="5" t="str">
        <f t="shared" si="9"/>
        <v>2024-09</v>
      </c>
      <c r="D281" s="3">
        <v>562.01</v>
      </c>
      <c r="E281" s="3">
        <v>216.83</v>
      </c>
      <c r="F281" s="3">
        <v>100.41</v>
      </c>
      <c r="G281" s="3">
        <v>238.68</v>
      </c>
      <c r="H281" s="3">
        <v>98.64</v>
      </c>
      <c r="I281" s="2">
        <v>162.03</v>
      </c>
      <c r="J281" s="2">
        <v>885.73</v>
      </c>
      <c r="K281" s="2">
        <v>569.91</v>
      </c>
      <c r="L281" s="3">
        <v>156.16</v>
      </c>
      <c r="M281" s="2">
        <v>45.72</v>
      </c>
    </row>
    <row r="282" spans="1:13">
      <c r="A282" s="9">
        <v>45547</v>
      </c>
      <c r="B282" s="1">
        <f t="shared" si="8"/>
        <v>45536</v>
      </c>
      <c r="C282" s="5" t="str">
        <f t="shared" si="9"/>
        <v>2024-09</v>
      </c>
      <c r="D282" s="3">
        <v>559.09</v>
      </c>
      <c r="E282" s="3">
        <v>211.61</v>
      </c>
      <c r="F282" s="3">
        <v>100.14</v>
      </c>
      <c r="G282" s="3">
        <v>236.33</v>
      </c>
      <c r="H282" s="3">
        <v>97.62</v>
      </c>
      <c r="I282" s="2">
        <v>161.38</v>
      </c>
      <c r="J282" s="2">
        <v>885.12</v>
      </c>
      <c r="K282" s="2">
        <v>568.27</v>
      </c>
      <c r="L282" s="3">
        <v>155.84</v>
      </c>
      <c r="M282" s="2">
        <v>44.21</v>
      </c>
    </row>
    <row r="283" spans="1:13">
      <c r="A283" s="9">
        <v>45546</v>
      </c>
      <c r="B283" s="1">
        <f t="shared" si="8"/>
        <v>45536</v>
      </c>
      <c r="C283" s="5" t="str">
        <f t="shared" si="9"/>
        <v>2024-09</v>
      </c>
      <c r="D283" s="3">
        <v>554.41999999999996</v>
      </c>
      <c r="E283" s="3">
        <v>208.92</v>
      </c>
      <c r="F283" s="3">
        <v>100.61</v>
      </c>
      <c r="G283" s="3">
        <v>232.25</v>
      </c>
      <c r="H283" s="3">
        <v>97.21</v>
      </c>
      <c r="I283" s="2">
        <v>157.18</v>
      </c>
      <c r="J283" s="2">
        <v>877.12</v>
      </c>
      <c r="K283" s="2">
        <v>566.96</v>
      </c>
      <c r="L283" s="3">
        <v>155.28</v>
      </c>
      <c r="M283" s="2">
        <v>44.54</v>
      </c>
    </row>
    <row r="284" spans="1:13">
      <c r="A284" s="9">
        <v>45545</v>
      </c>
      <c r="B284" s="1">
        <f t="shared" si="8"/>
        <v>45536</v>
      </c>
      <c r="C284" s="5" t="str">
        <f t="shared" si="9"/>
        <v>2024-09</v>
      </c>
      <c r="D284" s="3">
        <v>548.79</v>
      </c>
      <c r="E284" s="3">
        <v>208.31</v>
      </c>
      <c r="F284" s="3">
        <v>100.69</v>
      </c>
      <c r="G284" s="3">
        <v>232.62</v>
      </c>
      <c r="H284" s="3">
        <v>97.4</v>
      </c>
      <c r="I284" s="2">
        <v>155.88999999999999</v>
      </c>
      <c r="J284" s="2">
        <v>883.83</v>
      </c>
      <c r="K284" s="2">
        <v>572.19000000000005</v>
      </c>
      <c r="L284" s="3">
        <v>155.74</v>
      </c>
      <c r="M284" s="2">
        <v>41.27</v>
      </c>
    </row>
    <row r="285" spans="1:13">
      <c r="A285" s="9">
        <v>45544</v>
      </c>
      <c r="B285" s="1">
        <f t="shared" si="8"/>
        <v>45536</v>
      </c>
      <c r="C285" s="5" t="str">
        <f t="shared" si="9"/>
        <v>2024-09</v>
      </c>
      <c r="D285" s="3">
        <v>546.41</v>
      </c>
      <c r="E285" s="3">
        <v>208.48</v>
      </c>
      <c r="F285" s="3">
        <v>99.99</v>
      </c>
      <c r="G285" s="3">
        <v>231.6</v>
      </c>
      <c r="H285" s="3">
        <v>96.01</v>
      </c>
      <c r="I285" s="2">
        <v>139.88999999999999</v>
      </c>
      <c r="J285" s="2">
        <v>877.94</v>
      </c>
      <c r="K285" s="2">
        <v>576.57000000000005</v>
      </c>
      <c r="L285" s="3">
        <v>155.03</v>
      </c>
      <c r="M285" s="2">
        <v>40.99</v>
      </c>
    </row>
    <row r="286" spans="1:13">
      <c r="A286" s="9">
        <v>45541</v>
      </c>
      <c r="B286" s="1">
        <f t="shared" si="8"/>
        <v>45536</v>
      </c>
      <c r="C286" s="5" t="str">
        <f t="shared" si="9"/>
        <v>2024-09</v>
      </c>
      <c r="D286" s="3">
        <v>540.36</v>
      </c>
      <c r="E286" s="3">
        <v>207.9</v>
      </c>
      <c r="F286" s="3">
        <v>99.56</v>
      </c>
      <c r="G286" s="3">
        <v>230.63</v>
      </c>
      <c r="H286" s="3">
        <v>94.95</v>
      </c>
      <c r="I286" s="2">
        <v>141.81</v>
      </c>
      <c r="J286" s="2">
        <v>866.92</v>
      </c>
      <c r="K286" s="2">
        <v>566.63</v>
      </c>
      <c r="L286" s="3">
        <v>153.94999999999999</v>
      </c>
      <c r="M286" s="2">
        <v>38.65</v>
      </c>
    </row>
    <row r="287" spans="1:13">
      <c r="A287" s="9">
        <v>45540</v>
      </c>
      <c r="B287" s="1">
        <f t="shared" si="8"/>
        <v>45536</v>
      </c>
      <c r="C287" s="5" t="str">
        <f t="shared" si="9"/>
        <v>2024-09</v>
      </c>
      <c r="D287" s="3">
        <v>549.61</v>
      </c>
      <c r="E287" s="3">
        <v>211.93</v>
      </c>
      <c r="F287" s="3">
        <v>99.57</v>
      </c>
      <c r="G287" s="3">
        <v>232.35</v>
      </c>
      <c r="H287" s="3">
        <v>95.04</v>
      </c>
      <c r="I287" s="2">
        <v>142.61000000000001</v>
      </c>
      <c r="J287" s="2">
        <v>876.64</v>
      </c>
      <c r="K287" s="2">
        <v>568.59</v>
      </c>
      <c r="L287" s="3">
        <v>154.47999999999999</v>
      </c>
      <c r="M287" s="2">
        <v>41.46</v>
      </c>
    </row>
    <row r="288" spans="1:13">
      <c r="A288" s="9">
        <v>45539</v>
      </c>
      <c r="B288" s="1">
        <f t="shared" si="8"/>
        <v>45536</v>
      </c>
      <c r="C288" s="5" t="str">
        <f t="shared" si="9"/>
        <v>2024-09</v>
      </c>
      <c r="D288" s="3">
        <v>550.95000000000005</v>
      </c>
      <c r="E288" s="3">
        <v>212.99</v>
      </c>
      <c r="F288" s="3">
        <v>99.01</v>
      </c>
      <c r="G288" s="3">
        <v>230.43</v>
      </c>
      <c r="H288" s="3">
        <v>95.35</v>
      </c>
      <c r="I288" s="2">
        <v>140.75</v>
      </c>
      <c r="J288" s="2">
        <v>886.49</v>
      </c>
      <c r="K288" s="2">
        <v>574.78</v>
      </c>
      <c r="L288" s="3">
        <v>156.63</v>
      </c>
      <c r="M288" s="2">
        <v>42.35</v>
      </c>
    </row>
    <row r="289" spans="1:13">
      <c r="A289" s="9">
        <v>45538</v>
      </c>
      <c r="B289" s="1">
        <f t="shared" si="8"/>
        <v>45536</v>
      </c>
      <c r="C289" s="5" t="str">
        <f t="shared" si="9"/>
        <v>2024-09</v>
      </c>
      <c r="D289" s="3">
        <v>552.08000000000004</v>
      </c>
      <c r="E289" s="3">
        <v>213.35</v>
      </c>
      <c r="F289" s="3">
        <v>97.75</v>
      </c>
      <c r="G289" s="3">
        <v>230.29</v>
      </c>
      <c r="H289" s="3">
        <v>95.08</v>
      </c>
      <c r="I289" s="2">
        <v>139.5</v>
      </c>
      <c r="J289" s="2">
        <v>886.43</v>
      </c>
      <c r="K289" s="2">
        <v>567.22</v>
      </c>
      <c r="L289" s="3">
        <v>156.9</v>
      </c>
      <c r="M289" s="2">
        <v>44.18</v>
      </c>
    </row>
    <row r="290" spans="1:13">
      <c r="A290" s="9">
        <v>45534</v>
      </c>
      <c r="B290" s="1">
        <f t="shared" si="8"/>
        <v>45505</v>
      </c>
      <c r="C290" s="5" t="str">
        <f t="shared" si="9"/>
        <v>2024-08</v>
      </c>
      <c r="D290" s="3">
        <v>563.67999999999995</v>
      </c>
      <c r="E290" s="3">
        <v>220.08</v>
      </c>
      <c r="F290" s="3">
        <v>96.49</v>
      </c>
      <c r="G290" s="3">
        <v>231.29</v>
      </c>
      <c r="H290" s="3">
        <v>95.13</v>
      </c>
      <c r="I290" s="2">
        <v>141.29</v>
      </c>
      <c r="J290" s="2">
        <v>901.81</v>
      </c>
      <c r="K290" s="2">
        <v>568.1</v>
      </c>
      <c r="L290" s="3">
        <v>157.19999999999999</v>
      </c>
      <c r="M290" s="2">
        <v>43.77</v>
      </c>
    </row>
    <row r="291" spans="1:13">
      <c r="A291" s="9">
        <v>45533</v>
      </c>
      <c r="B291" s="1">
        <f t="shared" si="8"/>
        <v>45505</v>
      </c>
      <c r="C291" s="5" t="str">
        <f t="shared" si="9"/>
        <v>2024-08</v>
      </c>
      <c r="D291" s="3">
        <v>558.35</v>
      </c>
      <c r="E291" s="3">
        <v>218.81</v>
      </c>
      <c r="F291" s="3">
        <v>97.53</v>
      </c>
      <c r="G291" s="3">
        <v>232.95</v>
      </c>
      <c r="H291" s="3">
        <v>94.22</v>
      </c>
      <c r="I291" s="2">
        <v>139.41999999999999</v>
      </c>
      <c r="J291" s="2">
        <v>894.87</v>
      </c>
      <c r="K291" s="2">
        <v>566.85</v>
      </c>
      <c r="L291" s="3">
        <v>156.12</v>
      </c>
      <c r="M291" s="2">
        <v>44.88</v>
      </c>
    </row>
    <row r="292" spans="1:13">
      <c r="A292" s="9">
        <v>45532</v>
      </c>
      <c r="B292" s="1">
        <f t="shared" si="8"/>
        <v>45505</v>
      </c>
      <c r="C292" s="5" t="str">
        <f t="shared" si="9"/>
        <v>2024-08</v>
      </c>
      <c r="D292" s="3">
        <v>558.29999999999995</v>
      </c>
      <c r="E292" s="3">
        <v>217.26</v>
      </c>
      <c r="F292" s="3">
        <v>97.85</v>
      </c>
      <c r="G292" s="3">
        <v>231.75</v>
      </c>
      <c r="H292" s="3">
        <v>94.51</v>
      </c>
      <c r="I292" s="2">
        <v>137.88</v>
      </c>
      <c r="J292" s="2">
        <v>888.66</v>
      </c>
      <c r="K292" s="2">
        <v>563.98</v>
      </c>
      <c r="L292" s="3">
        <v>155.79</v>
      </c>
      <c r="M292" s="2">
        <v>44.35</v>
      </c>
    </row>
    <row r="293" spans="1:13">
      <c r="A293" s="9">
        <v>45531</v>
      </c>
      <c r="B293" s="1">
        <f t="shared" si="8"/>
        <v>45505</v>
      </c>
      <c r="C293" s="5" t="str">
        <f t="shared" si="9"/>
        <v>2024-08</v>
      </c>
      <c r="D293" s="3">
        <v>561.55999999999995</v>
      </c>
      <c r="E293" s="3">
        <v>218.74</v>
      </c>
      <c r="F293" s="3">
        <v>97.97</v>
      </c>
      <c r="G293" s="3">
        <v>233.39</v>
      </c>
      <c r="H293" s="3">
        <v>94.88</v>
      </c>
      <c r="I293" s="2">
        <v>138.47999999999999</v>
      </c>
      <c r="J293" s="2">
        <v>886.13</v>
      </c>
      <c r="K293" s="2">
        <v>560.41</v>
      </c>
      <c r="L293" s="3">
        <v>155.61000000000001</v>
      </c>
      <c r="M293" s="2">
        <v>54.76</v>
      </c>
    </row>
    <row r="294" spans="1:13">
      <c r="A294" s="9">
        <v>45530</v>
      </c>
      <c r="B294" s="1">
        <f t="shared" si="8"/>
        <v>45505</v>
      </c>
      <c r="C294" s="5" t="str">
        <f t="shared" si="9"/>
        <v>2024-08</v>
      </c>
      <c r="D294" s="3">
        <v>560.79</v>
      </c>
      <c r="E294" s="3">
        <v>220.45</v>
      </c>
      <c r="F294" s="3">
        <v>98.14</v>
      </c>
      <c r="G294" s="3">
        <v>232.76</v>
      </c>
      <c r="H294" s="3">
        <v>94.74</v>
      </c>
      <c r="I294" s="2">
        <v>138.9</v>
      </c>
      <c r="J294" s="2">
        <v>883.14</v>
      </c>
      <c r="K294" s="2">
        <v>558.1</v>
      </c>
      <c r="L294" s="3">
        <v>155.37</v>
      </c>
      <c r="M294" s="2">
        <v>56.25</v>
      </c>
    </row>
    <row r="295" spans="1:13">
      <c r="A295" s="9">
        <v>45527</v>
      </c>
      <c r="B295" s="1">
        <f t="shared" si="8"/>
        <v>45505</v>
      </c>
      <c r="C295" s="5" t="str">
        <f t="shared" si="9"/>
        <v>2024-08</v>
      </c>
      <c r="D295" s="3">
        <v>562.13</v>
      </c>
      <c r="E295" s="3">
        <v>220.38</v>
      </c>
      <c r="F295" s="3">
        <v>98.39</v>
      </c>
      <c r="G295" s="3">
        <v>232.02</v>
      </c>
      <c r="H295" s="3">
        <v>94.78</v>
      </c>
      <c r="I295" s="2">
        <v>139.19</v>
      </c>
      <c r="J295" s="2">
        <v>882.84</v>
      </c>
      <c r="K295" s="2">
        <v>555.01</v>
      </c>
      <c r="L295" s="3">
        <v>155.44999999999999</v>
      </c>
      <c r="M295" s="2">
        <v>61.32</v>
      </c>
    </row>
    <row r="296" spans="1:13">
      <c r="A296" s="9">
        <v>45526</v>
      </c>
      <c r="B296" s="1">
        <f t="shared" si="8"/>
        <v>45505</v>
      </c>
      <c r="C296" s="5" t="str">
        <f t="shared" si="9"/>
        <v>2024-08</v>
      </c>
      <c r="D296" s="3">
        <v>556.22</v>
      </c>
      <c r="E296" s="3">
        <v>213.56</v>
      </c>
      <c r="F296" s="3">
        <v>97.75</v>
      </c>
      <c r="G296" s="3">
        <v>229.37</v>
      </c>
      <c r="H296" s="3">
        <v>92.74</v>
      </c>
      <c r="I296" s="2">
        <v>138.08000000000001</v>
      </c>
      <c r="J296" s="2">
        <v>865.24</v>
      </c>
      <c r="K296" s="2">
        <v>557.03</v>
      </c>
      <c r="L296" s="3">
        <v>154.78</v>
      </c>
      <c r="M296" s="2">
        <v>60.48</v>
      </c>
    </row>
    <row r="297" spans="1:13">
      <c r="A297" s="9">
        <v>45525</v>
      </c>
      <c r="B297" s="1">
        <f t="shared" si="8"/>
        <v>45505</v>
      </c>
      <c r="C297" s="5" t="str">
        <f t="shared" si="9"/>
        <v>2024-08</v>
      </c>
      <c r="D297" s="3">
        <v>560.62</v>
      </c>
      <c r="E297" s="3">
        <v>215.46</v>
      </c>
      <c r="F297" s="3">
        <v>98.73</v>
      </c>
      <c r="G297" s="3">
        <v>232.15</v>
      </c>
      <c r="H297" s="3">
        <v>92.47</v>
      </c>
      <c r="I297" s="2">
        <v>140.19999999999999</v>
      </c>
      <c r="J297" s="2">
        <v>863.09</v>
      </c>
      <c r="K297" s="2">
        <v>553.76</v>
      </c>
      <c r="L297" s="3">
        <v>154.68</v>
      </c>
      <c r="M297" s="2">
        <v>62.38</v>
      </c>
    </row>
    <row r="298" spans="1:13">
      <c r="A298" s="9">
        <v>45524</v>
      </c>
      <c r="B298" s="1">
        <f t="shared" si="8"/>
        <v>45505</v>
      </c>
      <c r="C298" s="5" t="str">
        <f t="shared" si="9"/>
        <v>2024-08</v>
      </c>
      <c r="D298" s="3">
        <v>558.70000000000005</v>
      </c>
      <c r="E298" s="3">
        <v>212.69</v>
      </c>
      <c r="F298" s="3">
        <v>98.67</v>
      </c>
      <c r="G298" s="3">
        <v>232.46</v>
      </c>
      <c r="H298" s="3">
        <v>91.98</v>
      </c>
      <c r="I298" s="2">
        <v>139.16999999999999</v>
      </c>
      <c r="J298" s="2">
        <v>860.97</v>
      </c>
      <c r="K298" s="2">
        <v>557.01</v>
      </c>
      <c r="L298" s="3">
        <v>154.41999999999999</v>
      </c>
      <c r="M298" s="2">
        <v>61.09</v>
      </c>
    </row>
    <row r="299" spans="1:13">
      <c r="A299" s="9">
        <v>45523</v>
      </c>
      <c r="B299" s="1">
        <f t="shared" si="8"/>
        <v>45505</v>
      </c>
      <c r="C299" s="5" t="str">
        <f t="shared" si="9"/>
        <v>2024-08</v>
      </c>
      <c r="D299" s="3">
        <v>559.61</v>
      </c>
      <c r="E299" s="3">
        <v>215.2</v>
      </c>
      <c r="F299" s="3">
        <v>97.89</v>
      </c>
      <c r="G299" s="3">
        <v>231.61</v>
      </c>
      <c r="H299" s="3">
        <v>92.09</v>
      </c>
      <c r="I299" s="2">
        <v>137.91999999999999</v>
      </c>
      <c r="J299" s="2">
        <v>870.21</v>
      </c>
      <c r="K299" s="2">
        <v>558.39</v>
      </c>
      <c r="L299" s="3">
        <v>153.80000000000001</v>
      </c>
      <c r="M299" s="2">
        <v>62.36</v>
      </c>
    </row>
    <row r="300" spans="1:13">
      <c r="A300" s="9">
        <v>45520</v>
      </c>
      <c r="B300" s="1">
        <f t="shared" si="8"/>
        <v>45505</v>
      </c>
      <c r="C300" s="5" t="str">
        <f t="shared" si="9"/>
        <v>2024-08</v>
      </c>
      <c r="D300" s="3">
        <v>554.30999999999995</v>
      </c>
      <c r="E300" s="3">
        <v>212.6</v>
      </c>
      <c r="F300" s="3">
        <v>97.44</v>
      </c>
      <c r="G300" s="3">
        <v>231.99</v>
      </c>
      <c r="H300" s="3">
        <v>91.33</v>
      </c>
      <c r="I300" s="2">
        <v>137.47</v>
      </c>
      <c r="J300" s="2">
        <v>872.49</v>
      </c>
      <c r="K300" s="2">
        <v>560.13</v>
      </c>
      <c r="L300" s="3">
        <v>152.87</v>
      </c>
      <c r="M300" s="2">
        <v>62.88</v>
      </c>
    </row>
    <row r="301" spans="1:13">
      <c r="A301" s="9">
        <v>45519</v>
      </c>
      <c r="B301" s="1">
        <f t="shared" si="8"/>
        <v>45505</v>
      </c>
      <c r="C301" s="5" t="str">
        <f t="shared" si="9"/>
        <v>2024-08</v>
      </c>
      <c r="D301" s="3">
        <v>553.07000000000005</v>
      </c>
      <c r="E301" s="3">
        <v>212.04</v>
      </c>
      <c r="F301" s="3">
        <v>97.1</v>
      </c>
      <c r="G301" s="3">
        <v>226.91</v>
      </c>
      <c r="H301" s="3">
        <v>91.38</v>
      </c>
      <c r="I301" s="2">
        <v>136.93</v>
      </c>
      <c r="J301" s="2">
        <v>872.06</v>
      </c>
      <c r="K301" s="2">
        <v>560.29</v>
      </c>
      <c r="L301" s="3">
        <v>152.71</v>
      </c>
      <c r="M301" s="2">
        <v>62.67</v>
      </c>
    </row>
    <row r="302" spans="1:13">
      <c r="A302" s="9">
        <v>45518</v>
      </c>
      <c r="B302" s="1">
        <f t="shared" si="8"/>
        <v>45505</v>
      </c>
      <c r="C302" s="5" t="str">
        <f t="shared" si="9"/>
        <v>2024-08</v>
      </c>
      <c r="D302" s="3">
        <v>543.75</v>
      </c>
      <c r="E302" s="3">
        <v>206.68</v>
      </c>
      <c r="F302" s="3">
        <v>97.89</v>
      </c>
      <c r="G302" s="3">
        <v>226.2</v>
      </c>
      <c r="H302" s="3">
        <v>91.45</v>
      </c>
      <c r="I302" s="2">
        <v>135.6</v>
      </c>
      <c r="J302" s="2">
        <v>857.52</v>
      </c>
      <c r="K302" s="2">
        <v>563.22</v>
      </c>
      <c r="L302" s="3">
        <v>151.76</v>
      </c>
      <c r="M302" s="2">
        <v>57.71</v>
      </c>
    </row>
    <row r="303" spans="1:13">
      <c r="A303" s="9">
        <v>45517</v>
      </c>
      <c r="B303" s="1">
        <f t="shared" si="8"/>
        <v>45505</v>
      </c>
      <c r="C303" s="5" t="str">
        <f t="shared" si="9"/>
        <v>2024-08</v>
      </c>
      <c r="D303" s="3">
        <v>542.04</v>
      </c>
      <c r="E303" s="3">
        <v>207.97</v>
      </c>
      <c r="F303" s="3">
        <v>97.28</v>
      </c>
      <c r="G303" s="3">
        <v>228.06</v>
      </c>
      <c r="H303" s="3">
        <v>91.21</v>
      </c>
      <c r="I303" s="2">
        <v>134.26</v>
      </c>
      <c r="J303" s="2">
        <v>854.59</v>
      </c>
      <c r="K303" s="2">
        <v>559.41999999999996</v>
      </c>
      <c r="L303" s="3">
        <v>151.22</v>
      </c>
      <c r="M303" s="2">
        <v>56.74</v>
      </c>
    </row>
    <row r="304" spans="1:13">
      <c r="A304" s="9">
        <v>45516</v>
      </c>
      <c r="B304" s="1">
        <f t="shared" si="8"/>
        <v>45505</v>
      </c>
      <c r="C304" s="5" t="str">
        <f t="shared" si="9"/>
        <v>2024-08</v>
      </c>
      <c r="D304" s="3">
        <v>533.27</v>
      </c>
      <c r="E304" s="3">
        <v>204.6</v>
      </c>
      <c r="F304" s="3">
        <v>96.61</v>
      </c>
      <c r="G304" s="3">
        <v>228.41</v>
      </c>
      <c r="H304" s="3">
        <v>90.42</v>
      </c>
      <c r="I304" s="2">
        <v>132.58000000000001</v>
      </c>
      <c r="J304" s="2">
        <v>838.27</v>
      </c>
      <c r="K304" s="2">
        <v>556.91</v>
      </c>
      <c r="L304" s="3">
        <v>149.41</v>
      </c>
      <c r="M304" s="2">
        <v>54.1</v>
      </c>
    </row>
    <row r="305" spans="1:13">
      <c r="A305" s="9">
        <v>45513</v>
      </c>
      <c r="B305" s="1">
        <f t="shared" si="8"/>
        <v>45505</v>
      </c>
      <c r="C305" s="5" t="str">
        <f t="shared" si="9"/>
        <v>2024-08</v>
      </c>
      <c r="D305" s="3">
        <v>532.99</v>
      </c>
      <c r="E305" s="3">
        <v>206.46</v>
      </c>
      <c r="F305" s="3">
        <v>96.26</v>
      </c>
      <c r="G305" s="3">
        <v>224.56</v>
      </c>
      <c r="H305" s="3">
        <v>91.09</v>
      </c>
      <c r="I305" s="2">
        <v>132.06</v>
      </c>
      <c r="J305" s="2">
        <v>856.21</v>
      </c>
      <c r="K305" s="2">
        <v>551.58000000000004</v>
      </c>
      <c r="L305" s="3">
        <v>149.97999999999999</v>
      </c>
      <c r="M305" s="2">
        <v>50.88</v>
      </c>
    </row>
    <row r="306" spans="1:13">
      <c r="A306" s="9">
        <v>45512</v>
      </c>
      <c r="B306" s="1">
        <f t="shared" si="8"/>
        <v>45505</v>
      </c>
      <c r="C306" s="5" t="str">
        <f t="shared" si="9"/>
        <v>2024-08</v>
      </c>
      <c r="D306" s="3">
        <v>530.65</v>
      </c>
      <c r="E306" s="3">
        <v>206.89</v>
      </c>
      <c r="F306" s="3">
        <v>95.32</v>
      </c>
      <c r="G306" s="3">
        <v>224.01</v>
      </c>
      <c r="H306" s="3">
        <v>90.67</v>
      </c>
      <c r="I306" s="2">
        <v>128.96</v>
      </c>
      <c r="J306" s="2">
        <v>854.83</v>
      </c>
      <c r="K306" s="2">
        <v>551.62</v>
      </c>
      <c r="L306" s="3">
        <v>149.24</v>
      </c>
      <c r="M306" s="2">
        <v>50.99</v>
      </c>
    </row>
    <row r="307" spans="1:13">
      <c r="A307" s="9">
        <v>45511</v>
      </c>
      <c r="B307" s="1">
        <f t="shared" si="8"/>
        <v>45505</v>
      </c>
      <c r="C307" s="5" t="str">
        <f t="shared" si="9"/>
        <v>2024-08</v>
      </c>
      <c r="D307" s="3">
        <v>518.66</v>
      </c>
      <c r="E307" s="3">
        <v>201.98</v>
      </c>
      <c r="F307" s="3">
        <v>95.91</v>
      </c>
      <c r="G307" s="3">
        <v>220.55</v>
      </c>
      <c r="H307" s="3">
        <v>89.79</v>
      </c>
      <c r="I307" s="2">
        <v>125.9</v>
      </c>
      <c r="J307" s="2">
        <v>839.84</v>
      </c>
      <c r="K307" s="2">
        <v>548.51</v>
      </c>
      <c r="L307" s="3">
        <v>146.01</v>
      </c>
      <c r="M307" s="2">
        <v>49.27</v>
      </c>
    </row>
    <row r="308" spans="1:13">
      <c r="A308" s="9">
        <v>45510</v>
      </c>
      <c r="B308" s="1">
        <f t="shared" si="8"/>
        <v>45505</v>
      </c>
      <c r="C308" s="5" t="str">
        <f t="shared" si="9"/>
        <v>2024-08</v>
      </c>
      <c r="D308" s="3">
        <v>522.15</v>
      </c>
      <c r="E308" s="3">
        <v>204.4</v>
      </c>
      <c r="F308" s="3">
        <v>96.59</v>
      </c>
      <c r="G308" s="3">
        <v>220.7</v>
      </c>
      <c r="H308" s="3">
        <v>90.41</v>
      </c>
      <c r="I308" s="2">
        <v>128.21</v>
      </c>
      <c r="J308" s="2">
        <v>840.96</v>
      </c>
      <c r="K308" s="2">
        <v>541.55999999999995</v>
      </c>
      <c r="L308" s="3">
        <v>147.51</v>
      </c>
      <c r="M308" s="2">
        <v>61.69</v>
      </c>
    </row>
    <row r="309" spans="1:13">
      <c r="A309" s="9">
        <v>45509</v>
      </c>
      <c r="B309" s="1">
        <f t="shared" si="8"/>
        <v>45505</v>
      </c>
      <c r="C309" s="5" t="str">
        <f t="shared" si="9"/>
        <v>2024-08</v>
      </c>
      <c r="D309" s="3">
        <v>517.38</v>
      </c>
      <c r="E309" s="3">
        <v>202.2</v>
      </c>
      <c r="F309" s="3">
        <v>98.8</v>
      </c>
      <c r="G309" s="3">
        <v>222.48</v>
      </c>
      <c r="H309" s="3">
        <v>88.66</v>
      </c>
      <c r="I309" s="2">
        <v>127.86</v>
      </c>
      <c r="J309" s="2">
        <v>830.76</v>
      </c>
      <c r="K309" s="2">
        <v>545.38</v>
      </c>
      <c r="L309" s="3">
        <v>146.83000000000001</v>
      </c>
      <c r="M309" s="2">
        <v>60.88</v>
      </c>
    </row>
    <row r="310" spans="1:13">
      <c r="A310" s="9">
        <v>45506</v>
      </c>
      <c r="B310" s="1">
        <f t="shared" si="8"/>
        <v>45505</v>
      </c>
      <c r="C310" s="5" t="str">
        <f t="shared" si="9"/>
        <v>2024-08</v>
      </c>
      <c r="D310" s="3">
        <v>532.9</v>
      </c>
      <c r="E310" s="3">
        <v>208.92</v>
      </c>
      <c r="F310" s="3">
        <v>98.28</v>
      </c>
      <c r="G310" s="3">
        <v>225.34</v>
      </c>
      <c r="H310" s="3">
        <v>91.27</v>
      </c>
      <c r="I310" s="2">
        <v>133.28</v>
      </c>
      <c r="J310" s="2">
        <v>846.02</v>
      </c>
      <c r="K310" s="2">
        <v>548.77</v>
      </c>
      <c r="L310" s="3">
        <v>150.86000000000001</v>
      </c>
      <c r="M310" s="2">
        <v>62.47</v>
      </c>
    </row>
    <row r="311" spans="1:13">
      <c r="A311" s="9">
        <v>45505</v>
      </c>
      <c r="B311" s="1">
        <f t="shared" si="8"/>
        <v>45505</v>
      </c>
      <c r="C311" s="5" t="str">
        <f t="shared" si="9"/>
        <v>2024-08</v>
      </c>
      <c r="D311" s="3">
        <v>543.01</v>
      </c>
      <c r="E311" s="3">
        <v>216.58</v>
      </c>
      <c r="F311" s="3">
        <v>95.31</v>
      </c>
      <c r="G311" s="3">
        <v>225.77</v>
      </c>
      <c r="H311" s="3">
        <v>91.32</v>
      </c>
      <c r="I311" s="2">
        <v>137.51</v>
      </c>
      <c r="J311" s="2">
        <v>865.35</v>
      </c>
      <c r="K311" s="2">
        <v>548.86</v>
      </c>
      <c r="L311" s="3">
        <v>151.16</v>
      </c>
      <c r="M311" s="2">
        <v>67.22</v>
      </c>
    </row>
    <row r="312" spans="1:13">
      <c r="A312" s="9">
        <v>45504</v>
      </c>
      <c r="B312" s="1">
        <f t="shared" si="8"/>
        <v>45474</v>
      </c>
      <c r="C312" s="5" t="str">
        <f t="shared" si="9"/>
        <v>2024-07</v>
      </c>
      <c r="D312" s="3">
        <v>550.80999999999995</v>
      </c>
      <c r="E312" s="3">
        <v>223.86</v>
      </c>
      <c r="F312" s="3">
        <v>94.81</v>
      </c>
      <c r="G312" s="3">
        <v>226.55</v>
      </c>
      <c r="H312" s="3">
        <v>90.41</v>
      </c>
      <c r="I312" s="2">
        <v>139.44999999999999</v>
      </c>
      <c r="J312" s="2">
        <v>876.5</v>
      </c>
      <c r="K312" s="2">
        <v>541.91999999999996</v>
      </c>
      <c r="L312" s="3">
        <v>149.63</v>
      </c>
      <c r="M312" s="2">
        <v>70.17</v>
      </c>
    </row>
    <row r="313" spans="1:13">
      <c r="A313" s="9">
        <v>45503</v>
      </c>
      <c r="B313" s="1">
        <f t="shared" si="8"/>
        <v>45474</v>
      </c>
      <c r="C313" s="5" t="str">
        <f t="shared" si="9"/>
        <v>2024-07</v>
      </c>
      <c r="D313" s="3">
        <v>542</v>
      </c>
      <c r="E313" s="3">
        <v>222.57</v>
      </c>
      <c r="F313" s="3">
        <v>93.85</v>
      </c>
      <c r="G313" s="3">
        <v>222.52</v>
      </c>
      <c r="H313" s="3">
        <v>90.73</v>
      </c>
      <c r="I313" s="2">
        <v>135.66999999999999</v>
      </c>
      <c r="J313" s="2">
        <v>872.59</v>
      </c>
      <c r="K313" s="2">
        <v>537.66</v>
      </c>
      <c r="L313" s="3">
        <v>150.18</v>
      </c>
      <c r="M313" s="2">
        <v>66.63</v>
      </c>
    </row>
    <row r="314" spans="1:13">
      <c r="A314" s="9">
        <v>45502</v>
      </c>
      <c r="B314" s="1">
        <f t="shared" si="8"/>
        <v>45474</v>
      </c>
      <c r="C314" s="5" t="str">
        <f t="shared" si="9"/>
        <v>2024-07</v>
      </c>
      <c r="D314" s="3">
        <v>544.76</v>
      </c>
      <c r="E314" s="3">
        <v>221.73</v>
      </c>
      <c r="F314" s="3">
        <v>93.49</v>
      </c>
      <c r="G314" s="3">
        <v>220.32</v>
      </c>
      <c r="H314" s="3">
        <v>90.03</v>
      </c>
      <c r="I314" s="2">
        <v>138.31</v>
      </c>
      <c r="J314" s="2">
        <v>862.15</v>
      </c>
      <c r="K314" s="2">
        <v>527.64</v>
      </c>
      <c r="L314" s="3">
        <v>150.05000000000001</v>
      </c>
      <c r="M314" s="2">
        <v>69.77</v>
      </c>
    </row>
    <row r="315" spans="1:13">
      <c r="A315" s="9">
        <v>45499</v>
      </c>
      <c r="B315" s="1">
        <f t="shared" si="8"/>
        <v>45474</v>
      </c>
      <c r="C315" s="5" t="str">
        <f t="shared" si="9"/>
        <v>2024-07</v>
      </c>
      <c r="D315" s="3">
        <v>544.44000000000005</v>
      </c>
      <c r="E315" s="3">
        <v>224.22</v>
      </c>
      <c r="F315" s="3">
        <v>92.99</v>
      </c>
      <c r="G315" s="3">
        <v>220.63</v>
      </c>
      <c r="H315" s="3">
        <v>89.57</v>
      </c>
      <c r="I315" s="2">
        <v>139.01</v>
      </c>
      <c r="J315" s="2">
        <v>856.2</v>
      </c>
      <c r="K315" s="2">
        <v>524.79999999999995</v>
      </c>
      <c r="L315" s="3">
        <v>149.96</v>
      </c>
      <c r="M315" s="2">
        <v>71.22</v>
      </c>
    </row>
    <row r="316" spans="1:13">
      <c r="A316" s="9">
        <v>45498</v>
      </c>
      <c r="B316" s="1">
        <f t="shared" si="8"/>
        <v>45474</v>
      </c>
      <c r="C316" s="5" t="str">
        <f t="shared" si="9"/>
        <v>2024-07</v>
      </c>
      <c r="D316" s="3">
        <v>538.41</v>
      </c>
      <c r="E316" s="3">
        <v>220.57</v>
      </c>
      <c r="F316" s="3">
        <v>92.27</v>
      </c>
      <c r="G316" s="3">
        <v>218.33</v>
      </c>
      <c r="H316" s="3">
        <v>88.03</v>
      </c>
      <c r="I316" s="2">
        <v>137.82</v>
      </c>
      <c r="J316" s="2">
        <v>836.54</v>
      </c>
      <c r="K316" s="2">
        <v>521.4</v>
      </c>
      <c r="L316" s="3">
        <v>149.12</v>
      </c>
      <c r="M316" s="2">
        <v>69.56</v>
      </c>
    </row>
    <row r="317" spans="1:13">
      <c r="A317" s="9">
        <v>45497</v>
      </c>
      <c r="B317" s="1">
        <f t="shared" si="8"/>
        <v>45474</v>
      </c>
      <c r="C317" s="5" t="str">
        <f t="shared" si="9"/>
        <v>2024-07</v>
      </c>
      <c r="D317" s="3">
        <v>541.23</v>
      </c>
      <c r="E317" s="3">
        <v>217.85</v>
      </c>
      <c r="F317" s="3">
        <v>91.52</v>
      </c>
      <c r="G317" s="3">
        <v>221.8</v>
      </c>
      <c r="H317" s="3">
        <v>88.32</v>
      </c>
      <c r="I317" s="2">
        <v>138.77000000000001</v>
      </c>
      <c r="J317" s="2">
        <v>827.65</v>
      </c>
      <c r="K317" s="2">
        <v>515.20000000000005</v>
      </c>
      <c r="L317" s="3">
        <v>149.87</v>
      </c>
      <c r="M317" s="2">
        <v>71.16</v>
      </c>
    </row>
    <row r="318" spans="1:13">
      <c r="A318" s="9">
        <v>45496</v>
      </c>
      <c r="B318" s="1">
        <f t="shared" si="8"/>
        <v>45474</v>
      </c>
      <c r="C318" s="5" t="str">
        <f t="shared" si="9"/>
        <v>2024-07</v>
      </c>
      <c r="D318" s="3">
        <v>553.78</v>
      </c>
      <c r="E318" s="3">
        <v>222.63</v>
      </c>
      <c r="F318" s="3">
        <v>92.52</v>
      </c>
      <c r="G318" s="3">
        <v>222.58</v>
      </c>
      <c r="H318" s="3">
        <v>89.64</v>
      </c>
      <c r="I318" s="2">
        <v>143.11000000000001</v>
      </c>
      <c r="J318" s="2">
        <v>844.69</v>
      </c>
      <c r="K318" s="2">
        <v>501.29</v>
      </c>
      <c r="L318" s="3">
        <v>148.63</v>
      </c>
      <c r="M318" s="2">
        <v>78.319999999999993</v>
      </c>
    </row>
    <row r="319" spans="1:13">
      <c r="A319" s="9">
        <v>45495</v>
      </c>
      <c r="B319" s="1">
        <f t="shared" si="8"/>
        <v>45474</v>
      </c>
      <c r="C319" s="5" t="str">
        <f t="shared" si="9"/>
        <v>2024-07</v>
      </c>
      <c r="D319" s="3">
        <v>554.65</v>
      </c>
      <c r="E319" s="3">
        <v>220.29</v>
      </c>
      <c r="F319" s="3">
        <v>92.65</v>
      </c>
      <c r="G319" s="3">
        <v>221.8</v>
      </c>
      <c r="H319" s="3">
        <v>89.71</v>
      </c>
      <c r="I319" s="2">
        <v>140.16999999999999</v>
      </c>
      <c r="J319" s="2">
        <v>843.24</v>
      </c>
      <c r="K319" s="2">
        <v>474.59</v>
      </c>
      <c r="L319" s="3">
        <v>148.72</v>
      </c>
      <c r="M319" s="2">
        <v>78.63</v>
      </c>
    </row>
    <row r="320" spans="1:13">
      <c r="A320" s="9">
        <v>45492</v>
      </c>
      <c r="B320" s="1">
        <f t="shared" si="8"/>
        <v>45474</v>
      </c>
      <c r="C320" s="5" t="str">
        <f t="shared" si="9"/>
        <v>2024-07</v>
      </c>
      <c r="D320" s="3">
        <v>548.99</v>
      </c>
      <c r="E320" s="3">
        <v>216.84</v>
      </c>
      <c r="F320" s="3">
        <v>92.92</v>
      </c>
      <c r="G320" s="3">
        <v>221.73</v>
      </c>
      <c r="H320" s="3">
        <v>88.79</v>
      </c>
      <c r="I320" s="2">
        <v>138.56</v>
      </c>
      <c r="J320" s="2">
        <v>830.7</v>
      </c>
      <c r="K320" s="2">
        <v>474.92</v>
      </c>
      <c r="L320" s="3">
        <v>147.87</v>
      </c>
      <c r="M320" s="2">
        <v>79.680000000000007</v>
      </c>
    </row>
    <row r="321" spans="1:13">
      <c r="A321" s="9">
        <v>45491</v>
      </c>
      <c r="B321" s="1">
        <f t="shared" si="8"/>
        <v>45474</v>
      </c>
      <c r="C321" s="5" t="str">
        <f t="shared" si="9"/>
        <v>2024-07</v>
      </c>
      <c r="D321" s="3">
        <v>552.66</v>
      </c>
      <c r="E321" s="3">
        <v>217.95</v>
      </c>
      <c r="F321" s="3">
        <v>93.47</v>
      </c>
      <c r="G321" s="3">
        <v>225.78</v>
      </c>
      <c r="H321" s="3">
        <v>88.95</v>
      </c>
      <c r="I321" s="2">
        <v>138.03</v>
      </c>
      <c r="J321" s="2">
        <v>829</v>
      </c>
      <c r="K321" s="2">
        <v>476</v>
      </c>
      <c r="L321" s="3">
        <v>147.12</v>
      </c>
      <c r="M321" s="2">
        <v>80.16</v>
      </c>
    </row>
    <row r="322" spans="1:13">
      <c r="A322" s="9">
        <v>45490</v>
      </c>
      <c r="B322" s="1">
        <f t="shared" ref="B322:B385" si="10">EOMONTH(A322,-1)+1</f>
        <v>45474</v>
      </c>
      <c r="C322" s="5" t="str">
        <f t="shared" si="9"/>
        <v>2024-07</v>
      </c>
      <c r="D322" s="3">
        <v>556.94000000000005</v>
      </c>
      <c r="E322" s="3">
        <v>222.25</v>
      </c>
      <c r="F322" s="3">
        <v>94.19</v>
      </c>
      <c r="G322" s="3">
        <v>227.23</v>
      </c>
      <c r="H322" s="3">
        <v>89.74</v>
      </c>
      <c r="I322" s="2">
        <v>139.26</v>
      </c>
      <c r="J322" s="2">
        <v>841.09</v>
      </c>
      <c r="K322" s="2">
        <v>476.07</v>
      </c>
      <c r="L322" s="3">
        <v>150.54</v>
      </c>
      <c r="M322" s="2">
        <v>81.63</v>
      </c>
    </row>
    <row r="323" spans="1:13">
      <c r="A323" s="9">
        <v>45489</v>
      </c>
      <c r="B323" s="1">
        <f t="shared" si="10"/>
        <v>45474</v>
      </c>
      <c r="C323" s="5" t="str">
        <f t="shared" ref="C323:C386" si="11">TEXT(A323, "yyyy-mm")</f>
        <v>2024-07</v>
      </c>
      <c r="D323" s="3">
        <v>564.86</v>
      </c>
      <c r="E323" s="3">
        <v>224.6</v>
      </c>
      <c r="F323" s="3">
        <v>94.17</v>
      </c>
      <c r="G323" s="3">
        <v>228.29</v>
      </c>
      <c r="H323" s="3">
        <v>89.13</v>
      </c>
      <c r="I323" s="2">
        <v>142.61000000000001</v>
      </c>
      <c r="J323" s="2">
        <v>843.94</v>
      </c>
      <c r="K323" s="2">
        <v>468.58</v>
      </c>
      <c r="L323" s="3">
        <v>149.86000000000001</v>
      </c>
      <c r="M323" s="2">
        <v>87.7</v>
      </c>
    </row>
    <row r="324" spans="1:13">
      <c r="A324" s="9">
        <v>45488</v>
      </c>
      <c r="B324" s="1">
        <f t="shared" si="10"/>
        <v>45474</v>
      </c>
      <c r="C324" s="5" t="str">
        <f t="shared" si="11"/>
        <v>2024-07</v>
      </c>
      <c r="D324" s="3">
        <v>561.53</v>
      </c>
      <c r="E324" s="3">
        <v>217.19</v>
      </c>
      <c r="F324" s="3">
        <v>92.86</v>
      </c>
      <c r="G324" s="3">
        <v>223.83</v>
      </c>
      <c r="H324" s="3">
        <v>88.05</v>
      </c>
      <c r="I324" s="2">
        <v>143.07</v>
      </c>
      <c r="J324" s="2">
        <v>822.96</v>
      </c>
      <c r="K324" s="2">
        <v>463.88</v>
      </c>
      <c r="L324" s="3">
        <v>147.75</v>
      </c>
      <c r="M324" s="2">
        <v>89.77</v>
      </c>
    </row>
    <row r="325" spans="1:13">
      <c r="A325" s="9">
        <v>45485</v>
      </c>
      <c r="B325" s="1">
        <f t="shared" si="10"/>
        <v>45474</v>
      </c>
      <c r="C325" s="5" t="str">
        <f t="shared" si="11"/>
        <v>2024-07</v>
      </c>
      <c r="D325" s="3">
        <v>559.99</v>
      </c>
      <c r="E325" s="3">
        <v>213.14</v>
      </c>
      <c r="F325" s="3">
        <v>93.94</v>
      </c>
      <c r="G325" s="3">
        <v>223.11</v>
      </c>
      <c r="H325" s="3">
        <v>87.46</v>
      </c>
      <c r="I325" s="2">
        <v>144.77000000000001</v>
      </c>
      <c r="J325" s="2">
        <v>827.97</v>
      </c>
      <c r="K325" s="2">
        <v>463.73</v>
      </c>
      <c r="L325" s="3">
        <v>148.27000000000001</v>
      </c>
      <c r="M325" s="2">
        <v>91</v>
      </c>
    </row>
    <row r="326" spans="1:13">
      <c r="A326" s="9">
        <v>45484</v>
      </c>
      <c r="B326" s="1">
        <f t="shared" si="10"/>
        <v>45474</v>
      </c>
      <c r="C326" s="5" t="str">
        <f t="shared" si="11"/>
        <v>2024-07</v>
      </c>
      <c r="D326" s="3">
        <v>556.48</v>
      </c>
      <c r="E326" s="3">
        <v>210.68</v>
      </c>
      <c r="F326" s="3">
        <v>93.54</v>
      </c>
      <c r="G326" s="3">
        <v>223.25</v>
      </c>
      <c r="H326" s="3">
        <v>86.8</v>
      </c>
      <c r="I326" s="2">
        <v>142.76</v>
      </c>
      <c r="J326" s="2">
        <v>824.87</v>
      </c>
      <c r="K326" s="2">
        <v>460.38</v>
      </c>
      <c r="L326" s="3">
        <v>147.35</v>
      </c>
      <c r="M326" s="2">
        <v>88.92</v>
      </c>
    </row>
    <row r="327" spans="1:13">
      <c r="A327" s="9">
        <v>45483</v>
      </c>
      <c r="B327" s="1">
        <f t="shared" si="10"/>
        <v>45474</v>
      </c>
      <c r="C327" s="5" t="str">
        <f t="shared" si="11"/>
        <v>2024-07</v>
      </c>
      <c r="D327" s="3">
        <v>561.32000000000005</v>
      </c>
      <c r="E327" s="3">
        <v>203.37</v>
      </c>
      <c r="F327" s="3">
        <v>92.64</v>
      </c>
      <c r="G327" s="3">
        <v>219.36</v>
      </c>
      <c r="H327" s="3">
        <v>84.38</v>
      </c>
      <c r="I327" s="2">
        <v>142.07</v>
      </c>
      <c r="J327" s="2">
        <v>812</v>
      </c>
      <c r="K327" s="2">
        <v>461.01</v>
      </c>
      <c r="L327" s="3">
        <v>146.32</v>
      </c>
      <c r="M327" s="2">
        <v>90</v>
      </c>
    </row>
    <row r="328" spans="1:13">
      <c r="A328" s="9">
        <v>45482</v>
      </c>
      <c r="B328" s="1">
        <f t="shared" si="10"/>
        <v>45474</v>
      </c>
      <c r="C328" s="5" t="str">
        <f t="shared" si="11"/>
        <v>2024-07</v>
      </c>
      <c r="D328" s="3">
        <v>555.82000000000005</v>
      </c>
      <c r="E328" s="3">
        <v>201.4</v>
      </c>
      <c r="F328" s="3">
        <v>92.35</v>
      </c>
      <c r="G328" s="3">
        <v>218.56</v>
      </c>
      <c r="H328" s="3">
        <v>83.76</v>
      </c>
      <c r="I328" s="2">
        <v>140.68</v>
      </c>
      <c r="J328" s="2">
        <v>802.28</v>
      </c>
      <c r="K328" s="2">
        <v>460.3</v>
      </c>
      <c r="L328" s="3">
        <v>144.94999999999999</v>
      </c>
      <c r="M328" s="2">
        <v>89.56</v>
      </c>
    </row>
    <row r="329" spans="1:13">
      <c r="A329" s="9">
        <v>45481</v>
      </c>
      <c r="B329" s="1">
        <f t="shared" si="10"/>
        <v>45474</v>
      </c>
      <c r="C329" s="5" t="str">
        <f t="shared" si="11"/>
        <v>2024-07</v>
      </c>
      <c r="D329" s="3">
        <v>555.28</v>
      </c>
      <c r="E329" s="3">
        <v>202.28</v>
      </c>
      <c r="F329" s="3">
        <v>92.76</v>
      </c>
      <c r="G329" s="3">
        <v>218.19</v>
      </c>
      <c r="H329" s="3">
        <v>83.78</v>
      </c>
      <c r="I329" s="2">
        <v>145.03</v>
      </c>
      <c r="J329" s="2">
        <v>790.19</v>
      </c>
      <c r="K329" s="2">
        <v>461.76</v>
      </c>
      <c r="L329" s="3">
        <v>144.25</v>
      </c>
      <c r="M329" s="2">
        <v>89.93</v>
      </c>
    </row>
    <row r="330" spans="1:13">
      <c r="A330" s="9">
        <v>45478</v>
      </c>
      <c r="B330" s="1">
        <f t="shared" si="10"/>
        <v>45474</v>
      </c>
      <c r="C330" s="5" t="str">
        <f t="shared" si="11"/>
        <v>2024-07</v>
      </c>
      <c r="D330" s="3">
        <v>554.64</v>
      </c>
      <c r="E330" s="3">
        <v>200.87</v>
      </c>
      <c r="F330" s="3">
        <v>92.56</v>
      </c>
      <c r="G330" s="3">
        <v>220.93</v>
      </c>
      <c r="H330" s="3">
        <v>83.51</v>
      </c>
      <c r="I330" s="2">
        <v>144.83000000000001</v>
      </c>
      <c r="J330" s="2">
        <v>790.6</v>
      </c>
      <c r="K330" s="2">
        <v>462.16</v>
      </c>
      <c r="L330" s="3">
        <v>144.41</v>
      </c>
      <c r="M330" s="2">
        <v>84.66</v>
      </c>
    </row>
    <row r="331" spans="1:13">
      <c r="A331" s="9">
        <v>45476</v>
      </c>
      <c r="B331" s="1">
        <f t="shared" si="10"/>
        <v>45474</v>
      </c>
      <c r="C331" s="5" t="str">
        <f t="shared" si="11"/>
        <v>2024-07</v>
      </c>
      <c r="D331" s="3">
        <v>551.46</v>
      </c>
      <c r="E331" s="3">
        <v>201.83</v>
      </c>
      <c r="F331" s="3">
        <v>91.8</v>
      </c>
      <c r="G331" s="3">
        <v>217.99</v>
      </c>
      <c r="H331" s="3">
        <v>83.28</v>
      </c>
      <c r="I331" s="2">
        <v>144.38</v>
      </c>
      <c r="J331" s="2">
        <v>789.12</v>
      </c>
      <c r="K331" s="2">
        <v>466.03</v>
      </c>
      <c r="L331" s="3">
        <v>143.30000000000001</v>
      </c>
      <c r="M331" s="2">
        <v>84.7</v>
      </c>
    </row>
    <row r="332" spans="1:13">
      <c r="A332" s="9">
        <v>45475</v>
      </c>
      <c r="B332" s="1">
        <f t="shared" si="10"/>
        <v>45474</v>
      </c>
      <c r="C332" s="5" t="str">
        <f t="shared" si="11"/>
        <v>2024-07</v>
      </c>
      <c r="D332" s="3">
        <v>549.01</v>
      </c>
      <c r="E332" s="3">
        <v>201.88</v>
      </c>
      <c r="F332" s="3">
        <v>90.61</v>
      </c>
      <c r="G332" s="3">
        <v>215.56</v>
      </c>
      <c r="H332" s="3">
        <v>83.36</v>
      </c>
      <c r="I332" s="2">
        <v>143.28</v>
      </c>
      <c r="J332" s="2">
        <v>789.13</v>
      </c>
      <c r="K332" s="2">
        <v>465.7</v>
      </c>
      <c r="L332" s="3">
        <v>144.4</v>
      </c>
      <c r="M332" s="2">
        <v>83.72</v>
      </c>
    </row>
    <row r="333" spans="1:13">
      <c r="A333" s="9">
        <v>45474</v>
      </c>
      <c r="B333" s="1">
        <f t="shared" si="10"/>
        <v>45474</v>
      </c>
      <c r="C333" s="5" t="str">
        <f t="shared" si="11"/>
        <v>2024-07</v>
      </c>
      <c r="D333" s="3">
        <v>545.34</v>
      </c>
      <c r="E333" s="3">
        <v>201.19</v>
      </c>
      <c r="F333" s="3">
        <v>89.91</v>
      </c>
      <c r="G333" s="3">
        <v>215.57</v>
      </c>
      <c r="H333" s="3">
        <v>82.97</v>
      </c>
      <c r="I333" s="2">
        <v>143.09</v>
      </c>
      <c r="J333" s="2">
        <v>782.27</v>
      </c>
      <c r="K333" s="2">
        <v>466.44</v>
      </c>
      <c r="L333" s="3">
        <v>144.93</v>
      </c>
      <c r="M333" s="2">
        <v>81.23</v>
      </c>
    </row>
    <row r="334" spans="1:13">
      <c r="A334" s="9">
        <v>45471</v>
      </c>
      <c r="B334" s="1">
        <f t="shared" si="10"/>
        <v>45444</v>
      </c>
      <c r="C334" s="5" t="str">
        <f t="shared" si="11"/>
        <v>2024-06</v>
      </c>
      <c r="D334" s="3">
        <v>544.22</v>
      </c>
      <c r="E334" s="3">
        <v>202.89</v>
      </c>
      <c r="F334" s="3">
        <v>91.78</v>
      </c>
      <c r="G334" s="3">
        <v>215.01</v>
      </c>
      <c r="H334" s="3">
        <v>83.76</v>
      </c>
      <c r="I334" s="2">
        <v>141.19999999999999</v>
      </c>
      <c r="J334" s="2">
        <v>787.32</v>
      </c>
      <c r="K334" s="2">
        <v>467.1</v>
      </c>
      <c r="L334" s="3">
        <v>145.75</v>
      </c>
      <c r="M334" s="2">
        <v>81.94</v>
      </c>
    </row>
    <row r="335" spans="1:13">
      <c r="A335" s="9">
        <v>45470</v>
      </c>
      <c r="B335" s="1">
        <f t="shared" si="10"/>
        <v>45444</v>
      </c>
      <c r="C335" s="5" t="str">
        <f t="shared" si="11"/>
        <v>2024-06</v>
      </c>
      <c r="D335" s="3">
        <v>546.37</v>
      </c>
      <c r="E335" s="3">
        <v>202.06</v>
      </c>
      <c r="F335" s="3">
        <v>93.52</v>
      </c>
      <c r="G335" s="3">
        <v>214.99</v>
      </c>
      <c r="H335" s="3">
        <v>84.13</v>
      </c>
      <c r="I335" s="2">
        <v>140.18</v>
      </c>
      <c r="J335" s="2">
        <v>781.13</v>
      </c>
      <c r="K335" s="2">
        <v>467.13</v>
      </c>
      <c r="L335" s="3">
        <v>145.87</v>
      </c>
      <c r="M335" s="2">
        <v>89.04</v>
      </c>
    </row>
    <row r="336" spans="1:13">
      <c r="A336" s="9">
        <v>45469</v>
      </c>
      <c r="B336" s="1">
        <f t="shared" si="10"/>
        <v>45444</v>
      </c>
      <c r="C336" s="5" t="str">
        <f t="shared" si="11"/>
        <v>2024-06</v>
      </c>
      <c r="D336" s="3">
        <v>545.51</v>
      </c>
      <c r="E336" s="3">
        <v>200.03</v>
      </c>
      <c r="F336" s="3">
        <v>93.15</v>
      </c>
      <c r="G336" s="3">
        <v>212.58</v>
      </c>
      <c r="H336" s="3">
        <v>83.32</v>
      </c>
      <c r="I336" s="2">
        <v>138.22999999999999</v>
      </c>
      <c r="J336" s="2">
        <v>787.45</v>
      </c>
      <c r="K336" s="2">
        <v>466.99</v>
      </c>
      <c r="L336" s="3">
        <v>146.11000000000001</v>
      </c>
      <c r="M336" s="2">
        <v>83.12</v>
      </c>
    </row>
    <row r="337" spans="1:13">
      <c r="A337" s="9">
        <v>45468</v>
      </c>
      <c r="B337" s="1">
        <f t="shared" si="10"/>
        <v>45444</v>
      </c>
      <c r="C337" s="5" t="str">
        <f t="shared" si="11"/>
        <v>2024-06</v>
      </c>
      <c r="D337" s="3">
        <v>544.83000000000004</v>
      </c>
      <c r="E337" s="3">
        <v>200.56</v>
      </c>
      <c r="F337" s="3">
        <v>94.5</v>
      </c>
      <c r="G337" s="3">
        <v>214.56</v>
      </c>
      <c r="H337" s="3">
        <v>83.58</v>
      </c>
      <c r="I337" s="2">
        <v>139.16999999999999</v>
      </c>
      <c r="J337" s="2">
        <v>794.39</v>
      </c>
      <c r="K337" s="2">
        <v>468.07</v>
      </c>
      <c r="L337" s="3">
        <v>146.63</v>
      </c>
      <c r="M337" s="2">
        <v>84.31</v>
      </c>
    </row>
    <row r="338" spans="1:13">
      <c r="A338" s="9">
        <v>45467</v>
      </c>
      <c r="B338" s="1">
        <f t="shared" si="10"/>
        <v>45444</v>
      </c>
      <c r="C338" s="5" t="str">
        <f t="shared" si="11"/>
        <v>2024-06</v>
      </c>
      <c r="D338" s="3">
        <v>542.74</v>
      </c>
      <c r="E338" s="3">
        <v>201.22</v>
      </c>
      <c r="F338" s="3">
        <v>94.34</v>
      </c>
      <c r="G338" s="3">
        <v>215.63</v>
      </c>
      <c r="H338" s="3">
        <v>84.62</v>
      </c>
      <c r="I338" s="2">
        <v>139.88999999999999</v>
      </c>
      <c r="J338" s="2">
        <v>798.95</v>
      </c>
      <c r="K338" s="2">
        <v>471.51</v>
      </c>
      <c r="L338" s="3">
        <v>147.09</v>
      </c>
      <c r="M338" s="2">
        <v>82.7</v>
      </c>
    </row>
    <row r="339" spans="1:13">
      <c r="A339" s="9">
        <v>45464</v>
      </c>
      <c r="B339" s="1">
        <f t="shared" si="10"/>
        <v>45444</v>
      </c>
      <c r="C339" s="5" t="str">
        <f t="shared" si="11"/>
        <v>2024-06</v>
      </c>
      <c r="D339" s="3">
        <v>544.51</v>
      </c>
      <c r="E339" s="3">
        <v>200.35</v>
      </c>
      <c r="F339" s="3">
        <v>93.96</v>
      </c>
      <c r="G339" s="3">
        <v>214.78</v>
      </c>
      <c r="H339" s="3">
        <v>83.97</v>
      </c>
      <c r="I339" s="2">
        <v>141.5</v>
      </c>
      <c r="J339" s="2">
        <v>787.6</v>
      </c>
      <c r="K339" s="2">
        <v>467.6</v>
      </c>
      <c r="L339" s="3">
        <v>146.81</v>
      </c>
      <c r="M339" s="2">
        <v>90.53</v>
      </c>
    </row>
    <row r="340" spans="1:13">
      <c r="A340" s="9">
        <v>45463</v>
      </c>
      <c r="B340" s="1">
        <f t="shared" si="10"/>
        <v>45444</v>
      </c>
      <c r="C340" s="5" t="str">
        <f t="shared" si="11"/>
        <v>2024-06</v>
      </c>
      <c r="D340" s="3">
        <v>547</v>
      </c>
      <c r="E340" s="3">
        <v>199.9</v>
      </c>
      <c r="F340" s="3">
        <v>93.96</v>
      </c>
      <c r="G340" s="3">
        <v>218.16</v>
      </c>
      <c r="H340" s="3">
        <v>83.76</v>
      </c>
      <c r="I340" s="2">
        <v>142.91</v>
      </c>
      <c r="J340" s="2">
        <v>782.83</v>
      </c>
      <c r="K340" s="2">
        <v>466.34</v>
      </c>
      <c r="L340" s="3">
        <v>146.4</v>
      </c>
      <c r="M340" s="2">
        <v>91.76</v>
      </c>
    </row>
    <row r="341" spans="1:13">
      <c r="A341" s="9">
        <v>45461</v>
      </c>
      <c r="B341" s="1">
        <f t="shared" si="10"/>
        <v>45444</v>
      </c>
      <c r="C341" s="5" t="str">
        <f t="shared" si="11"/>
        <v>2024-06</v>
      </c>
      <c r="D341" s="3">
        <v>548.49</v>
      </c>
      <c r="E341" s="3">
        <v>200.75</v>
      </c>
      <c r="F341" s="3">
        <v>94.59</v>
      </c>
      <c r="G341" s="3">
        <v>215.47</v>
      </c>
      <c r="H341" s="3">
        <v>84</v>
      </c>
      <c r="I341" s="2">
        <v>144.63999999999999</v>
      </c>
      <c r="J341" s="2">
        <v>783.65</v>
      </c>
      <c r="K341" s="2">
        <v>460</v>
      </c>
      <c r="L341" s="3">
        <v>145.91999999999999</v>
      </c>
      <c r="M341" s="2">
        <v>92</v>
      </c>
    </row>
    <row r="342" spans="1:13">
      <c r="A342" s="9">
        <v>45460</v>
      </c>
      <c r="B342" s="1">
        <f t="shared" si="10"/>
        <v>45444</v>
      </c>
      <c r="C342" s="5" t="str">
        <f t="shared" si="11"/>
        <v>2024-06</v>
      </c>
      <c r="D342" s="3">
        <v>547.1</v>
      </c>
      <c r="E342" s="3">
        <v>200.4</v>
      </c>
      <c r="F342" s="3">
        <v>93.73</v>
      </c>
      <c r="G342" s="3">
        <v>214.61</v>
      </c>
      <c r="H342" s="3">
        <v>83.67</v>
      </c>
      <c r="I342" s="2">
        <v>141.31</v>
      </c>
      <c r="J342" s="2">
        <v>781.08</v>
      </c>
      <c r="K342" s="2">
        <v>459.01</v>
      </c>
      <c r="L342" s="3">
        <v>145.72999999999999</v>
      </c>
      <c r="M342" s="2">
        <v>88.74</v>
      </c>
    </row>
    <row r="343" spans="1:13">
      <c r="A343" s="9">
        <v>45457</v>
      </c>
      <c r="B343" s="1">
        <f t="shared" si="10"/>
        <v>45444</v>
      </c>
      <c r="C343" s="5" t="str">
        <f t="shared" si="11"/>
        <v>2024-06</v>
      </c>
      <c r="D343" s="3">
        <v>542.78</v>
      </c>
      <c r="E343" s="3">
        <v>198.73</v>
      </c>
      <c r="F343" s="3">
        <v>94.67</v>
      </c>
      <c r="G343" s="3">
        <v>215.73</v>
      </c>
      <c r="H343" s="3">
        <v>84</v>
      </c>
      <c r="I343" s="2">
        <v>138.13</v>
      </c>
      <c r="J343" s="2">
        <v>769.33</v>
      </c>
      <c r="K343" s="2">
        <v>458.34</v>
      </c>
      <c r="L343" s="3">
        <v>145.88</v>
      </c>
      <c r="M343" s="2">
        <v>84.45</v>
      </c>
    </row>
    <row r="344" spans="1:13">
      <c r="A344" s="9">
        <v>45456</v>
      </c>
      <c r="B344" s="1">
        <f t="shared" si="10"/>
        <v>45444</v>
      </c>
      <c r="C344" s="5" t="str">
        <f t="shared" si="11"/>
        <v>2024-06</v>
      </c>
      <c r="D344" s="3">
        <v>542.45000000000005</v>
      </c>
      <c r="E344" s="3">
        <v>201.94</v>
      </c>
      <c r="F344" s="3">
        <v>93.88</v>
      </c>
      <c r="G344" s="3">
        <v>212.97</v>
      </c>
      <c r="H344" s="3">
        <v>84.02</v>
      </c>
      <c r="I344" s="2">
        <v>139.85</v>
      </c>
      <c r="J344" s="2">
        <v>769.71</v>
      </c>
      <c r="K344" s="2">
        <v>458.56</v>
      </c>
      <c r="L344" s="3">
        <v>145.93</v>
      </c>
      <c r="M344" s="2">
        <v>87.11</v>
      </c>
    </row>
    <row r="345" spans="1:13">
      <c r="A345" s="9">
        <v>45455</v>
      </c>
      <c r="B345" s="1">
        <f t="shared" si="10"/>
        <v>45444</v>
      </c>
      <c r="C345" s="5" t="str">
        <f t="shared" si="11"/>
        <v>2024-06</v>
      </c>
      <c r="D345" s="3">
        <v>541.36</v>
      </c>
      <c r="E345" s="3">
        <v>203.72</v>
      </c>
      <c r="F345" s="3">
        <v>92.52</v>
      </c>
      <c r="G345" s="3">
        <v>214.72</v>
      </c>
      <c r="H345" s="3">
        <v>83.68</v>
      </c>
      <c r="I345" s="2">
        <v>140.38</v>
      </c>
      <c r="J345" s="2">
        <v>770.11</v>
      </c>
      <c r="K345" s="2">
        <v>459.11</v>
      </c>
      <c r="L345" s="3">
        <v>146.05000000000001</v>
      </c>
      <c r="M345" s="2">
        <v>77.47</v>
      </c>
    </row>
    <row r="346" spans="1:13">
      <c r="A346" s="9">
        <v>45454</v>
      </c>
      <c r="B346" s="1">
        <f t="shared" si="10"/>
        <v>45444</v>
      </c>
      <c r="C346" s="5" t="str">
        <f t="shared" si="11"/>
        <v>2024-06</v>
      </c>
      <c r="D346" s="3">
        <v>536.95000000000005</v>
      </c>
      <c r="E346" s="3">
        <v>200.64</v>
      </c>
      <c r="F346" s="3">
        <v>91.83</v>
      </c>
      <c r="G346" s="3">
        <v>214.15</v>
      </c>
      <c r="H346" s="3">
        <v>82.94</v>
      </c>
      <c r="I346" s="2">
        <v>123.88</v>
      </c>
      <c r="J346" s="2">
        <v>757.63</v>
      </c>
      <c r="K346" s="2">
        <v>462.8</v>
      </c>
      <c r="L346" s="3">
        <v>146.36000000000001</v>
      </c>
      <c r="M346" s="2">
        <v>76.760000000000005</v>
      </c>
    </row>
    <row r="347" spans="1:13">
      <c r="A347" s="9">
        <v>45453</v>
      </c>
      <c r="B347" s="1">
        <f t="shared" si="10"/>
        <v>45444</v>
      </c>
      <c r="C347" s="5" t="str">
        <f t="shared" si="11"/>
        <v>2024-06</v>
      </c>
      <c r="D347" s="3">
        <v>535.66</v>
      </c>
      <c r="E347" s="3">
        <v>201.89</v>
      </c>
      <c r="F347" s="3">
        <v>90.89</v>
      </c>
      <c r="G347" s="3">
        <v>213.54</v>
      </c>
      <c r="H347" s="3">
        <v>83.24</v>
      </c>
      <c r="I347" s="2">
        <v>124.5</v>
      </c>
      <c r="J347" s="2">
        <v>766.17</v>
      </c>
      <c r="K347" s="2">
        <v>467.46</v>
      </c>
      <c r="L347" s="3">
        <v>146.97</v>
      </c>
      <c r="M347" s="2">
        <v>78.69</v>
      </c>
    </row>
    <row r="348" spans="1:13">
      <c r="A348" s="9">
        <v>45450</v>
      </c>
      <c r="B348" s="1">
        <f t="shared" si="10"/>
        <v>45444</v>
      </c>
      <c r="C348" s="5" t="str">
        <f t="shared" si="11"/>
        <v>2024-06</v>
      </c>
      <c r="D348" s="3">
        <v>534.01</v>
      </c>
      <c r="E348" s="3">
        <v>201.2</v>
      </c>
      <c r="F348" s="3">
        <v>91.5</v>
      </c>
      <c r="G348" s="3">
        <v>211.6</v>
      </c>
      <c r="H348" s="3">
        <v>82.96</v>
      </c>
      <c r="I348" s="2">
        <v>125.92</v>
      </c>
      <c r="J348" s="2">
        <v>768.69</v>
      </c>
      <c r="K348" s="2">
        <v>470.13</v>
      </c>
      <c r="L348" s="3">
        <v>146.43</v>
      </c>
      <c r="M348" s="2">
        <v>76.91</v>
      </c>
    </row>
    <row r="349" spans="1:13">
      <c r="A349" s="9">
        <v>45449</v>
      </c>
      <c r="B349" s="1">
        <f t="shared" si="10"/>
        <v>45444</v>
      </c>
      <c r="C349" s="5" t="str">
        <f t="shared" si="11"/>
        <v>2024-06</v>
      </c>
      <c r="D349" s="3">
        <v>534.66</v>
      </c>
      <c r="E349" s="3">
        <v>203.59</v>
      </c>
      <c r="F349" s="3">
        <v>93.21</v>
      </c>
      <c r="G349" s="3">
        <v>219.43</v>
      </c>
      <c r="H349" s="3">
        <v>83.75</v>
      </c>
      <c r="I349" s="2">
        <v>123.5</v>
      </c>
      <c r="J349" s="2">
        <v>778.53</v>
      </c>
      <c r="K349" s="2">
        <v>468.62</v>
      </c>
      <c r="L349" s="3">
        <v>146.27000000000001</v>
      </c>
      <c r="M349" s="2">
        <v>77.790000000000006</v>
      </c>
    </row>
    <row r="350" spans="1:13">
      <c r="A350" s="9">
        <v>45448</v>
      </c>
      <c r="B350" s="1">
        <f t="shared" si="10"/>
        <v>45444</v>
      </c>
      <c r="C350" s="5" t="str">
        <f t="shared" si="11"/>
        <v>2024-06</v>
      </c>
      <c r="D350" s="3">
        <v>534.66999999999996</v>
      </c>
      <c r="E350" s="3">
        <v>205.06</v>
      </c>
      <c r="F350" s="3">
        <v>93.35</v>
      </c>
      <c r="G350" s="3">
        <v>217.82</v>
      </c>
      <c r="H350" s="3">
        <v>83.59</v>
      </c>
      <c r="I350" s="2">
        <v>122.63</v>
      </c>
      <c r="J350" s="2">
        <v>788.88</v>
      </c>
      <c r="K350" s="2">
        <v>465.23</v>
      </c>
      <c r="L350" s="3">
        <v>145.79</v>
      </c>
      <c r="M350" s="2">
        <v>80.25</v>
      </c>
    </row>
    <row r="351" spans="1:13">
      <c r="A351" s="9">
        <v>45447</v>
      </c>
      <c r="B351" s="1">
        <f t="shared" si="10"/>
        <v>45444</v>
      </c>
      <c r="C351" s="5" t="str">
        <f t="shared" si="11"/>
        <v>2024-06</v>
      </c>
      <c r="D351" s="3">
        <v>528.39</v>
      </c>
      <c r="E351" s="3">
        <v>201.97</v>
      </c>
      <c r="F351" s="3">
        <v>92.67</v>
      </c>
      <c r="G351" s="3">
        <v>215.27</v>
      </c>
      <c r="H351" s="3">
        <v>83.69</v>
      </c>
      <c r="I351" s="2">
        <v>120.07</v>
      </c>
      <c r="J351" s="2">
        <v>785.29</v>
      </c>
      <c r="K351" s="2">
        <v>468.89</v>
      </c>
      <c r="L351" s="3">
        <v>145.13</v>
      </c>
      <c r="M351" s="2">
        <v>77.16</v>
      </c>
    </row>
    <row r="352" spans="1:13">
      <c r="A352" s="9">
        <v>45446</v>
      </c>
      <c r="B352" s="1">
        <f t="shared" si="10"/>
        <v>45444</v>
      </c>
      <c r="C352" s="5" t="str">
        <f t="shared" si="11"/>
        <v>2024-06</v>
      </c>
      <c r="D352" s="3">
        <v>527.79999999999995</v>
      </c>
      <c r="E352" s="3">
        <v>204.61</v>
      </c>
      <c r="F352" s="3">
        <v>91.6</v>
      </c>
      <c r="G352" s="3">
        <v>217.22</v>
      </c>
      <c r="H352" s="3">
        <v>83.05</v>
      </c>
      <c r="I352" s="2">
        <v>119.28</v>
      </c>
      <c r="J352" s="2">
        <v>777.37</v>
      </c>
      <c r="K352" s="2">
        <v>467.6</v>
      </c>
      <c r="L352" s="3">
        <v>144.71</v>
      </c>
      <c r="M352" s="2">
        <v>77.06</v>
      </c>
    </row>
    <row r="353" spans="1:13">
      <c r="A353" s="9">
        <v>45443</v>
      </c>
      <c r="B353" s="1">
        <f t="shared" si="10"/>
        <v>45413</v>
      </c>
      <c r="C353" s="5" t="str">
        <f t="shared" si="11"/>
        <v>2024-05</v>
      </c>
      <c r="D353" s="3">
        <v>527.37</v>
      </c>
      <c r="E353" s="3">
        <v>205.77</v>
      </c>
      <c r="F353" s="3">
        <v>90.45</v>
      </c>
      <c r="G353" s="3">
        <v>215.3</v>
      </c>
      <c r="H353" s="3">
        <v>83.24</v>
      </c>
      <c r="I353" s="2">
        <v>117.19</v>
      </c>
      <c r="J353" s="2">
        <v>772.03</v>
      </c>
      <c r="K353" s="2">
        <v>470.34</v>
      </c>
      <c r="L353" s="3">
        <v>143.69999999999999</v>
      </c>
      <c r="M353" s="2">
        <v>78.45</v>
      </c>
    </row>
    <row r="354" spans="1:13">
      <c r="A354" s="9">
        <v>45442</v>
      </c>
      <c r="B354" s="1">
        <f t="shared" si="10"/>
        <v>45413</v>
      </c>
      <c r="C354" s="5" t="str">
        <f t="shared" si="11"/>
        <v>2024-05</v>
      </c>
      <c r="D354" s="3">
        <v>522.61</v>
      </c>
      <c r="E354" s="3">
        <v>204.05</v>
      </c>
      <c r="F354" s="3">
        <v>89.84</v>
      </c>
      <c r="G354" s="3">
        <v>216.57</v>
      </c>
      <c r="H354" s="3">
        <v>81.709999999999994</v>
      </c>
      <c r="I354" s="2">
        <v>117.09</v>
      </c>
      <c r="J354" s="2">
        <v>761.86</v>
      </c>
      <c r="K354" s="2">
        <v>460.94</v>
      </c>
      <c r="L354" s="3">
        <v>141.63</v>
      </c>
      <c r="M354" s="2">
        <v>82.79</v>
      </c>
    </row>
    <row r="355" spans="1:13">
      <c r="A355" s="9">
        <v>45441</v>
      </c>
      <c r="B355" s="1">
        <f t="shared" si="10"/>
        <v>45413</v>
      </c>
      <c r="C355" s="5" t="str">
        <f t="shared" si="11"/>
        <v>2024-05</v>
      </c>
      <c r="D355" s="3">
        <v>526.1</v>
      </c>
      <c r="E355" s="3">
        <v>202.13</v>
      </c>
      <c r="F355" s="3">
        <v>88.98</v>
      </c>
      <c r="G355" s="3">
        <v>216.16</v>
      </c>
      <c r="H355" s="3">
        <v>80.53</v>
      </c>
      <c r="I355" s="2">
        <v>123.74</v>
      </c>
      <c r="J355" s="2">
        <v>756.58</v>
      </c>
      <c r="K355" s="2">
        <v>452.72</v>
      </c>
      <c r="L355" s="3">
        <v>141.56</v>
      </c>
      <c r="M355" s="2">
        <v>83.97</v>
      </c>
    </row>
    <row r="356" spans="1:13">
      <c r="A356" s="9">
        <v>45440</v>
      </c>
      <c r="B356" s="1">
        <f t="shared" si="10"/>
        <v>45413</v>
      </c>
      <c r="C356" s="5" t="str">
        <f t="shared" si="11"/>
        <v>2024-05</v>
      </c>
      <c r="D356" s="3">
        <v>529.80999999999995</v>
      </c>
      <c r="E356" s="3">
        <v>205.16</v>
      </c>
      <c r="F356" s="3">
        <v>90.07</v>
      </c>
      <c r="G356" s="3">
        <v>218.19</v>
      </c>
      <c r="H356" s="3">
        <v>81.319999999999993</v>
      </c>
      <c r="I356" s="2">
        <v>124.49</v>
      </c>
      <c r="J356" s="2">
        <v>771.41</v>
      </c>
      <c r="K356" s="2">
        <v>458.48</v>
      </c>
      <c r="L356" s="3">
        <v>142.66999999999999</v>
      </c>
      <c r="M356" s="2">
        <v>87.47</v>
      </c>
    </row>
    <row r="357" spans="1:13">
      <c r="A357" s="9">
        <v>45436</v>
      </c>
      <c r="B357" s="1">
        <f t="shared" si="10"/>
        <v>45413</v>
      </c>
      <c r="C357" s="5" t="str">
        <f t="shared" si="11"/>
        <v>2024-05</v>
      </c>
      <c r="D357" s="3">
        <v>529.44000000000005</v>
      </c>
      <c r="E357" s="3">
        <v>205.44</v>
      </c>
      <c r="F357" s="3">
        <v>91.38</v>
      </c>
      <c r="G357" s="3">
        <v>215.92</v>
      </c>
      <c r="H357" s="3">
        <v>81.86</v>
      </c>
      <c r="I357" s="2">
        <v>122.91</v>
      </c>
      <c r="J357" s="2">
        <v>781.9</v>
      </c>
      <c r="K357" s="2">
        <v>467.35</v>
      </c>
      <c r="L357" s="3">
        <v>144.41999999999999</v>
      </c>
      <c r="M357" s="2">
        <v>88.39</v>
      </c>
    </row>
    <row r="358" spans="1:13">
      <c r="A358" s="9">
        <v>45435</v>
      </c>
      <c r="B358" s="1">
        <f t="shared" si="10"/>
        <v>45413</v>
      </c>
      <c r="C358" s="5" t="str">
        <f t="shared" si="11"/>
        <v>2024-05</v>
      </c>
      <c r="D358" s="3">
        <v>525.96</v>
      </c>
      <c r="E358" s="3">
        <v>203.19</v>
      </c>
      <c r="F358" s="3">
        <v>91.11</v>
      </c>
      <c r="G358" s="3">
        <v>215.72</v>
      </c>
      <c r="H358" s="3">
        <v>81.8</v>
      </c>
      <c r="I358" s="2">
        <v>124.09</v>
      </c>
      <c r="J358" s="2">
        <v>784.55</v>
      </c>
      <c r="K358" s="2">
        <v>467.08</v>
      </c>
      <c r="L358" s="3">
        <v>144.91</v>
      </c>
      <c r="M358" s="2">
        <v>84.74</v>
      </c>
    </row>
    <row r="359" spans="1:13">
      <c r="A359" s="9">
        <v>45434</v>
      </c>
      <c r="B359" s="1">
        <f t="shared" si="10"/>
        <v>45413</v>
      </c>
      <c r="C359" s="5" t="str">
        <f t="shared" si="11"/>
        <v>2024-05</v>
      </c>
      <c r="D359" s="3">
        <v>529.83000000000004</v>
      </c>
      <c r="E359" s="3">
        <v>206.58</v>
      </c>
      <c r="F359" s="3">
        <v>91.7</v>
      </c>
      <c r="G359" s="3">
        <v>220.11</v>
      </c>
      <c r="H359" s="3">
        <v>83.6</v>
      </c>
      <c r="I359" s="2">
        <v>124.6</v>
      </c>
      <c r="J359" s="2">
        <v>799.61</v>
      </c>
      <c r="K359" s="2">
        <v>469.71</v>
      </c>
      <c r="L359" s="3">
        <v>146.51</v>
      </c>
      <c r="M359" s="2">
        <v>87.33</v>
      </c>
    </row>
    <row r="360" spans="1:13">
      <c r="A360" s="9">
        <v>45433</v>
      </c>
      <c r="B360" s="1">
        <f t="shared" si="10"/>
        <v>45413</v>
      </c>
      <c r="C360" s="5" t="str">
        <f t="shared" si="11"/>
        <v>2024-05</v>
      </c>
      <c r="D360" s="3">
        <v>531.36</v>
      </c>
      <c r="E360" s="3">
        <v>208.34</v>
      </c>
      <c r="F360" s="3">
        <v>91.59</v>
      </c>
      <c r="G360" s="3">
        <v>224.23</v>
      </c>
      <c r="H360" s="3">
        <v>84.36</v>
      </c>
      <c r="I360" s="2">
        <v>124.63</v>
      </c>
      <c r="J360" s="2">
        <v>804.93</v>
      </c>
      <c r="K360" s="2">
        <v>468.31</v>
      </c>
      <c r="L360" s="3">
        <v>146.25</v>
      </c>
      <c r="M360" s="2">
        <v>89.9</v>
      </c>
    </row>
    <row r="361" spans="1:13">
      <c r="A361" s="9">
        <v>45432</v>
      </c>
      <c r="B361" s="1">
        <f t="shared" si="10"/>
        <v>45413</v>
      </c>
      <c r="C361" s="5" t="str">
        <f t="shared" si="11"/>
        <v>2024-05</v>
      </c>
      <c r="D361" s="3">
        <v>530.05999999999995</v>
      </c>
      <c r="E361" s="3">
        <v>208.54</v>
      </c>
      <c r="F361" s="3">
        <v>91.12</v>
      </c>
      <c r="G361" s="3">
        <v>224.56</v>
      </c>
      <c r="H361" s="3">
        <v>84.39</v>
      </c>
      <c r="I361" s="2">
        <v>124.52</v>
      </c>
      <c r="J361" s="2">
        <v>805.19</v>
      </c>
      <c r="K361" s="2">
        <v>467.08</v>
      </c>
      <c r="L361" s="3">
        <v>146</v>
      </c>
      <c r="M361" s="2">
        <v>90.39</v>
      </c>
    </row>
    <row r="362" spans="1:13">
      <c r="A362" s="9">
        <v>45429</v>
      </c>
      <c r="B362" s="1">
        <f t="shared" si="10"/>
        <v>45413</v>
      </c>
      <c r="C362" s="5" t="str">
        <f t="shared" si="11"/>
        <v>2024-05</v>
      </c>
      <c r="D362" s="3">
        <v>529.45000000000005</v>
      </c>
      <c r="E362" s="3">
        <v>208.08</v>
      </c>
      <c r="F362" s="3">
        <v>91.39</v>
      </c>
      <c r="G362" s="3">
        <v>223.66</v>
      </c>
      <c r="H362" s="3">
        <v>84.89</v>
      </c>
      <c r="I362" s="2">
        <v>123.5</v>
      </c>
      <c r="J362" s="2">
        <v>812.22</v>
      </c>
      <c r="K362" s="2">
        <v>466.2</v>
      </c>
      <c r="L362" s="3">
        <v>146.31</v>
      </c>
      <c r="M362" s="2">
        <v>88.79</v>
      </c>
    </row>
    <row r="363" spans="1:13">
      <c r="A363" s="9">
        <v>45428</v>
      </c>
      <c r="B363" s="1">
        <f t="shared" si="10"/>
        <v>45413</v>
      </c>
      <c r="C363" s="5" t="str">
        <f t="shared" si="11"/>
        <v>2024-05</v>
      </c>
      <c r="D363" s="3">
        <v>528.69000000000005</v>
      </c>
      <c r="E363" s="3">
        <v>207.93</v>
      </c>
      <c r="F363" s="3">
        <v>92.01</v>
      </c>
      <c r="G363" s="3">
        <v>220.03</v>
      </c>
      <c r="H363" s="3">
        <v>84.9</v>
      </c>
      <c r="I363" s="2">
        <v>122.16</v>
      </c>
      <c r="J363" s="2">
        <v>807.71</v>
      </c>
      <c r="K363" s="2">
        <v>464.83</v>
      </c>
      <c r="L363" s="3">
        <v>146.03</v>
      </c>
      <c r="M363" s="2">
        <v>90.44</v>
      </c>
    </row>
    <row r="364" spans="1:13">
      <c r="A364" s="9">
        <v>45427</v>
      </c>
      <c r="B364" s="1">
        <f t="shared" si="10"/>
        <v>45413</v>
      </c>
      <c r="C364" s="5" t="str">
        <f t="shared" si="11"/>
        <v>2024-05</v>
      </c>
      <c r="D364" s="3">
        <v>529.78</v>
      </c>
      <c r="E364" s="3">
        <v>209.44</v>
      </c>
      <c r="F364" s="3">
        <v>92.1</v>
      </c>
      <c r="G364" s="3">
        <v>220.89</v>
      </c>
      <c r="H364" s="3">
        <v>84.96</v>
      </c>
      <c r="I364" s="2">
        <v>121.63</v>
      </c>
      <c r="J364" s="2">
        <v>815.7</v>
      </c>
      <c r="K364" s="2">
        <v>464.08</v>
      </c>
      <c r="L364" s="3">
        <v>146.19999999999999</v>
      </c>
      <c r="M364" s="2">
        <v>95.24</v>
      </c>
    </row>
    <row r="365" spans="1:13">
      <c r="A365" s="9">
        <v>45426</v>
      </c>
      <c r="B365" s="1">
        <f t="shared" si="10"/>
        <v>45413</v>
      </c>
      <c r="C365" s="5" t="str">
        <f t="shared" si="11"/>
        <v>2024-05</v>
      </c>
      <c r="D365" s="3">
        <v>523.29999999999995</v>
      </c>
      <c r="E365" s="3">
        <v>206.86</v>
      </c>
      <c r="F365" s="3">
        <v>90.86</v>
      </c>
      <c r="G365" s="3">
        <v>218.09</v>
      </c>
      <c r="H365" s="3">
        <v>83.8</v>
      </c>
      <c r="I365" s="2">
        <v>120.87</v>
      </c>
      <c r="J365" s="2">
        <v>802.96</v>
      </c>
      <c r="K365" s="2">
        <v>467.18</v>
      </c>
      <c r="L365" s="3">
        <v>144.06</v>
      </c>
      <c r="M365" s="2">
        <v>82.24</v>
      </c>
    </row>
    <row r="366" spans="1:13">
      <c r="A366" s="9">
        <v>45425</v>
      </c>
      <c r="B366" s="1">
        <f t="shared" si="10"/>
        <v>45413</v>
      </c>
      <c r="C366" s="5" t="str">
        <f t="shared" si="11"/>
        <v>2024-05</v>
      </c>
      <c r="D366" s="3">
        <v>520.91</v>
      </c>
      <c r="E366" s="3">
        <v>204.74</v>
      </c>
      <c r="F366" s="3">
        <v>90.35</v>
      </c>
      <c r="G366" s="3">
        <v>216.26</v>
      </c>
      <c r="H366" s="3">
        <v>83.16</v>
      </c>
      <c r="I366" s="2">
        <v>116.37</v>
      </c>
      <c r="J366" s="2">
        <v>790.33</v>
      </c>
      <c r="K366" s="2">
        <v>470.56</v>
      </c>
      <c r="L366" s="3">
        <v>143.44999999999999</v>
      </c>
      <c r="M366" s="2">
        <v>78.28</v>
      </c>
    </row>
    <row r="367" spans="1:13">
      <c r="A367" s="9">
        <v>45422</v>
      </c>
      <c r="B367" s="1">
        <f t="shared" si="10"/>
        <v>45413</v>
      </c>
      <c r="C367" s="5" t="str">
        <f t="shared" si="11"/>
        <v>2024-05</v>
      </c>
      <c r="D367" s="3">
        <v>520.84</v>
      </c>
      <c r="E367" s="3">
        <v>204.31</v>
      </c>
      <c r="F367" s="3">
        <v>90.12</v>
      </c>
      <c r="G367" s="3">
        <v>218.71</v>
      </c>
      <c r="H367" s="3">
        <v>82.89</v>
      </c>
      <c r="I367" s="2">
        <v>116.67</v>
      </c>
      <c r="J367" s="2">
        <v>796.67</v>
      </c>
      <c r="K367" s="2">
        <v>468.88</v>
      </c>
      <c r="L367" s="3">
        <v>143.59</v>
      </c>
      <c r="M367" s="2">
        <v>79.849999999999994</v>
      </c>
    </row>
    <row r="368" spans="1:13">
      <c r="A368" s="9">
        <v>45421</v>
      </c>
      <c r="B368" s="1">
        <f t="shared" si="10"/>
        <v>45413</v>
      </c>
      <c r="C368" s="5" t="str">
        <f t="shared" si="11"/>
        <v>2024-05</v>
      </c>
      <c r="D368" s="3">
        <v>520.16999999999996</v>
      </c>
      <c r="E368" s="3">
        <v>205.86</v>
      </c>
      <c r="F368" s="3">
        <v>90.63</v>
      </c>
      <c r="G368" s="3">
        <v>216.95</v>
      </c>
      <c r="H368" s="3">
        <v>83.12</v>
      </c>
      <c r="I368" s="2">
        <v>116.64</v>
      </c>
      <c r="J368" s="2">
        <v>789.13</v>
      </c>
      <c r="K368" s="2">
        <v>468.39</v>
      </c>
      <c r="L368" s="3">
        <v>143.30000000000001</v>
      </c>
      <c r="M368" s="2">
        <v>79.97</v>
      </c>
    </row>
    <row r="369" spans="1:13">
      <c r="A369" s="9">
        <v>45420</v>
      </c>
      <c r="B369" s="1">
        <f t="shared" si="10"/>
        <v>45413</v>
      </c>
      <c r="C369" s="5" t="str">
        <f t="shared" si="11"/>
        <v>2024-05</v>
      </c>
      <c r="D369" s="3">
        <v>517.19000000000005</v>
      </c>
      <c r="E369" s="3">
        <v>203.78</v>
      </c>
      <c r="F369" s="3">
        <v>90.19</v>
      </c>
      <c r="G369" s="3">
        <v>213.58</v>
      </c>
      <c r="H369" s="3">
        <v>81.45</v>
      </c>
      <c r="I369" s="2">
        <v>117.39</v>
      </c>
      <c r="J369" s="2">
        <v>778.33</v>
      </c>
      <c r="K369" s="2">
        <v>466.16</v>
      </c>
      <c r="L369" s="3">
        <v>142.08000000000001</v>
      </c>
      <c r="M369" s="2">
        <v>82.26</v>
      </c>
    </row>
    <row r="370" spans="1:13">
      <c r="A370" s="9">
        <v>45419</v>
      </c>
      <c r="B370" s="1">
        <f t="shared" si="10"/>
        <v>45413</v>
      </c>
      <c r="C370" s="5" t="str">
        <f t="shared" si="11"/>
        <v>2024-05</v>
      </c>
      <c r="D370" s="3">
        <v>517.14</v>
      </c>
      <c r="E370" s="3">
        <v>204.97</v>
      </c>
      <c r="F370" s="3">
        <v>90.74</v>
      </c>
      <c r="G370" s="3">
        <v>214.21</v>
      </c>
      <c r="H370" s="3">
        <v>82.14</v>
      </c>
      <c r="I370" s="2">
        <v>117.93</v>
      </c>
      <c r="J370" s="2">
        <v>780.92</v>
      </c>
      <c r="K370" s="2">
        <v>466.68</v>
      </c>
      <c r="L370" s="3">
        <v>142.57</v>
      </c>
      <c r="M370" s="2">
        <v>81.93</v>
      </c>
    </row>
    <row r="371" spans="1:13">
      <c r="A371" s="9">
        <v>45418</v>
      </c>
      <c r="B371" s="1">
        <f t="shared" si="10"/>
        <v>45413</v>
      </c>
      <c r="C371" s="5" t="str">
        <f t="shared" si="11"/>
        <v>2024-05</v>
      </c>
      <c r="D371" s="3">
        <v>516.57000000000005</v>
      </c>
      <c r="E371" s="3">
        <v>204.51</v>
      </c>
      <c r="F371" s="3">
        <v>90.19</v>
      </c>
      <c r="G371" s="3">
        <v>215.2</v>
      </c>
      <c r="H371" s="3">
        <v>81.37</v>
      </c>
      <c r="I371" s="2">
        <v>118.34</v>
      </c>
      <c r="J371" s="2">
        <v>774.64</v>
      </c>
      <c r="K371" s="2">
        <v>462.78</v>
      </c>
      <c r="L371" s="3">
        <v>141.4</v>
      </c>
      <c r="M371" s="2">
        <v>83.04</v>
      </c>
    </row>
    <row r="372" spans="1:13">
      <c r="A372" s="9">
        <v>45415</v>
      </c>
      <c r="B372" s="1">
        <f t="shared" si="10"/>
        <v>45413</v>
      </c>
      <c r="C372" s="5" t="str">
        <f t="shared" si="11"/>
        <v>2024-05</v>
      </c>
      <c r="D372" s="3">
        <v>511.29</v>
      </c>
      <c r="E372" s="3">
        <v>201.9</v>
      </c>
      <c r="F372" s="3">
        <v>89.84</v>
      </c>
      <c r="G372" s="3">
        <v>212.96</v>
      </c>
      <c r="H372" s="3">
        <v>81.3</v>
      </c>
      <c r="I372" s="2">
        <v>115.8</v>
      </c>
      <c r="J372" s="2">
        <v>763.91</v>
      </c>
      <c r="K372" s="2">
        <v>461.91</v>
      </c>
      <c r="L372" s="3">
        <v>140.83000000000001</v>
      </c>
      <c r="M372" s="2">
        <v>78.27</v>
      </c>
    </row>
    <row r="373" spans="1:13">
      <c r="A373" s="9">
        <v>45414</v>
      </c>
      <c r="B373" s="1">
        <f t="shared" si="10"/>
        <v>45413</v>
      </c>
      <c r="C373" s="5" t="str">
        <f t="shared" si="11"/>
        <v>2024-05</v>
      </c>
      <c r="D373" s="3">
        <v>505.03</v>
      </c>
      <c r="E373" s="3">
        <v>199.92</v>
      </c>
      <c r="F373" s="3">
        <v>88.94</v>
      </c>
      <c r="G373" s="3">
        <v>213.13</v>
      </c>
      <c r="H373" s="3">
        <v>80.760000000000005</v>
      </c>
      <c r="I373" s="2">
        <v>114.96</v>
      </c>
      <c r="J373" s="2">
        <v>757</v>
      </c>
      <c r="K373" s="2">
        <v>463.2</v>
      </c>
      <c r="L373" s="3">
        <v>140.47999999999999</v>
      </c>
      <c r="M373" s="2">
        <v>76.25</v>
      </c>
    </row>
    <row r="374" spans="1:13">
      <c r="A374" s="9">
        <v>45413</v>
      </c>
      <c r="B374" s="1">
        <f t="shared" si="10"/>
        <v>45413</v>
      </c>
      <c r="C374" s="5" t="str">
        <f t="shared" si="11"/>
        <v>2024-05</v>
      </c>
      <c r="D374" s="3">
        <v>500.35</v>
      </c>
      <c r="E374" s="3">
        <v>196.31</v>
      </c>
      <c r="F374" s="3">
        <v>88.56</v>
      </c>
      <c r="G374" s="3">
        <v>213.79</v>
      </c>
      <c r="H374" s="3">
        <v>79.64</v>
      </c>
      <c r="I374" s="2">
        <v>114.63</v>
      </c>
      <c r="J374" s="2">
        <v>751.58</v>
      </c>
      <c r="K374" s="2">
        <v>461.73</v>
      </c>
      <c r="L374" s="3">
        <v>140.58000000000001</v>
      </c>
      <c r="M374" s="2">
        <v>73.83</v>
      </c>
    </row>
    <row r="375" spans="1:13">
      <c r="A375" s="9">
        <v>45412</v>
      </c>
      <c r="B375" s="1">
        <f t="shared" si="10"/>
        <v>45383</v>
      </c>
      <c r="C375" s="5" t="str">
        <f t="shared" si="11"/>
        <v>2024-04</v>
      </c>
      <c r="D375" s="3">
        <v>501.98</v>
      </c>
      <c r="E375" s="3">
        <v>195.9</v>
      </c>
      <c r="F375" s="3">
        <v>88.22</v>
      </c>
      <c r="G375" s="3">
        <v>211.87</v>
      </c>
      <c r="H375" s="3">
        <v>79.61</v>
      </c>
      <c r="I375" s="2">
        <v>113.75</v>
      </c>
      <c r="J375" s="2">
        <v>754.64</v>
      </c>
      <c r="K375" s="2">
        <v>464.93</v>
      </c>
      <c r="L375" s="3">
        <v>140.33000000000001</v>
      </c>
      <c r="M375" s="2">
        <v>85.88</v>
      </c>
    </row>
    <row r="376" spans="1:13">
      <c r="A376" s="9">
        <v>45411</v>
      </c>
      <c r="B376" s="1">
        <f t="shared" si="10"/>
        <v>45383</v>
      </c>
      <c r="C376" s="5" t="str">
        <f t="shared" si="11"/>
        <v>2024-04</v>
      </c>
      <c r="D376" s="3">
        <v>510.06</v>
      </c>
      <c r="E376" s="3">
        <v>199.96</v>
      </c>
      <c r="F376" s="3">
        <v>88.98</v>
      </c>
      <c r="G376" s="3">
        <v>216.18</v>
      </c>
      <c r="H376" s="3">
        <v>80.98</v>
      </c>
      <c r="I376" s="2">
        <v>116.49</v>
      </c>
      <c r="J376" s="2">
        <v>761.28</v>
      </c>
      <c r="K376" s="2">
        <v>467.55</v>
      </c>
      <c r="L376" s="3">
        <v>140.43</v>
      </c>
      <c r="M376" s="2">
        <v>89.04</v>
      </c>
    </row>
    <row r="377" spans="1:13">
      <c r="A377" s="9">
        <v>45408</v>
      </c>
      <c r="B377" s="1">
        <f t="shared" si="10"/>
        <v>45383</v>
      </c>
      <c r="C377" s="5" t="str">
        <f t="shared" si="11"/>
        <v>2024-04</v>
      </c>
      <c r="D377" s="3">
        <v>508.26</v>
      </c>
      <c r="E377" s="3">
        <v>198.36</v>
      </c>
      <c r="F377" s="3">
        <v>88.24</v>
      </c>
      <c r="G377" s="3">
        <v>216.62</v>
      </c>
      <c r="H377" s="3">
        <v>80.16</v>
      </c>
      <c r="I377" s="2">
        <v>117.21</v>
      </c>
      <c r="J377" s="2">
        <v>762.88</v>
      </c>
      <c r="K377" s="2">
        <v>461.29</v>
      </c>
      <c r="L377" s="3">
        <v>139.96</v>
      </c>
      <c r="M377" s="2">
        <v>85.74</v>
      </c>
    </row>
    <row r="378" spans="1:13">
      <c r="A378" s="9">
        <v>45407</v>
      </c>
      <c r="B378" s="1">
        <f t="shared" si="10"/>
        <v>45383</v>
      </c>
      <c r="C378" s="5" t="str">
        <f t="shared" si="11"/>
        <v>2024-04</v>
      </c>
      <c r="D378" s="3">
        <v>503.49</v>
      </c>
      <c r="E378" s="3">
        <v>196.48</v>
      </c>
      <c r="F378" s="3">
        <v>87.78</v>
      </c>
      <c r="G378" s="3">
        <v>215.92</v>
      </c>
      <c r="H378" s="3">
        <v>80.12</v>
      </c>
      <c r="I378" s="2">
        <v>114.89</v>
      </c>
      <c r="J378" s="2">
        <v>757.65</v>
      </c>
      <c r="K378" s="2">
        <v>464.78</v>
      </c>
      <c r="L378" s="3">
        <v>139.91999999999999</v>
      </c>
      <c r="M378" s="2">
        <v>78.739999999999995</v>
      </c>
    </row>
    <row r="379" spans="1:13">
      <c r="A379" s="9">
        <v>45406</v>
      </c>
      <c r="B379" s="1">
        <f t="shared" si="10"/>
        <v>45383</v>
      </c>
      <c r="C379" s="5" t="str">
        <f t="shared" si="11"/>
        <v>2024-04</v>
      </c>
      <c r="D379" s="3">
        <v>505.41</v>
      </c>
      <c r="E379" s="3">
        <v>197.68</v>
      </c>
      <c r="F379" s="3">
        <v>88.4</v>
      </c>
      <c r="G379" s="3">
        <v>214.64</v>
      </c>
      <c r="H379" s="3">
        <v>80.58</v>
      </c>
      <c r="I379" s="2">
        <v>115.34</v>
      </c>
      <c r="J379" s="2">
        <v>762.8</v>
      </c>
      <c r="K379" s="2">
        <v>459.14</v>
      </c>
      <c r="L379" s="3">
        <v>140.86000000000001</v>
      </c>
      <c r="M379" s="2">
        <v>75.47</v>
      </c>
    </row>
    <row r="380" spans="1:13">
      <c r="A380" s="9">
        <v>45405</v>
      </c>
      <c r="B380" s="1">
        <f t="shared" si="10"/>
        <v>45383</v>
      </c>
      <c r="C380" s="5" t="str">
        <f t="shared" si="11"/>
        <v>2024-04</v>
      </c>
      <c r="D380" s="3">
        <v>505.65</v>
      </c>
      <c r="E380" s="3">
        <v>198.57</v>
      </c>
      <c r="F380" s="3">
        <v>89.03</v>
      </c>
      <c r="G380" s="3">
        <v>215.04</v>
      </c>
      <c r="H380" s="3">
        <v>80.430000000000007</v>
      </c>
      <c r="I380" s="2">
        <v>115.09</v>
      </c>
      <c r="J380" s="2">
        <v>766.62</v>
      </c>
      <c r="K380" s="2">
        <v>460.08</v>
      </c>
      <c r="L380" s="3">
        <v>141.30000000000001</v>
      </c>
      <c r="M380" s="2">
        <v>76.19</v>
      </c>
    </row>
    <row r="381" spans="1:13">
      <c r="A381" s="9">
        <v>45404</v>
      </c>
      <c r="B381" s="1">
        <f t="shared" si="10"/>
        <v>45383</v>
      </c>
      <c r="C381" s="5" t="str">
        <f t="shared" si="11"/>
        <v>2024-04</v>
      </c>
      <c r="D381" s="3">
        <v>499.72</v>
      </c>
      <c r="E381" s="3">
        <v>195.3</v>
      </c>
      <c r="F381" s="3">
        <v>89</v>
      </c>
      <c r="G381" s="3">
        <v>215.57</v>
      </c>
      <c r="H381" s="3">
        <v>79.7</v>
      </c>
      <c r="I381" s="2">
        <v>114.53</v>
      </c>
      <c r="J381" s="2">
        <v>760.11</v>
      </c>
      <c r="K381" s="2">
        <v>461.33</v>
      </c>
      <c r="L381" s="3">
        <v>139.47999999999999</v>
      </c>
      <c r="M381" s="2">
        <v>71.7</v>
      </c>
    </row>
    <row r="382" spans="1:13">
      <c r="A382" s="9">
        <v>45401</v>
      </c>
      <c r="B382" s="1">
        <f t="shared" si="10"/>
        <v>45383</v>
      </c>
      <c r="C382" s="5" t="str">
        <f t="shared" si="11"/>
        <v>2024-04</v>
      </c>
      <c r="D382" s="3">
        <v>495.16</v>
      </c>
      <c r="E382" s="3">
        <v>193.14</v>
      </c>
      <c r="F382" s="3">
        <v>89.15</v>
      </c>
      <c r="G382" s="3">
        <v>221.03</v>
      </c>
      <c r="H382" s="3">
        <v>79</v>
      </c>
      <c r="I382" s="2">
        <v>114.88</v>
      </c>
      <c r="J382" s="2">
        <v>749.98</v>
      </c>
      <c r="K382" s="2">
        <v>463.87</v>
      </c>
      <c r="L382" s="3">
        <v>138.94999999999999</v>
      </c>
      <c r="M382" s="2">
        <v>71.37</v>
      </c>
    </row>
    <row r="383" spans="1:13">
      <c r="A383" s="9">
        <v>45400</v>
      </c>
      <c r="B383" s="1">
        <f t="shared" si="10"/>
        <v>45383</v>
      </c>
      <c r="C383" s="5" t="str">
        <f t="shared" si="11"/>
        <v>2024-04</v>
      </c>
      <c r="D383" s="3">
        <v>499.52</v>
      </c>
      <c r="E383" s="3">
        <v>192.84</v>
      </c>
      <c r="F383" s="3">
        <v>88.83</v>
      </c>
      <c r="G383" s="3">
        <v>220.34</v>
      </c>
      <c r="H383" s="3">
        <v>78.62</v>
      </c>
      <c r="I383" s="2">
        <v>116</v>
      </c>
      <c r="J383" s="2">
        <v>747.3</v>
      </c>
      <c r="K383" s="2">
        <v>456.09</v>
      </c>
      <c r="L383" s="3">
        <v>138.43</v>
      </c>
      <c r="M383" s="2">
        <v>92.85</v>
      </c>
    </row>
    <row r="384" spans="1:13">
      <c r="A384" s="9">
        <v>45399</v>
      </c>
      <c r="B384" s="1">
        <f t="shared" si="10"/>
        <v>45383</v>
      </c>
      <c r="C384" s="5" t="str">
        <f t="shared" si="11"/>
        <v>2024-04</v>
      </c>
      <c r="D384" s="3">
        <v>500.55</v>
      </c>
      <c r="E384" s="3">
        <v>193</v>
      </c>
      <c r="F384" s="3">
        <v>89.28</v>
      </c>
      <c r="G384" s="3">
        <v>219.59</v>
      </c>
      <c r="H384" s="3">
        <v>78.61</v>
      </c>
      <c r="I384" s="2">
        <v>118.67</v>
      </c>
      <c r="J384" s="2">
        <v>753.79</v>
      </c>
      <c r="K384" s="2">
        <v>456.05</v>
      </c>
      <c r="L384" s="3">
        <v>138.44</v>
      </c>
      <c r="M384" s="2">
        <v>96.01</v>
      </c>
    </row>
    <row r="385" spans="1:13">
      <c r="A385" s="9">
        <v>45398</v>
      </c>
      <c r="B385" s="1">
        <f t="shared" si="10"/>
        <v>45383</v>
      </c>
      <c r="C385" s="5" t="str">
        <f t="shared" si="11"/>
        <v>2024-04</v>
      </c>
      <c r="D385" s="3">
        <v>503.53</v>
      </c>
      <c r="E385" s="3">
        <v>195.06</v>
      </c>
      <c r="F385" s="3">
        <v>88.3</v>
      </c>
      <c r="G385" s="3">
        <v>221.22</v>
      </c>
      <c r="H385" s="3">
        <v>79.19</v>
      </c>
      <c r="I385" s="2">
        <v>120.62</v>
      </c>
      <c r="J385" s="2">
        <v>749.67</v>
      </c>
      <c r="K385" s="2">
        <v>454.31</v>
      </c>
      <c r="L385" s="3">
        <v>138.68</v>
      </c>
      <c r="M385" s="2">
        <v>97.63</v>
      </c>
    </row>
    <row r="386" spans="1:13">
      <c r="A386" s="9">
        <v>45397</v>
      </c>
      <c r="B386" s="1">
        <f t="shared" ref="B386:B449" si="12">EOMONTH(A386,-1)+1</f>
        <v>45383</v>
      </c>
      <c r="C386" s="5" t="str">
        <f t="shared" si="11"/>
        <v>2024-04</v>
      </c>
      <c r="D386" s="3">
        <v>504.45</v>
      </c>
      <c r="E386" s="3">
        <v>195.78</v>
      </c>
      <c r="F386" s="3">
        <v>88.89</v>
      </c>
      <c r="G386" s="3">
        <v>220.95</v>
      </c>
      <c r="H386" s="3">
        <v>80.319999999999993</v>
      </c>
      <c r="I386" s="2">
        <v>119.88</v>
      </c>
      <c r="J386" s="2">
        <v>762.99</v>
      </c>
      <c r="K386" s="2">
        <v>453.08</v>
      </c>
      <c r="L386" s="3">
        <v>138.63</v>
      </c>
      <c r="M386" s="2">
        <v>88.28</v>
      </c>
    </row>
    <row r="387" spans="1:13">
      <c r="A387" s="9">
        <v>45394</v>
      </c>
      <c r="B387" s="1">
        <f t="shared" si="12"/>
        <v>45383</v>
      </c>
      <c r="C387" s="5" t="str">
        <f t="shared" ref="C387:C450" si="13">TEXT(A387, "yyyy-mm")</f>
        <v>2024-04</v>
      </c>
      <c r="D387" s="3">
        <v>510.85</v>
      </c>
      <c r="E387" s="3">
        <v>198.69</v>
      </c>
      <c r="F387" s="3">
        <v>90.29</v>
      </c>
      <c r="G387" s="3">
        <v>216.89</v>
      </c>
      <c r="H387" s="3">
        <v>81.709999999999994</v>
      </c>
      <c r="I387" s="2">
        <v>121.11</v>
      </c>
      <c r="J387" s="2">
        <v>763.4</v>
      </c>
      <c r="K387" s="2">
        <v>450.4</v>
      </c>
      <c r="L387" s="3">
        <v>138.91</v>
      </c>
      <c r="M387" s="2">
        <v>89.85</v>
      </c>
    </row>
    <row r="388" spans="1:13">
      <c r="A388" s="9">
        <v>45393</v>
      </c>
      <c r="B388" s="1">
        <f t="shared" si="12"/>
        <v>45383</v>
      </c>
      <c r="C388" s="5" t="str">
        <f t="shared" si="13"/>
        <v>2024-04</v>
      </c>
      <c r="D388" s="3">
        <v>518</v>
      </c>
      <c r="E388" s="3">
        <v>202.29</v>
      </c>
      <c r="F388" s="3">
        <v>89.81</v>
      </c>
      <c r="G388" s="3">
        <v>219.8</v>
      </c>
      <c r="H388" s="3">
        <v>82.69</v>
      </c>
      <c r="I388" s="2">
        <v>123.24</v>
      </c>
      <c r="J388" s="2">
        <v>785.96</v>
      </c>
      <c r="K388" s="2">
        <v>452.32</v>
      </c>
      <c r="L388" s="3">
        <v>141.01</v>
      </c>
      <c r="M388" s="2">
        <v>93.73</v>
      </c>
    </row>
    <row r="389" spans="1:13">
      <c r="A389" s="9">
        <v>45392</v>
      </c>
      <c r="B389" s="1">
        <f t="shared" si="12"/>
        <v>45383</v>
      </c>
      <c r="C389" s="5" t="str">
        <f t="shared" si="13"/>
        <v>2024-04</v>
      </c>
      <c r="D389" s="3">
        <v>514.12</v>
      </c>
      <c r="E389" s="3">
        <v>200.93</v>
      </c>
      <c r="F389" s="3">
        <v>90.22</v>
      </c>
      <c r="G389" s="3">
        <v>215.61</v>
      </c>
      <c r="H389" s="3">
        <v>82.41</v>
      </c>
      <c r="I389" s="2">
        <v>121.75</v>
      </c>
      <c r="J389" s="2">
        <v>783.65</v>
      </c>
      <c r="K389" s="2">
        <v>451.71</v>
      </c>
      <c r="L389" s="3">
        <v>141.59</v>
      </c>
      <c r="M389" s="2">
        <v>90.85</v>
      </c>
    </row>
    <row r="390" spans="1:13">
      <c r="A390" s="9">
        <v>45391</v>
      </c>
      <c r="B390" s="1">
        <f t="shared" si="12"/>
        <v>45383</v>
      </c>
      <c r="C390" s="5" t="str">
        <f t="shared" si="13"/>
        <v>2024-04</v>
      </c>
      <c r="D390" s="3">
        <v>519.32000000000005</v>
      </c>
      <c r="E390" s="3">
        <v>206.38</v>
      </c>
      <c r="F390" s="3">
        <v>92.23</v>
      </c>
      <c r="G390" s="3">
        <v>217.67</v>
      </c>
      <c r="H390" s="3">
        <v>85.97</v>
      </c>
      <c r="I390" s="2">
        <v>123.23</v>
      </c>
      <c r="J390" s="2">
        <v>803.9</v>
      </c>
      <c r="K390" s="2">
        <v>447.57</v>
      </c>
      <c r="L390" s="3">
        <v>143.27000000000001</v>
      </c>
      <c r="M390" s="2">
        <v>90.42</v>
      </c>
    </row>
    <row r="391" spans="1:13">
      <c r="A391" s="9">
        <v>45390</v>
      </c>
      <c r="B391" s="1">
        <f t="shared" si="12"/>
        <v>45383</v>
      </c>
      <c r="C391" s="5" t="str">
        <f t="shared" si="13"/>
        <v>2024-04</v>
      </c>
      <c r="D391" s="3">
        <v>518.72</v>
      </c>
      <c r="E391" s="3">
        <v>205.57</v>
      </c>
      <c r="F391" s="3">
        <v>91.38</v>
      </c>
      <c r="G391" s="3">
        <v>216.48</v>
      </c>
      <c r="H391" s="3">
        <v>84.84</v>
      </c>
      <c r="I391" s="2">
        <v>124.35</v>
      </c>
      <c r="J391" s="2">
        <v>803.32</v>
      </c>
      <c r="K391" s="2">
        <v>452.38</v>
      </c>
      <c r="L391" s="3">
        <v>142.76</v>
      </c>
      <c r="M391" s="2">
        <v>92.85</v>
      </c>
    </row>
    <row r="392" spans="1:13">
      <c r="A392" s="9">
        <v>45387</v>
      </c>
      <c r="B392" s="1">
        <f t="shared" si="12"/>
        <v>45383</v>
      </c>
      <c r="C392" s="5" t="str">
        <f t="shared" si="13"/>
        <v>2024-04</v>
      </c>
      <c r="D392" s="3">
        <v>518.42999999999995</v>
      </c>
      <c r="E392" s="3">
        <v>204.45</v>
      </c>
      <c r="F392" s="3">
        <v>91.39</v>
      </c>
      <c r="G392" s="3">
        <v>215.14</v>
      </c>
      <c r="H392" s="3">
        <v>83.94</v>
      </c>
      <c r="I392" s="2">
        <v>124.9</v>
      </c>
      <c r="J392" s="2">
        <v>797.56</v>
      </c>
      <c r="K392" s="2">
        <v>455.38</v>
      </c>
      <c r="L392" s="3">
        <v>143.22</v>
      </c>
      <c r="M392" s="2">
        <v>94.8</v>
      </c>
    </row>
    <row r="393" spans="1:13">
      <c r="A393" s="9">
        <v>45386</v>
      </c>
      <c r="B393" s="1">
        <f t="shared" si="12"/>
        <v>45383</v>
      </c>
      <c r="C393" s="5" t="str">
        <f t="shared" si="13"/>
        <v>2024-04</v>
      </c>
      <c r="D393" s="3">
        <v>513.07000000000005</v>
      </c>
      <c r="E393" s="3">
        <v>203.77</v>
      </c>
      <c r="F393" s="3">
        <v>92.68</v>
      </c>
      <c r="G393" s="3">
        <v>211.52</v>
      </c>
      <c r="H393" s="3">
        <v>83.51</v>
      </c>
      <c r="I393" s="2">
        <v>124.19</v>
      </c>
      <c r="J393" s="2">
        <v>792.09</v>
      </c>
      <c r="K393" s="2">
        <v>454.04</v>
      </c>
      <c r="L393" s="3">
        <v>141.94999999999999</v>
      </c>
      <c r="M393" s="2">
        <v>95.8</v>
      </c>
    </row>
    <row r="394" spans="1:13">
      <c r="A394" s="9">
        <v>45385</v>
      </c>
      <c r="B394" s="1">
        <f t="shared" si="12"/>
        <v>45383</v>
      </c>
      <c r="C394" s="5" t="str">
        <f t="shared" si="13"/>
        <v>2024-04</v>
      </c>
      <c r="D394" s="3">
        <v>519.41</v>
      </c>
      <c r="E394" s="3">
        <v>205.83</v>
      </c>
      <c r="F394" s="3">
        <v>92.02</v>
      </c>
      <c r="G394" s="3">
        <v>212.74</v>
      </c>
      <c r="H394" s="3">
        <v>84.05</v>
      </c>
      <c r="I394" s="2">
        <v>126.24</v>
      </c>
      <c r="J394" s="2">
        <v>814.8</v>
      </c>
      <c r="K394" s="2">
        <v>447.9</v>
      </c>
      <c r="L394" s="3">
        <v>144.03</v>
      </c>
      <c r="M394" s="2">
        <v>101.56</v>
      </c>
    </row>
    <row r="395" spans="1:13">
      <c r="A395" s="9">
        <v>45384</v>
      </c>
      <c r="B395" s="1">
        <f t="shared" si="12"/>
        <v>45383</v>
      </c>
      <c r="C395" s="5" t="str">
        <f t="shared" si="13"/>
        <v>2024-04</v>
      </c>
      <c r="D395" s="3">
        <v>518.84</v>
      </c>
      <c r="E395" s="3">
        <v>204.49</v>
      </c>
      <c r="F395" s="3">
        <v>92.04</v>
      </c>
      <c r="G395" s="3">
        <v>210.89</v>
      </c>
      <c r="H395" s="3">
        <v>83.96</v>
      </c>
      <c r="I395" s="2">
        <v>124.34</v>
      </c>
      <c r="J395" s="2">
        <v>816.59</v>
      </c>
      <c r="K395" s="2">
        <v>453.24</v>
      </c>
      <c r="L395" s="3">
        <v>144.19</v>
      </c>
      <c r="M395" s="2">
        <v>100.99</v>
      </c>
    </row>
    <row r="396" spans="1:13">
      <c r="A396" s="9">
        <v>45383</v>
      </c>
      <c r="B396" s="1">
        <f t="shared" si="12"/>
        <v>45383</v>
      </c>
      <c r="C396" s="5" t="str">
        <f t="shared" si="13"/>
        <v>2024-04</v>
      </c>
      <c r="D396" s="3">
        <v>522.16</v>
      </c>
      <c r="E396" s="3">
        <v>208.32</v>
      </c>
      <c r="F396" s="3">
        <v>92.55</v>
      </c>
      <c r="G396" s="3">
        <v>207.82</v>
      </c>
      <c r="H396" s="3">
        <v>85.03</v>
      </c>
      <c r="I396" s="2">
        <v>125.48</v>
      </c>
      <c r="J396" s="2">
        <v>826.77</v>
      </c>
      <c r="K396" s="2">
        <v>452.79</v>
      </c>
      <c r="L396" s="3">
        <v>146.47</v>
      </c>
      <c r="M396" s="2">
        <v>103.72</v>
      </c>
    </row>
    <row r="397" spans="1:13">
      <c r="A397" s="9">
        <v>45379</v>
      </c>
      <c r="B397" s="1">
        <f t="shared" si="12"/>
        <v>45352</v>
      </c>
      <c r="C397" s="5" t="str">
        <f t="shared" si="13"/>
        <v>2024-03</v>
      </c>
      <c r="D397" s="3">
        <v>523.07000000000005</v>
      </c>
      <c r="E397" s="3">
        <v>210.3</v>
      </c>
      <c r="F397" s="3">
        <v>94.62</v>
      </c>
      <c r="G397" s="3">
        <v>205.72</v>
      </c>
      <c r="H397" s="3">
        <v>86.48</v>
      </c>
      <c r="I397" s="2">
        <v>125.61</v>
      </c>
      <c r="J397" s="2">
        <v>833.7</v>
      </c>
      <c r="K397" s="2">
        <v>454.87</v>
      </c>
      <c r="L397" s="3">
        <v>147.72999999999999</v>
      </c>
      <c r="M397" s="2">
        <v>101</v>
      </c>
    </row>
    <row r="398" spans="1:13">
      <c r="A398" s="9">
        <v>45378</v>
      </c>
      <c r="B398" s="1">
        <f t="shared" si="12"/>
        <v>45352</v>
      </c>
      <c r="C398" s="5" t="str">
        <f t="shared" si="13"/>
        <v>2024-03</v>
      </c>
      <c r="D398" s="3">
        <v>523.16999999999996</v>
      </c>
      <c r="E398" s="3">
        <v>209.64</v>
      </c>
      <c r="F398" s="3">
        <v>94.7</v>
      </c>
      <c r="G398" s="3">
        <v>203.1</v>
      </c>
      <c r="H398" s="3">
        <v>85.87</v>
      </c>
      <c r="I398" s="2">
        <v>125.27</v>
      </c>
      <c r="J398" s="2">
        <v>835.12</v>
      </c>
      <c r="K398" s="2">
        <v>456.78</v>
      </c>
      <c r="L398" s="3">
        <v>147.71</v>
      </c>
      <c r="M398" s="2">
        <v>102.33</v>
      </c>
    </row>
    <row r="399" spans="1:13">
      <c r="A399" s="9">
        <v>45377</v>
      </c>
      <c r="B399" s="1">
        <f t="shared" si="12"/>
        <v>45352</v>
      </c>
      <c r="C399" s="5" t="str">
        <f t="shared" si="13"/>
        <v>2024-03</v>
      </c>
      <c r="D399" s="3">
        <v>518.80999999999995</v>
      </c>
      <c r="E399" s="3">
        <v>205.17</v>
      </c>
      <c r="F399" s="3">
        <v>93.77</v>
      </c>
      <c r="G399" s="3">
        <v>201.64</v>
      </c>
      <c r="H399" s="3">
        <v>83.71</v>
      </c>
      <c r="I399" s="2">
        <v>126.47</v>
      </c>
      <c r="J399" s="2">
        <v>820.2</v>
      </c>
      <c r="K399" s="2">
        <v>445.99</v>
      </c>
      <c r="L399" s="3">
        <v>145.77000000000001</v>
      </c>
      <c r="M399" s="2">
        <v>102.51</v>
      </c>
    </row>
    <row r="400" spans="1:13">
      <c r="A400" s="9">
        <v>45376</v>
      </c>
      <c r="B400" s="1">
        <f t="shared" si="12"/>
        <v>45352</v>
      </c>
      <c r="C400" s="5" t="str">
        <f t="shared" si="13"/>
        <v>2024-03</v>
      </c>
      <c r="D400" s="3">
        <v>519.77</v>
      </c>
      <c r="E400" s="3">
        <v>205.54</v>
      </c>
      <c r="F400" s="3">
        <v>93.51</v>
      </c>
      <c r="G400" s="3">
        <v>200.99</v>
      </c>
      <c r="H400" s="3">
        <v>84.05</v>
      </c>
      <c r="I400" s="2">
        <v>126.08</v>
      </c>
      <c r="J400" s="2">
        <v>816.21</v>
      </c>
      <c r="K400" s="2">
        <v>446.31</v>
      </c>
      <c r="L400" s="3">
        <v>145.24</v>
      </c>
      <c r="M400" s="2">
        <v>104.28</v>
      </c>
    </row>
    <row r="401" spans="1:13">
      <c r="A401" s="9">
        <v>45373</v>
      </c>
      <c r="B401" s="1">
        <f t="shared" si="12"/>
        <v>45352</v>
      </c>
      <c r="C401" s="5" t="str">
        <f t="shared" si="13"/>
        <v>2024-03</v>
      </c>
      <c r="D401" s="3">
        <v>521.21</v>
      </c>
      <c r="E401" s="3">
        <v>205.07</v>
      </c>
      <c r="F401" s="3">
        <v>93.98</v>
      </c>
      <c r="G401" s="3">
        <v>200.35</v>
      </c>
      <c r="H401" s="3">
        <v>84.57</v>
      </c>
      <c r="I401" s="2">
        <v>127.79</v>
      </c>
      <c r="J401" s="2">
        <v>824.83</v>
      </c>
      <c r="K401" s="2">
        <v>445.88</v>
      </c>
      <c r="L401" s="3">
        <v>145.44</v>
      </c>
      <c r="M401" s="2">
        <v>97.27</v>
      </c>
    </row>
    <row r="402" spans="1:13">
      <c r="A402" s="9">
        <v>45372</v>
      </c>
      <c r="B402" s="1">
        <f t="shared" si="12"/>
        <v>45352</v>
      </c>
      <c r="C402" s="5" t="str">
        <f t="shared" si="13"/>
        <v>2024-03</v>
      </c>
      <c r="D402" s="3">
        <v>522.20000000000005</v>
      </c>
      <c r="E402" s="3">
        <v>207.94</v>
      </c>
      <c r="F402" s="3">
        <v>93.09</v>
      </c>
      <c r="G402" s="3">
        <v>201.97</v>
      </c>
      <c r="H402" s="3">
        <v>86.38</v>
      </c>
      <c r="I402" s="2">
        <v>129.01</v>
      </c>
      <c r="J402" s="2">
        <v>842.06</v>
      </c>
      <c r="K402" s="2">
        <v>443.16</v>
      </c>
      <c r="L402" s="3">
        <v>145.63999999999999</v>
      </c>
      <c r="M402" s="2">
        <v>97.16</v>
      </c>
    </row>
    <row r="403" spans="1:13">
      <c r="A403" s="9">
        <v>45371</v>
      </c>
      <c r="B403" s="1">
        <f t="shared" si="12"/>
        <v>45352</v>
      </c>
      <c r="C403" s="5" t="str">
        <f t="shared" si="13"/>
        <v>2024-03</v>
      </c>
      <c r="D403" s="3">
        <v>520.48</v>
      </c>
      <c r="E403" s="3">
        <v>206.1</v>
      </c>
      <c r="F403" s="3">
        <v>92.89</v>
      </c>
      <c r="G403" s="3">
        <v>202.18</v>
      </c>
      <c r="H403" s="3">
        <v>85.76</v>
      </c>
      <c r="I403" s="2">
        <v>129.24</v>
      </c>
      <c r="J403" s="2">
        <v>817.89</v>
      </c>
      <c r="K403" s="2">
        <v>440.41</v>
      </c>
      <c r="L403" s="3">
        <v>145.44999999999999</v>
      </c>
      <c r="M403" s="2">
        <v>89.65</v>
      </c>
    </row>
    <row r="404" spans="1:13">
      <c r="A404" s="9">
        <v>45370</v>
      </c>
      <c r="B404" s="1">
        <f t="shared" si="12"/>
        <v>45352</v>
      </c>
      <c r="C404" s="5" t="str">
        <f t="shared" si="13"/>
        <v>2024-03</v>
      </c>
      <c r="D404" s="3">
        <v>515.71</v>
      </c>
      <c r="E404" s="3">
        <v>202.1</v>
      </c>
      <c r="F404" s="3">
        <v>92.92</v>
      </c>
      <c r="G404" s="3">
        <v>199.8</v>
      </c>
      <c r="H404" s="3">
        <v>85.2</v>
      </c>
      <c r="I404" s="2">
        <v>129.19</v>
      </c>
      <c r="J404" s="2">
        <v>802.3</v>
      </c>
      <c r="K404" s="2">
        <v>437.19</v>
      </c>
      <c r="L404" s="3">
        <v>145.78</v>
      </c>
      <c r="M404" s="2">
        <v>91.1</v>
      </c>
    </row>
    <row r="405" spans="1:13">
      <c r="A405" s="9">
        <v>45369</v>
      </c>
      <c r="B405" s="1">
        <f t="shared" si="12"/>
        <v>45352</v>
      </c>
      <c r="C405" s="5" t="str">
        <f t="shared" si="13"/>
        <v>2024-03</v>
      </c>
      <c r="D405" s="3">
        <v>512.86</v>
      </c>
      <c r="E405" s="3">
        <v>201.25</v>
      </c>
      <c r="F405" s="3">
        <v>92.66</v>
      </c>
      <c r="G405" s="3">
        <v>200.03</v>
      </c>
      <c r="H405" s="3">
        <v>85.23</v>
      </c>
      <c r="I405" s="2">
        <v>127.8</v>
      </c>
      <c r="J405" s="2">
        <v>800.25</v>
      </c>
      <c r="K405" s="2">
        <v>433.2</v>
      </c>
      <c r="L405" s="3">
        <v>144.82</v>
      </c>
      <c r="M405" s="2">
        <v>100.07</v>
      </c>
    </row>
    <row r="406" spans="1:13">
      <c r="A406" s="9">
        <v>45366</v>
      </c>
      <c r="B406" s="1">
        <f t="shared" si="12"/>
        <v>45352</v>
      </c>
      <c r="C406" s="5" t="str">
        <f t="shared" si="13"/>
        <v>2024-03</v>
      </c>
      <c r="D406" s="3">
        <v>509.83</v>
      </c>
      <c r="E406" s="3">
        <v>202.41</v>
      </c>
      <c r="F406" s="3">
        <v>92.94</v>
      </c>
      <c r="G406" s="3">
        <v>199.71</v>
      </c>
      <c r="H406" s="3">
        <v>85.19</v>
      </c>
      <c r="I406" s="2">
        <v>125.54</v>
      </c>
      <c r="J406" s="2">
        <v>802.52</v>
      </c>
      <c r="K406" s="2">
        <v>435.82</v>
      </c>
      <c r="L406" s="3">
        <v>145.36000000000001</v>
      </c>
      <c r="M406" s="2">
        <v>106.88</v>
      </c>
    </row>
    <row r="407" spans="1:13">
      <c r="A407" s="9">
        <v>45365</v>
      </c>
      <c r="B407" s="1">
        <f t="shared" si="12"/>
        <v>45352</v>
      </c>
      <c r="C407" s="5" t="str">
        <f t="shared" si="13"/>
        <v>2024-03</v>
      </c>
      <c r="D407" s="3">
        <v>514.95000000000005</v>
      </c>
      <c r="E407" s="3">
        <v>202.03</v>
      </c>
      <c r="F407" s="3">
        <v>92.97</v>
      </c>
      <c r="G407" s="3">
        <v>200.35</v>
      </c>
      <c r="H407" s="3">
        <v>85.38</v>
      </c>
      <c r="I407" s="2">
        <v>125.53</v>
      </c>
      <c r="J407" s="2">
        <v>808.8</v>
      </c>
      <c r="K407" s="2">
        <v>435.77</v>
      </c>
      <c r="L407" s="3">
        <v>145.94</v>
      </c>
      <c r="M407" s="2">
        <v>113.01</v>
      </c>
    </row>
    <row r="408" spans="1:13">
      <c r="A408" s="9">
        <v>45364</v>
      </c>
      <c r="B408" s="1">
        <f t="shared" si="12"/>
        <v>45352</v>
      </c>
      <c r="C408" s="5" t="str">
        <f t="shared" si="13"/>
        <v>2024-03</v>
      </c>
      <c r="D408" s="3">
        <v>515.97</v>
      </c>
      <c r="E408" s="3">
        <v>205.71</v>
      </c>
      <c r="F408" s="3">
        <v>94.42</v>
      </c>
      <c r="G408" s="3">
        <v>201.19</v>
      </c>
      <c r="H408" s="3">
        <v>86.68</v>
      </c>
      <c r="I408" s="2">
        <v>125.52</v>
      </c>
      <c r="J408" s="2">
        <v>825.99</v>
      </c>
      <c r="K408" s="2">
        <v>434.6</v>
      </c>
      <c r="L408" s="3">
        <v>146.46</v>
      </c>
      <c r="M408" s="2">
        <v>118.81</v>
      </c>
    </row>
    <row r="409" spans="1:13">
      <c r="A409" s="9">
        <v>45363</v>
      </c>
      <c r="B409" s="1">
        <f t="shared" si="12"/>
        <v>45352</v>
      </c>
      <c r="C409" s="5" t="str">
        <f t="shared" si="13"/>
        <v>2024-03</v>
      </c>
      <c r="D409" s="3">
        <v>516.78</v>
      </c>
      <c r="E409" s="3">
        <v>204.91</v>
      </c>
      <c r="F409" s="3">
        <v>94.88</v>
      </c>
      <c r="G409" s="3">
        <v>199.79</v>
      </c>
      <c r="H409" s="3">
        <v>87.12</v>
      </c>
      <c r="I409" s="2">
        <v>127.54</v>
      </c>
      <c r="J409" s="2">
        <v>829.59</v>
      </c>
      <c r="K409" s="2">
        <v>434.91</v>
      </c>
      <c r="L409" s="3">
        <v>147.03</v>
      </c>
      <c r="M409" s="2">
        <v>116.3</v>
      </c>
    </row>
    <row r="410" spans="1:13">
      <c r="A410" s="9">
        <v>45362</v>
      </c>
      <c r="B410" s="1">
        <f t="shared" si="12"/>
        <v>45352</v>
      </c>
      <c r="C410" s="5" t="str">
        <f t="shared" si="13"/>
        <v>2024-03</v>
      </c>
      <c r="D410" s="3">
        <v>511.28</v>
      </c>
      <c r="E410" s="3">
        <v>205.19</v>
      </c>
      <c r="F410" s="3">
        <v>95.68</v>
      </c>
      <c r="G410" s="3">
        <v>202</v>
      </c>
      <c r="H410" s="3">
        <v>87.31</v>
      </c>
      <c r="I410" s="2">
        <v>114.13</v>
      </c>
      <c r="J410" s="2">
        <v>825.16</v>
      </c>
      <c r="K410" s="2">
        <v>434.75</v>
      </c>
      <c r="L410" s="3">
        <v>146.35</v>
      </c>
      <c r="M410" s="2">
        <v>108.02</v>
      </c>
    </row>
    <row r="411" spans="1:13">
      <c r="A411" s="9">
        <v>45359</v>
      </c>
      <c r="B411" s="1">
        <f t="shared" si="12"/>
        <v>45352</v>
      </c>
      <c r="C411" s="5" t="str">
        <f t="shared" si="13"/>
        <v>2024-03</v>
      </c>
      <c r="D411" s="3">
        <v>511.72</v>
      </c>
      <c r="E411" s="3">
        <v>206.83</v>
      </c>
      <c r="F411" s="3">
        <v>95.73</v>
      </c>
      <c r="G411" s="3">
        <v>201.63</v>
      </c>
      <c r="H411" s="3">
        <v>87.73</v>
      </c>
      <c r="I411" s="2">
        <v>112.42</v>
      </c>
      <c r="J411" s="2">
        <v>836.12</v>
      </c>
      <c r="K411" s="2">
        <v>432.9</v>
      </c>
      <c r="L411" s="3">
        <v>146.43</v>
      </c>
      <c r="M411" s="2">
        <v>114</v>
      </c>
    </row>
    <row r="412" spans="1:13">
      <c r="A412" s="9">
        <v>45358</v>
      </c>
      <c r="B412" s="1">
        <f t="shared" si="12"/>
        <v>45352</v>
      </c>
      <c r="C412" s="5" t="str">
        <f t="shared" si="13"/>
        <v>2024-03</v>
      </c>
      <c r="D412" s="3">
        <v>514.80999999999995</v>
      </c>
      <c r="E412" s="3">
        <v>206.96</v>
      </c>
      <c r="F412" s="3">
        <v>95.9</v>
      </c>
      <c r="G412" s="3">
        <v>199.94</v>
      </c>
      <c r="H412" s="3">
        <v>86.73</v>
      </c>
      <c r="I412" s="2">
        <v>114.54</v>
      </c>
      <c r="J412" s="2">
        <v>831.7</v>
      </c>
      <c r="K412" s="2">
        <v>429.99</v>
      </c>
      <c r="L412" s="3">
        <v>146.69999999999999</v>
      </c>
      <c r="M412" s="2">
        <v>115.98</v>
      </c>
    </row>
    <row r="413" spans="1:13">
      <c r="A413" s="9">
        <v>45357</v>
      </c>
      <c r="B413" s="1">
        <f t="shared" si="12"/>
        <v>45352</v>
      </c>
      <c r="C413" s="5" t="str">
        <f t="shared" si="13"/>
        <v>2024-03</v>
      </c>
      <c r="D413" s="3">
        <v>509.75</v>
      </c>
      <c r="E413" s="3">
        <v>205.25</v>
      </c>
      <c r="F413" s="3">
        <v>95.99</v>
      </c>
      <c r="G413" s="3">
        <v>198.81</v>
      </c>
      <c r="H413" s="3">
        <v>86.75</v>
      </c>
      <c r="I413" s="2">
        <v>112.27</v>
      </c>
      <c r="J413" s="2">
        <v>830.4</v>
      </c>
      <c r="K413" s="2">
        <v>433.48</v>
      </c>
      <c r="L413" s="3">
        <v>146.02000000000001</v>
      </c>
      <c r="M413" s="2">
        <v>112.47</v>
      </c>
    </row>
    <row r="414" spans="1:13">
      <c r="A414" s="9">
        <v>45356</v>
      </c>
      <c r="B414" s="1">
        <f t="shared" si="12"/>
        <v>45352</v>
      </c>
      <c r="C414" s="5" t="str">
        <f t="shared" si="13"/>
        <v>2024-03</v>
      </c>
      <c r="D414" s="3">
        <v>507.18</v>
      </c>
      <c r="E414" s="3">
        <v>203.73</v>
      </c>
      <c r="F414" s="3">
        <v>95.43</v>
      </c>
      <c r="G414" s="3">
        <v>197.19</v>
      </c>
      <c r="H414" s="3">
        <v>86.32</v>
      </c>
      <c r="I414" s="2">
        <v>110.94</v>
      </c>
      <c r="J414" s="2">
        <v>826.94</v>
      </c>
      <c r="K414" s="2">
        <v>431.98</v>
      </c>
      <c r="L414" s="3">
        <v>145.03</v>
      </c>
      <c r="M414" s="2">
        <v>109.08</v>
      </c>
    </row>
    <row r="415" spans="1:13">
      <c r="A415" s="9">
        <v>45355</v>
      </c>
      <c r="B415" s="1">
        <f t="shared" si="12"/>
        <v>45352</v>
      </c>
      <c r="C415" s="5" t="str">
        <f t="shared" si="13"/>
        <v>2024-03</v>
      </c>
      <c r="D415" s="3">
        <v>512.29999999999995</v>
      </c>
      <c r="E415" s="3">
        <v>205.7</v>
      </c>
      <c r="F415" s="3">
        <v>94.09</v>
      </c>
      <c r="G415" s="3">
        <v>196.01</v>
      </c>
      <c r="H415" s="3">
        <v>87.38</v>
      </c>
      <c r="I415" s="2">
        <v>114.06</v>
      </c>
      <c r="J415" s="2">
        <v>834.47</v>
      </c>
      <c r="K415" s="2">
        <v>431.94</v>
      </c>
      <c r="L415" s="3">
        <v>146.12</v>
      </c>
      <c r="M415" s="2">
        <v>107.43</v>
      </c>
    </row>
    <row r="416" spans="1:13">
      <c r="A416" s="9">
        <v>45352</v>
      </c>
      <c r="B416" s="1">
        <f t="shared" si="12"/>
        <v>45352</v>
      </c>
      <c r="C416" s="5" t="str">
        <f t="shared" si="13"/>
        <v>2024-03</v>
      </c>
      <c r="D416" s="3">
        <v>512.85</v>
      </c>
      <c r="E416" s="3">
        <v>205.89</v>
      </c>
      <c r="F416" s="3">
        <v>94.47</v>
      </c>
      <c r="G416" s="3">
        <v>192.89</v>
      </c>
      <c r="H416" s="3">
        <v>86.57</v>
      </c>
      <c r="I416" s="2">
        <v>113.78</v>
      </c>
      <c r="J416" s="2">
        <v>814.83</v>
      </c>
      <c r="K416" s="2">
        <v>426.46</v>
      </c>
      <c r="L416" s="3">
        <v>146.34</v>
      </c>
      <c r="M416" s="2">
        <v>90.55</v>
      </c>
    </row>
    <row r="417" spans="1:13">
      <c r="A417" s="9">
        <v>45351</v>
      </c>
      <c r="B417" s="1">
        <f t="shared" si="12"/>
        <v>45323</v>
      </c>
      <c r="C417" s="5" t="str">
        <f t="shared" si="13"/>
        <v>2024-02</v>
      </c>
      <c r="D417" s="3">
        <v>508.08</v>
      </c>
      <c r="E417" s="3">
        <v>203.73</v>
      </c>
      <c r="F417" s="3">
        <v>94.18</v>
      </c>
      <c r="G417" s="3">
        <v>189.31</v>
      </c>
      <c r="H417" s="3">
        <v>85.55</v>
      </c>
      <c r="I417" s="2">
        <v>111.68</v>
      </c>
      <c r="J417" s="2">
        <v>811.34</v>
      </c>
      <c r="K417" s="2">
        <v>428.24</v>
      </c>
      <c r="L417" s="3">
        <v>144.82</v>
      </c>
      <c r="M417" s="2">
        <v>86.61</v>
      </c>
    </row>
    <row r="418" spans="1:13">
      <c r="A418" s="9">
        <v>45350</v>
      </c>
      <c r="B418" s="1">
        <f t="shared" si="12"/>
        <v>45323</v>
      </c>
      <c r="C418" s="5" t="str">
        <f t="shared" si="13"/>
        <v>2024-02</v>
      </c>
      <c r="D418" s="3">
        <v>506.26</v>
      </c>
      <c r="E418" s="3">
        <v>202.32</v>
      </c>
      <c r="F418" s="3">
        <v>93.52</v>
      </c>
      <c r="G418" s="3">
        <v>188.34</v>
      </c>
      <c r="H418" s="3">
        <v>84.83</v>
      </c>
      <c r="I418" s="2">
        <v>111.68</v>
      </c>
      <c r="J418" s="2">
        <v>809.66</v>
      </c>
      <c r="K418" s="2">
        <v>432.48</v>
      </c>
      <c r="L418" s="3">
        <v>146.01</v>
      </c>
      <c r="M418" s="2">
        <v>81.650000000000006</v>
      </c>
    </row>
    <row r="419" spans="1:13">
      <c r="A419" s="9">
        <v>45349</v>
      </c>
      <c r="B419" s="1">
        <f t="shared" si="12"/>
        <v>45323</v>
      </c>
      <c r="C419" s="5" t="str">
        <f t="shared" si="13"/>
        <v>2024-02</v>
      </c>
      <c r="D419" s="3">
        <v>506.93</v>
      </c>
      <c r="E419" s="3">
        <v>204</v>
      </c>
      <c r="F419" s="3">
        <v>92.93</v>
      </c>
      <c r="G419" s="3">
        <v>188</v>
      </c>
      <c r="H419" s="3">
        <v>83.98</v>
      </c>
      <c r="I419" s="2">
        <v>111.38</v>
      </c>
      <c r="J419" s="2">
        <v>800.54</v>
      </c>
      <c r="K419" s="2">
        <v>430.43</v>
      </c>
      <c r="L419" s="3">
        <v>146.74</v>
      </c>
      <c r="M419" s="2">
        <v>85.11</v>
      </c>
    </row>
    <row r="420" spans="1:13">
      <c r="A420" s="9">
        <v>45348</v>
      </c>
      <c r="B420" s="1">
        <f t="shared" si="12"/>
        <v>45323</v>
      </c>
      <c r="C420" s="5" t="str">
        <f t="shared" si="13"/>
        <v>2024-02</v>
      </c>
      <c r="D420" s="3">
        <v>505.99</v>
      </c>
      <c r="E420" s="3">
        <v>201.15</v>
      </c>
      <c r="F420" s="3">
        <v>93.59</v>
      </c>
      <c r="G420" s="3">
        <v>188.2</v>
      </c>
      <c r="H420" s="3">
        <v>83.88</v>
      </c>
      <c r="I420" s="2">
        <v>110.97</v>
      </c>
      <c r="J420" s="2">
        <v>806.03</v>
      </c>
      <c r="K420" s="2">
        <v>429.18</v>
      </c>
      <c r="L420" s="3">
        <v>147.1</v>
      </c>
      <c r="M420" s="2">
        <v>87.63</v>
      </c>
    </row>
    <row r="421" spans="1:13">
      <c r="A421" s="9">
        <v>45345</v>
      </c>
      <c r="B421" s="1">
        <f t="shared" si="12"/>
        <v>45323</v>
      </c>
      <c r="C421" s="5" t="str">
        <f t="shared" si="13"/>
        <v>2024-02</v>
      </c>
      <c r="D421" s="3">
        <v>507.85</v>
      </c>
      <c r="E421" s="3">
        <v>199.89</v>
      </c>
      <c r="F421" s="3">
        <v>93.87</v>
      </c>
      <c r="G421" s="3">
        <v>188.62</v>
      </c>
      <c r="H421" s="3">
        <v>84.81</v>
      </c>
      <c r="I421" s="2">
        <v>111.95</v>
      </c>
      <c r="J421" s="2">
        <v>813.59</v>
      </c>
      <c r="K421" s="2">
        <v>431.12</v>
      </c>
      <c r="L421" s="3">
        <v>147.86000000000001</v>
      </c>
      <c r="M421" s="2">
        <v>86</v>
      </c>
    </row>
    <row r="422" spans="1:13">
      <c r="A422" s="9">
        <v>45344</v>
      </c>
      <c r="B422" s="1">
        <f t="shared" si="12"/>
        <v>45323</v>
      </c>
      <c r="C422" s="5" t="str">
        <f t="shared" si="13"/>
        <v>2024-02</v>
      </c>
      <c r="D422" s="3">
        <v>507.5</v>
      </c>
      <c r="E422" s="3">
        <v>199.44</v>
      </c>
      <c r="F422" s="3">
        <v>92.63</v>
      </c>
      <c r="G422" s="3">
        <v>187.56</v>
      </c>
      <c r="H422" s="3">
        <v>84.85</v>
      </c>
      <c r="I422" s="2">
        <v>111.01</v>
      </c>
      <c r="J422" s="2">
        <v>813.44</v>
      </c>
      <c r="K422" s="2">
        <v>428.89</v>
      </c>
      <c r="L422" s="3">
        <v>147.16</v>
      </c>
      <c r="M422" s="2">
        <v>97.55</v>
      </c>
    </row>
    <row r="423" spans="1:13">
      <c r="A423" s="9">
        <v>45343</v>
      </c>
      <c r="B423" s="1">
        <f t="shared" si="12"/>
        <v>45323</v>
      </c>
      <c r="C423" s="5" t="str">
        <f t="shared" si="13"/>
        <v>2024-02</v>
      </c>
      <c r="D423" s="3">
        <v>497.21</v>
      </c>
      <c r="E423" s="3">
        <v>197.94</v>
      </c>
      <c r="F423" s="3">
        <v>92.18</v>
      </c>
      <c r="G423" s="3">
        <v>187.48</v>
      </c>
      <c r="H423" s="3">
        <v>84.69</v>
      </c>
      <c r="I423" s="2">
        <v>108.16</v>
      </c>
      <c r="J423" s="2">
        <v>805.45</v>
      </c>
      <c r="K423" s="2">
        <v>427.55</v>
      </c>
      <c r="L423" s="3">
        <v>145.44999999999999</v>
      </c>
      <c r="M423" s="2">
        <v>73.42</v>
      </c>
    </row>
    <row r="424" spans="1:13">
      <c r="A424" s="9">
        <v>45342</v>
      </c>
      <c r="B424" s="1">
        <f t="shared" si="12"/>
        <v>45323</v>
      </c>
      <c r="C424" s="5" t="str">
        <f t="shared" si="13"/>
        <v>2024-02</v>
      </c>
      <c r="D424" s="3">
        <v>496.76</v>
      </c>
      <c r="E424" s="3">
        <v>198.88</v>
      </c>
      <c r="F424" s="3">
        <v>92.84</v>
      </c>
      <c r="G424" s="3">
        <v>187.47</v>
      </c>
      <c r="H424" s="3">
        <v>84.22</v>
      </c>
      <c r="I424" s="2">
        <v>108.45</v>
      </c>
      <c r="J424" s="2">
        <v>798.11</v>
      </c>
      <c r="K424" s="2">
        <v>424.27</v>
      </c>
      <c r="L424" s="3">
        <v>145.13</v>
      </c>
      <c r="M424" s="2">
        <v>78.760000000000005</v>
      </c>
    </row>
    <row r="425" spans="1:13">
      <c r="A425" s="9">
        <v>45338</v>
      </c>
      <c r="B425" s="1">
        <f t="shared" si="12"/>
        <v>45323</v>
      </c>
      <c r="C425" s="5" t="str">
        <f t="shared" si="13"/>
        <v>2024-02</v>
      </c>
      <c r="D425" s="3">
        <v>499.51</v>
      </c>
      <c r="E425" s="3">
        <v>201.66</v>
      </c>
      <c r="F425" s="3">
        <v>92.76</v>
      </c>
      <c r="G425" s="3">
        <v>186.34</v>
      </c>
      <c r="H425" s="3">
        <v>84.37</v>
      </c>
      <c r="I425" s="2">
        <v>111.31</v>
      </c>
      <c r="J425" s="2">
        <v>794</v>
      </c>
      <c r="K425" s="2">
        <v>424.07</v>
      </c>
      <c r="L425" s="3">
        <v>145.62</v>
      </c>
      <c r="M425" s="2">
        <v>80.33</v>
      </c>
    </row>
    <row r="426" spans="1:13">
      <c r="A426" s="9">
        <v>45337</v>
      </c>
      <c r="B426" s="1">
        <f t="shared" si="12"/>
        <v>45323</v>
      </c>
      <c r="C426" s="5" t="str">
        <f t="shared" si="13"/>
        <v>2024-02</v>
      </c>
      <c r="D426" s="3">
        <v>502.01</v>
      </c>
      <c r="E426" s="3">
        <v>204.44</v>
      </c>
      <c r="F426" s="3">
        <v>93.3</v>
      </c>
      <c r="G426" s="3">
        <v>185.66</v>
      </c>
      <c r="H426" s="3">
        <v>85.25</v>
      </c>
      <c r="I426" s="2">
        <v>112.78</v>
      </c>
      <c r="J426" s="2">
        <v>798.05</v>
      </c>
      <c r="K426" s="2">
        <v>423.12</v>
      </c>
      <c r="L426" s="3">
        <v>145.15</v>
      </c>
      <c r="M426" s="2">
        <v>100.4</v>
      </c>
    </row>
    <row r="427" spans="1:13">
      <c r="A427" s="9">
        <v>45336</v>
      </c>
      <c r="B427" s="1">
        <f t="shared" si="12"/>
        <v>45323</v>
      </c>
      <c r="C427" s="5" t="str">
        <f t="shared" si="13"/>
        <v>2024-02</v>
      </c>
      <c r="D427" s="3">
        <v>498.57</v>
      </c>
      <c r="E427" s="3">
        <v>199.13</v>
      </c>
      <c r="F427" s="3">
        <v>92.82</v>
      </c>
      <c r="G427" s="3">
        <v>184.42</v>
      </c>
      <c r="H427" s="3">
        <v>83.31</v>
      </c>
      <c r="I427" s="2">
        <v>114.26</v>
      </c>
      <c r="J427" s="2">
        <v>785.4</v>
      </c>
      <c r="K427" s="2">
        <v>418.19</v>
      </c>
      <c r="L427" s="3">
        <v>144.1</v>
      </c>
      <c r="M427" s="2">
        <v>88.06</v>
      </c>
    </row>
    <row r="428" spans="1:13">
      <c r="A428" s="9">
        <v>45335</v>
      </c>
      <c r="B428" s="1">
        <f t="shared" si="12"/>
        <v>45323</v>
      </c>
      <c r="C428" s="5" t="str">
        <f t="shared" si="13"/>
        <v>2024-02</v>
      </c>
      <c r="D428" s="3">
        <v>494.08</v>
      </c>
      <c r="E428" s="3">
        <v>194.61</v>
      </c>
      <c r="F428" s="3">
        <v>92.35</v>
      </c>
      <c r="G428" s="3">
        <v>184.53</v>
      </c>
      <c r="H428" s="3">
        <v>82.66</v>
      </c>
      <c r="I428" s="2">
        <v>113.68</v>
      </c>
      <c r="J428" s="2">
        <v>778.07</v>
      </c>
      <c r="K428" s="2">
        <v>426.52</v>
      </c>
      <c r="L428" s="3">
        <v>142.86000000000001</v>
      </c>
      <c r="M428" s="2">
        <v>79.150000000000006</v>
      </c>
    </row>
    <row r="429" spans="1:13">
      <c r="A429" s="9">
        <v>45334</v>
      </c>
      <c r="B429" s="1">
        <f t="shared" si="12"/>
        <v>45323</v>
      </c>
      <c r="C429" s="5" t="str">
        <f t="shared" si="13"/>
        <v>2024-02</v>
      </c>
      <c r="D429" s="3">
        <v>500.98</v>
      </c>
      <c r="E429" s="3">
        <v>202.96</v>
      </c>
      <c r="F429" s="3">
        <v>93.96</v>
      </c>
      <c r="G429" s="3">
        <v>187.11</v>
      </c>
      <c r="H429" s="3">
        <v>84.4</v>
      </c>
      <c r="I429" s="2">
        <v>115.84</v>
      </c>
      <c r="J429" s="2">
        <v>801.76</v>
      </c>
      <c r="K429" s="2">
        <v>428.07</v>
      </c>
      <c r="L429" s="3">
        <v>144.19999999999999</v>
      </c>
      <c r="M429" s="2">
        <v>77.3</v>
      </c>
    </row>
    <row r="430" spans="1:13">
      <c r="A430" s="9">
        <v>45331</v>
      </c>
      <c r="B430" s="1">
        <f t="shared" si="12"/>
        <v>45323</v>
      </c>
      <c r="C430" s="5" t="str">
        <f t="shared" si="13"/>
        <v>2024-02</v>
      </c>
      <c r="D430" s="3">
        <v>501.2</v>
      </c>
      <c r="E430" s="3">
        <v>199.34</v>
      </c>
      <c r="F430" s="3">
        <v>93.85</v>
      </c>
      <c r="G430" s="3">
        <v>187.6</v>
      </c>
      <c r="H430" s="3">
        <v>84.38</v>
      </c>
      <c r="I430" s="2">
        <v>116.64</v>
      </c>
      <c r="J430" s="2">
        <v>797.21</v>
      </c>
      <c r="K430" s="2">
        <v>426.5</v>
      </c>
      <c r="L430" s="3">
        <v>144.01</v>
      </c>
      <c r="M430" s="2">
        <v>74.03</v>
      </c>
    </row>
    <row r="431" spans="1:13">
      <c r="A431" s="9">
        <v>45330</v>
      </c>
      <c r="B431" s="1">
        <f t="shared" si="12"/>
        <v>45323</v>
      </c>
      <c r="C431" s="5" t="str">
        <f t="shared" si="13"/>
        <v>2024-02</v>
      </c>
      <c r="D431" s="3">
        <v>498.32</v>
      </c>
      <c r="E431" s="3">
        <v>196.15</v>
      </c>
      <c r="F431" s="3">
        <v>94.04</v>
      </c>
      <c r="G431" s="3">
        <v>188.33</v>
      </c>
      <c r="H431" s="3">
        <v>84.25</v>
      </c>
      <c r="I431" s="2">
        <v>116.68</v>
      </c>
      <c r="J431" s="2">
        <v>793.2</v>
      </c>
      <c r="K431" s="2">
        <v>427</v>
      </c>
      <c r="L431" s="3">
        <v>144.12</v>
      </c>
      <c r="M431" s="2">
        <v>69.8</v>
      </c>
    </row>
    <row r="432" spans="1:13">
      <c r="A432" s="9">
        <v>45329</v>
      </c>
      <c r="B432" s="1">
        <f t="shared" si="12"/>
        <v>45323</v>
      </c>
      <c r="C432" s="5" t="str">
        <f t="shared" si="13"/>
        <v>2024-02</v>
      </c>
      <c r="D432" s="3">
        <v>498.1</v>
      </c>
      <c r="E432" s="3">
        <v>193.22</v>
      </c>
      <c r="F432" s="3">
        <v>94.59</v>
      </c>
      <c r="G432" s="3">
        <v>188.5</v>
      </c>
      <c r="H432" s="3">
        <v>83.57</v>
      </c>
      <c r="I432" s="2">
        <v>117.27</v>
      </c>
      <c r="J432" s="2">
        <v>794.7</v>
      </c>
      <c r="K432" s="2">
        <v>430.1</v>
      </c>
      <c r="L432" s="3">
        <v>144.37</v>
      </c>
      <c r="M432" s="2">
        <v>68.36</v>
      </c>
    </row>
    <row r="433" spans="1:13">
      <c r="A433" s="9">
        <v>45328</v>
      </c>
      <c r="B433" s="1">
        <f t="shared" si="12"/>
        <v>45323</v>
      </c>
      <c r="C433" s="5" t="str">
        <f t="shared" si="13"/>
        <v>2024-02</v>
      </c>
      <c r="D433" s="3">
        <v>493.98</v>
      </c>
      <c r="E433" s="3">
        <v>193.67</v>
      </c>
      <c r="F433" s="3">
        <v>95.05</v>
      </c>
      <c r="G433" s="3">
        <v>188.55</v>
      </c>
      <c r="H433" s="3">
        <v>83.69</v>
      </c>
      <c r="I433" s="2">
        <v>115.3</v>
      </c>
      <c r="J433" s="2">
        <v>787.98</v>
      </c>
      <c r="K433" s="2">
        <v>426.95</v>
      </c>
      <c r="L433" s="3">
        <v>143.97999999999999</v>
      </c>
      <c r="M433" s="2">
        <v>68.16</v>
      </c>
    </row>
    <row r="434" spans="1:13">
      <c r="A434" s="9">
        <v>45327</v>
      </c>
      <c r="B434" s="1">
        <f t="shared" si="12"/>
        <v>45323</v>
      </c>
      <c r="C434" s="5" t="str">
        <f t="shared" si="13"/>
        <v>2024-02</v>
      </c>
      <c r="D434" s="3">
        <v>492.55</v>
      </c>
      <c r="E434" s="3">
        <v>191.94</v>
      </c>
      <c r="F434" s="3">
        <v>94.13</v>
      </c>
      <c r="G434" s="3">
        <v>187.57</v>
      </c>
      <c r="H434" s="3">
        <v>82.58</v>
      </c>
      <c r="I434" s="2">
        <v>116.39</v>
      </c>
      <c r="J434" s="2">
        <v>783.17</v>
      </c>
      <c r="K434" s="2">
        <v>421.7</v>
      </c>
      <c r="L434" s="3">
        <v>142.43</v>
      </c>
      <c r="M434" s="2">
        <v>66.34</v>
      </c>
    </row>
    <row r="435" spans="1:13">
      <c r="A435" s="9">
        <v>45324</v>
      </c>
      <c r="B435" s="1">
        <f t="shared" si="12"/>
        <v>45323</v>
      </c>
      <c r="C435" s="5" t="str">
        <f t="shared" si="13"/>
        <v>2024-02</v>
      </c>
      <c r="D435" s="3">
        <v>494.35</v>
      </c>
      <c r="E435" s="3">
        <v>194.41</v>
      </c>
      <c r="F435" s="3">
        <v>96.07</v>
      </c>
      <c r="G435" s="3">
        <v>188.61</v>
      </c>
      <c r="H435" s="3">
        <v>84.35</v>
      </c>
      <c r="I435" s="2">
        <v>115.79</v>
      </c>
      <c r="J435" s="2">
        <v>788</v>
      </c>
      <c r="K435" s="2">
        <v>425.97</v>
      </c>
      <c r="L435" s="3">
        <v>141.99</v>
      </c>
      <c r="M435" s="2">
        <v>57.96</v>
      </c>
    </row>
    <row r="436" spans="1:13">
      <c r="A436" s="9">
        <v>45323</v>
      </c>
      <c r="B436" s="1">
        <f t="shared" si="12"/>
        <v>45323</v>
      </c>
      <c r="C436" s="5" t="str">
        <f t="shared" si="13"/>
        <v>2024-02</v>
      </c>
      <c r="D436" s="3">
        <v>489.2</v>
      </c>
      <c r="E436" s="3">
        <v>195.44</v>
      </c>
      <c r="F436" s="3">
        <v>98.24</v>
      </c>
      <c r="G436" s="3">
        <v>190.41</v>
      </c>
      <c r="H436" s="3">
        <v>85.41</v>
      </c>
      <c r="I436" s="2">
        <v>115.53</v>
      </c>
      <c r="J436" s="2">
        <v>784.93</v>
      </c>
      <c r="K436" s="2">
        <v>429.77</v>
      </c>
      <c r="L436" s="3">
        <v>142.19999999999999</v>
      </c>
      <c r="M436" s="2">
        <v>58.35</v>
      </c>
    </row>
    <row r="437" spans="1:13">
      <c r="A437" s="9">
        <v>45322</v>
      </c>
      <c r="B437" s="1">
        <f t="shared" si="12"/>
        <v>45292</v>
      </c>
      <c r="C437" s="5" t="str">
        <f t="shared" si="13"/>
        <v>2024-01</v>
      </c>
      <c r="D437" s="3">
        <v>482.88</v>
      </c>
      <c r="E437" s="3">
        <v>192.88</v>
      </c>
      <c r="F437" s="3">
        <v>96.66</v>
      </c>
      <c r="G437" s="3">
        <v>188.45</v>
      </c>
      <c r="H437" s="3">
        <v>83.89</v>
      </c>
      <c r="I437" s="2">
        <v>111.7</v>
      </c>
      <c r="J437" s="2">
        <v>774.31</v>
      </c>
      <c r="K437" s="2">
        <v>429.41</v>
      </c>
      <c r="L437" s="3">
        <v>140.38</v>
      </c>
      <c r="M437" s="2">
        <v>52.96</v>
      </c>
    </row>
    <row r="438" spans="1:13">
      <c r="A438" s="9">
        <v>45321</v>
      </c>
      <c r="B438" s="1">
        <f t="shared" si="12"/>
        <v>45292</v>
      </c>
      <c r="C438" s="5" t="str">
        <f t="shared" si="13"/>
        <v>2024-01</v>
      </c>
      <c r="D438" s="3">
        <v>490.89</v>
      </c>
      <c r="E438" s="3">
        <v>197.71</v>
      </c>
      <c r="F438" s="3">
        <v>95.72</v>
      </c>
      <c r="G438" s="3">
        <v>188.59</v>
      </c>
      <c r="H438" s="3">
        <v>84.7</v>
      </c>
      <c r="I438" s="2">
        <v>114.16</v>
      </c>
      <c r="J438" s="2">
        <v>781.73</v>
      </c>
      <c r="K438" s="2">
        <v>431.68</v>
      </c>
      <c r="L438" s="3">
        <v>140.57</v>
      </c>
      <c r="M438" s="2">
        <v>51.3</v>
      </c>
    </row>
    <row r="439" spans="1:13">
      <c r="A439" s="9">
        <v>45320</v>
      </c>
      <c r="B439" s="1">
        <f t="shared" si="12"/>
        <v>45292</v>
      </c>
      <c r="C439" s="5" t="str">
        <f t="shared" si="13"/>
        <v>2024-01</v>
      </c>
      <c r="D439" s="3">
        <v>491.27</v>
      </c>
      <c r="E439" s="3">
        <v>199.41</v>
      </c>
      <c r="F439" s="3">
        <v>94.86</v>
      </c>
      <c r="G439" s="3">
        <v>188.33</v>
      </c>
      <c r="H439" s="3">
        <v>85.5</v>
      </c>
      <c r="I439" s="2">
        <v>113.75</v>
      </c>
      <c r="J439" s="2">
        <v>788.7</v>
      </c>
      <c r="K439" s="2">
        <v>428.01</v>
      </c>
      <c r="L439" s="3">
        <v>140.25</v>
      </c>
      <c r="M439" s="2">
        <v>49.57</v>
      </c>
    </row>
    <row r="440" spans="1:13">
      <c r="A440" s="9">
        <v>45317</v>
      </c>
      <c r="B440" s="1">
        <f t="shared" si="12"/>
        <v>45292</v>
      </c>
      <c r="C440" s="5" t="str">
        <f t="shared" si="13"/>
        <v>2024-01</v>
      </c>
      <c r="D440" s="3">
        <v>487.41</v>
      </c>
      <c r="E440" s="3">
        <v>195.98</v>
      </c>
      <c r="F440" s="3">
        <v>93.78</v>
      </c>
      <c r="G440" s="3">
        <v>187.01</v>
      </c>
      <c r="H440" s="3">
        <v>84.94</v>
      </c>
      <c r="I440" s="2">
        <v>114.64</v>
      </c>
      <c r="J440" s="2">
        <v>787.3</v>
      </c>
      <c r="K440" s="2">
        <v>429.91</v>
      </c>
      <c r="L440" s="3">
        <v>139.27000000000001</v>
      </c>
      <c r="M440" s="2">
        <v>47.42</v>
      </c>
    </row>
    <row r="441" spans="1:13">
      <c r="A441" s="9">
        <v>45316</v>
      </c>
      <c r="B441" s="1">
        <f t="shared" si="12"/>
        <v>45292</v>
      </c>
      <c r="C441" s="5" t="str">
        <f t="shared" si="13"/>
        <v>2024-01</v>
      </c>
      <c r="D441" s="3">
        <v>488.03</v>
      </c>
      <c r="E441" s="3">
        <v>195.97</v>
      </c>
      <c r="F441" s="3">
        <v>93.96</v>
      </c>
      <c r="G441" s="3">
        <v>187.14</v>
      </c>
      <c r="H441" s="3">
        <v>85.18</v>
      </c>
      <c r="I441" s="2">
        <v>115</v>
      </c>
      <c r="J441" s="2">
        <v>790.46</v>
      </c>
      <c r="K441" s="2">
        <v>431.04</v>
      </c>
      <c r="L441" s="3">
        <v>138.47999999999999</v>
      </c>
      <c r="M441" s="2">
        <v>47.56</v>
      </c>
    </row>
    <row r="442" spans="1:13">
      <c r="A442" s="9">
        <v>45315</v>
      </c>
      <c r="B442" s="1">
        <f t="shared" si="12"/>
        <v>45292</v>
      </c>
      <c r="C442" s="5" t="str">
        <f t="shared" si="13"/>
        <v>2024-01</v>
      </c>
      <c r="D442" s="3">
        <v>485.39</v>
      </c>
      <c r="E442" s="3">
        <v>194.36</v>
      </c>
      <c r="F442" s="3">
        <v>93.35</v>
      </c>
      <c r="G442" s="3">
        <v>186.4</v>
      </c>
      <c r="H442" s="3">
        <v>84.1</v>
      </c>
      <c r="I442" s="2">
        <v>114.31</v>
      </c>
      <c r="J442" s="2">
        <v>785.75</v>
      </c>
      <c r="K442" s="2">
        <v>431.65</v>
      </c>
      <c r="L442" s="3">
        <v>138.69</v>
      </c>
      <c r="M442" s="2">
        <v>47.02</v>
      </c>
    </row>
    <row r="443" spans="1:13">
      <c r="A443" s="9">
        <v>45314</v>
      </c>
      <c r="B443" s="1">
        <f t="shared" si="12"/>
        <v>45292</v>
      </c>
      <c r="C443" s="5" t="str">
        <f t="shared" si="13"/>
        <v>2024-01</v>
      </c>
      <c r="D443" s="3">
        <v>484.86</v>
      </c>
      <c r="E443" s="3">
        <v>195.97</v>
      </c>
      <c r="F443" s="3">
        <v>93.9</v>
      </c>
      <c r="G443" s="3">
        <v>187.95</v>
      </c>
      <c r="H443" s="3">
        <v>85.32</v>
      </c>
      <c r="I443" s="2">
        <v>111.83</v>
      </c>
      <c r="J443" s="2">
        <v>792.56</v>
      </c>
      <c r="K443" s="2">
        <v>439.67</v>
      </c>
      <c r="L443" s="3">
        <v>139.97</v>
      </c>
      <c r="M443" s="2">
        <v>45.74</v>
      </c>
    </row>
    <row r="444" spans="1:13">
      <c r="A444" s="9">
        <v>45313</v>
      </c>
      <c r="B444" s="1">
        <f t="shared" si="12"/>
        <v>45292</v>
      </c>
      <c r="C444" s="5" t="str">
        <f t="shared" si="13"/>
        <v>2024-01</v>
      </c>
      <c r="D444" s="3">
        <v>483.45</v>
      </c>
      <c r="E444" s="3">
        <v>196.54</v>
      </c>
      <c r="F444" s="3">
        <v>94.65</v>
      </c>
      <c r="G444" s="3">
        <v>187.22</v>
      </c>
      <c r="H444" s="3">
        <v>85.91</v>
      </c>
      <c r="I444" s="2">
        <v>110.1</v>
      </c>
      <c r="J444" s="2">
        <v>794.02</v>
      </c>
      <c r="K444" s="2">
        <v>458.76</v>
      </c>
      <c r="L444" s="3">
        <v>140.07</v>
      </c>
      <c r="M444" s="2">
        <v>43.62</v>
      </c>
    </row>
    <row r="445" spans="1:13">
      <c r="A445" s="9">
        <v>45310</v>
      </c>
      <c r="B445" s="1">
        <f t="shared" si="12"/>
        <v>45292</v>
      </c>
      <c r="C445" s="5" t="str">
        <f t="shared" si="13"/>
        <v>2024-01</v>
      </c>
      <c r="D445" s="3">
        <v>482.43</v>
      </c>
      <c r="E445" s="3">
        <v>192.43</v>
      </c>
      <c r="F445" s="3">
        <v>94.09</v>
      </c>
      <c r="G445" s="3">
        <v>187.93</v>
      </c>
      <c r="H445" s="3">
        <v>85.4</v>
      </c>
      <c r="I445" s="2">
        <v>109.67</v>
      </c>
      <c r="J445" s="2">
        <v>805.44</v>
      </c>
      <c r="K445" s="2">
        <v>457.76</v>
      </c>
      <c r="L445" s="3">
        <v>139.46</v>
      </c>
      <c r="M445" s="2">
        <v>42.34</v>
      </c>
    </row>
    <row r="446" spans="1:13">
      <c r="A446" s="9">
        <v>45309</v>
      </c>
      <c r="B446" s="1">
        <f t="shared" si="12"/>
        <v>45292</v>
      </c>
      <c r="C446" s="5" t="str">
        <f t="shared" si="13"/>
        <v>2024-01</v>
      </c>
      <c r="D446" s="3">
        <v>476.49</v>
      </c>
      <c r="E446" s="3">
        <v>190.6</v>
      </c>
      <c r="F446" s="3">
        <v>93.79</v>
      </c>
      <c r="G446" s="3">
        <v>187.37</v>
      </c>
      <c r="H446" s="3">
        <v>84.39</v>
      </c>
      <c r="I446" s="2">
        <v>108.7</v>
      </c>
      <c r="J446" s="2">
        <v>795.26</v>
      </c>
      <c r="K446" s="2">
        <v>459.57</v>
      </c>
      <c r="L446" s="3">
        <v>139.38</v>
      </c>
      <c r="M446" s="2">
        <v>31.14</v>
      </c>
    </row>
    <row r="447" spans="1:13">
      <c r="A447" s="9">
        <v>45308</v>
      </c>
      <c r="B447" s="1">
        <f t="shared" si="12"/>
        <v>45292</v>
      </c>
      <c r="C447" s="5" t="str">
        <f t="shared" si="13"/>
        <v>2024-01</v>
      </c>
      <c r="D447" s="3">
        <v>472.29</v>
      </c>
      <c r="E447" s="3">
        <v>189.48</v>
      </c>
      <c r="F447" s="3">
        <v>94.67</v>
      </c>
      <c r="G447" s="3">
        <v>185.84</v>
      </c>
      <c r="H447" s="3">
        <v>84.85</v>
      </c>
      <c r="I447" s="2">
        <v>106.43</v>
      </c>
      <c r="J447" s="2">
        <v>787.43</v>
      </c>
      <c r="K447" s="2">
        <v>456.47</v>
      </c>
      <c r="L447" s="3">
        <v>139.4</v>
      </c>
      <c r="M447" s="2">
        <v>31.82</v>
      </c>
    </row>
    <row r="448" spans="1:13">
      <c r="A448" s="9">
        <v>45307</v>
      </c>
      <c r="B448" s="1">
        <f t="shared" si="12"/>
        <v>45292</v>
      </c>
      <c r="C448" s="5" t="str">
        <f t="shared" si="13"/>
        <v>2024-01</v>
      </c>
      <c r="D448" s="3">
        <v>474.93</v>
      </c>
      <c r="E448" s="3">
        <v>190.84</v>
      </c>
      <c r="F448" s="3">
        <v>94.82</v>
      </c>
      <c r="G448" s="3">
        <v>187.91</v>
      </c>
      <c r="H448" s="3">
        <v>86.43</v>
      </c>
      <c r="I448" s="2">
        <v>106.57</v>
      </c>
      <c r="J448" s="2">
        <v>791.38</v>
      </c>
      <c r="K448" s="2">
        <v>457.84</v>
      </c>
      <c r="L448" s="3">
        <v>139.68</v>
      </c>
      <c r="M448" s="2">
        <v>32.630000000000003</v>
      </c>
    </row>
    <row r="449" spans="1:13">
      <c r="A449" s="9">
        <v>45303</v>
      </c>
      <c r="B449" s="1">
        <f t="shared" si="12"/>
        <v>45292</v>
      </c>
      <c r="C449" s="5" t="str">
        <f t="shared" si="13"/>
        <v>2024-01</v>
      </c>
      <c r="D449" s="3">
        <v>476.68</v>
      </c>
      <c r="E449" s="3">
        <v>193.23</v>
      </c>
      <c r="F449" s="3">
        <v>96.52</v>
      </c>
      <c r="G449" s="3">
        <v>189.71</v>
      </c>
      <c r="H449" s="3">
        <v>87.07</v>
      </c>
      <c r="I449" s="2">
        <v>106.6</v>
      </c>
      <c r="J449" s="2">
        <v>799.6</v>
      </c>
      <c r="K449" s="2">
        <v>463.18</v>
      </c>
      <c r="L449" s="3">
        <v>140.52000000000001</v>
      </c>
      <c r="M449" s="2">
        <v>33.96</v>
      </c>
    </row>
    <row r="450" spans="1:13">
      <c r="A450" s="9">
        <v>45302</v>
      </c>
      <c r="B450" s="1">
        <f t="shared" ref="B450:B513" si="14">EOMONTH(A450,-1)+1</f>
        <v>45292</v>
      </c>
      <c r="C450" s="5" t="str">
        <f t="shared" si="13"/>
        <v>2024-01</v>
      </c>
      <c r="D450" s="3">
        <v>476.35</v>
      </c>
      <c r="E450" s="3">
        <v>193.55</v>
      </c>
      <c r="F450" s="3">
        <v>96.71</v>
      </c>
      <c r="G450" s="3">
        <v>187.87</v>
      </c>
      <c r="H450" s="3">
        <v>86.55</v>
      </c>
      <c r="I450" s="2">
        <v>104.77</v>
      </c>
      <c r="J450" s="2">
        <v>792.61</v>
      </c>
      <c r="K450" s="2">
        <v>453.13</v>
      </c>
      <c r="L450" s="3">
        <v>140.87</v>
      </c>
      <c r="M450" s="2">
        <v>34.33</v>
      </c>
    </row>
    <row r="451" spans="1:13">
      <c r="A451" s="9">
        <v>45301</v>
      </c>
      <c r="B451" s="1">
        <f t="shared" si="14"/>
        <v>45292</v>
      </c>
      <c r="C451" s="5" t="str">
        <f t="shared" ref="C451:C514" si="15">TEXT(A451, "yyyy-mm")</f>
        <v>2024-01</v>
      </c>
      <c r="D451" s="3">
        <v>476.56</v>
      </c>
      <c r="E451" s="3">
        <v>195.08</v>
      </c>
      <c r="F451" s="3">
        <v>96.17</v>
      </c>
      <c r="G451" s="3">
        <v>187.5</v>
      </c>
      <c r="H451" s="3">
        <v>87.36</v>
      </c>
      <c r="I451" s="2">
        <v>103.92</v>
      </c>
      <c r="J451" s="2">
        <v>792.36</v>
      </c>
      <c r="K451" s="2">
        <v>455.4</v>
      </c>
      <c r="L451" s="3">
        <v>140.97</v>
      </c>
      <c r="M451" s="2">
        <v>34.24</v>
      </c>
    </row>
    <row r="452" spans="1:13">
      <c r="A452" s="9">
        <v>45300</v>
      </c>
      <c r="B452" s="1">
        <f t="shared" si="14"/>
        <v>45292</v>
      </c>
      <c r="C452" s="5" t="str">
        <f t="shared" si="15"/>
        <v>2024-01</v>
      </c>
      <c r="D452" s="3">
        <v>473.88</v>
      </c>
      <c r="E452" s="3">
        <v>194.97</v>
      </c>
      <c r="F452" s="3">
        <v>96.62</v>
      </c>
      <c r="G452" s="3">
        <v>187.93</v>
      </c>
      <c r="H452" s="3">
        <v>87.26</v>
      </c>
      <c r="I452" s="2">
        <v>103.63</v>
      </c>
      <c r="J452" s="2">
        <v>794.52</v>
      </c>
      <c r="K452" s="2">
        <v>456.29</v>
      </c>
      <c r="L452" s="3">
        <v>140.33000000000001</v>
      </c>
      <c r="M452" s="2">
        <v>34.369999999999997</v>
      </c>
    </row>
    <row r="453" spans="1:13">
      <c r="A453" s="9">
        <v>45299</v>
      </c>
      <c r="B453" s="1">
        <f t="shared" si="14"/>
        <v>45292</v>
      </c>
      <c r="C453" s="5" t="str">
        <f t="shared" si="15"/>
        <v>2024-01</v>
      </c>
      <c r="D453" s="3">
        <v>474.6</v>
      </c>
      <c r="E453" s="3">
        <v>196.73</v>
      </c>
      <c r="F453" s="3">
        <v>97.24</v>
      </c>
      <c r="G453" s="3">
        <v>187.87</v>
      </c>
      <c r="H453" s="3">
        <v>87.85</v>
      </c>
      <c r="I453" s="2">
        <v>104.66</v>
      </c>
      <c r="J453" s="2">
        <v>797.19</v>
      </c>
      <c r="K453" s="2">
        <v>458.6</v>
      </c>
      <c r="L453" s="3">
        <v>140.35</v>
      </c>
      <c r="M453" s="2">
        <v>32.03</v>
      </c>
    </row>
    <row r="454" spans="1:13">
      <c r="A454" s="9">
        <v>45296</v>
      </c>
      <c r="B454" s="1">
        <f t="shared" si="14"/>
        <v>45292</v>
      </c>
      <c r="C454" s="5" t="str">
        <f t="shared" si="15"/>
        <v>2024-01</v>
      </c>
      <c r="D454" s="3">
        <v>467.92</v>
      </c>
      <c r="E454" s="3">
        <v>193.25</v>
      </c>
      <c r="F454" s="3">
        <v>96.29</v>
      </c>
      <c r="G454" s="3">
        <v>189.35</v>
      </c>
      <c r="H454" s="3">
        <v>86.61</v>
      </c>
      <c r="I454" s="2">
        <v>102.73</v>
      </c>
      <c r="J454" s="2">
        <v>782.83</v>
      </c>
      <c r="K454" s="2">
        <v>456.5</v>
      </c>
      <c r="L454" s="3">
        <v>139.12</v>
      </c>
      <c r="M454" s="2">
        <v>29.21</v>
      </c>
    </row>
    <row r="455" spans="1:13">
      <c r="A455" s="9">
        <v>45295</v>
      </c>
      <c r="B455" s="1">
        <f t="shared" si="14"/>
        <v>45292</v>
      </c>
      <c r="C455" s="5" t="str">
        <f t="shared" si="15"/>
        <v>2024-01</v>
      </c>
      <c r="D455" s="3">
        <v>467.28</v>
      </c>
      <c r="E455" s="3">
        <v>193.82</v>
      </c>
      <c r="F455" s="3">
        <v>97.22</v>
      </c>
      <c r="G455" s="3">
        <v>189.32</v>
      </c>
      <c r="H455" s="3">
        <v>86.83</v>
      </c>
      <c r="I455" s="2">
        <v>102.59</v>
      </c>
      <c r="J455" s="2">
        <v>785.95</v>
      </c>
      <c r="K455" s="2">
        <v>457.87</v>
      </c>
      <c r="L455" s="3">
        <v>139.24</v>
      </c>
      <c r="M455" s="2">
        <v>28.88</v>
      </c>
    </row>
    <row r="456" spans="1:13">
      <c r="A456" s="9">
        <v>45294</v>
      </c>
      <c r="B456" s="1">
        <f t="shared" si="14"/>
        <v>45292</v>
      </c>
      <c r="C456" s="5" t="str">
        <f t="shared" si="15"/>
        <v>2024-01</v>
      </c>
      <c r="D456" s="3">
        <v>468.79</v>
      </c>
      <c r="E456" s="3">
        <v>194.2</v>
      </c>
      <c r="F456" s="3">
        <v>98.72</v>
      </c>
      <c r="G456" s="3">
        <v>189.13</v>
      </c>
      <c r="H456" s="3">
        <v>86.99</v>
      </c>
      <c r="I456" s="2">
        <v>102.46</v>
      </c>
      <c r="J456" s="2">
        <v>784.15</v>
      </c>
      <c r="K456" s="2">
        <v>459.12</v>
      </c>
      <c r="L456" s="3">
        <v>138.55000000000001</v>
      </c>
      <c r="M456" s="2">
        <v>28.06</v>
      </c>
    </row>
    <row r="457" spans="1:13">
      <c r="A457" s="9">
        <v>45293</v>
      </c>
      <c r="B457" s="1">
        <f t="shared" si="14"/>
        <v>45292</v>
      </c>
      <c r="C457" s="5" t="str">
        <f t="shared" si="15"/>
        <v>2024-01</v>
      </c>
      <c r="D457" s="3">
        <v>472.65</v>
      </c>
      <c r="E457" s="3">
        <v>199.52</v>
      </c>
      <c r="F457" s="3">
        <v>98.31</v>
      </c>
      <c r="G457" s="3">
        <v>190.72</v>
      </c>
      <c r="H457" s="3">
        <v>89.12</v>
      </c>
      <c r="I457" s="2">
        <v>104.06</v>
      </c>
      <c r="J457" s="2">
        <v>800.3</v>
      </c>
      <c r="K457" s="2">
        <v>456.12</v>
      </c>
      <c r="L457" s="3">
        <v>138.78</v>
      </c>
      <c r="M457" s="2">
        <v>28.55</v>
      </c>
    </row>
    <row r="458" spans="1:13">
      <c r="A458" s="9">
        <v>45289</v>
      </c>
      <c r="B458" s="1">
        <f t="shared" si="14"/>
        <v>45261</v>
      </c>
      <c r="C458" s="5" t="str">
        <f t="shared" si="15"/>
        <v>2023-12</v>
      </c>
      <c r="D458" s="3">
        <v>475.31</v>
      </c>
      <c r="E458" s="3">
        <v>200.71</v>
      </c>
      <c r="F458" s="3">
        <v>98.88</v>
      </c>
      <c r="G458" s="3">
        <v>191.17</v>
      </c>
      <c r="H458" s="3">
        <v>88.36</v>
      </c>
      <c r="I458" s="2">
        <v>105.43</v>
      </c>
      <c r="J458" s="2">
        <v>811.8</v>
      </c>
      <c r="K458" s="2">
        <v>453.24</v>
      </c>
      <c r="L458" s="3">
        <v>136.38</v>
      </c>
      <c r="M458" s="2">
        <v>28.43</v>
      </c>
    </row>
    <row r="459" spans="1:13">
      <c r="A459" s="9">
        <v>45288</v>
      </c>
      <c r="B459" s="1">
        <f t="shared" si="14"/>
        <v>45261</v>
      </c>
      <c r="C459" s="5" t="str">
        <f t="shared" si="15"/>
        <v>2023-12</v>
      </c>
      <c r="D459" s="3">
        <v>476.69</v>
      </c>
      <c r="E459" s="3">
        <v>204.04</v>
      </c>
      <c r="F459" s="3">
        <v>99.78</v>
      </c>
      <c r="G459" s="3">
        <v>191.47</v>
      </c>
      <c r="H459" s="3">
        <v>89.42</v>
      </c>
      <c r="I459" s="2">
        <v>106.25</v>
      </c>
      <c r="J459" s="2">
        <v>814.41</v>
      </c>
      <c r="K459" s="2">
        <v>451.23</v>
      </c>
      <c r="L459" s="3">
        <v>136.24</v>
      </c>
      <c r="M459" s="2">
        <v>29.15</v>
      </c>
    </row>
    <row r="460" spans="1:13">
      <c r="A460" s="9">
        <v>45287</v>
      </c>
      <c r="B460" s="1">
        <f t="shared" si="14"/>
        <v>45261</v>
      </c>
      <c r="C460" s="5" t="str">
        <f t="shared" si="15"/>
        <v>2023-12</v>
      </c>
      <c r="D460" s="3">
        <v>476.51</v>
      </c>
      <c r="E460" s="3">
        <v>204.82</v>
      </c>
      <c r="F460" s="3">
        <v>100.51</v>
      </c>
      <c r="G460" s="3">
        <v>192.59</v>
      </c>
      <c r="H460" s="3">
        <v>88.79</v>
      </c>
      <c r="I460" s="2">
        <v>105.94</v>
      </c>
      <c r="J460" s="2">
        <v>813.25</v>
      </c>
      <c r="K460" s="2">
        <v>448.97</v>
      </c>
      <c r="L460" s="3">
        <v>135.88999999999999</v>
      </c>
      <c r="M460" s="2">
        <v>29.5</v>
      </c>
    </row>
    <row r="461" spans="1:13">
      <c r="A461" s="9">
        <v>45286</v>
      </c>
      <c r="B461" s="1">
        <f t="shared" si="14"/>
        <v>45261</v>
      </c>
      <c r="C461" s="5" t="str">
        <f t="shared" si="15"/>
        <v>2023-12</v>
      </c>
      <c r="D461" s="3">
        <v>475.65</v>
      </c>
      <c r="E461" s="3">
        <v>204.1</v>
      </c>
      <c r="F461" s="3">
        <v>98.76</v>
      </c>
      <c r="G461" s="3">
        <v>191.72</v>
      </c>
      <c r="H461" s="3">
        <v>88.36</v>
      </c>
      <c r="I461" s="2">
        <v>106.19</v>
      </c>
      <c r="J461" s="2">
        <v>806.61</v>
      </c>
      <c r="K461" s="2">
        <v>450.18</v>
      </c>
      <c r="L461" s="3">
        <v>135.32</v>
      </c>
      <c r="M461" s="2">
        <v>29.43</v>
      </c>
    </row>
    <row r="462" spans="1:13">
      <c r="A462" s="9">
        <v>45282</v>
      </c>
      <c r="B462" s="1">
        <f t="shared" si="14"/>
        <v>45261</v>
      </c>
      <c r="C462" s="5" t="str">
        <f t="shared" si="15"/>
        <v>2023-12</v>
      </c>
      <c r="D462" s="3">
        <v>473.65</v>
      </c>
      <c r="E462" s="3">
        <v>201.48</v>
      </c>
      <c r="F462" s="3">
        <v>98.474999999999994</v>
      </c>
      <c r="G462" s="3">
        <v>190.27</v>
      </c>
      <c r="H462" s="3">
        <v>87.71</v>
      </c>
      <c r="I462" s="2">
        <v>106.2</v>
      </c>
      <c r="J462" s="2">
        <v>802.42</v>
      </c>
      <c r="K462" s="2">
        <v>448.22</v>
      </c>
      <c r="L462" s="3">
        <v>135.02000000000001</v>
      </c>
      <c r="M462" s="2">
        <v>28.97</v>
      </c>
    </row>
    <row r="463" spans="1:13">
      <c r="A463" s="9">
        <v>45281</v>
      </c>
      <c r="B463" s="1">
        <f t="shared" si="14"/>
        <v>45261</v>
      </c>
      <c r="C463" s="5" t="str">
        <f t="shared" si="15"/>
        <v>2023-12</v>
      </c>
      <c r="D463" s="3">
        <v>472.7</v>
      </c>
      <c r="E463" s="3">
        <v>199.62</v>
      </c>
      <c r="F463" s="3">
        <v>98.93</v>
      </c>
      <c r="G463" s="3">
        <v>189.43</v>
      </c>
      <c r="H463" s="3">
        <v>87.37</v>
      </c>
      <c r="I463" s="2">
        <v>105.86</v>
      </c>
      <c r="J463" s="2">
        <v>799.1</v>
      </c>
      <c r="K463" s="2">
        <v>448.02</v>
      </c>
      <c r="L463" s="3">
        <v>134.35</v>
      </c>
      <c r="M463" s="2">
        <v>30.42</v>
      </c>
    </row>
    <row r="464" spans="1:13">
      <c r="A464" s="9">
        <v>45280</v>
      </c>
      <c r="B464" s="1">
        <f t="shared" si="14"/>
        <v>45261</v>
      </c>
      <c r="C464" s="5" t="str">
        <f t="shared" si="15"/>
        <v>2023-12</v>
      </c>
      <c r="D464" s="3">
        <v>468.26</v>
      </c>
      <c r="E464" s="3">
        <v>196.28</v>
      </c>
      <c r="F464" s="3">
        <v>99.56</v>
      </c>
      <c r="G464" s="3">
        <v>188.1</v>
      </c>
      <c r="H464" s="3">
        <v>87.67</v>
      </c>
      <c r="I464" s="2">
        <v>104.15</v>
      </c>
      <c r="J464" s="2">
        <v>789.23</v>
      </c>
      <c r="K464" s="2">
        <v>442.6</v>
      </c>
      <c r="L464" s="3">
        <v>132.72999999999999</v>
      </c>
      <c r="M464" s="2">
        <v>30.21</v>
      </c>
    </row>
    <row r="465" spans="1:13">
      <c r="A465" s="9">
        <v>45279</v>
      </c>
      <c r="B465" s="1">
        <f t="shared" si="14"/>
        <v>45261</v>
      </c>
      <c r="C465" s="5" t="str">
        <f t="shared" si="15"/>
        <v>2023-12</v>
      </c>
      <c r="D465" s="3">
        <v>474.84</v>
      </c>
      <c r="E465" s="3">
        <v>200.93</v>
      </c>
      <c r="F465" s="3">
        <v>98.89</v>
      </c>
      <c r="G465" s="3">
        <v>189.13</v>
      </c>
      <c r="H465" s="3">
        <v>88.75</v>
      </c>
      <c r="I465" s="2">
        <v>106.25</v>
      </c>
      <c r="J465" s="2">
        <v>801.38</v>
      </c>
      <c r="K465" s="2">
        <v>447.79</v>
      </c>
      <c r="L465" s="3">
        <v>134.68</v>
      </c>
      <c r="M465" s="2">
        <v>31.59</v>
      </c>
    </row>
    <row r="466" spans="1:13">
      <c r="A466" s="9">
        <v>45278</v>
      </c>
      <c r="B466" s="1">
        <f t="shared" si="14"/>
        <v>45261</v>
      </c>
      <c r="C466" s="5" t="str">
        <f t="shared" si="15"/>
        <v>2023-12</v>
      </c>
      <c r="D466" s="3">
        <v>471.97</v>
      </c>
      <c r="E466" s="3">
        <v>197.11</v>
      </c>
      <c r="F466" s="3">
        <v>98.36</v>
      </c>
      <c r="G466" s="3">
        <v>187.85</v>
      </c>
      <c r="H466" s="3">
        <v>88.08</v>
      </c>
      <c r="I466" s="2">
        <v>105</v>
      </c>
      <c r="J466" s="2">
        <v>796.44</v>
      </c>
      <c r="K466" s="2">
        <v>446.91</v>
      </c>
      <c r="L466" s="3">
        <v>133.78</v>
      </c>
      <c r="M466" s="2">
        <v>32.22</v>
      </c>
    </row>
    <row r="467" spans="1:13">
      <c r="A467" s="9">
        <v>45275</v>
      </c>
      <c r="B467" s="1">
        <f t="shared" si="14"/>
        <v>45261</v>
      </c>
      <c r="C467" s="5" t="str">
        <f t="shared" si="15"/>
        <v>2023-12</v>
      </c>
      <c r="D467" s="3">
        <v>469.33</v>
      </c>
      <c r="E467" s="3">
        <v>197.04</v>
      </c>
      <c r="F467" s="3">
        <v>99.15</v>
      </c>
      <c r="G467" s="3">
        <v>187</v>
      </c>
      <c r="H467" s="3">
        <v>88.28</v>
      </c>
      <c r="I467" s="2">
        <v>103.32</v>
      </c>
      <c r="J467" s="2">
        <v>819</v>
      </c>
      <c r="K467" s="2">
        <v>441.81</v>
      </c>
      <c r="L467" s="3">
        <v>134.16</v>
      </c>
      <c r="M467" s="2">
        <v>30.01</v>
      </c>
    </row>
    <row r="468" spans="1:13">
      <c r="A468" s="9">
        <v>45274</v>
      </c>
      <c r="B468" s="1">
        <f t="shared" si="14"/>
        <v>45261</v>
      </c>
      <c r="C468" s="5" t="str">
        <f t="shared" si="15"/>
        <v>2023-12</v>
      </c>
      <c r="D468" s="3">
        <v>472.01</v>
      </c>
      <c r="E468" s="3">
        <v>198.71</v>
      </c>
      <c r="F468" s="3">
        <v>99.04</v>
      </c>
      <c r="G468" s="3">
        <v>188.73</v>
      </c>
      <c r="H468" s="3">
        <v>89.54</v>
      </c>
      <c r="I468" s="2">
        <v>100.31</v>
      </c>
      <c r="J468" s="2">
        <v>807.13</v>
      </c>
      <c r="K468" s="2">
        <v>445.27</v>
      </c>
      <c r="L468" s="3">
        <v>135.31</v>
      </c>
      <c r="M468" s="2">
        <v>29.44</v>
      </c>
    </row>
    <row r="469" spans="1:13">
      <c r="A469" s="9">
        <v>45273</v>
      </c>
      <c r="B469" s="1">
        <f t="shared" si="14"/>
        <v>45261</v>
      </c>
      <c r="C469" s="5" t="str">
        <f t="shared" si="15"/>
        <v>2023-12</v>
      </c>
      <c r="D469" s="3">
        <v>470.5</v>
      </c>
      <c r="E469" s="3">
        <v>193.33</v>
      </c>
      <c r="F469" s="3">
        <v>96.84</v>
      </c>
      <c r="G469" s="3">
        <v>187.63</v>
      </c>
      <c r="H469" s="3">
        <v>87.03</v>
      </c>
      <c r="I469" s="2">
        <v>102.99</v>
      </c>
      <c r="J469" s="2">
        <v>773.43</v>
      </c>
      <c r="K469" s="2">
        <v>451.44</v>
      </c>
      <c r="L469" s="3">
        <v>135.97</v>
      </c>
      <c r="M469" s="2">
        <v>27.33</v>
      </c>
    </row>
    <row r="470" spans="1:13">
      <c r="A470" s="9">
        <v>45272</v>
      </c>
      <c r="B470" s="1">
        <f t="shared" si="14"/>
        <v>45261</v>
      </c>
      <c r="C470" s="5" t="str">
        <f t="shared" si="15"/>
        <v>2023-12</v>
      </c>
      <c r="D470" s="3">
        <v>464.1</v>
      </c>
      <c r="E470" s="3">
        <v>187</v>
      </c>
      <c r="F470" s="3">
        <v>94.62</v>
      </c>
      <c r="G470" s="3">
        <v>183.49</v>
      </c>
      <c r="H470" s="3">
        <v>83.82</v>
      </c>
      <c r="I470" s="2">
        <v>100.81</v>
      </c>
      <c r="J470" s="2">
        <v>759.29</v>
      </c>
      <c r="K470" s="2">
        <v>451.63</v>
      </c>
      <c r="L470" s="3">
        <v>133.51</v>
      </c>
      <c r="M470" s="2">
        <v>26.54</v>
      </c>
    </row>
    <row r="471" spans="1:13">
      <c r="A471" s="9">
        <v>45271</v>
      </c>
      <c r="B471" s="1">
        <f t="shared" si="14"/>
        <v>45261</v>
      </c>
      <c r="C471" s="5" t="str">
        <f t="shared" si="15"/>
        <v>2023-12</v>
      </c>
      <c r="D471" s="3">
        <v>461.99</v>
      </c>
      <c r="E471" s="3">
        <v>187.19</v>
      </c>
      <c r="F471" s="3">
        <v>94.34</v>
      </c>
      <c r="G471" s="3">
        <v>183.59</v>
      </c>
      <c r="H471" s="3">
        <v>83.87</v>
      </c>
      <c r="I471" s="2">
        <v>115.13</v>
      </c>
      <c r="J471" s="2">
        <v>752.41</v>
      </c>
      <c r="K471" s="2">
        <v>451.26</v>
      </c>
      <c r="L471" s="3">
        <v>132.94</v>
      </c>
      <c r="M471" s="2">
        <v>26.23</v>
      </c>
    </row>
    <row r="472" spans="1:13">
      <c r="A472" s="9">
        <v>45268</v>
      </c>
      <c r="B472" s="1">
        <f t="shared" si="14"/>
        <v>45261</v>
      </c>
      <c r="C472" s="5" t="str">
        <f t="shared" si="15"/>
        <v>2023-12</v>
      </c>
      <c r="D472" s="3">
        <v>460.2</v>
      </c>
      <c r="E472" s="3">
        <v>186.8</v>
      </c>
      <c r="F472" s="3">
        <v>94.54</v>
      </c>
      <c r="G472" s="3">
        <v>185.64</v>
      </c>
      <c r="H472" s="3">
        <v>83.64</v>
      </c>
      <c r="I472" s="2">
        <v>113.61</v>
      </c>
      <c r="J472" s="2">
        <v>744.73</v>
      </c>
      <c r="K472" s="2">
        <v>448.02</v>
      </c>
      <c r="L472" s="3">
        <v>132.07</v>
      </c>
      <c r="M472" s="2">
        <v>27.27</v>
      </c>
    </row>
    <row r="473" spans="1:13">
      <c r="A473" s="9">
        <v>45267</v>
      </c>
      <c r="B473" s="1">
        <f t="shared" si="14"/>
        <v>45261</v>
      </c>
      <c r="C473" s="5" t="str">
        <f t="shared" si="15"/>
        <v>2023-12</v>
      </c>
      <c r="D473" s="3">
        <v>458.23</v>
      </c>
      <c r="E473" s="3">
        <v>185.39</v>
      </c>
      <c r="F473" s="3">
        <v>95.32</v>
      </c>
      <c r="G473" s="3">
        <v>188.15</v>
      </c>
      <c r="H473" s="3">
        <v>83.78</v>
      </c>
      <c r="I473" s="2">
        <v>112.87</v>
      </c>
      <c r="J473" s="2">
        <v>745.44</v>
      </c>
      <c r="K473" s="2">
        <v>447.11</v>
      </c>
      <c r="L473" s="3">
        <v>131.85</v>
      </c>
      <c r="M473" s="2">
        <v>25.62</v>
      </c>
    </row>
    <row r="474" spans="1:13">
      <c r="A474" s="9">
        <v>45266</v>
      </c>
      <c r="B474" s="1">
        <f t="shared" si="14"/>
        <v>45261</v>
      </c>
      <c r="C474" s="5" t="str">
        <f t="shared" si="15"/>
        <v>2023-12</v>
      </c>
      <c r="D474" s="3">
        <v>454.76</v>
      </c>
      <c r="E474" s="3">
        <v>184.06</v>
      </c>
      <c r="F474" s="3">
        <v>95.87</v>
      </c>
      <c r="G474" s="3">
        <v>187.84</v>
      </c>
      <c r="H474" s="3">
        <v>83.54</v>
      </c>
      <c r="I474" s="2">
        <v>112.03</v>
      </c>
      <c r="J474" s="2">
        <v>743.07</v>
      </c>
      <c r="K474" s="2">
        <v>449.41</v>
      </c>
      <c r="L474" s="3">
        <v>132.01</v>
      </c>
      <c r="M474" s="2">
        <v>25.34</v>
      </c>
    </row>
    <row r="475" spans="1:13">
      <c r="A475" s="9">
        <v>45265</v>
      </c>
      <c r="B475" s="1">
        <f t="shared" si="14"/>
        <v>45261</v>
      </c>
      <c r="C475" s="5" t="str">
        <f t="shared" si="15"/>
        <v>2023-12</v>
      </c>
      <c r="D475" s="3">
        <v>456.6</v>
      </c>
      <c r="E475" s="3">
        <v>184.39</v>
      </c>
      <c r="F475" s="3">
        <v>94.61</v>
      </c>
      <c r="G475" s="3">
        <v>187.15</v>
      </c>
      <c r="H475" s="3">
        <v>83.79</v>
      </c>
      <c r="I475" s="2">
        <v>114.53</v>
      </c>
      <c r="J475" s="2">
        <v>754.3</v>
      </c>
      <c r="K475" s="2">
        <v>446.24</v>
      </c>
      <c r="L475" s="3">
        <v>131.91</v>
      </c>
      <c r="M475" s="2">
        <v>26.3</v>
      </c>
    </row>
    <row r="476" spans="1:13">
      <c r="A476" s="9">
        <v>45264</v>
      </c>
      <c r="B476" s="1">
        <f t="shared" si="14"/>
        <v>45261</v>
      </c>
      <c r="C476" s="5" t="str">
        <f t="shared" si="15"/>
        <v>2023-12</v>
      </c>
      <c r="D476" s="3">
        <v>456.69</v>
      </c>
      <c r="E476" s="3">
        <v>186.89</v>
      </c>
      <c r="F476" s="3">
        <v>92.614999999999995</v>
      </c>
      <c r="G476" s="3">
        <v>187.86</v>
      </c>
      <c r="H476" s="3">
        <v>84.35</v>
      </c>
      <c r="I476" s="2">
        <v>115.78</v>
      </c>
      <c r="J476" s="2">
        <v>756.43</v>
      </c>
      <c r="K476" s="2">
        <v>450.69</v>
      </c>
      <c r="L476" s="3">
        <v>132.08000000000001</v>
      </c>
      <c r="M476" s="2">
        <v>26.64</v>
      </c>
    </row>
    <row r="477" spans="1:13">
      <c r="A477" s="9">
        <v>45261</v>
      </c>
      <c r="B477" s="1">
        <f t="shared" si="14"/>
        <v>45261</v>
      </c>
      <c r="C477" s="5" t="str">
        <f t="shared" si="15"/>
        <v>2023-12</v>
      </c>
      <c r="D477" s="3">
        <v>459.1</v>
      </c>
      <c r="E477" s="3">
        <v>184.91</v>
      </c>
      <c r="F477" s="3">
        <v>92.99</v>
      </c>
      <c r="G477" s="3">
        <v>192.01</v>
      </c>
      <c r="H477" s="3">
        <v>83.74</v>
      </c>
      <c r="I477" s="2">
        <v>117.16</v>
      </c>
      <c r="J477" s="2">
        <v>756.35</v>
      </c>
      <c r="K477" s="2">
        <v>449.41</v>
      </c>
      <c r="L477" s="3">
        <v>131.83000000000001</v>
      </c>
      <c r="M477" s="2">
        <v>26.96</v>
      </c>
    </row>
    <row r="478" spans="1:13">
      <c r="A478" s="9">
        <v>45260</v>
      </c>
      <c r="B478" s="1">
        <f t="shared" si="14"/>
        <v>45231</v>
      </c>
      <c r="C478" s="5" t="str">
        <f t="shared" si="15"/>
        <v>2023-11</v>
      </c>
      <c r="D478" s="3">
        <v>456.4</v>
      </c>
      <c r="E478" s="3">
        <v>179.66</v>
      </c>
      <c r="F478" s="3">
        <v>91.56</v>
      </c>
      <c r="G478" s="3">
        <v>188.75</v>
      </c>
      <c r="H478" s="3">
        <v>81.73</v>
      </c>
      <c r="I478" s="2">
        <v>116.21</v>
      </c>
      <c r="J478" s="2">
        <v>751.23</v>
      </c>
      <c r="K478" s="2">
        <v>447.77</v>
      </c>
      <c r="L478" s="3">
        <v>131.31</v>
      </c>
      <c r="M478" s="2">
        <v>27.35</v>
      </c>
    </row>
    <row r="479" spans="1:13">
      <c r="A479" s="9">
        <v>45259</v>
      </c>
      <c r="B479" s="1">
        <f t="shared" si="14"/>
        <v>45231</v>
      </c>
      <c r="C479" s="5" t="str">
        <f t="shared" si="15"/>
        <v>2023-11</v>
      </c>
      <c r="D479" s="3">
        <v>454.61</v>
      </c>
      <c r="E479" s="3">
        <v>178.98</v>
      </c>
      <c r="F479" s="3">
        <v>92.63</v>
      </c>
      <c r="G479" s="3">
        <v>189.54</v>
      </c>
      <c r="H479" s="3">
        <v>81.14</v>
      </c>
      <c r="I479" s="2">
        <v>116.21</v>
      </c>
      <c r="J479" s="2">
        <v>747.3</v>
      </c>
      <c r="K479" s="2">
        <v>445.01</v>
      </c>
      <c r="L479" s="3">
        <v>129.68</v>
      </c>
      <c r="M479" s="2">
        <v>28.76</v>
      </c>
    </row>
    <row r="480" spans="1:13">
      <c r="A480" s="9">
        <v>45258</v>
      </c>
      <c r="B480" s="1">
        <f t="shared" si="14"/>
        <v>45231</v>
      </c>
      <c r="C480" s="5" t="str">
        <f t="shared" si="15"/>
        <v>2023-11</v>
      </c>
      <c r="D480" s="3">
        <v>454.93</v>
      </c>
      <c r="E480" s="3">
        <v>178.04</v>
      </c>
      <c r="F480" s="3">
        <v>91.48</v>
      </c>
      <c r="G480" s="3">
        <v>189.26</v>
      </c>
      <c r="H480" s="3">
        <v>80.58</v>
      </c>
      <c r="I480" s="2">
        <v>116.24</v>
      </c>
      <c r="J480" s="2">
        <v>736.76</v>
      </c>
      <c r="K480" s="2">
        <v>448.27</v>
      </c>
      <c r="L480" s="3">
        <v>129.63999999999999</v>
      </c>
      <c r="M480" s="2">
        <v>28.56</v>
      </c>
    </row>
    <row r="481" spans="1:13">
      <c r="A481" s="9">
        <v>45257</v>
      </c>
      <c r="B481" s="1">
        <f t="shared" si="14"/>
        <v>45231</v>
      </c>
      <c r="C481" s="5" t="str">
        <f t="shared" si="15"/>
        <v>2023-11</v>
      </c>
      <c r="D481" s="3">
        <v>454.48</v>
      </c>
      <c r="E481" s="3">
        <v>178.73</v>
      </c>
      <c r="F481" s="3">
        <v>91.3</v>
      </c>
      <c r="G481" s="3">
        <v>186.77</v>
      </c>
      <c r="H481" s="3">
        <v>80.05</v>
      </c>
      <c r="I481" s="2">
        <v>116.47</v>
      </c>
      <c r="J481" s="2">
        <v>730.68</v>
      </c>
      <c r="K481" s="2">
        <v>445.49</v>
      </c>
      <c r="L481" s="3">
        <v>130.31</v>
      </c>
      <c r="M481" s="2">
        <v>29.04</v>
      </c>
    </row>
    <row r="482" spans="1:13">
      <c r="A482" s="9">
        <v>45254</v>
      </c>
      <c r="B482" s="1">
        <f t="shared" si="14"/>
        <v>45231</v>
      </c>
      <c r="C482" s="5" t="str">
        <f t="shared" si="15"/>
        <v>2023-11</v>
      </c>
      <c r="D482" s="3">
        <v>455.3</v>
      </c>
      <c r="E482" s="3">
        <v>179.33</v>
      </c>
      <c r="F482" s="3">
        <v>89.8</v>
      </c>
      <c r="G482" s="3">
        <v>185.52</v>
      </c>
      <c r="H482" s="3">
        <v>79.760000000000005</v>
      </c>
      <c r="I482" s="2">
        <v>116.25</v>
      </c>
      <c r="J482" s="2">
        <v>730.1</v>
      </c>
      <c r="K482" s="2">
        <v>452.01</v>
      </c>
      <c r="L482" s="3">
        <v>131.13</v>
      </c>
      <c r="M482" s="2">
        <v>28.57</v>
      </c>
    </row>
    <row r="483" spans="1:13">
      <c r="A483" s="9">
        <v>45252</v>
      </c>
      <c r="B483" s="1">
        <f t="shared" si="14"/>
        <v>45231</v>
      </c>
      <c r="C483" s="5" t="str">
        <f t="shared" si="15"/>
        <v>2023-11</v>
      </c>
      <c r="D483" s="3">
        <v>455.02</v>
      </c>
      <c r="E483" s="3">
        <v>178.13</v>
      </c>
      <c r="F483" s="3">
        <v>90.87</v>
      </c>
      <c r="G483" s="3">
        <v>184.56</v>
      </c>
      <c r="H483" s="3">
        <v>79.53</v>
      </c>
      <c r="I483" s="2">
        <v>116.24</v>
      </c>
      <c r="J483" s="2">
        <v>727.14</v>
      </c>
      <c r="K483" s="2">
        <v>450.4</v>
      </c>
      <c r="L483" s="3">
        <v>130.43</v>
      </c>
      <c r="M483" s="2">
        <v>28.67</v>
      </c>
    </row>
    <row r="484" spans="1:13">
      <c r="A484" s="9">
        <v>45251</v>
      </c>
      <c r="B484" s="1">
        <f t="shared" si="14"/>
        <v>45231</v>
      </c>
      <c r="C484" s="5" t="str">
        <f t="shared" si="15"/>
        <v>2023-11</v>
      </c>
      <c r="D484" s="3">
        <v>453.27</v>
      </c>
      <c r="E484" s="3">
        <v>177.02</v>
      </c>
      <c r="F484" s="3">
        <v>90.55</v>
      </c>
      <c r="G484" s="3">
        <v>185.35</v>
      </c>
      <c r="H484" s="3">
        <v>79.14</v>
      </c>
      <c r="I484" s="2">
        <v>116.08</v>
      </c>
      <c r="J484" s="2">
        <v>724.64</v>
      </c>
      <c r="K484" s="2">
        <v>448.15</v>
      </c>
      <c r="L484" s="3">
        <v>129.81</v>
      </c>
      <c r="M484" s="2">
        <v>28.99</v>
      </c>
    </row>
    <row r="485" spans="1:13">
      <c r="A485" s="9">
        <v>45250</v>
      </c>
      <c r="B485" s="1">
        <f t="shared" si="14"/>
        <v>45231</v>
      </c>
      <c r="C485" s="5" t="str">
        <f t="shared" si="15"/>
        <v>2023-11</v>
      </c>
      <c r="D485" s="3">
        <v>454.26</v>
      </c>
      <c r="E485" s="3">
        <v>179.33</v>
      </c>
      <c r="F485" s="3">
        <v>90.59</v>
      </c>
      <c r="G485" s="3">
        <v>183.37</v>
      </c>
      <c r="H485" s="3">
        <v>79.7</v>
      </c>
      <c r="I485" s="2">
        <v>116.92</v>
      </c>
      <c r="J485" s="2">
        <v>720.92</v>
      </c>
      <c r="K485" s="2">
        <v>443.81</v>
      </c>
      <c r="L485" s="3">
        <v>129.03</v>
      </c>
      <c r="M485" s="2">
        <v>30.46</v>
      </c>
    </row>
    <row r="486" spans="1:13">
      <c r="A486" s="9">
        <v>45247</v>
      </c>
      <c r="B486" s="1">
        <f t="shared" si="14"/>
        <v>45231</v>
      </c>
      <c r="C486" s="5" t="str">
        <f t="shared" si="15"/>
        <v>2023-11</v>
      </c>
      <c r="D486" s="3">
        <v>450.79</v>
      </c>
      <c r="E486" s="3">
        <v>178.29</v>
      </c>
      <c r="F486" s="3">
        <v>90.04</v>
      </c>
      <c r="G486" s="3">
        <v>183.67</v>
      </c>
      <c r="H486" s="3">
        <v>79.12</v>
      </c>
      <c r="I486" s="2">
        <v>115.36</v>
      </c>
      <c r="J486" s="2">
        <v>716.86</v>
      </c>
      <c r="K486" s="2">
        <v>444.68</v>
      </c>
      <c r="L486" s="3">
        <v>128.25</v>
      </c>
      <c r="M486" s="2">
        <v>28.86</v>
      </c>
    </row>
    <row r="487" spans="1:13">
      <c r="A487" s="9">
        <v>45246</v>
      </c>
      <c r="B487" s="1">
        <f t="shared" si="14"/>
        <v>45231</v>
      </c>
      <c r="C487" s="5" t="str">
        <f t="shared" si="15"/>
        <v>2023-11</v>
      </c>
      <c r="D487" s="3">
        <v>450.23</v>
      </c>
      <c r="E487" s="3">
        <v>175.88</v>
      </c>
      <c r="F487" s="3">
        <v>89.62</v>
      </c>
      <c r="G487" s="3">
        <v>183.69</v>
      </c>
      <c r="H487" s="3">
        <v>79.180000000000007</v>
      </c>
      <c r="I487" s="2">
        <v>114.67</v>
      </c>
      <c r="J487" s="2">
        <v>714.9</v>
      </c>
      <c r="K487" s="2">
        <v>445.59</v>
      </c>
      <c r="L487" s="3">
        <v>128.51</v>
      </c>
      <c r="M487" s="2">
        <v>28.37</v>
      </c>
    </row>
    <row r="488" spans="1:13">
      <c r="A488" s="9">
        <v>45245</v>
      </c>
      <c r="B488" s="1">
        <f t="shared" si="14"/>
        <v>45231</v>
      </c>
      <c r="C488" s="5" t="str">
        <f t="shared" si="15"/>
        <v>2023-11</v>
      </c>
      <c r="D488" s="3">
        <v>449.68</v>
      </c>
      <c r="E488" s="3">
        <v>178.77</v>
      </c>
      <c r="F488" s="3">
        <v>88.52</v>
      </c>
      <c r="G488" s="3">
        <v>181.64</v>
      </c>
      <c r="H488" s="3">
        <v>79.349999999999994</v>
      </c>
      <c r="I488" s="2">
        <v>114.06</v>
      </c>
      <c r="J488" s="2">
        <v>708.84</v>
      </c>
      <c r="K488" s="2">
        <v>445.14</v>
      </c>
      <c r="L488" s="3">
        <v>127.96</v>
      </c>
      <c r="M488" s="2">
        <v>28.78</v>
      </c>
    </row>
    <row r="489" spans="1:13">
      <c r="A489" s="9">
        <v>45244</v>
      </c>
      <c r="B489" s="1">
        <f t="shared" si="14"/>
        <v>45231</v>
      </c>
      <c r="C489" s="5" t="str">
        <f t="shared" si="15"/>
        <v>2023-11</v>
      </c>
      <c r="D489" s="3">
        <v>448.73</v>
      </c>
      <c r="E489" s="3">
        <v>178.46</v>
      </c>
      <c r="F489" s="3">
        <v>89.78</v>
      </c>
      <c r="G489" s="3">
        <v>182.12</v>
      </c>
      <c r="H489" s="3">
        <v>79.12</v>
      </c>
      <c r="I489" s="2">
        <v>116.1</v>
      </c>
      <c r="J489" s="2">
        <v>697.35</v>
      </c>
      <c r="K489" s="2">
        <v>444.22</v>
      </c>
      <c r="L489" s="3">
        <v>127.86</v>
      </c>
      <c r="M489" s="2">
        <v>29.39</v>
      </c>
    </row>
    <row r="490" spans="1:13">
      <c r="A490" s="9">
        <v>45243</v>
      </c>
      <c r="B490" s="1">
        <f t="shared" si="14"/>
        <v>45231</v>
      </c>
      <c r="C490" s="5" t="str">
        <f t="shared" si="15"/>
        <v>2023-11</v>
      </c>
      <c r="D490" s="3">
        <v>440.19</v>
      </c>
      <c r="E490" s="3">
        <v>169.17</v>
      </c>
      <c r="F490" s="3">
        <v>87.79</v>
      </c>
      <c r="G490" s="3">
        <v>180.51</v>
      </c>
      <c r="H490" s="3">
        <v>74.959999999999994</v>
      </c>
      <c r="I490" s="2">
        <v>114.15</v>
      </c>
      <c r="J490" s="2">
        <v>661.45</v>
      </c>
      <c r="K490" s="2">
        <v>445.03</v>
      </c>
      <c r="L490" s="3">
        <v>127</v>
      </c>
      <c r="M490" s="2">
        <v>25.58</v>
      </c>
    </row>
    <row r="491" spans="1:13">
      <c r="A491" s="9">
        <v>45240</v>
      </c>
      <c r="B491" s="1">
        <f t="shared" si="14"/>
        <v>45231</v>
      </c>
      <c r="C491" s="5" t="str">
        <f t="shared" si="15"/>
        <v>2023-11</v>
      </c>
      <c r="D491" s="3">
        <v>440.61</v>
      </c>
      <c r="E491" s="3">
        <v>169.11</v>
      </c>
      <c r="F491" s="3">
        <v>87.99</v>
      </c>
      <c r="G491" s="3">
        <v>179.51</v>
      </c>
      <c r="H491" s="3">
        <v>75.59</v>
      </c>
      <c r="I491" s="2">
        <v>113.07</v>
      </c>
      <c r="J491" s="2">
        <v>665</v>
      </c>
      <c r="K491" s="2">
        <v>444.87</v>
      </c>
      <c r="L491" s="3">
        <v>126.27</v>
      </c>
      <c r="M491" s="2">
        <v>26.6</v>
      </c>
    </row>
    <row r="492" spans="1:13">
      <c r="A492" s="9">
        <v>45239</v>
      </c>
      <c r="B492" s="1">
        <f t="shared" si="14"/>
        <v>45231</v>
      </c>
      <c r="C492" s="5" t="str">
        <f t="shared" si="15"/>
        <v>2023-11</v>
      </c>
      <c r="D492" s="3">
        <v>433.84</v>
      </c>
      <c r="E492" s="3">
        <v>167.24</v>
      </c>
      <c r="F492" s="3">
        <v>87.5</v>
      </c>
      <c r="G492" s="3">
        <v>181.49</v>
      </c>
      <c r="H492" s="3">
        <v>74.89</v>
      </c>
      <c r="I492" s="2">
        <v>112.18</v>
      </c>
      <c r="J492" s="2">
        <v>651.82000000000005</v>
      </c>
      <c r="K492" s="2">
        <v>442.46</v>
      </c>
      <c r="L492" s="3">
        <v>125.52</v>
      </c>
      <c r="M492" s="2">
        <v>26.49</v>
      </c>
    </row>
    <row r="493" spans="1:13">
      <c r="A493" s="9">
        <v>45238</v>
      </c>
      <c r="B493" s="1">
        <f t="shared" si="14"/>
        <v>45231</v>
      </c>
      <c r="C493" s="5" t="str">
        <f t="shared" si="15"/>
        <v>2023-11</v>
      </c>
      <c r="D493" s="3">
        <v>437.25</v>
      </c>
      <c r="E493" s="3">
        <v>169.87</v>
      </c>
      <c r="F493" s="3">
        <v>89.56</v>
      </c>
      <c r="G493" s="3">
        <v>180.77</v>
      </c>
      <c r="H493" s="3">
        <v>76.09</v>
      </c>
      <c r="I493" s="2">
        <v>112.33</v>
      </c>
      <c r="J493" s="2">
        <v>654.95000000000005</v>
      </c>
      <c r="K493" s="2">
        <v>444.66</v>
      </c>
      <c r="L493" s="3">
        <v>128.16999999999999</v>
      </c>
      <c r="M493" s="2">
        <v>26.03</v>
      </c>
    </row>
    <row r="494" spans="1:13">
      <c r="A494" s="9">
        <v>45237</v>
      </c>
      <c r="B494" s="1">
        <f t="shared" si="14"/>
        <v>45231</v>
      </c>
      <c r="C494" s="5" t="str">
        <f t="shared" si="15"/>
        <v>2023-11</v>
      </c>
      <c r="D494" s="3">
        <v>436.93</v>
      </c>
      <c r="E494" s="3">
        <v>171.7</v>
      </c>
      <c r="F494" s="3">
        <v>88.06</v>
      </c>
      <c r="G494" s="3">
        <v>182.59</v>
      </c>
      <c r="H494" s="3">
        <v>75.84</v>
      </c>
      <c r="I494" s="2">
        <v>108.99</v>
      </c>
      <c r="J494" s="2">
        <v>648.59</v>
      </c>
      <c r="K494" s="2">
        <v>450.15</v>
      </c>
      <c r="L494" s="3">
        <v>128.35</v>
      </c>
      <c r="M494" s="2">
        <v>25.44</v>
      </c>
    </row>
    <row r="495" spans="1:13">
      <c r="A495" s="9">
        <v>45236</v>
      </c>
      <c r="B495" s="1">
        <f t="shared" si="14"/>
        <v>45231</v>
      </c>
      <c r="C495" s="5" t="str">
        <f t="shared" si="15"/>
        <v>2023-11</v>
      </c>
      <c r="D495" s="3">
        <v>435.69</v>
      </c>
      <c r="E495" s="3">
        <v>172.31</v>
      </c>
      <c r="F495" s="3">
        <v>86.78</v>
      </c>
      <c r="G495" s="3">
        <v>183.35</v>
      </c>
      <c r="H495" s="3">
        <v>76.47</v>
      </c>
      <c r="I495" s="2">
        <v>109.11</v>
      </c>
      <c r="J495" s="2">
        <v>653.22</v>
      </c>
      <c r="K495" s="2">
        <v>451.16</v>
      </c>
      <c r="L495" s="3">
        <v>128.26</v>
      </c>
      <c r="M495" s="2">
        <v>25.26</v>
      </c>
    </row>
    <row r="496" spans="1:13">
      <c r="A496" s="9">
        <v>45233</v>
      </c>
      <c r="B496" s="1">
        <f t="shared" si="14"/>
        <v>45231</v>
      </c>
      <c r="C496" s="5" t="str">
        <f t="shared" si="15"/>
        <v>2023-11</v>
      </c>
      <c r="D496" s="3">
        <v>434.69</v>
      </c>
      <c r="E496" s="3">
        <v>174.49</v>
      </c>
      <c r="F496" s="3">
        <v>87.63</v>
      </c>
      <c r="G496" s="3">
        <v>184.79</v>
      </c>
      <c r="H496" s="3">
        <v>77.59</v>
      </c>
      <c r="I496" s="2">
        <v>108.05</v>
      </c>
      <c r="J496" s="2">
        <v>657.97</v>
      </c>
      <c r="K496" s="2">
        <v>453.34</v>
      </c>
      <c r="L496" s="3">
        <v>127.41</v>
      </c>
      <c r="M496" s="2">
        <v>25.5</v>
      </c>
    </row>
    <row r="497" spans="1:13">
      <c r="A497" s="9">
        <v>45232</v>
      </c>
      <c r="B497" s="1">
        <f t="shared" si="14"/>
        <v>45231</v>
      </c>
      <c r="C497" s="5" t="str">
        <f t="shared" si="15"/>
        <v>2023-11</v>
      </c>
      <c r="D497" s="3">
        <v>430.76</v>
      </c>
      <c r="E497" s="3">
        <v>169.87</v>
      </c>
      <c r="F497" s="3">
        <v>87.04</v>
      </c>
      <c r="G497" s="3">
        <v>184.12</v>
      </c>
      <c r="H497" s="3">
        <v>75.78</v>
      </c>
      <c r="I497" s="2">
        <v>106.87</v>
      </c>
      <c r="J497" s="2">
        <v>644.49</v>
      </c>
      <c r="K497" s="2">
        <v>458.04</v>
      </c>
      <c r="L497" s="3">
        <v>126.78</v>
      </c>
      <c r="M497" s="2">
        <v>24.59</v>
      </c>
    </row>
    <row r="498" spans="1:13">
      <c r="A498" s="9">
        <v>45231</v>
      </c>
      <c r="B498" s="1">
        <f t="shared" si="14"/>
        <v>45231</v>
      </c>
      <c r="C498" s="5" t="str">
        <f t="shared" si="15"/>
        <v>2023-11</v>
      </c>
      <c r="D498" s="3">
        <v>422.66</v>
      </c>
      <c r="E498" s="3">
        <v>165.46</v>
      </c>
      <c r="F498" s="3">
        <v>85.1</v>
      </c>
      <c r="G498" s="3">
        <v>183.51</v>
      </c>
      <c r="H498" s="3">
        <v>73.37</v>
      </c>
      <c r="I498" s="2">
        <v>105.75</v>
      </c>
      <c r="J498" s="2">
        <v>616.21</v>
      </c>
      <c r="K498" s="2">
        <v>452.38</v>
      </c>
      <c r="L498" s="3">
        <v>124.8</v>
      </c>
      <c r="M498" s="2">
        <v>25.23</v>
      </c>
    </row>
    <row r="499" spans="1:13">
      <c r="A499" s="9">
        <v>45230</v>
      </c>
      <c r="B499" s="1">
        <f t="shared" si="14"/>
        <v>45200</v>
      </c>
      <c r="C499" s="5" t="str">
        <f t="shared" si="15"/>
        <v>2023-10</v>
      </c>
      <c r="D499" s="3">
        <v>418.2</v>
      </c>
      <c r="E499" s="3">
        <v>164.52</v>
      </c>
      <c r="F499" s="3">
        <v>83.58</v>
      </c>
      <c r="G499" s="3">
        <v>184.09</v>
      </c>
      <c r="H499" s="3">
        <v>72.92</v>
      </c>
      <c r="I499" s="2">
        <v>103.4</v>
      </c>
      <c r="J499" s="2">
        <v>612.28</v>
      </c>
      <c r="K499" s="2">
        <v>454.64</v>
      </c>
      <c r="L499" s="3">
        <v>124.54</v>
      </c>
      <c r="M499" s="2">
        <v>23.95</v>
      </c>
    </row>
    <row r="500" spans="1:13">
      <c r="A500" s="9">
        <v>45229</v>
      </c>
      <c r="B500" s="1">
        <f t="shared" si="14"/>
        <v>45200</v>
      </c>
      <c r="C500" s="5" t="str">
        <f t="shared" si="15"/>
        <v>2023-10</v>
      </c>
      <c r="D500" s="3">
        <v>415.59</v>
      </c>
      <c r="E500" s="3">
        <v>163.11000000000001</v>
      </c>
      <c r="F500" s="3">
        <v>83.99</v>
      </c>
      <c r="G500" s="3">
        <v>185.1</v>
      </c>
      <c r="H500" s="3">
        <v>71.7</v>
      </c>
      <c r="I500" s="2">
        <v>101.65</v>
      </c>
      <c r="J500" s="2">
        <v>607.12</v>
      </c>
      <c r="K500" s="2">
        <v>445.84</v>
      </c>
      <c r="L500" s="3">
        <v>123.83</v>
      </c>
      <c r="M500" s="2">
        <v>23.66</v>
      </c>
    </row>
    <row r="501" spans="1:13">
      <c r="A501" s="9">
        <v>45226</v>
      </c>
      <c r="B501" s="1">
        <f t="shared" si="14"/>
        <v>45200</v>
      </c>
      <c r="C501" s="5" t="str">
        <f t="shared" si="15"/>
        <v>2023-10</v>
      </c>
      <c r="D501" s="3">
        <v>410.68</v>
      </c>
      <c r="E501" s="3">
        <v>162.21</v>
      </c>
      <c r="F501" s="3">
        <v>84.37</v>
      </c>
      <c r="G501" s="3">
        <v>186.15</v>
      </c>
      <c r="H501" s="3">
        <v>71.25</v>
      </c>
      <c r="I501" s="2">
        <v>100.99</v>
      </c>
      <c r="J501" s="2">
        <v>598.08000000000004</v>
      </c>
      <c r="K501" s="2">
        <v>443.39</v>
      </c>
      <c r="L501" s="3">
        <v>123.14</v>
      </c>
      <c r="M501" s="2">
        <v>24.14</v>
      </c>
    </row>
    <row r="502" spans="1:13">
      <c r="A502" s="9">
        <v>45225</v>
      </c>
      <c r="B502" s="1">
        <f t="shared" si="14"/>
        <v>45200</v>
      </c>
      <c r="C502" s="5" t="str">
        <f t="shared" si="15"/>
        <v>2023-10</v>
      </c>
      <c r="D502" s="3">
        <v>412.55</v>
      </c>
      <c r="E502" s="3">
        <v>164.14</v>
      </c>
      <c r="F502" s="3">
        <v>84.73</v>
      </c>
      <c r="G502" s="3">
        <v>184.01</v>
      </c>
      <c r="H502" s="3">
        <v>72.41</v>
      </c>
      <c r="I502" s="2">
        <v>100.4</v>
      </c>
      <c r="J502" s="2">
        <v>607.07000000000005</v>
      </c>
      <c r="K502" s="2">
        <v>445.97</v>
      </c>
      <c r="L502" s="3">
        <v>125.26</v>
      </c>
      <c r="M502" s="2">
        <v>23.95</v>
      </c>
    </row>
    <row r="503" spans="1:13">
      <c r="A503" s="9">
        <v>45224</v>
      </c>
      <c r="B503" s="1">
        <f t="shared" si="14"/>
        <v>45200</v>
      </c>
      <c r="C503" s="5" t="str">
        <f t="shared" si="15"/>
        <v>2023-10</v>
      </c>
      <c r="D503" s="3">
        <v>417.55</v>
      </c>
      <c r="E503" s="3">
        <v>163.72</v>
      </c>
      <c r="F503" s="3">
        <v>83.45</v>
      </c>
      <c r="G503" s="3">
        <v>183.72</v>
      </c>
      <c r="H503" s="3">
        <v>71.05</v>
      </c>
      <c r="I503" s="2">
        <v>101.43</v>
      </c>
      <c r="J503" s="2">
        <v>608.67999999999995</v>
      </c>
      <c r="K503" s="2">
        <v>447.69</v>
      </c>
      <c r="L503" s="3">
        <v>126.51</v>
      </c>
      <c r="M503" s="2">
        <v>25.4</v>
      </c>
    </row>
    <row r="504" spans="1:13">
      <c r="A504" s="9">
        <v>45223</v>
      </c>
      <c r="B504" s="1">
        <f t="shared" si="14"/>
        <v>45200</v>
      </c>
      <c r="C504" s="5" t="str">
        <f t="shared" si="15"/>
        <v>2023-10</v>
      </c>
      <c r="D504" s="3">
        <v>423.63</v>
      </c>
      <c r="E504" s="3">
        <v>166.47</v>
      </c>
      <c r="F504" s="3">
        <v>85.35</v>
      </c>
      <c r="G504" s="3">
        <v>182.95</v>
      </c>
      <c r="H504" s="3">
        <v>72.61</v>
      </c>
      <c r="I504" s="2">
        <v>103.2</v>
      </c>
      <c r="J504" s="2">
        <v>612.39</v>
      </c>
      <c r="K504" s="2">
        <v>440.9</v>
      </c>
      <c r="L504" s="3">
        <v>127.65</v>
      </c>
      <c r="M504" s="2">
        <v>26.26</v>
      </c>
    </row>
    <row r="505" spans="1:13">
      <c r="A505" s="9">
        <v>45222</v>
      </c>
      <c r="B505" s="1">
        <f t="shared" si="14"/>
        <v>45200</v>
      </c>
      <c r="C505" s="5" t="str">
        <f t="shared" si="15"/>
        <v>2023-10</v>
      </c>
      <c r="D505" s="3">
        <v>420.46</v>
      </c>
      <c r="E505" s="3">
        <v>165.03</v>
      </c>
      <c r="F505" s="3">
        <v>84.24</v>
      </c>
      <c r="G505" s="3">
        <v>182.97</v>
      </c>
      <c r="H505" s="3">
        <v>71.69</v>
      </c>
      <c r="I505" s="2">
        <v>103.66</v>
      </c>
      <c r="J505" s="2">
        <v>614.73</v>
      </c>
      <c r="K505" s="2">
        <v>446.16</v>
      </c>
      <c r="L505" s="3">
        <v>127.26</v>
      </c>
      <c r="M505" s="2">
        <v>25.49</v>
      </c>
    </row>
    <row r="506" spans="1:13">
      <c r="A506" s="9">
        <v>45219</v>
      </c>
      <c r="B506" s="1">
        <f t="shared" si="14"/>
        <v>45200</v>
      </c>
      <c r="C506" s="5" t="str">
        <f t="shared" si="15"/>
        <v>2023-10</v>
      </c>
      <c r="D506" s="3">
        <v>421.19</v>
      </c>
      <c r="E506" s="3">
        <v>166.44</v>
      </c>
      <c r="F506" s="3">
        <v>83.24</v>
      </c>
      <c r="G506" s="3">
        <v>183.59</v>
      </c>
      <c r="H506" s="3">
        <v>72.400000000000006</v>
      </c>
      <c r="I506" s="2">
        <v>101.85</v>
      </c>
      <c r="J506" s="2">
        <v>614.83000000000004</v>
      </c>
      <c r="K506" s="2">
        <v>444.17</v>
      </c>
      <c r="L506" s="3">
        <v>128.06</v>
      </c>
      <c r="M506" s="2">
        <v>24.86</v>
      </c>
    </row>
    <row r="507" spans="1:13">
      <c r="A507" s="9">
        <v>45218</v>
      </c>
      <c r="B507" s="1">
        <f t="shared" si="14"/>
        <v>45200</v>
      </c>
      <c r="C507" s="5" t="str">
        <f t="shared" si="15"/>
        <v>2023-10</v>
      </c>
      <c r="D507" s="3">
        <v>426.43</v>
      </c>
      <c r="E507" s="3">
        <v>168.62</v>
      </c>
      <c r="F507" s="3">
        <v>82.77</v>
      </c>
      <c r="G507" s="3">
        <v>183.09</v>
      </c>
      <c r="H507" s="3">
        <v>72.89</v>
      </c>
      <c r="I507" s="2">
        <v>108.34</v>
      </c>
      <c r="J507" s="2">
        <v>622.51</v>
      </c>
      <c r="K507" s="2">
        <v>449.18</v>
      </c>
      <c r="L507" s="3">
        <v>128.57</v>
      </c>
      <c r="M507" s="2">
        <v>26.51</v>
      </c>
    </row>
    <row r="508" spans="1:13">
      <c r="A508" s="9">
        <v>45217</v>
      </c>
      <c r="B508" s="1">
        <f t="shared" si="14"/>
        <v>45200</v>
      </c>
      <c r="C508" s="5" t="str">
        <f t="shared" si="15"/>
        <v>2023-10</v>
      </c>
      <c r="D508" s="3">
        <v>430.21</v>
      </c>
      <c r="E508" s="3">
        <v>171.35</v>
      </c>
      <c r="F508" s="3">
        <v>84.5</v>
      </c>
      <c r="G508" s="3">
        <v>180.87</v>
      </c>
      <c r="H508" s="3">
        <v>74.66</v>
      </c>
      <c r="I508" s="2">
        <v>108.25</v>
      </c>
      <c r="J508" s="2">
        <v>616.69000000000005</v>
      </c>
      <c r="K508" s="2">
        <v>446.07</v>
      </c>
      <c r="L508" s="3">
        <v>129.85</v>
      </c>
      <c r="M508" s="2">
        <v>28.5</v>
      </c>
    </row>
    <row r="509" spans="1:13">
      <c r="A509" s="9">
        <v>45216</v>
      </c>
      <c r="B509" s="1">
        <f t="shared" si="14"/>
        <v>45200</v>
      </c>
      <c r="C509" s="5" t="str">
        <f t="shared" si="15"/>
        <v>2023-10</v>
      </c>
      <c r="D509" s="3">
        <v>436.02</v>
      </c>
      <c r="E509" s="3">
        <v>174.95</v>
      </c>
      <c r="F509" s="3">
        <v>85.25</v>
      </c>
      <c r="G509" s="3">
        <v>178.29</v>
      </c>
      <c r="H509" s="3">
        <v>76.28</v>
      </c>
      <c r="I509" s="2">
        <v>109.04</v>
      </c>
      <c r="J509" s="2">
        <v>636.1</v>
      </c>
      <c r="K509" s="2">
        <v>441.13</v>
      </c>
      <c r="L509" s="3">
        <v>130.99</v>
      </c>
      <c r="M509" s="2">
        <v>29.85</v>
      </c>
    </row>
    <row r="510" spans="1:13">
      <c r="A510" s="9">
        <v>45215</v>
      </c>
      <c r="B510" s="1">
        <f t="shared" si="14"/>
        <v>45200</v>
      </c>
      <c r="C510" s="5" t="str">
        <f t="shared" si="15"/>
        <v>2023-10</v>
      </c>
      <c r="D510" s="3">
        <v>436.04</v>
      </c>
      <c r="E510" s="3">
        <v>173.02</v>
      </c>
      <c r="F510" s="3">
        <v>86.2</v>
      </c>
      <c r="G510" s="3">
        <v>177.96</v>
      </c>
      <c r="H510" s="3">
        <v>76.39</v>
      </c>
      <c r="I510" s="2">
        <v>108.71</v>
      </c>
      <c r="J510" s="2">
        <v>635.45000000000005</v>
      </c>
      <c r="K510" s="2">
        <v>440.41</v>
      </c>
      <c r="L510" s="3">
        <v>131.16999999999999</v>
      </c>
      <c r="M510" s="2">
        <v>29.17</v>
      </c>
    </row>
    <row r="511" spans="1:13">
      <c r="A511" s="9">
        <v>45212</v>
      </c>
      <c r="B511" s="1">
        <f t="shared" si="14"/>
        <v>45200</v>
      </c>
      <c r="C511" s="5" t="str">
        <f t="shared" si="15"/>
        <v>2023-10</v>
      </c>
      <c r="D511" s="3">
        <v>431.5</v>
      </c>
      <c r="E511" s="3">
        <v>170.27</v>
      </c>
      <c r="F511" s="3">
        <v>87.61</v>
      </c>
      <c r="G511" s="3">
        <v>178.83</v>
      </c>
      <c r="H511" s="3">
        <v>75.489999999999995</v>
      </c>
      <c r="I511" s="2">
        <v>108.25</v>
      </c>
      <c r="J511" s="2">
        <v>627.66</v>
      </c>
      <c r="K511" s="2">
        <v>441.06</v>
      </c>
      <c r="L511" s="3">
        <v>130.19</v>
      </c>
      <c r="M511" s="2">
        <v>28.52</v>
      </c>
    </row>
    <row r="512" spans="1:13">
      <c r="A512" s="9">
        <v>45211</v>
      </c>
      <c r="B512" s="1">
        <f t="shared" si="14"/>
        <v>45200</v>
      </c>
      <c r="C512" s="5" t="str">
        <f t="shared" si="15"/>
        <v>2023-10</v>
      </c>
      <c r="D512" s="3">
        <v>433.66</v>
      </c>
      <c r="E512" s="3">
        <v>171.7</v>
      </c>
      <c r="F512" s="3">
        <v>86.07</v>
      </c>
      <c r="G512" s="3">
        <v>173.26</v>
      </c>
      <c r="H512" s="3">
        <v>75.680000000000007</v>
      </c>
      <c r="I512" s="2">
        <v>109.11</v>
      </c>
      <c r="J512" s="2">
        <v>636.16999999999996</v>
      </c>
      <c r="K512" s="2">
        <v>434.14</v>
      </c>
      <c r="L512" s="3">
        <v>129.38</v>
      </c>
      <c r="M512" s="2">
        <v>29.32</v>
      </c>
    </row>
    <row r="513" spans="1:13">
      <c r="A513" s="9">
        <v>45210</v>
      </c>
      <c r="B513" s="1">
        <f t="shared" si="14"/>
        <v>45200</v>
      </c>
      <c r="C513" s="5" t="str">
        <f t="shared" si="15"/>
        <v>2023-10</v>
      </c>
      <c r="D513" s="3">
        <v>436.32</v>
      </c>
      <c r="E513" s="3">
        <v>175.67</v>
      </c>
      <c r="F513" s="3">
        <v>88.47</v>
      </c>
      <c r="G513" s="3">
        <v>173.79</v>
      </c>
      <c r="H513" s="3">
        <v>76.8</v>
      </c>
      <c r="I513" s="2">
        <v>109.64</v>
      </c>
      <c r="J513" s="2">
        <v>642.66999999999996</v>
      </c>
      <c r="K513" s="2">
        <v>436.65</v>
      </c>
      <c r="L513" s="3">
        <v>130.5</v>
      </c>
      <c r="M513" s="2">
        <v>30.89</v>
      </c>
    </row>
    <row r="514" spans="1:13">
      <c r="A514" s="9">
        <v>45209</v>
      </c>
      <c r="B514" s="1">
        <f t="shared" ref="B514:B577" si="16">EOMONTH(A514,-1)+1</f>
        <v>45200</v>
      </c>
      <c r="C514" s="5" t="str">
        <f t="shared" si="15"/>
        <v>2023-10</v>
      </c>
      <c r="D514" s="3">
        <v>434.54</v>
      </c>
      <c r="E514" s="3">
        <v>175.97</v>
      </c>
      <c r="F514" s="3">
        <v>86.66</v>
      </c>
      <c r="G514" s="3">
        <v>172.53</v>
      </c>
      <c r="H514" s="3">
        <v>75.489999999999995</v>
      </c>
      <c r="I514" s="2">
        <v>109.71</v>
      </c>
      <c r="J514" s="2">
        <v>641.95000000000005</v>
      </c>
      <c r="K514" s="2">
        <v>435.1</v>
      </c>
      <c r="L514" s="3">
        <v>131.08000000000001</v>
      </c>
      <c r="M514" s="2">
        <v>31.03</v>
      </c>
    </row>
    <row r="515" spans="1:13">
      <c r="A515" s="9">
        <v>45208</v>
      </c>
      <c r="B515" s="1">
        <f t="shared" si="16"/>
        <v>45200</v>
      </c>
      <c r="C515" s="5" t="str">
        <f t="shared" ref="C515:C578" si="17">TEXT(A515, "yyyy-mm")</f>
        <v>2023-10</v>
      </c>
      <c r="D515" s="3">
        <v>432.29</v>
      </c>
      <c r="E515" s="3">
        <v>174</v>
      </c>
      <c r="F515" s="3">
        <v>86.78</v>
      </c>
      <c r="G515" s="3">
        <v>172.82</v>
      </c>
      <c r="H515" s="3">
        <v>75.13</v>
      </c>
      <c r="I515" s="2">
        <v>110.32</v>
      </c>
      <c r="J515" s="2">
        <v>643.62</v>
      </c>
      <c r="K515" s="2">
        <v>436.53</v>
      </c>
      <c r="L515" s="3">
        <v>130.46</v>
      </c>
      <c r="M515" s="2">
        <v>29</v>
      </c>
    </row>
    <row r="516" spans="1:13">
      <c r="A516" s="9">
        <v>45205</v>
      </c>
      <c r="B516" s="1">
        <f t="shared" si="16"/>
        <v>45200</v>
      </c>
      <c r="C516" s="5" t="str">
        <f t="shared" si="17"/>
        <v>2023-10</v>
      </c>
      <c r="D516" s="3">
        <v>429.54</v>
      </c>
      <c r="E516" s="3">
        <v>173</v>
      </c>
      <c r="F516" s="3">
        <v>84.79</v>
      </c>
      <c r="G516" s="3">
        <v>169.7</v>
      </c>
      <c r="H516" s="3">
        <v>74.319999999999993</v>
      </c>
      <c r="I516" s="2">
        <v>109.96</v>
      </c>
      <c r="J516" s="2">
        <v>648.26</v>
      </c>
      <c r="K516" s="2">
        <v>400.73</v>
      </c>
      <c r="L516" s="3">
        <v>130.01</v>
      </c>
      <c r="M516" s="2">
        <v>28.97</v>
      </c>
    </row>
    <row r="517" spans="1:13">
      <c r="A517" s="9">
        <v>45204</v>
      </c>
      <c r="B517" s="1">
        <f t="shared" si="16"/>
        <v>45200</v>
      </c>
      <c r="C517" s="5" t="str">
        <f t="shared" si="17"/>
        <v>2023-10</v>
      </c>
      <c r="D517" s="3">
        <v>424.5</v>
      </c>
      <c r="E517" s="3">
        <v>171.35</v>
      </c>
      <c r="F517" s="3">
        <v>85.83</v>
      </c>
      <c r="G517" s="3">
        <v>168.83</v>
      </c>
      <c r="H517" s="3">
        <v>74.12</v>
      </c>
      <c r="I517" s="2">
        <v>108.35</v>
      </c>
      <c r="J517" s="2">
        <v>640.29999999999995</v>
      </c>
      <c r="K517" s="2">
        <v>397.35</v>
      </c>
      <c r="L517" s="3">
        <v>128.66</v>
      </c>
      <c r="M517" s="2">
        <v>28.76</v>
      </c>
    </row>
    <row r="518" spans="1:13">
      <c r="A518" s="9">
        <v>45203</v>
      </c>
      <c r="B518" s="1">
        <f t="shared" si="16"/>
        <v>45200</v>
      </c>
      <c r="C518" s="5" t="str">
        <f t="shared" si="17"/>
        <v>2023-10</v>
      </c>
      <c r="D518" s="3">
        <v>424.66</v>
      </c>
      <c r="E518" s="3">
        <v>171.22</v>
      </c>
      <c r="F518" s="3">
        <v>86.26</v>
      </c>
      <c r="G518" s="3">
        <v>169.14</v>
      </c>
      <c r="H518" s="3">
        <v>73.709999999999994</v>
      </c>
      <c r="I518" s="2">
        <v>107.08</v>
      </c>
      <c r="J518" s="2">
        <v>636.53</v>
      </c>
      <c r="K518" s="2">
        <v>401.33</v>
      </c>
      <c r="L518" s="3">
        <v>127.96</v>
      </c>
      <c r="M518" s="2">
        <v>28.04</v>
      </c>
    </row>
    <row r="519" spans="1:13">
      <c r="A519" s="9">
        <v>45202</v>
      </c>
      <c r="B519" s="1">
        <f t="shared" si="16"/>
        <v>45200</v>
      </c>
      <c r="C519" s="5" t="str">
        <f t="shared" si="17"/>
        <v>2023-10</v>
      </c>
      <c r="D519" s="3">
        <v>421.59</v>
      </c>
      <c r="E519" s="3">
        <v>171.14</v>
      </c>
      <c r="F519" s="3">
        <v>85.06</v>
      </c>
      <c r="G519" s="3">
        <v>169.16</v>
      </c>
      <c r="H519" s="3">
        <v>72.819999999999993</v>
      </c>
      <c r="I519" s="2">
        <v>104.52</v>
      </c>
      <c r="J519" s="2">
        <v>625.47</v>
      </c>
      <c r="K519" s="2">
        <v>403.83</v>
      </c>
      <c r="L519" s="3">
        <v>127.42</v>
      </c>
      <c r="M519" s="2">
        <v>27</v>
      </c>
    </row>
    <row r="520" spans="1:13">
      <c r="A520" s="9">
        <v>45201</v>
      </c>
      <c r="B520" s="1">
        <f t="shared" si="16"/>
        <v>45200</v>
      </c>
      <c r="C520" s="5" t="str">
        <f t="shared" si="17"/>
        <v>2023-10</v>
      </c>
      <c r="D520" s="3">
        <v>427.31</v>
      </c>
      <c r="E520" s="3">
        <v>174.07</v>
      </c>
      <c r="F520" s="3">
        <v>86.93</v>
      </c>
      <c r="G520" s="3">
        <v>169.65</v>
      </c>
      <c r="H520" s="3">
        <v>74.27</v>
      </c>
      <c r="I520" s="2">
        <v>106.71</v>
      </c>
      <c r="J520" s="2">
        <v>643.04</v>
      </c>
      <c r="K520" s="2">
        <v>407.82</v>
      </c>
      <c r="L520" s="3">
        <v>128.56</v>
      </c>
      <c r="M520" s="2">
        <v>28.89</v>
      </c>
    </row>
    <row r="521" spans="1:13">
      <c r="A521" s="9">
        <v>45198</v>
      </c>
      <c r="B521" s="1">
        <f t="shared" si="16"/>
        <v>45170</v>
      </c>
      <c r="C521" s="5" t="str">
        <f t="shared" si="17"/>
        <v>2023-09</v>
      </c>
      <c r="D521" s="3">
        <v>427.48</v>
      </c>
      <c r="E521" s="3">
        <v>176.74</v>
      </c>
      <c r="F521" s="3">
        <v>88.69</v>
      </c>
      <c r="G521" s="3">
        <v>171.45</v>
      </c>
      <c r="H521" s="3">
        <v>75.66</v>
      </c>
      <c r="I521" s="2">
        <v>105.92</v>
      </c>
      <c r="J521" s="2">
        <v>646.49</v>
      </c>
      <c r="K521" s="2">
        <v>408.96</v>
      </c>
      <c r="L521" s="3">
        <v>128.74</v>
      </c>
      <c r="M521" s="2">
        <v>27.42</v>
      </c>
    </row>
    <row r="522" spans="1:13">
      <c r="A522" s="9">
        <v>45197</v>
      </c>
      <c r="B522" s="1">
        <f t="shared" si="16"/>
        <v>45170</v>
      </c>
      <c r="C522" s="5" t="str">
        <f t="shared" si="17"/>
        <v>2023-09</v>
      </c>
      <c r="D522" s="3">
        <v>428.52</v>
      </c>
      <c r="E522" s="3">
        <v>177.58</v>
      </c>
      <c r="F522" s="3">
        <v>88.68</v>
      </c>
      <c r="G522" s="3">
        <v>173.23</v>
      </c>
      <c r="H522" s="3">
        <v>75.44</v>
      </c>
      <c r="I522" s="2">
        <v>106.15</v>
      </c>
      <c r="J522" s="2">
        <v>645.24</v>
      </c>
      <c r="K522" s="2">
        <v>410.96</v>
      </c>
      <c r="L522" s="3">
        <v>129.72</v>
      </c>
      <c r="M522" s="2">
        <v>26.94</v>
      </c>
    </row>
    <row r="523" spans="1:13">
      <c r="A523" s="9">
        <v>45196</v>
      </c>
      <c r="B523" s="1">
        <f t="shared" si="16"/>
        <v>45170</v>
      </c>
      <c r="C523" s="5" t="str">
        <f t="shared" si="17"/>
        <v>2023-09</v>
      </c>
      <c r="D523" s="3">
        <v>426.05</v>
      </c>
      <c r="E523" s="3">
        <v>175.99</v>
      </c>
      <c r="F523" s="3">
        <v>88.41</v>
      </c>
      <c r="G523" s="3">
        <v>174.1</v>
      </c>
      <c r="H523" s="3">
        <v>75.45</v>
      </c>
      <c r="I523" s="2">
        <v>104.62</v>
      </c>
      <c r="J523" s="2">
        <v>643.39</v>
      </c>
      <c r="K523" s="2">
        <v>408.72</v>
      </c>
      <c r="L523" s="3">
        <v>129.1</v>
      </c>
      <c r="M523" s="2">
        <v>25.75</v>
      </c>
    </row>
    <row r="524" spans="1:13">
      <c r="A524" s="9">
        <v>45195</v>
      </c>
      <c r="B524" s="1">
        <f t="shared" si="16"/>
        <v>45170</v>
      </c>
      <c r="C524" s="5" t="str">
        <f t="shared" si="17"/>
        <v>2023-09</v>
      </c>
      <c r="D524" s="3">
        <v>425.88</v>
      </c>
      <c r="E524" s="3">
        <v>174.36</v>
      </c>
      <c r="F524" s="3">
        <v>88.87</v>
      </c>
      <c r="G524" s="3">
        <v>176.28</v>
      </c>
      <c r="H524" s="3">
        <v>75.959999999999994</v>
      </c>
      <c r="I524" s="2">
        <v>104.88</v>
      </c>
      <c r="J524" s="2">
        <v>646.72</v>
      </c>
      <c r="K524" s="2">
        <v>408.75</v>
      </c>
      <c r="L524" s="3">
        <v>129.75</v>
      </c>
      <c r="M524" s="2">
        <v>24.92</v>
      </c>
    </row>
    <row r="525" spans="1:13">
      <c r="A525" s="9">
        <v>45194</v>
      </c>
      <c r="B525" s="1">
        <f t="shared" si="16"/>
        <v>45170</v>
      </c>
      <c r="C525" s="5" t="str">
        <f t="shared" si="17"/>
        <v>2023-09</v>
      </c>
      <c r="D525" s="3">
        <v>432.23</v>
      </c>
      <c r="E525" s="3">
        <v>177.46</v>
      </c>
      <c r="F525" s="3">
        <v>89.18</v>
      </c>
      <c r="G525" s="3">
        <v>177.7</v>
      </c>
      <c r="H525" s="3">
        <v>77.37</v>
      </c>
      <c r="I525" s="2">
        <v>108.3</v>
      </c>
      <c r="J525" s="2">
        <v>657.55</v>
      </c>
      <c r="K525" s="2">
        <v>412.9</v>
      </c>
      <c r="L525" s="3">
        <v>130.86000000000001</v>
      </c>
      <c r="M525" s="2">
        <v>24.89</v>
      </c>
    </row>
    <row r="526" spans="1:13">
      <c r="A526" s="9">
        <v>45191</v>
      </c>
      <c r="B526" s="1">
        <f t="shared" si="16"/>
        <v>45170</v>
      </c>
      <c r="C526" s="5" t="str">
        <f t="shared" si="17"/>
        <v>2023-09</v>
      </c>
      <c r="D526" s="3">
        <v>430.42</v>
      </c>
      <c r="E526" s="3">
        <v>176.67</v>
      </c>
      <c r="F526" s="3">
        <v>91.43</v>
      </c>
      <c r="G526" s="3">
        <v>178.62</v>
      </c>
      <c r="H526" s="3">
        <v>77.44</v>
      </c>
      <c r="I526" s="2">
        <v>109.03</v>
      </c>
      <c r="J526" s="2">
        <v>660.1</v>
      </c>
      <c r="K526" s="2">
        <v>413.65</v>
      </c>
      <c r="L526" s="3">
        <v>130.15</v>
      </c>
      <c r="M526" s="2">
        <v>23.58</v>
      </c>
    </row>
    <row r="527" spans="1:13">
      <c r="A527" s="9">
        <v>45190</v>
      </c>
      <c r="B527" s="1">
        <f t="shared" si="16"/>
        <v>45170</v>
      </c>
      <c r="C527" s="5" t="str">
        <f t="shared" si="17"/>
        <v>2023-09</v>
      </c>
      <c r="D527" s="3">
        <v>431.39</v>
      </c>
      <c r="E527" s="3">
        <v>177.07</v>
      </c>
      <c r="F527" s="3">
        <v>90.7</v>
      </c>
      <c r="G527" s="3">
        <v>178.05</v>
      </c>
      <c r="H527" s="3">
        <v>78.03</v>
      </c>
      <c r="I527" s="2">
        <v>109.43</v>
      </c>
      <c r="J527" s="2">
        <v>668.83</v>
      </c>
      <c r="K527" s="2">
        <v>417.54</v>
      </c>
      <c r="L527" s="3">
        <v>130.41999999999999</v>
      </c>
      <c r="M527" s="2">
        <v>23.15</v>
      </c>
    </row>
    <row r="528" spans="1:13">
      <c r="A528" s="9">
        <v>45189</v>
      </c>
      <c r="B528" s="1">
        <f t="shared" si="16"/>
        <v>45170</v>
      </c>
      <c r="C528" s="5" t="str">
        <f t="shared" si="17"/>
        <v>2023-09</v>
      </c>
      <c r="D528" s="3">
        <v>438.64</v>
      </c>
      <c r="E528" s="3">
        <v>179.86</v>
      </c>
      <c r="F528" s="3">
        <v>93.09</v>
      </c>
      <c r="G528" s="3">
        <v>179.35</v>
      </c>
      <c r="H528" s="3">
        <v>80.78</v>
      </c>
      <c r="I528" s="2">
        <v>112.87</v>
      </c>
      <c r="J528" s="2">
        <v>683.48</v>
      </c>
      <c r="K528" s="2">
        <v>426.95</v>
      </c>
      <c r="L528" s="3">
        <v>131.57</v>
      </c>
      <c r="M528" s="2">
        <v>24.31</v>
      </c>
    </row>
    <row r="529" spans="1:13">
      <c r="A529" s="9">
        <v>45188</v>
      </c>
      <c r="B529" s="1">
        <f t="shared" si="16"/>
        <v>45170</v>
      </c>
      <c r="C529" s="5" t="str">
        <f t="shared" si="17"/>
        <v>2023-09</v>
      </c>
      <c r="D529" s="3">
        <v>442.71</v>
      </c>
      <c r="E529" s="3">
        <v>181.68</v>
      </c>
      <c r="F529" s="3">
        <v>92.8</v>
      </c>
      <c r="G529" s="3">
        <v>179.22</v>
      </c>
      <c r="H529" s="3">
        <v>80.709999999999994</v>
      </c>
      <c r="I529" s="2">
        <v>112.77</v>
      </c>
      <c r="J529" s="2">
        <v>688.96</v>
      </c>
      <c r="K529" s="2">
        <v>425.31</v>
      </c>
      <c r="L529" s="3">
        <v>131.56</v>
      </c>
      <c r="M529" s="2">
        <v>24.77</v>
      </c>
    </row>
    <row r="530" spans="1:13">
      <c r="A530" s="9">
        <v>45187</v>
      </c>
      <c r="B530" s="1">
        <f t="shared" si="16"/>
        <v>45170</v>
      </c>
      <c r="C530" s="5" t="str">
        <f t="shared" si="17"/>
        <v>2023-09</v>
      </c>
      <c r="D530" s="3">
        <v>443.63</v>
      </c>
      <c r="E530" s="3">
        <v>182.39</v>
      </c>
      <c r="F530" s="3">
        <v>93.49</v>
      </c>
      <c r="G530" s="3">
        <v>179.39</v>
      </c>
      <c r="H530" s="3">
        <v>81.08</v>
      </c>
      <c r="I530" s="2">
        <v>112.21</v>
      </c>
      <c r="J530" s="2">
        <v>694.89</v>
      </c>
      <c r="K530" s="2">
        <v>429.86</v>
      </c>
      <c r="L530" s="3">
        <v>131.44999999999999</v>
      </c>
      <c r="M530" s="2">
        <v>24.43</v>
      </c>
    </row>
    <row r="531" spans="1:13">
      <c r="A531" s="9">
        <v>45184</v>
      </c>
      <c r="B531" s="1">
        <f t="shared" si="16"/>
        <v>45170</v>
      </c>
      <c r="C531" s="5" t="str">
        <f t="shared" si="17"/>
        <v>2023-09</v>
      </c>
      <c r="D531" s="3">
        <v>443.37</v>
      </c>
      <c r="E531" s="3">
        <v>183.61</v>
      </c>
      <c r="F531" s="3">
        <v>92.96</v>
      </c>
      <c r="G531" s="3">
        <v>178.34</v>
      </c>
      <c r="H531" s="3">
        <v>81.81</v>
      </c>
      <c r="I531" s="2">
        <v>113.91</v>
      </c>
      <c r="J531" s="2">
        <v>697.41</v>
      </c>
      <c r="K531" s="2">
        <v>424.05</v>
      </c>
      <c r="L531" s="3">
        <v>132.19</v>
      </c>
      <c r="M531" s="2">
        <v>24.93</v>
      </c>
    </row>
    <row r="532" spans="1:13">
      <c r="A532" s="9">
        <v>45183</v>
      </c>
      <c r="B532" s="1">
        <f t="shared" si="16"/>
        <v>45170</v>
      </c>
      <c r="C532" s="5" t="str">
        <f t="shared" si="17"/>
        <v>2023-09</v>
      </c>
      <c r="D532" s="3">
        <v>450.36</v>
      </c>
      <c r="E532" s="3">
        <v>185.55</v>
      </c>
      <c r="F532" s="3">
        <v>93.53</v>
      </c>
      <c r="G532" s="3">
        <v>177.17</v>
      </c>
      <c r="H532" s="3">
        <v>82.12</v>
      </c>
      <c r="I532" s="2">
        <v>113.66</v>
      </c>
      <c r="J532" s="2">
        <v>706.81</v>
      </c>
      <c r="K532" s="2">
        <v>425.89</v>
      </c>
      <c r="L532" s="3">
        <v>133.24</v>
      </c>
      <c r="M532" s="2">
        <v>27.08</v>
      </c>
    </row>
    <row r="533" spans="1:13">
      <c r="A533" s="9">
        <v>45182</v>
      </c>
      <c r="B533" s="1">
        <f t="shared" si="16"/>
        <v>45170</v>
      </c>
      <c r="C533" s="5" t="str">
        <f t="shared" si="17"/>
        <v>2023-09</v>
      </c>
      <c r="D533" s="3">
        <v>446.51</v>
      </c>
      <c r="E533" s="3">
        <v>182.97</v>
      </c>
      <c r="F533" s="3">
        <v>94.21</v>
      </c>
      <c r="G533" s="3">
        <v>177.08</v>
      </c>
      <c r="H533" s="3">
        <v>80.66</v>
      </c>
      <c r="I533" s="2">
        <v>111.84</v>
      </c>
      <c r="J533" s="2">
        <v>697.23</v>
      </c>
      <c r="K533" s="2">
        <v>420.99</v>
      </c>
      <c r="L533" s="3">
        <v>132.82</v>
      </c>
      <c r="M533" s="2">
        <v>27.1</v>
      </c>
    </row>
    <row r="534" spans="1:13">
      <c r="A534" s="9">
        <v>45181</v>
      </c>
      <c r="B534" s="1">
        <f t="shared" si="16"/>
        <v>45170</v>
      </c>
      <c r="C534" s="5" t="str">
        <f t="shared" si="17"/>
        <v>2023-09</v>
      </c>
      <c r="D534" s="3">
        <v>445.99</v>
      </c>
      <c r="E534" s="3">
        <v>184.18</v>
      </c>
      <c r="F534" s="3">
        <v>94.23</v>
      </c>
      <c r="G534" s="3">
        <v>177.49</v>
      </c>
      <c r="H534" s="3">
        <v>81.55</v>
      </c>
      <c r="I534" s="2">
        <v>109.61</v>
      </c>
      <c r="J534" s="2">
        <v>697.34</v>
      </c>
      <c r="K534" s="2">
        <v>417.83</v>
      </c>
      <c r="L534" s="3">
        <v>132.80000000000001</v>
      </c>
      <c r="M534" s="2">
        <v>26.77</v>
      </c>
    </row>
    <row r="535" spans="1:13">
      <c r="A535" s="9">
        <v>45180</v>
      </c>
      <c r="B535" s="1">
        <f t="shared" si="16"/>
        <v>45170</v>
      </c>
      <c r="C535" s="5" t="str">
        <f t="shared" si="17"/>
        <v>2023-09</v>
      </c>
      <c r="D535" s="3">
        <v>448.45</v>
      </c>
      <c r="E535" s="3">
        <v>184.36</v>
      </c>
      <c r="F535" s="3">
        <v>93.69</v>
      </c>
      <c r="G535" s="3">
        <v>178.41</v>
      </c>
      <c r="H535" s="3">
        <v>81.59</v>
      </c>
      <c r="I535" s="2">
        <v>126.71</v>
      </c>
      <c r="J535" s="2">
        <v>695.93</v>
      </c>
      <c r="K535" s="2">
        <v>420.66</v>
      </c>
      <c r="L535" s="3">
        <v>132.97</v>
      </c>
      <c r="M535" s="2">
        <v>27.73</v>
      </c>
    </row>
    <row r="536" spans="1:13">
      <c r="A536" s="9">
        <v>45177</v>
      </c>
      <c r="B536" s="1">
        <f t="shared" si="16"/>
        <v>45170</v>
      </c>
      <c r="C536" s="5" t="str">
        <f t="shared" si="17"/>
        <v>2023-09</v>
      </c>
      <c r="D536" s="3">
        <v>445.52</v>
      </c>
      <c r="E536" s="3">
        <v>183.92</v>
      </c>
      <c r="F536" s="3">
        <v>94.37</v>
      </c>
      <c r="G536" s="3">
        <v>178.08</v>
      </c>
      <c r="H536" s="3">
        <v>81.58</v>
      </c>
      <c r="I536" s="2">
        <v>126.32</v>
      </c>
      <c r="J536" s="2">
        <v>690.62</v>
      </c>
      <c r="K536" s="2">
        <v>423.09</v>
      </c>
      <c r="L536" s="3">
        <v>132.06</v>
      </c>
      <c r="M536" s="2">
        <v>28.07</v>
      </c>
    </row>
    <row r="537" spans="1:13">
      <c r="A537" s="9">
        <v>45176</v>
      </c>
      <c r="B537" s="1">
        <f t="shared" si="16"/>
        <v>45170</v>
      </c>
      <c r="C537" s="5" t="str">
        <f t="shared" si="17"/>
        <v>2023-09</v>
      </c>
      <c r="D537" s="3">
        <v>444.85</v>
      </c>
      <c r="E537" s="3">
        <v>184.33</v>
      </c>
      <c r="F537" s="3">
        <v>94.01</v>
      </c>
      <c r="G537" s="3">
        <v>178.02</v>
      </c>
      <c r="H537" s="3">
        <v>81.900000000000006</v>
      </c>
      <c r="I537" s="2">
        <v>125.09</v>
      </c>
      <c r="J537" s="2">
        <v>691.06</v>
      </c>
      <c r="K537" s="2">
        <v>425.94</v>
      </c>
      <c r="L537" s="3">
        <v>132.06</v>
      </c>
      <c r="M537" s="2">
        <v>26.75</v>
      </c>
    </row>
    <row r="538" spans="1:13">
      <c r="A538" s="9">
        <v>45175</v>
      </c>
      <c r="B538" s="1">
        <f t="shared" si="16"/>
        <v>45170</v>
      </c>
      <c r="C538" s="5" t="str">
        <f t="shared" si="17"/>
        <v>2023-09</v>
      </c>
      <c r="D538" s="3">
        <v>446.22</v>
      </c>
      <c r="E538" s="3">
        <v>186.13</v>
      </c>
      <c r="F538" s="3">
        <v>93.75</v>
      </c>
      <c r="G538" s="3">
        <v>177.83</v>
      </c>
      <c r="H538" s="3">
        <v>81.39</v>
      </c>
      <c r="I538" s="2">
        <v>124.33</v>
      </c>
      <c r="J538" s="2">
        <v>694.18</v>
      </c>
      <c r="K538" s="2">
        <v>423.94</v>
      </c>
      <c r="L538" s="3">
        <v>131.47</v>
      </c>
      <c r="M538" s="2">
        <v>27.4</v>
      </c>
    </row>
    <row r="539" spans="1:13">
      <c r="A539" s="9">
        <v>45174</v>
      </c>
      <c r="B539" s="1">
        <f t="shared" si="16"/>
        <v>45170</v>
      </c>
      <c r="C539" s="5" t="str">
        <f t="shared" si="17"/>
        <v>2023-09</v>
      </c>
      <c r="D539" s="3">
        <v>449.24</v>
      </c>
      <c r="E539" s="3">
        <v>186.83</v>
      </c>
      <c r="F539" s="3">
        <v>93.52</v>
      </c>
      <c r="G539" s="3">
        <v>178.64</v>
      </c>
      <c r="H539" s="3">
        <v>81.56</v>
      </c>
      <c r="I539" s="2">
        <v>123.98</v>
      </c>
      <c r="J539" s="2">
        <v>695.93</v>
      </c>
      <c r="K539" s="2">
        <v>445.19</v>
      </c>
      <c r="L539" s="3">
        <v>132.19</v>
      </c>
      <c r="M539" s="2">
        <v>28.03</v>
      </c>
    </row>
    <row r="540" spans="1:13">
      <c r="A540" s="9">
        <v>45170</v>
      </c>
      <c r="B540" s="1">
        <f t="shared" si="16"/>
        <v>45170</v>
      </c>
      <c r="C540" s="5" t="str">
        <f t="shared" si="17"/>
        <v>2023-09</v>
      </c>
      <c r="D540" s="3">
        <v>451.19</v>
      </c>
      <c r="E540" s="3">
        <v>190.85</v>
      </c>
      <c r="F540" s="3">
        <v>94.85</v>
      </c>
      <c r="G540" s="3">
        <v>180.11</v>
      </c>
      <c r="H540" s="3">
        <v>82.52</v>
      </c>
      <c r="I540" s="2">
        <v>120.93</v>
      </c>
      <c r="J540" s="2">
        <v>706.19</v>
      </c>
      <c r="K540" s="2">
        <v>448.18</v>
      </c>
      <c r="L540" s="3">
        <v>133.57</v>
      </c>
      <c r="M540" s="2">
        <v>28.22</v>
      </c>
    </row>
    <row r="541" spans="1:13">
      <c r="A541" s="9">
        <v>45169</v>
      </c>
      <c r="B541" s="1">
        <f t="shared" si="16"/>
        <v>45139</v>
      </c>
      <c r="C541" s="5" t="str">
        <f t="shared" si="17"/>
        <v>2023-08</v>
      </c>
      <c r="D541" s="3">
        <v>450.35</v>
      </c>
      <c r="E541" s="3">
        <v>188.61</v>
      </c>
      <c r="F541" s="3">
        <v>96.64</v>
      </c>
      <c r="G541" s="3">
        <v>180.02</v>
      </c>
      <c r="H541" s="3">
        <v>82.38</v>
      </c>
      <c r="I541" s="2">
        <v>120.39</v>
      </c>
      <c r="J541" s="2">
        <v>700.54</v>
      </c>
      <c r="K541" s="2">
        <v>448.35</v>
      </c>
      <c r="L541" s="3">
        <v>133.21</v>
      </c>
      <c r="M541" s="2">
        <v>27.51</v>
      </c>
    </row>
    <row r="542" spans="1:13">
      <c r="A542" s="9">
        <v>45168</v>
      </c>
      <c r="B542" s="1">
        <f t="shared" si="16"/>
        <v>45139</v>
      </c>
      <c r="C542" s="5" t="str">
        <f t="shared" si="17"/>
        <v>2023-08</v>
      </c>
      <c r="D542" s="3">
        <v>451.01</v>
      </c>
      <c r="E542" s="3">
        <v>188.94</v>
      </c>
      <c r="F542" s="3">
        <v>96.21</v>
      </c>
      <c r="G542" s="3">
        <v>180.32</v>
      </c>
      <c r="H542" s="3">
        <v>82.99</v>
      </c>
      <c r="I542" s="2">
        <v>121.12</v>
      </c>
      <c r="J542" s="2">
        <v>695.81</v>
      </c>
      <c r="K542" s="2">
        <v>452.41</v>
      </c>
      <c r="L542" s="3">
        <v>134.82</v>
      </c>
      <c r="M542" s="2">
        <v>26.79</v>
      </c>
    </row>
    <row r="543" spans="1:13">
      <c r="A543" s="9">
        <v>45167</v>
      </c>
      <c r="B543" s="1">
        <f t="shared" si="16"/>
        <v>45139</v>
      </c>
      <c r="C543" s="5" t="str">
        <f t="shared" si="17"/>
        <v>2023-08</v>
      </c>
      <c r="D543" s="3">
        <v>449.16</v>
      </c>
      <c r="E543" s="3">
        <v>188.23</v>
      </c>
      <c r="F543" s="3">
        <v>96.31</v>
      </c>
      <c r="G543" s="3">
        <v>179.87</v>
      </c>
      <c r="H543" s="3">
        <v>82.69</v>
      </c>
      <c r="I543" s="2">
        <v>120.65</v>
      </c>
      <c r="J543" s="2">
        <v>691.03</v>
      </c>
      <c r="K543" s="2">
        <v>448.4</v>
      </c>
      <c r="L543" s="3">
        <v>134.91999999999999</v>
      </c>
      <c r="M543" s="2">
        <v>26.16</v>
      </c>
    </row>
    <row r="544" spans="1:13">
      <c r="A544" s="9">
        <v>45166</v>
      </c>
      <c r="B544" s="1">
        <f t="shared" si="16"/>
        <v>45139</v>
      </c>
      <c r="C544" s="5" t="str">
        <f t="shared" si="17"/>
        <v>2023-08</v>
      </c>
      <c r="D544" s="3">
        <v>442.76</v>
      </c>
      <c r="E544" s="3">
        <v>185.64</v>
      </c>
      <c r="F544" s="3">
        <v>95.32</v>
      </c>
      <c r="G544" s="3">
        <v>178.13</v>
      </c>
      <c r="H544" s="3">
        <v>81.7</v>
      </c>
      <c r="I544" s="2">
        <v>116.84</v>
      </c>
      <c r="J544" s="2">
        <v>679</v>
      </c>
      <c r="K544" s="2">
        <v>452.32</v>
      </c>
      <c r="L544" s="3">
        <v>133.72</v>
      </c>
      <c r="M544" s="2">
        <v>25.52</v>
      </c>
    </row>
    <row r="545" spans="1:13">
      <c r="A545" s="9">
        <v>45163</v>
      </c>
      <c r="B545" s="1">
        <f t="shared" si="16"/>
        <v>45139</v>
      </c>
      <c r="C545" s="5" t="str">
        <f t="shared" si="17"/>
        <v>2023-08</v>
      </c>
      <c r="D545" s="3">
        <v>439.97</v>
      </c>
      <c r="E545" s="3">
        <v>184</v>
      </c>
      <c r="F545" s="3">
        <v>95.22</v>
      </c>
      <c r="G545" s="3">
        <v>177.62</v>
      </c>
      <c r="H545" s="3">
        <v>80.94</v>
      </c>
      <c r="I545" s="2">
        <v>116.06</v>
      </c>
      <c r="J545" s="2">
        <v>675.96</v>
      </c>
      <c r="K545" s="2">
        <v>451.09</v>
      </c>
      <c r="L545" s="3">
        <v>133.41</v>
      </c>
      <c r="M545" s="2">
        <v>25.4</v>
      </c>
    </row>
    <row r="546" spans="1:13">
      <c r="A546" s="9">
        <v>45162</v>
      </c>
      <c r="B546" s="1">
        <f t="shared" si="16"/>
        <v>45139</v>
      </c>
      <c r="C546" s="5" t="str">
        <f t="shared" si="17"/>
        <v>2023-08</v>
      </c>
      <c r="D546" s="3">
        <v>436.89</v>
      </c>
      <c r="E546" s="3">
        <v>183.22</v>
      </c>
      <c r="F546" s="3">
        <v>94.91</v>
      </c>
      <c r="G546" s="3">
        <v>177.85</v>
      </c>
      <c r="H546" s="3">
        <v>80.88</v>
      </c>
      <c r="I546" s="2">
        <v>112.91</v>
      </c>
      <c r="J546" s="2">
        <v>673.16</v>
      </c>
      <c r="K546" s="2">
        <v>452.55</v>
      </c>
      <c r="L546" s="3">
        <v>132.44</v>
      </c>
      <c r="M546" s="2">
        <v>26.25</v>
      </c>
    </row>
    <row r="547" spans="1:13">
      <c r="A547" s="9">
        <v>45161</v>
      </c>
      <c r="B547" s="1">
        <f t="shared" si="16"/>
        <v>45139</v>
      </c>
      <c r="C547" s="5" t="str">
        <f t="shared" si="17"/>
        <v>2023-08</v>
      </c>
      <c r="D547" s="3">
        <v>443.03</v>
      </c>
      <c r="E547" s="3">
        <v>185.79</v>
      </c>
      <c r="F547" s="3">
        <v>95.54</v>
      </c>
      <c r="G547" s="3">
        <v>177.89</v>
      </c>
      <c r="H547" s="3">
        <v>81.19</v>
      </c>
      <c r="I547" s="2">
        <v>117.84</v>
      </c>
      <c r="J547" s="2">
        <v>678.77</v>
      </c>
      <c r="K547" s="2">
        <v>454.57</v>
      </c>
      <c r="L547" s="3">
        <v>133.6</v>
      </c>
      <c r="M547" s="2">
        <v>27.76</v>
      </c>
    </row>
    <row r="548" spans="1:13">
      <c r="A548" s="9">
        <v>45160</v>
      </c>
      <c r="B548" s="1">
        <f t="shared" si="16"/>
        <v>45139</v>
      </c>
      <c r="C548" s="5" t="str">
        <f t="shared" si="17"/>
        <v>2023-08</v>
      </c>
      <c r="D548" s="3">
        <v>438.15</v>
      </c>
      <c r="E548" s="3">
        <v>183.83</v>
      </c>
      <c r="F548" s="3">
        <v>93.23</v>
      </c>
      <c r="G548" s="3">
        <v>176.1</v>
      </c>
      <c r="H548" s="3">
        <v>79.930000000000007</v>
      </c>
      <c r="I548" s="2">
        <v>116.54</v>
      </c>
      <c r="J548" s="2">
        <v>665.84</v>
      </c>
      <c r="K548" s="2">
        <v>452.94</v>
      </c>
      <c r="L548" s="3">
        <v>133.19999999999999</v>
      </c>
      <c r="M548" s="2">
        <v>25.81</v>
      </c>
    </row>
    <row r="549" spans="1:13">
      <c r="A549" s="9">
        <v>45159</v>
      </c>
      <c r="B549" s="1">
        <f t="shared" si="16"/>
        <v>45139</v>
      </c>
      <c r="C549" s="5" t="str">
        <f t="shared" si="17"/>
        <v>2023-08</v>
      </c>
      <c r="D549" s="3">
        <v>439.34</v>
      </c>
      <c r="E549" s="3">
        <v>184.38</v>
      </c>
      <c r="F549" s="3">
        <v>92.52</v>
      </c>
      <c r="G549" s="3">
        <v>175.81</v>
      </c>
      <c r="H549" s="3">
        <v>79.7</v>
      </c>
      <c r="I549" s="2">
        <v>116.59</v>
      </c>
      <c r="J549" s="2">
        <v>671.59</v>
      </c>
      <c r="K549" s="2">
        <v>451.49</v>
      </c>
      <c r="L549" s="3">
        <v>133.66999999999999</v>
      </c>
      <c r="M549" s="2">
        <v>25.26</v>
      </c>
    </row>
    <row r="550" spans="1:13">
      <c r="A550" s="9">
        <v>45156</v>
      </c>
      <c r="B550" s="1">
        <f t="shared" si="16"/>
        <v>45139</v>
      </c>
      <c r="C550" s="5" t="str">
        <f t="shared" si="17"/>
        <v>2023-08</v>
      </c>
      <c r="D550" s="3">
        <v>436.5</v>
      </c>
      <c r="E550" s="3">
        <v>184.65</v>
      </c>
      <c r="F550" s="3">
        <v>93.77</v>
      </c>
      <c r="G550" s="3">
        <v>175.33</v>
      </c>
      <c r="H550" s="3">
        <v>80.44</v>
      </c>
      <c r="I550" s="2">
        <v>116.46</v>
      </c>
      <c r="J550" s="2">
        <v>670.25</v>
      </c>
      <c r="K550" s="2">
        <v>450.06</v>
      </c>
      <c r="L550" s="3">
        <v>133.53</v>
      </c>
      <c r="M550" s="2">
        <v>24.36</v>
      </c>
    </row>
    <row r="551" spans="1:13">
      <c r="A551" s="9">
        <v>45155</v>
      </c>
      <c r="B551" s="1">
        <f t="shared" si="16"/>
        <v>45139</v>
      </c>
      <c r="C551" s="5" t="str">
        <f t="shared" si="17"/>
        <v>2023-08</v>
      </c>
      <c r="D551" s="3">
        <v>436.29</v>
      </c>
      <c r="E551" s="3">
        <v>183.65</v>
      </c>
      <c r="F551" s="3">
        <v>93.44</v>
      </c>
      <c r="G551" s="3">
        <v>175.3</v>
      </c>
      <c r="H551" s="3">
        <v>80.19</v>
      </c>
      <c r="I551" s="2">
        <v>114.88</v>
      </c>
      <c r="J551" s="2">
        <v>674</v>
      </c>
      <c r="K551" s="2">
        <v>446.68</v>
      </c>
      <c r="L551" s="3">
        <v>133.47999999999999</v>
      </c>
      <c r="M551" s="2">
        <v>24.41</v>
      </c>
    </row>
    <row r="552" spans="1:13">
      <c r="A552" s="9">
        <v>45154</v>
      </c>
      <c r="B552" s="1">
        <f t="shared" si="16"/>
        <v>45139</v>
      </c>
      <c r="C552" s="5" t="str">
        <f t="shared" si="17"/>
        <v>2023-08</v>
      </c>
      <c r="D552" s="3">
        <v>439.64</v>
      </c>
      <c r="E552" s="3">
        <v>185.84</v>
      </c>
      <c r="F552" s="3">
        <v>93.84</v>
      </c>
      <c r="G552" s="3">
        <v>175.57</v>
      </c>
      <c r="H552" s="3">
        <v>80.84</v>
      </c>
      <c r="I552" s="2">
        <v>115.34</v>
      </c>
      <c r="J552" s="2">
        <v>672.24</v>
      </c>
      <c r="K552" s="2">
        <v>445.13</v>
      </c>
      <c r="L552" s="3">
        <v>134.55000000000001</v>
      </c>
      <c r="M552" s="2">
        <v>25.37</v>
      </c>
    </row>
    <row r="553" spans="1:13">
      <c r="A553" s="9">
        <v>45153</v>
      </c>
      <c r="B553" s="1">
        <f t="shared" si="16"/>
        <v>45139</v>
      </c>
      <c r="C553" s="5" t="str">
        <f t="shared" si="17"/>
        <v>2023-08</v>
      </c>
      <c r="D553" s="3">
        <v>442.89</v>
      </c>
      <c r="E553" s="3">
        <v>188.14</v>
      </c>
      <c r="F553" s="3">
        <v>94.58</v>
      </c>
      <c r="G553" s="3">
        <v>176.59</v>
      </c>
      <c r="H553" s="3">
        <v>81.849999999999994</v>
      </c>
      <c r="I553" s="2">
        <v>117.29</v>
      </c>
      <c r="J553" s="2">
        <v>672.82</v>
      </c>
      <c r="K553" s="2">
        <v>443.58</v>
      </c>
      <c r="L553" s="3">
        <v>135.58000000000001</v>
      </c>
      <c r="M553" s="2">
        <v>26.42</v>
      </c>
    </row>
    <row r="554" spans="1:13">
      <c r="A554" s="9">
        <v>45152</v>
      </c>
      <c r="B554" s="1">
        <f t="shared" si="16"/>
        <v>45139</v>
      </c>
      <c r="C554" s="5" t="str">
        <f t="shared" si="17"/>
        <v>2023-08</v>
      </c>
      <c r="D554" s="3">
        <v>448.11</v>
      </c>
      <c r="E554" s="3">
        <v>190.66</v>
      </c>
      <c r="F554" s="3">
        <v>95.16</v>
      </c>
      <c r="G554" s="3">
        <v>177.06</v>
      </c>
      <c r="H554" s="3">
        <v>82.78</v>
      </c>
      <c r="I554" s="2">
        <v>115.57</v>
      </c>
      <c r="J554" s="2">
        <v>692.93</v>
      </c>
      <c r="K554" s="2">
        <v>450.08</v>
      </c>
      <c r="L554" s="3">
        <v>136.08000000000001</v>
      </c>
      <c r="M554" s="2">
        <v>26.95</v>
      </c>
    </row>
    <row r="555" spans="1:13">
      <c r="A555" s="9">
        <v>45149</v>
      </c>
      <c r="B555" s="1">
        <f t="shared" si="16"/>
        <v>45139</v>
      </c>
      <c r="C555" s="5" t="str">
        <f t="shared" si="17"/>
        <v>2023-08</v>
      </c>
      <c r="D555" s="3">
        <v>445.65</v>
      </c>
      <c r="E555" s="3">
        <v>190.99</v>
      </c>
      <c r="F555" s="3">
        <v>95.37</v>
      </c>
      <c r="G555" s="3">
        <v>177.6</v>
      </c>
      <c r="H555" s="3">
        <v>83.33</v>
      </c>
      <c r="I555" s="2">
        <v>113.06</v>
      </c>
      <c r="J555" s="2">
        <v>695.61</v>
      </c>
      <c r="K555" s="2">
        <v>454.05</v>
      </c>
      <c r="L555" s="3">
        <v>135.66999999999999</v>
      </c>
      <c r="M555" s="2">
        <v>25.44</v>
      </c>
    </row>
    <row r="556" spans="1:13">
      <c r="A556" s="9">
        <v>45148</v>
      </c>
      <c r="B556" s="1">
        <f t="shared" si="16"/>
        <v>45139</v>
      </c>
      <c r="C556" s="5" t="str">
        <f t="shared" si="17"/>
        <v>2023-08</v>
      </c>
      <c r="D556" s="3">
        <v>445.91</v>
      </c>
      <c r="E556" s="3">
        <v>190.72</v>
      </c>
      <c r="F556" s="3">
        <v>95.59</v>
      </c>
      <c r="G556" s="3">
        <v>177.6</v>
      </c>
      <c r="H556" s="3">
        <v>83.2</v>
      </c>
      <c r="I556" s="2">
        <v>112.99</v>
      </c>
      <c r="J556" s="2">
        <v>697.01</v>
      </c>
      <c r="K556" s="2">
        <v>450.05</v>
      </c>
      <c r="L556" s="3">
        <v>134.83000000000001</v>
      </c>
      <c r="M556" s="2">
        <v>27.71</v>
      </c>
    </row>
    <row r="557" spans="1:13">
      <c r="A557" s="9">
        <v>45147</v>
      </c>
      <c r="B557" s="1">
        <f t="shared" si="16"/>
        <v>45139</v>
      </c>
      <c r="C557" s="5" t="str">
        <f t="shared" si="17"/>
        <v>2023-08</v>
      </c>
      <c r="D557" s="3">
        <v>445.75</v>
      </c>
      <c r="E557" s="3">
        <v>191.57</v>
      </c>
      <c r="F557" s="3">
        <v>97.19</v>
      </c>
      <c r="G557" s="3">
        <v>177.79</v>
      </c>
      <c r="H557" s="3">
        <v>83.52</v>
      </c>
      <c r="I557" s="2">
        <v>113.1</v>
      </c>
      <c r="J557" s="2">
        <v>692.09</v>
      </c>
      <c r="K557" s="2">
        <v>452.81</v>
      </c>
      <c r="L557" s="3">
        <v>134.91999999999999</v>
      </c>
      <c r="M557" s="2">
        <v>26.61</v>
      </c>
    </row>
    <row r="558" spans="1:13">
      <c r="A558" s="9">
        <v>45146</v>
      </c>
      <c r="B558" s="1">
        <f t="shared" si="16"/>
        <v>45139</v>
      </c>
      <c r="C558" s="5" t="str">
        <f t="shared" si="17"/>
        <v>2023-08</v>
      </c>
      <c r="D558" s="3">
        <v>448.75</v>
      </c>
      <c r="E558" s="3">
        <v>193.08</v>
      </c>
      <c r="F558" s="3">
        <v>96.69</v>
      </c>
      <c r="G558" s="3">
        <v>178.64</v>
      </c>
      <c r="H558" s="3">
        <v>83.53</v>
      </c>
      <c r="I558" s="2">
        <v>115.23</v>
      </c>
      <c r="J558" s="2">
        <v>696.98</v>
      </c>
      <c r="K558" s="2">
        <v>449.47</v>
      </c>
      <c r="L558" s="3">
        <v>134.96</v>
      </c>
      <c r="M558" s="2">
        <v>34.74</v>
      </c>
    </row>
    <row r="559" spans="1:13">
      <c r="A559" s="9">
        <v>45145</v>
      </c>
      <c r="B559" s="1">
        <f t="shared" si="16"/>
        <v>45139</v>
      </c>
      <c r="C559" s="5" t="str">
        <f t="shared" si="17"/>
        <v>2023-08</v>
      </c>
      <c r="D559" s="3">
        <v>450.71</v>
      </c>
      <c r="E559" s="3">
        <v>194.3</v>
      </c>
      <c r="F559" s="3">
        <v>95.58</v>
      </c>
      <c r="G559" s="3">
        <v>179.78</v>
      </c>
      <c r="H559" s="3">
        <v>84.07</v>
      </c>
      <c r="I559" s="2">
        <v>116.1</v>
      </c>
      <c r="J559" s="2">
        <v>712.55</v>
      </c>
      <c r="K559" s="2">
        <v>449.78</v>
      </c>
      <c r="L559" s="3">
        <v>133.93</v>
      </c>
      <c r="M559" s="2">
        <v>35.33</v>
      </c>
    </row>
    <row r="560" spans="1:13">
      <c r="A560" s="9">
        <v>45142</v>
      </c>
      <c r="B560" s="1">
        <f t="shared" si="16"/>
        <v>45139</v>
      </c>
      <c r="C560" s="5" t="str">
        <f t="shared" si="17"/>
        <v>2023-08</v>
      </c>
      <c r="D560" s="3">
        <v>446.81</v>
      </c>
      <c r="E560" s="3">
        <v>194.17</v>
      </c>
      <c r="F560" s="3">
        <v>96.53</v>
      </c>
      <c r="G560" s="3">
        <v>180.19</v>
      </c>
      <c r="H560" s="3">
        <v>83.03</v>
      </c>
      <c r="I560" s="2">
        <v>114.44</v>
      </c>
      <c r="J560" s="2">
        <v>710.28</v>
      </c>
      <c r="K560" s="2">
        <v>445.72</v>
      </c>
      <c r="L560" s="3">
        <v>132.4</v>
      </c>
      <c r="M560" s="2">
        <v>33.81</v>
      </c>
    </row>
    <row r="561" spans="1:13">
      <c r="A561" s="9">
        <v>45141</v>
      </c>
      <c r="B561" s="1">
        <f t="shared" si="16"/>
        <v>45139</v>
      </c>
      <c r="C561" s="5" t="str">
        <f t="shared" si="17"/>
        <v>2023-08</v>
      </c>
      <c r="D561" s="3">
        <v>448.84</v>
      </c>
      <c r="E561" s="3">
        <v>194.56</v>
      </c>
      <c r="F561" s="3">
        <v>94.85</v>
      </c>
      <c r="G561" s="3">
        <v>179.54</v>
      </c>
      <c r="H561" s="3">
        <v>83.71</v>
      </c>
      <c r="I561" s="2">
        <v>114.55</v>
      </c>
      <c r="J561" s="2">
        <v>710.17</v>
      </c>
      <c r="K561" s="2">
        <v>447.92</v>
      </c>
      <c r="L561" s="3">
        <v>132.87</v>
      </c>
      <c r="M561" s="2">
        <v>32.119999999999997</v>
      </c>
    </row>
    <row r="562" spans="1:13">
      <c r="A562" s="9">
        <v>45140</v>
      </c>
      <c r="B562" s="1">
        <f t="shared" si="16"/>
        <v>45139</v>
      </c>
      <c r="C562" s="5" t="str">
        <f t="shared" si="17"/>
        <v>2023-08</v>
      </c>
      <c r="D562" s="3">
        <v>450.13</v>
      </c>
      <c r="E562" s="3">
        <v>195.11</v>
      </c>
      <c r="F562" s="3">
        <v>97.09</v>
      </c>
      <c r="G562" s="3">
        <v>179.6</v>
      </c>
      <c r="H562" s="3">
        <v>84.63</v>
      </c>
      <c r="I562" s="2">
        <v>115.71</v>
      </c>
      <c r="J562" s="2">
        <v>717.44</v>
      </c>
      <c r="K562" s="2">
        <v>448.56</v>
      </c>
      <c r="L562" s="3">
        <v>133.54</v>
      </c>
      <c r="M562" s="2">
        <v>31.96</v>
      </c>
    </row>
    <row r="563" spans="1:13">
      <c r="A563" s="9">
        <v>45139</v>
      </c>
      <c r="B563" s="1">
        <f t="shared" si="16"/>
        <v>45139</v>
      </c>
      <c r="C563" s="5" t="str">
        <f t="shared" si="17"/>
        <v>2023-08</v>
      </c>
      <c r="D563" s="3">
        <v>456.48</v>
      </c>
      <c r="E563" s="3">
        <v>197.8</v>
      </c>
      <c r="F563" s="3">
        <v>98.14</v>
      </c>
      <c r="G563" s="3">
        <v>180.46</v>
      </c>
      <c r="H563" s="3">
        <v>85.12</v>
      </c>
      <c r="I563" s="2">
        <v>117.91</v>
      </c>
      <c r="J563" s="2">
        <v>732.26</v>
      </c>
      <c r="K563" s="2">
        <v>451.28</v>
      </c>
      <c r="L563" s="3">
        <v>133.44999999999999</v>
      </c>
      <c r="M563" s="2">
        <v>33.76</v>
      </c>
    </row>
    <row r="564" spans="1:13">
      <c r="A564" s="9">
        <v>45138</v>
      </c>
      <c r="B564" s="1">
        <f t="shared" si="16"/>
        <v>45108</v>
      </c>
      <c r="C564" s="5" t="str">
        <f t="shared" si="17"/>
        <v>2023-07</v>
      </c>
      <c r="D564" s="3">
        <v>457.79</v>
      </c>
      <c r="E564" s="3">
        <v>198.71</v>
      </c>
      <c r="F564" s="3">
        <v>100.05</v>
      </c>
      <c r="G564" s="3">
        <v>182.35</v>
      </c>
      <c r="H564" s="3">
        <v>85.26</v>
      </c>
      <c r="I564" s="2">
        <v>117.23</v>
      </c>
      <c r="J564" s="2">
        <v>738.85</v>
      </c>
      <c r="K564" s="2">
        <v>446.37</v>
      </c>
      <c r="L564" s="3">
        <v>134.15</v>
      </c>
      <c r="M564" s="2">
        <v>33.03</v>
      </c>
    </row>
    <row r="565" spans="1:13">
      <c r="A565" s="9">
        <v>45135</v>
      </c>
      <c r="B565" s="1">
        <f t="shared" si="16"/>
        <v>45108</v>
      </c>
      <c r="C565" s="5" t="str">
        <f t="shared" si="17"/>
        <v>2023-07</v>
      </c>
      <c r="D565" s="3">
        <v>456.92</v>
      </c>
      <c r="E565" s="3">
        <v>196.43</v>
      </c>
      <c r="F565" s="3">
        <v>99.81</v>
      </c>
      <c r="G565" s="3">
        <v>181.86</v>
      </c>
      <c r="H565" s="3">
        <v>84.71</v>
      </c>
      <c r="I565" s="2">
        <v>115.99</v>
      </c>
      <c r="J565" s="2">
        <v>738.34</v>
      </c>
      <c r="K565" s="2">
        <v>449</v>
      </c>
      <c r="L565" s="3">
        <v>135.19</v>
      </c>
      <c r="M565" s="2">
        <v>33.450000000000003</v>
      </c>
    </row>
    <row r="566" spans="1:13">
      <c r="A566" s="9">
        <v>45134</v>
      </c>
      <c r="B566" s="1">
        <f t="shared" si="16"/>
        <v>45108</v>
      </c>
      <c r="C566" s="5" t="str">
        <f t="shared" si="17"/>
        <v>2023-07</v>
      </c>
      <c r="D566" s="3">
        <v>452.49</v>
      </c>
      <c r="E566" s="3">
        <v>193.92</v>
      </c>
      <c r="F566" s="3">
        <v>99.3</v>
      </c>
      <c r="G566" s="3">
        <v>180.42</v>
      </c>
      <c r="H566" s="3">
        <v>84.78</v>
      </c>
      <c r="I566" s="2">
        <v>116.4</v>
      </c>
      <c r="J566" s="2">
        <v>729.07</v>
      </c>
      <c r="K566" s="2">
        <v>448.64</v>
      </c>
      <c r="L566" s="3">
        <v>134.79</v>
      </c>
      <c r="M566" s="2">
        <v>32.729999999999997</v>
      </c>
    </row>
    <row r="567" spans="1:13">
      <c r="A567" s="9">
        <v>45133</v>
      </c>
      <c r="B567" s="1">
        <f t="shared" si="16"/>
        <v>45108</v>
      </c>
      <c r="C567" s="5" t="str">
        <f t="shared" si="17"/>
        <v>2023-07</v>
      </c>
      <c r="D567" s="3">
        <v>455.51</v>
      </c>
      <c r="E567" s="3">
        <v>196.46</v>
      </c>
      <c r="F567" s="3">
        <v>101.27</v>
      </c>
      <c r="G567" s="3">
        <v>183.3</v>
      </c>
      <c r="H567" s="3">
        <v>86.66</v>
      </c>
      <c r="I567" s="2">
        <v>115.5</v>
      </c>
      <c r="J567" s="2">
        <v>743.16</v>
      </c>
      <c r="K567" s="2">
        <v>452.81</v>
      </c>
      <c r="L567" s="3">
        <v>135.79</v>
      </c>
      <c r="M567" s="2">
        <v>31.74</v>
      </c>
    </row>
    <row r="568" spans="1:13">
      <c r="A568" s="9">
        <v>45132</v>
      </c>
      <c r="B568" s="1">
        <f t="shared" si="16"/>
        <v>45108</v>
      </c>
      <c r="C568" s="5" t="str">
        <f t="shared" si="17"/>
        <v>2023-07</v>
      </c>
      <c r="D568" s="3">
        <v>455.44</v>
      </c>
      <c r="E568" s="3">
        <v>194.92</v>
      </c>
      <c r="F568" s="3">
        <v>101.17</v>
      </c>
      <c r="G568" s="3">
        <v>182.41</v>
      </c>
      <c r="H568" s="3">
        <v>86.27</v>
      </c>
      <c r="I568" s="2">
        <v>117.95</v>
      </c>
      <c r="J568" s="2">
        <v>746.02</v>
      </c>
      <c r="K568" s="2">
        <v>454.15</v>
      </c>
      <c r="L568" s="3">
        <v>135.88</v>
      </c>
      <c r="M568" s="2">
        <v>32.14</v>
      </c>
    </row>
    <row r="569" spans="1:13">
      <c r="A569" s="9">
        <v>45131</v>
      </c>
      <c r="B569" s="1">
        <f t="shared" si="16"/>
        <v>45108</v>
      </c>
      <c r="C569" s="5" t="str">
        <f t="shared" si="17"/>
        <v>2023-07</v>
      </c>
      <c r="D569" s="3">
        <v>454.2</v>
      </c>
      <c r="E569" s="3">
        <v>194.94</v>
      </c>
      <c r="F569" s="3">
        <v>101.36</v>
      </c>
      <c r="G569" s="3">
        <v>181.4</v>
      </c>
      <c r="H569" s="3">
        <v>86.89</v>
      </c>
      <c r="I569" s="2">
        <v>118.07</v>
      </c>
      <c r="J569" s="2">
        <v>756.58</v>
      </c>
      <c r="K569" s="2">
        <v>456.8</v>
      </c>
      <c r="L569" s="3">
        <v>135.94</v>
      </c>
      <c r="M569" s="2">
        <v>30.94</v>
      </c>
    </row>
    <row r="570" spans="1:13">
      <c r="A570" s="9">
        <v>45128</v>
      </c>
      <c r="B570" s="1">
        <f t="shared" si="16"/>
        <v>45108</v>
      </c>
      <c r="C570" s="5" t="str">
        <f t="shared" si="17"/>
        <v>2023-07</v>
      </c>
      <c r="D570" s="3">
        <v>452.18</v>
      </c>
      <c r="E570" s="3">
        <v>194.46</v>
      </c>
      <c r="F570" s="3">
        <v>101.73</v>
      </c>
      <c r="G570" s="3">
        <v>182.18</v>
      </c>
      <c r="H570" s="3">
        <v>86.18</v>
      </c>
      <c r="I570" s="2">
        <v>117.65</v>
      </c>
      <c r="J570" s="2">
        <v>751.21</v>
      </c>
      <c r="K570" s="2">
        <v>454.76</v>
      </c>
      <c r="L570" s="3">
        <v>136.24</v>
      </c>
      <c r="M570" s="2">
        <v>30.32</v>
      </c>
    </row>
    <row r="571" spans="1:13">
      <c r="A571" s="9">
        <v>45127</v>
      </c>
      <c r="B571" s="1">
        <f t="shared" si="16"/>
        <v>45108</v>
      </c>
      <c r="C571" s="5" t="str">
        <f t="shared" si="17"/>
        <v>2023-07</v>
      </c>
      <c r="D571" s="3">
        <v>452.18</v>
      </c>
      <c r="E571" s="3">
        <v>195.08</v>
      </c>
      <c r="F571" s="3">
        <v>101.7</v>
      </c>
      <c r="G571" s="3">
        <v>182.74</v>
      </c>
      <c r="H571" s="3">
        <v>85.78</v>
      </c>
      <c r="I571" s="2">
        <v>115.88</v>
      </c>
      <c r="J571" s="2">
        <v>750.88</v>
      </c>
      <c r="K571" s="2">
        <v>456.01</v>
      </c>
      <c r="L571" s="3">
        <v>134.88</v>
      </c>
      <c r="M571" s="2">
        <v>30.3</v>
      </c>
    </row>
    <row r="572" spans="1:13">
      <c r="A572" s="9">
        <v>45126</v>
      </c>
      <c r="B572" s="1">
        <f t="shared" si="16"/>
        <v>45108</v>
      </c>
      <c r="C572" s="5" t="str">
        <f t="shared" si="17"/>
        <v>2023-07</v>
      </c>
      <c r="D572" s="3">
        <v>455.2</v>
      </c>
      <c r="E572" s="3">
        <v>196.8</v>
      </c>
      <c r="F572" s="3">
        <v>102.95</v>
      </c>
      <c r="G572" s="3">
        <v>183.67</v>
      </c>
      <c r="H572" s="3">
        <v>86.06</v>
      </c>
      <c r="I572" s="2">
        <v>118.69</v>
      </c>
      <c r="J572" s="2">
        <v>747.3</v>
      </c>
      <c r="K572" s="2">
        <v>451.51</v>
      </c>
      <c r="L572" s="3">
        <v>132.68</v>
      </c>
      <c r="M572" s="2">
        <v>30.37</v>
      </c>
    </row>
    <row r="573" spans="1:13">
      <c r="A573" s="9">
        <v>45125</v>
      </c>
      <c r="B573" s="1">
        <f t="shared" si="16"/>
        <v>45108</v>
      </c>
      <c r="C573" s="5" t="str">
        <f t="shared" si="17"/>
        <v>2023-07</v>
      </c>
      <c r="D573" s="3">
        <v>454.19</v>
      </c>
      <c r="E573" s="3">
        <v>195.97</v>
      </c>
      <c r="F573" s="3">
        <v>101.8</v>
      </c>
      <c r="G573" s="3">
        <v>183.64</v>
      </c>
      <c r="H573" s="3">
        <v>85.1</v>
      </c>
      <c r="I573" s="2">
        <v>120.77</v>
      </c>
      <c r="J573" s="2">
        <v>738.93</v>
      </c>
      <c r="K573" s="2">
        <v>455.7</v>
      </c>
      <c r="L573" s="3">
        <v>132.07</v>
      </c>
      <c r="M573" s="2">
        <v>31.84</v>
      </c>
    </row>
    <row r="574" spans="1:13">
      <c r="A574" s="9">
        <v>45124</v>
      </c>
      <c r="B574" s="1">
        <f t="shared" si="16"/>
        <v>45108</v>
      </c>
      <c r="C574" s="5" t="str">
        <f t="shared" si="17"/>
        <v>2023-07</v>
      </c>
      <c r="D574" s="3">
        <v>450.84</v>
      </c>
      <c r="E574" s="3">
        <v>193.58</v>
      </c>
      <c r="F574" s="3">
        <v>101.34</v>
      </c>
      <c r="G574" s="3">
        <v>181.56</v>
      </c>
      <c r="H574" s="3">
        <v>85.57</v>
      </c>
      <c r="I574" s="2">
        <v>118.89</v>
      </c>
      <c r="J574" s="2">
        <v>727.87</v>
      </c>
      <c r="K574" s="2">
        <v>469.97</v>
      </c>
      <c r="L574" s="3">
        <v>131.1</v>
      </c>
      <c r="M574" s="2">
        <v>30.21</v>
      </c>
    </row>
    <row r="575" spans="1:13">
      <c r="A575" s="9">
        <v>45121</v>
      </c>
      <c r="B575" s="1">
        <f t="shared" si="16"/>
        <v>45108</v>
      </c>
      <c r="C575" s="5" t="str">
        <f t="shared" si="17"/>
        <v>2023-07</v>
      </c>
      <c r="D575" s="3">
        <v>449.28</v>
      </c>
      <c r="E575" s="3">
        <v>191.53</v>
      </c>
      <c r="F575" s="3">
        <v>101.29</v>
      </c>
      <c r="G575" s="3">
        <v>181.43</v>
      </c>
      <c r="H575" s="3">
        <v>86.13</v>
      </c>
      <c r="I575" s="2">
        <v>119.27</v>
      </c>
      <c r="J575" s="2">
        <v>728.03</v>
      </c>
      <c r="K575" s="2">
        <v>464.31</v>
      </c>
      <c r="L575" s="3">
        <v>131.69999999999999</v>
      </c>
      <c r="M575" s="2">
        <v>29.54</v>
      </c>
    </row>
    <row r="576" spans="1:13">
      <c r="A576" s="9">
        <v>45120</v>
      </c>
      <c r="B576" s="1">
        <f t="shared" si="16"/>
        <v>45108</v>
      </c>
      <c r="C576" s="5" t="str">
        <f t="shared" si="17"/>
        <v>2023-07</v>
      </c>
      <c r="D576" s="3">
        <v>449.56</v>
      </c>
      <c r="E576" s="3">
        <v>193.42</v>
      </c>
      <c r="F576" s="3">
        <v>101.89</v>
      </c>
      <c r="G576" s="3">
        <v>182.01</v>
      </c>
      <c r="H576" s="3">
        <v>86.3</v>
      </c>
      <c r="I576" s="2">
        <v>117.45</v>
      </c>
      <c r="J576" s="2">
        <v>739.8</v>
      </c>
      <c r="K576" s="2">
        <v>466.38</v>
      </c>
      <c r="L576" s="3">
        <v>129.75</v>
      </c>
      <c r="M576" s="2">
        <v>29.41</v>
      </c>
    </row>
    <row r="577" spans="1:13">
      <c r="A577" s="9">
        <v>45119</v>
      </c>
      <c r="B577" s="1">
        <f t="shared" si="16"/>
        <v>45108</v>
      </c>
      <c r="C577" s="5" t="str">
        <f t="shared" si="17"/>
        <v>2023-07</v>
      </c>
      <c r="D577" s="3">
        <v>446.02</v>
      </c>
      <c r="E577" s="3">
        <v>191.87</v>
      </c>
      <c r="F577" s="3">
        <v>100.83</v>
      </c>
      <c r="G577" s="3">
        <v>181.88</v>
      </c>
      <c r="H577" s="3">
        <v>85.75</v>
      </c>
      <c r="I577" s="2">
        <v>116.02</v>
      </c>
      <c r="J577" s="2">
        <v>726</v>
      </c>
      <c r="K577" s="2">
        <v>461.96</v>
      </c>
      <c r="L577" s="3">
        <v>129.69999999999999</v>
      </c>
      <c r="M577" s="2">
        <v>27.66</v>
      </c>
    </row>
    <row r="578" spans="1:13">
      <c r="A578" s="9">
        <v>45118</v>
      </c>
      <c r="B578" s="1">
        <f t="shared" ref="B578:B641" si="18">EOMONTH(A578,-1)+1</f>
        <v>45108</v>
      </c>
      <c r="C578" s="5" t="str">
        <f t="shared" si="17"/>
        <v>2023-07</v>
      </c>
      <c r="D578" s="3">
        <v>442.46</v>
      </c>
      <c r="E578" s="3">
        <v>189.8</v>
      </c>
      <c r="F578" s="3">
        <v>99.72</v>
      </c>
      <c r="G578" s="3">
        <v>179.45</v>
      </c>
      <c r="H578" s="3">
        <v>85.29</v>
      </c>
      <c r="I578" s="2">
        <v>114.88</v>
      </c>
      <c r="J578" s="2">
        <v>710.2</v>
      </c>
      <c r="K578" s="2">
        <v>466.29</v>
      </c>
      <c r="L578" s="3">
        <v>130.05000000000001</v>
      </c>
      <c r="M578" s="2">
        <v>27.1</v>
      </c>
    </row>
    <row r="579" spans="1:13">
      <c r="A579" s="9">
        <v>45117</v>
      </c>
      <c r="B579" s="1">
        <f t="shared" si="18"/>
        <v>45108</v>
      </c>
      <c r="C579" s="5" t="str">
        <f t="shared" ref="C579:C642" si="19">TEXT(A579, "yyyy-mm")</f>
        <v>2023-07</v>
      </c>
      <c r="D579" s="3">
        <v>439.66</v>
      </c>
      <c r="E579" s="3">
        <v>187.87</v>
      </c>
      <c r="F579" s="3">
        <v>99.21</v>
      </c>
      <c r="G579" s="3">
        <v>178.78</v>
      </c>
      <c r="H579" s="3">
        <v>84.09</v>
      </c>
      <c r="I579" s="2">
        <v>114.38</v>
      </c>
      <c r="J579" s="2">
        <v>696.17</v>
      </c>
      <c r="K579" s="2">
        <v>460.38</v>
      </c>
      <c r="L579" s="3">
        <v>130.02000000000001</v>
      </c>
      <c r="M579" s="2">
        <v>26.99</v>
      </c>
    </row>
    <row r="580" spans="1:13">
      <c r="A580" s="9">
        <v>45114</v>
      </c>
      <c r="B580" s="1">
        <f t="shared" si="18"/>
        <v>45108</v>
      </c>
      <c r="C580" s="5" t="str">
        <f t="shared" si="19"/>
        <v>2023-07</v>
      </c>
      <c r="D580" s="3">
        <v>438.55</v>
      </c>
      <c r="E580" s="3">
        <v>184.71</v>
      </c>
      <c r="F580" s="3">
        <v>99.08</v>
      </c>
      <c r="G580" s="3">
        <v>178.64</v>
      </c>
      <c r="H580" s="3">
        <v>83.73</v>
      </c>
      <c r="I580" s="2">
        <v>114.61</v>
      </c>
      <c r="J580" s="2">
        <v>684.1</v>
      </c>
      <c r="K580" s="2">
        <v>458.71</v>
      </c>
      <c r="L580" s="3">
        <v>129</v>
      </c>
      <c r="M580" s="2">
        <v>26</v>
      </c>
    </row>
    <row r="581" spans="1:13">
      <c r="A581" s="9">
        <v>45113</v>
      </c>
      <c r="B581" s="1">
        <f t="shared" si="18"/>
        <v>45108</v>
      </c>
      <c r="C581" s="5" t="str">
        <f t="shared" si="19"/>
        <v>2023-07</v>
      </c>
      <c r="D581" s="3">
        <v>439.66</v>
      </c>
      <c r="E581" s="3">
        <v>182.78</v>
      </c>
      <c r="F581" s="3">
        <v>99.68</v>
      </c>
      <c r="G581" s="3">
        <v>177.31</v>
      </c>
      <c r="H581" s="3">
        <v>83.92</v>
      </c>
      <c r="I581" s="2">
        <v>115.45</v>
      </c>
      <c r="J581" s="2">
        <v>680.63</v>
      </c>
      <c r="K581" s="2">
        <v>461.64</v>
      </c>
      <c r="L581" s="3">
        <v>130.52000000000001</v>
      </c>
      <c r="M581" s="2">
        <v>25.05</v>
      </c>
    </row>
    <row r="582" spans="1:13">
      <c r="A582" s="9">
        <v>45112</v>
      </c>
      <c r="B582" s="1">
        <f t="shared" si="18"/>
        <v>45108</v>
      </c>
      <c r="C582" s="5" t="str">
        <f t="shared" si="19"/>
        <v>2023-07</v>
      </c>
      <c r="D582" s="3">
        <v>443.13</v>
      </c>
      <c r="E582" s="3">
        <v>185.78</v>
      </c>
      <c r="F582" s="3">
        <v>101.11</v>
      </c>
      <c r="G582" s="3">
        <v>177.84</v>
      </c>
      <c r="H582" s="3">
        <v>84.57</v>
      </c>
      <c r="I582" s="2">
        <v>115.96</v>
      </c>
      <c r="J582" s="2">
        <v>692.83</v>
      </c>
      <c r="K582" s="2">
        <v>462.76</v>
      </c>
      <c r="L582" s="3">
        <v>131.57</v>
      </c>
      <c r="M582" s="2">
        <v>25.5</v>
      </c>
    </row>
    <row r="583" spans="1:13">
      <c r="A583" s="9">
        <v>45110</v>
      </c>
      <c r="B583" s="1">
        <f t="shared" si="18"/>
        <v>45108</v>
      </c>
      <c r="C583" s="5" t="str">
        <f t="shared" si="19"/>
        <v>2023-07</v>
      </c>
      <c r="D583" s="3">
        <v>443.79</v>
      </c>
      <c r="E583" s="3">
        <v>187.65</v>
      </c>
      <c r="F583" s="3">
        <v>102.08</v>
      </c>
      <c r="G583" s="3">
        <v>178.47</v>
      </c>
      <c r="H583" s="3">
        <v>84.38</v>
      </c>
      <c r="I583" s="2">
        <v>117.15</v>
      </c>
      <c r="J583" s="2">
        <v>693.58</v>
      </c>
      <c r="K583" s="2">
        <v>462.58</v>
      </c>
      <c r="L583" s="3">
        <v>131.63999999999999</v>
      </c>
      <c r="M583" s="2">
        <v>24.92</v>
      </c>
    </row>
    <row r="584" spans="1:13">
      <c r="A584" s="9">
        <v>45107</v>
      </c>
      <c r="B584" s="1">
        <f t="shared" si="18"/>
        <v>45078</v>
      </c>
      <c r="C584" s="5" t="str">
        <f t="shared" si="19"/>
        <v>2023-06</v>
      </c>
      <c r="D584" s="3">
        <v>443.28</v>
      </c>
      <c r="E584" s="3">
        <v>187.27</v>
      </c>
      <c r="F584" s="3">
        <v>102.94</v>
      </c>
      <c r="G584" s="3">
        <v>178.27</v>
      </c>
      <c r="H584" s="3">
        <v>83.56</v>
      </c>
      <c r="I584" s="2">
        <v>119.09</v>
      </c>
      <c r="J584" s="2">
        <v>691.14</v>
      </c>
      <c r="K584" s="2">
        <v>460.38</v>
      </c>
      <c r="L584" s="3">
        <v>132.72999999999999</v>
      </c>
      <c r="M584" s="2">
        <v>24.93</v>
      </c>
    </row>
    <row r="585" spans="1:13">
      <c r="A585" s="9">
        <v>45106</v>
      </c>
      <c r="B585" s="1">
        <f t="shared" si="18"/>
        <v>45078</v>
      </c>
      <c r="C585" s="5" t="str">
        <f t="shared" si="19"/>
        <v>2023-06</v>
      </c>
      <c r="D585" s="3">
        <v>438.11</v>
      </c>
      <c r="E585" s="3">
        <v>186.38</v>
      </c>
      <c r="F585" s="3">
        <v>101.74</v>
      </c>
      <c r="G585" s="3">
        <v>177.09</v>
      </c>
      <c r="H585" s="3">
        <v>83.1</v>
      </c>
      <c r="I585" s="2">
        <v>117.78</v>
      </c>
      <c r="J585" s="2">
        <v>688.21</v>
      </c>
      <c r="K585" s="2">
        <v>457.44</v>
      </c>
      <c r="L585" s="3">
        <v>131.38</v>
      </c>
      <c r="M585" s="2">
        <v>23.59</v>
      </c>
    </row>
    <row r="586" spans="1:13">
      <c r="A586" s="9">
        <v>45105</v>
      </c>
      <c r="B586" s="1">
        <f t="shared" si="18"/>
        <v>45078</v>
      </c>
      <c r="C586" s="5" t="str">
        <f t="shared" si="19"/>
        <v>2023-06</v>
      </c>
      <c r="D586" s="3">
        <v>436.39</v>
      </c>
      <c r="E586" s="3">
        <v>184.26</v>
      </c>
      <c r="F586" s="3">
        <v>103.61</v>
      </c>
      <c r="G586" s="3">
        <v>177.28</v>
      </c>
      <c r="H586" s="3">
        <v>83.11</v>
      </c>
      <c r="I586" s="2">
        <v>116.53</v>
      </c>
      <c r="J586" s="2">
        <v>685.22</v>
      </c>
      <c r="K586" s="2">
        <v>449.66</v>
      </c>
      <c r="L586" s="3">
        <v>130.53</v>
      </c>
      <c r="M586" s="2">
        <v>23.59</v>
      </c>
    </row>
    <row r="587" spans="1:13">
      <c r="A587" s="9">
        <v>45104</v>
      </c>
      <c r="B587" s="1">
        <f t="shared" si="18"/>
        <v>45078</v>
      </c>
      <c r="C587" s="5" t="str">
        <f t="shared" si="19"/>
        <v>2023-06</v>
      </c>
      <c r="D587" s="3">
        <v>436.17</v>
      </c>
      <c r="E587" s="3">
        <v>183.36</v>
      </c>
      <c r="F587" s="3">
        <v>103.17</v>
      </c>
      <c r="G587" s="3">
        <v>177.69</v>
      </c>
      <c r="H587" s="3">
        <v>82.99</v>
      </c>
      <c r="I587" s="2">
        <v>117.84</v>
      </c>
      <c r="J587" s="2">
        <v>684.64</v>
      </c>
      <c r="K587" s="2">
        <v>453.15</v>
      </c>
      <c r="L587" s="3">
        <v>130.94999999999999</v>
      </c>
      <c r="M587" s="2">
        <v>22.62</v>
      </c>
    </row>
    <row r="588" spans="1:13">
      <c r="A588" s="9">
        <v>45103</v>
      </c>
      <c r="B588" s="1">
        <f t="shared" si="18"/>
        <v>45078</v>
      </c>
      <c r="C588" s="5" t="str">
        <f t="shared" si="19"/>
        <v>2023-06</v>
      </c>
      <c r="D588" s="3">
        <v>431.44</v>
      </c>
      <c r="E588" s="3">
        <v>180.75</v>
      </c>
      <c r="F588" s="3">
        <v>103.44</v>
      </c>
      <c r="G588" s="3">
        <v>178.51</v>
      </c>
      <c r="H588" s="3">
        <v>81.98</v>
      </c>
      <c r="I588" s="2">
        <v>116.78</v>
      </c>
      <c r="J588" s="2">
        <v>680.17</v>
      </c>
      <c r="K588" s="2">
        <v>452.8</v>
      </c>
      <c r="L588" s="3">
        <v>131.25</v>
      </c>
      <c r="M588" s="2">
        <v>21.65</v>
      </c>
    </row>
    <row r="589" spans="1:13">
      <c r="A589" s="9">
        <v>45100</v>
      </c>
      <c r="B589" s="1">
        <f t="shared" si="18"/>
        <v>45078</v>
      </c>
      <c r="C589" s="5" t="str">
        <f t="shared" si="19"/>
        <v>2023-06</v>
      </c>
      <c r="D589" s="3">
        <v>433.21</v>
      </c>
      <c r="E589" s="3">
        <v>180.57</v>
      </c>
      <c r="F589" s="3">
        <v>103.33</v>
      </c>
      <c r="G589" s="3">
        <v>178.2</v>
      </c>
      <c r="H589" s="3">
        <v>80.13</v>
      </c>
      <c r="I589" s="2">
        <v>118.64</v>
      </c>
      <c r="J589" s="2">
        <v>680.45</v>
      </c>
      <c r="K589" s="2">
        <v>459.36</v>
      </c>
      <c r="L589" s="3">
        <v>132</v>
      </c>
      <c r="M589" s="2">
        <v>21.61</v>
      </c>
    </row>
    <row r="590" spans="1:13">
      <c r="A590" s="9">
        <v>45099</v>
      </c>
      <c r="B590" s="1">
        <f t="shared" si="18"/>
        <v>45078</v>
      </c>
      <c r="C590" s="5" t="str">
        <f t="shared" si="19"/>
        <v>2023-06</v>
      </c>
      <c r="D590" s="3">
        <v>436.51</v>
      </c>
      <c r="E590" s="3">
        <v>183.33</v>
      </c>
      <c r="F590" s="3">
        <v>102.31</v>
      </c>
      <c r="G590" s="3">
        <v>177.71</v>
      </c>
      <c r="H590" s="3">
        <v>81.25</v>
      </c>
      <c r="I590" s="2">
        <v>120.58</v>
      </c>
      <c r="J590" s="2">
        <v>679.38</v>
      </c>
      <c r="K590" s="2">
        <v>463.43</v>
      </c>
      <c r="L590" s="3">
        <v>132.44</v>
      </c>
      <c r="M590" s="2">
        <v>22.65</v>
      </c>
    </row>
    <row r="591" spans="1:13">
      <c r="A591" s="9">
        <v>45098</v>
      </c>
      <c r="B591" s="1">
        <f t="shared" si="18"/>
        <v>45078</v>
      </c>
      <c r="C591" s="5" t="str">
        <f t="shared" si="19"/>
        <v>2023-06</v>
      </c>
      <c r="D591" s="3">
        <v>434.94</v>
      </c>
      <c r="E591" s="3">
        <v>184.7</v>
      </c>
      <c r="F591" s="3">
        <v>103.56</v>
      </c>
      <c r="G591" s="3">
        <v>179.49</v>
      </c>
      <c r="H591" s="3">
        <v>82.43</v>
      </c>
      <c r="I591" s="2">
        <v>122.1</v>
      </c>
      <c r="J591" s="2">
        <v>689.04</v>
      </c>
      <c r="K591" s="2">
        <v>466.04</v>
      </c>
      <c r="L591" s="3">
        <v>131.54</v>
      </c>
      <c r="M591" s="2">
        <v>21.99</v>
      </c>
    </row>
    <row r="592" spans="1:13">
      <c r="A592" s="9">
        <v>45097</v>
      </c>
      <c r="B592" s="1">
        <f t="shared" si="18"/>
        <v>45078</v>
      </c>
      <c r="C592" s="5" t="str">
        <f t="shared" si="19"/>
        <v>2023-06</v>
      </c>
      <c r="D592" s="3">
        <v>437.18</v>
      </c>
      <c r="E592" s="3">
        <v>185.13</v>
      </c>
      <c r="F592" s="3">
        <v>103.31</v>
      </c>
      <c r="G592" s="3">
        <v>179.75</v>
      </c>
      <c r="H592" s="3">
        <v>82.93</v>
      </c>
      <c r="I592" s="2">
        <v>122.04</v>
      </c>
      <c r="J592" s="2">
        <v>690.95</v>
      </c>
      <c r="K592" s="2">
        <v>458.38</v>
      </c>
      <c r="L592" s="3">
        <v>131.52000000000001</v>
      </c>
      <c r="M592" s="2">
        <v>22.24</v>
      </c>
    </row>
    <row r="593" spans="1:13">
      <c r="A593" s="9">
        <v>45093</v>
      </c>
      <c r="B593" s="1">
        <f t="shared" si="18"/>
        <v>45078</v>
      </c>
      <c r="C593" s="5" t="str">
        <f t="shared" si="19"/>
        <v>2023-06</v>
      </c>
      <c r="D593" s="3">
        <v>439.46</v>
      </c>
      <c r="E593" s="3">
        <v>185.94</v>
      </c>
      <c r="F593" s="3">
        <v>102.6</v>
      </c>
      <c r="G593" s="3">
        <v>181.63</v>
      </c>
      <c r="H593" s="3">
        <v>83.92</v>
      </c>
      <c r="I593" s="2">
        <v>125.46</v>
      </c>
      <c r="J593" s="2">
        <v>702.78</v>
      </c>
      <c r="K593" s="2">
        <v>459.17</v>
      </c>
      <c r="L593" s="3">
        <v>132.21</v>
      </c>
      <c r="M593" s="2">
        <v>23.08</v>
      </c>
    </row>
    <row r="594" spans="1:13">
      <c r="A594" s="9">
        <v>45092</v>
      </c>
      <c r="B594" s="1">
        <f t="shared" si="18"/>
        <v>45078</v>
      </c>
      <c r="C594" s="5" t="str">
        <f t="shared" si="19"/>
        <v>2023-06</v>
      </c>
      <c r="D594" s="3">
        <v>442.6</v>
      </c>
      <c r="E594" s="3">
        <v>187.44</v>
      </c>
      <c r="F594" s="3">
        <v>103</v>
      </c>
      <c r="G594" s="3">
        <v>181.91</v>
      </c>
      <c r="H594" s="3">
        <v>83.98</v>
      </c>
      <c r="I594" s="2">
        <v>126.55</v>
      </c>
      <c r="J594" s="2">
        <v>711.19</v>
      </c>
      <c r="K594" s="2">
        <v>455.95</v>
      </c>
      <c r="L594" s="3">
        <v>132.22</v>
      </c>
      <c r="M594" s="2">
        <v>24.39</v>
      </c>
    </row>
    <row r="595" spans="1:13">
      <c r="A595" s="9">
        <v>45091</v>
      </c>
      <c r="B595" s="1">
        <f t="shared" si="18"/>
        <v>45078</v>
      </c>
      <c r="C595" s="5" t="str">
        <f t="shared" si="19"/>
        <v>2023-06</v>
      </c>
      <c r="D595" s="3">
        <v>437.18</v>
      </c>
      <c r="E595" s="3">
        <v>185.91</v>
      </c>
      <c r="F595" s="3">
        <v>102.02</v>
      </c>
      <c r="G595" s="3">
        <v>180.64</v>
      </c>
      <c r="H595" s="3">
        <v>83.54</v>
      </c>
      <c r="I595" s="2">
        <v>122.27</v>
      </c>
      <c r="J595" s="2">
        <v>692.45</v>
      </c>
      <c r="K595" s="2">
        <v>452.55</v>
      </c>
      <c r="L595" s="3">
        <v>130.19999999999999</v>
      </c>
      <c r="M595" s="2">
        <v>24.78</v>
      </c>
    </row>
    <row r="596" spans="1:13">
      <c r="A596" s="9">
        <v>45090</v>
      </c>
      <c r="B596" s="1">
        <f t="shared" si="18"/>
        <v>45078</v>
      </c>
      <c r="C596" s="5" t="str">
        <f t="shared" si="19"/>
        <v>2023-06</v>
      </c>
      <c r="D596" s="3">
        <v>436.66</v>
      </c>
      <c r="E596" s="3">
        <v>187.93</v>
      </c>
      <c r="F596" s="3">
        <v>101.21</v>
      </c>
      <c r="G596" s="3">
        <v>180.54</v>
      </c>
      <c r="H596" s="3">
        <v>83.23</v>
      </c>
      <c r="I596" s="2">
        <v>116.68</v>
      </c>
      <c r="J596" s="2">
        <v>689.09</v>
      </c>
      <c r="K596" s="2">
        <v>452.37</v>
      </c>
      <c r="L596" s="3">
        <v>131.55000000000001</v>
      </c>
      <c r="M596" s="2">
        <v>24.42</v>
      </c>
    </row>
    <row r="597" spans="1:13">
      <c r="A597" s="9">
        <v>45089</v>
      </c>
      <c r="B597" s="1">
        <f t="shared" si="18"/>
        <v>45078</v>
      </c>
      <c r="C597" s="5" t="str">
        <f t="shared" si="19"/>
        <v>2023-06</v>
      </c>
      <c r="D597" s="3">
        <v>433.8</v>
      </c>
      <c r="E597" s="3">
        <v>185.8</v>
      </c>
      <c r="F597" s="3">
        <v>102.22</v>
      </c>
      <c r="G597" s="3">
        <v>181.88</v>
      </c>
      <c r="H597" s="3">
        <v>82.7</v>
      </c>
      <c r="I597" s="2">
        <v>116.43</v>
      </c>
      <c r="J597" s="2">
        <v>682.38</v>
      </c>
      <c r="K597" s="2">
        <v>459.87</v>
      </c>
      <c r="L597" s="3">
        <v>130.88999999999999</v>
      </c>
      <c r="M597" s="2">
        <v>25.87</v>
      </c>
    </row>
    <row r="598" spans="1:13">
      <c r="A598" s="9">
        <v>45086</v>
      </c>
      <c r="B598" s="1">
        <f t="shared" si="18"/>
        <v>45078</v>
      </c>
      <c r="C598" s="5" t="str">
        <f t="shared" si="19"/>
        <v>2023-06</v>
      </c>
      <c r="D598" s="3">
        <v>429.9</v>
      </c>
      <c r="E598" s="3">
        <v>185.03</v>
      </c>
      <c r="F598" s="3">
        <v>101.92</v>
      </c>
      <c r="G598" s="3">
        <v>182.04</v>
      </c>
      <c r="H598" s="3">
        <v>82.68</v>
      </c>
      <c r="I598" s="2">
        <v>109.85</v>
      </c>
      <c r="J598" s="2">
        <v>684.4</v>
      </c>
      <c r="K598" s="2">
        <v>462.69</v>
      </c>
      <c r="L598" s="3">
        <v>130.41999999999999</v>
      </c>
      <c r="M598" s="2">
        <v>26.17</v>
      </c>
    </row>
    <row r="599" spans="1:13">
      <c r="A599" s="9">
        <v>45085</v>
      </c>
      <c r="B599" s="1">
        <f t="shared" si="18"/>
        <v>45078</v>
      </c>
      <c r="C599" s="5" t="str">
        <f t="shared" si="19"/>
        <v>2023-06</v>
      </c>
      <c r="D599" s="3">
        <v>429.13</v>
      </c>
      <c r="E599" s="3">
        <v>186.54</v>
      </c>
      <c r="F599" s="3">
        <v>102.06</v>
      </c>
      <c r="G599" s="3">
        <v>182.53</v>
      </c>
      <c r="H599" s="3">
        <v>83.16</v>
      </c>
      <c r="I599" s="2">
        <v>107.48</v>
      </c>
      <c r="J599" s="2">
        <v>680.58</v>
      </c>
      <c r="K599" s="2">
        <v>464.17</v>
      </c>
      <c r="L599" s="3">
        <v>130.02000000000001</v>
      </c>
      <c r="M599" s="2">
        <v>25.44</v>
      </c>
    </row>
    <row r="600" spans="1:13">
      <c r="A600" s="9">
        <v>45084</v>
      </c>
      <c r="B600" s="1">
        <f t="shared" si="18"/>
        <v>45078</v>
      </c>
      <c r="C600" s="5" t="str">
        <f t="shared" si="19"/>
        <v>2023-06</v>
      </c>
      <c r="D600" s="3">
        <v>426.55</v>
      </c>
      <c r="E600" s="3">
        <v>187.24</v>
      </c>
      <c r="F600" s="3">
        <v>100.88</v>
      </c>
      <c r="G600" s="3">
        <v>180.15</v>
      </c>
      <c r="H600" s="3">
        <v>83.68</v>
      </c>
      <c r="I600" s="2">
        <v>105.25</v>
      </c>
      <c r="J600" s="2">
        <v>678.23</v>
      </c>
      <c r="K600" s="2">
        <v>461.75</v>
      </c>
      <c r="L600" s="3">
        <v>129.19</v>
      </c>
      <c r="M600" s="2">
        <v>23.98</v>
      </c>
    </row>
    <row r="601" spans="1:13">
      <c r="A601" s="9">
        <v>45083</v>
      </c>
      <c r="B601" s="1">
        <f t="shared" si="18"/>
        <v>45078</v>
      </c>
      <c r="C601" s="5" t="str">
        <f t="shared" si="19"/>
        <v>2023-06</v>
      </c>
      <c r="D601" s="3">
        <v>428.03</v>
      </c>
      <c r="E601" s="3">
        <v>184.31</v>
      </c>
      <c r="F601" s="3">
        <v>102.4</v>
      </c>
      <c r="G601" s="3">
        <v>182.34</v>
      </c>
      <c r="H601" s="3">
        <v>82.17</v>
      </c>
      <c r="I601" s="2">
        <v>107.1</v>
      </c>
      <c r="J601" s="2">
        <v>684.92</v>
      </c>
      <c r="K601" s="2">
        <v>458.63</v>
      </c>
      <c r="L601" s="3">
        <v>129.69999999999999</v>
      </c>
      <c r="M601" s="2">
        <v>23.32</v>
      </c>
    </row>
    <row r="602" spans="1:13">
      <c r="A602" s="9">
        <v>45082</v>
      </c>
      <c r="B602" s="1">
        <f t="shared" si="18"/>
        <v>45078</v>
      </c>
      <c r="C602" s="5" t="str">
        <f t="shared" si="19"/>
        <v>2023-06</v>
      </c>
      <c r="D602" s="3">
        <v>427.1</v>
      </c>
      <c r="E602" s="3">
        <v>179.58</v>
      </c>
      <c r="F602" s="3">
        <v>101.8</v>
      </c>
      <c r="G602" s="3">
        <v>182.14</v>
      </c>
      <c r="H602" s="3">
        <v>81.39</v>
      </c>
      <c r="I602" s="2">
        <v>106.93</v>
      </c>
      <c r="J602" s="2">
        <v>676.49</v>
      </c>
      <c r="K602" s="2">
        <v>454.69</v>
      </c>
      <c r="L602" s="3">
        <v>130.79</v>
      </c>
      <c r="M602" s="2">
        <v>22.37</v>
      </c>
    </row>
    <row r="603" spans="1:13">
      <c r="A603" s="9">
        <v>45079</v>
      </c>
      <c r="B603" s="1">
        <f t="shared" si="18"/>
        <v>45078</v>
      </c>
      <c r="C603" s="5" t="str">
        <f t="shared" si="19"/>
        <v>2023-06</v>
      </c>
      <c r="D603" s="3">
        <v>427.92</v>
      </c>
      <c r="E603" s="3">
        <v>182.02</v>
      </c>
      <c r="F603" s="3">
        <v>101.99</v>
      </c>
      <c r="G603" s="3">
        <v>181.05</v>
      </c>
      <c r="H603" s="3">
        <v>81.96</v>
      </c>
      <c r="I603" s="2">
        <v>105.89</v>
      </c>
      <c r="J603" s="2">
        <v>681.86</v>
      </c>
      <c r="K603" s="2">
        <v>454.49</v>
      </c>
      <c r="L603" s="3">
        <v>130.32</v>
      </c>
      <c r="M603" s="2">
        <v>22.19</v>
      </c>
    </row>
    <row r="604" spans="1:13">
      <c r="A604" s="9">
        <v>45078</v>
      </c>
      <c r="B604" s="1">
        <f t="shared" si="18"/>
        <v>45078</v>
      </c>
      <c r="C604" s="5" t="str">
        <f t="shared" si="19"/>
        <v>2023-06</v>
      </c>
      <c r="D604" s="3">
        <v>421.82</v>
      </c>
      <c r="E604" s="3">
        <v>175.65</v>
      </c>
      <c r="F604" s="3">
        <v>103.12</v>
      </c>
      <c r="G604" s="3">
        <v>183.76</v>
      </c>
      <c r="H604" s="3">
        <v>80.010000000000005</v>
      </c>
      <c r="I604" s="2">
        <v>105.99</v>
      </c>
      <c r="J604" s="2">
        <v>668.84</v>
      </c>
      <c r="K604" s="2">
        <v>449.67</v>
      </c>
      <c r="L604" s="3">
        <v>128.66999999999999</v>
      </c>
      <c r="M604" s="2">
        <v>23.1</v>
      </c>
    </row>
    <row r="605" spans="1:13">
      <c r="A605" s="9">
        <v>45077</v>
      </c>
      <c r="B605" s="1">
        <f t="shared" si="18"/>
        <v>45047</v>
      </c>
      <c r="C605" s="5" t="str">
        <f t="shared" si="19"/>
        <v>2023-05</v>
      </c>
      <c r="D605" s="3">
        <v>417.85</v>
      </c>
      <c r="E605" s="3">
        <v>173.77</v>
      </c>
      <c r="F605" s="3">
        <v>102.99</v>
      </c>
      <c r="G605" s="3">
        <v>182.32</v>
      </c>
      <c r="H605" s="3">
        <v>80</v>
      </c>
      <c r="I605" s="2">
        <v>105.94</v>
      </c>
      <c r="J605" s="2">
        <v>657.55</v>
      </c>
      <c r="K605" s="2">
        <v>444.01</v>
      </c>
      <c r="L605" s="3">
        <v>127.83</v>
      </c>
      <c r="M605" s="2">
        <v>22.4</v>
      </c>
    </row>
    <row r="606" spans="1:13">
      <c r="A606" s="9">
        <v>45076</v>
      </c>
      <c r="B606" s="1">
        <f t="shared" si="18"/>
        <v>45047</v>
      </c>
      <c r="C606" s="5" t="str">
        <f t="shared" si="19"/>
        <v>2023-05</v>
      </c>
      <c r="D606" s="3">
        <v>420.18</v>
      </c>
      <c r="E606" s="3">
        <v>175.5</v>
      </c>
      <c r="F606" s="3">
        <v>102.1</v>
      </c>
      <c r="G606" s="3">
        <v>182.04</v>
      </c>
      <c r="H606" s="3">
        <v>79.599999999999994</v>
      </c>
      <c r="I606" s="2">
        <v>105.15</v>
      </c>
      <c r="J606" s="2">
        <v>673.58</v>
      </c>
      <c r="K606" s="2">
        <v>447.97</v>
      </c>
      <c r="L606" s="3">
        <v>126.74</v>
      </c>
      <c r="M606" s="2">
        <v>23.41</v>
      </c>
    </row>
    <row r="607" spans="1:13">
      <c r="A607" s="9">
        <v>45072</v>
      </c>
      <c r="B607" s="1">
        <f t="shared" si="18"/>
        <v>45047</v>
      </c>
      <c r="C607" s="5" t="str">
        <f t="shared" si="19"/>
        <v>2023-05</v>
      </c>
      <c r="D607" s="3">
        <v>420.02</v>
      </c>
      <c r="E607" s="3">
        <v>176.15</v>
      </c>
      <c r="F607" s="3">
        <v>101.09</v>
      </c>
      <c r="G607" s="3">
        <v>180.92</v>
      </c>
      <c r="H607" s="3">
        <v>79.3</v>
      </c>
      <c r="I607" s="2">
        <v>104.08</v>
      </c>
      <c r="J607" s="2">
        <v>672.3</v>
      </c>
      <c r="K607" s="2">
        <v>448.45</v>
      </c>
      <c r="L607" s="3">
        <v>127.53</v>
      </c>
      <c r="M607" s="2">
        <v>21.92</v>
      </c>
    </row>
    <row r="608" spans="1:13">
      <c r="A608" s="9">
        <v>45071</v>
      </c>
      <c r="B608" s="1">
        <f t="shared" si="18"/>
        <v>45047</v>
      </c>
      <c r="C608" s="5" t="str">
        <f t="shared" si="19"/>
        <v>2023-05</v>
      </c>
      <c r="D608" s="3">
        <v>414.65</v>
      </c>
      <c r="E608" s="3">
        <v>174.17</v>
      </c>
      <c r="F608" s="3">
        <v>100.28</v>
      </c>
      <c r="G608" s="3">
        <v>180.2</v>
      </c>
      <c r="H608" s="3">
        <v>78.400000000000006</v>
      </c>
      <c r="I608" s="2">
        <v>104.29</v>
      </c>
      <c r="J608" s="2">
        <v>660.52</v>
      </c>
      <c r="K608" s="2">
        <v>442.83</v>
      </c>
      <c r="L608" s="3">
        <v>127.79</v>
      </c>
      <c r="M608" s="2">
        <v>20.69</v>
      </c>
    </row>
    <row r="609" spans="1:13">
      <c r="A609" s="9">
        <v>45070</v>
      </c>
      <c r="B609" s="1">
        <f t="shared" si="18"/>
        <v>45047</v>
      </c>
      <c r="C609" s="5" t="str">
        <f t="shared" si="19"/>
        <v>2023-05</v>
      </c>
      <c r="D609" s="3">
        <v>411.09</v>
      </c>
      <c r="E609" s="3">
        <v>175.54</v>
      </c>
      <c r="F609" s="3">
        <v>100.53</v>
      </c>
      <c r="G609" s="3">
        <v>181.95</v>
      </c>
      <c r="H609" s="3">
        <v>78.41</v>
      </c>
      <c r="I609" s="2">
        <v>98.32</v>
      </c>
      <c r="J609" s="2">
        <v>655</v>
      </c>
      <c r="K609" s="2">
        <v>452.72</v>
      </c>
      <c r="L609" s="3">
        <v>129.11000000000001</v>
      </c>
      <c r="M609" s="2">
        <v>16.760000000000002</v>
      </c>
    </row>
    <row r="610" spans="1:13">
      <c r="A610" s="9">
        <v>45069</v>
      </c>
      <c r="B610" s="1">
        <f t="shared" si="18"/>
        <v>45047</v>
      </c>
      <c r="C610" s="5" t="str">
        <f t="shared" si="19"/>
        <v>2023-05</v>
      </c>
      <c r="D610" s="3">
        <v>414.09</v>
      </c>
      <c r="E610" s="3">
        <v>177.42</v>
      </c>
      <c r="F610" s="3">
        <v>101.03</v>
      </c>
      <c r="G610" s="3">
        <v>183.43</v>
      </c>
      <c r="H610" s="3">
        <v>80.13</v>
      </c>
      <c r="I610" s="2">
        <v>98.54</v>
      </c>
      <c r="J610" s="2">
        <v>661.53</v>
      </c>
      <c r="K610" s="2">
        <v>452.63</v>
      </c>
      <c r="L610" s="3">
        <v>130</v>
      </c>
      <c r="M610" s="2">
        <v>16.190000000000001</v>
      </c>
    </row>
    <row r="611" spans="1:13">
      <c r="A611" s="9">
        <v>45068</v>
      </c>
      <c r="B611" s="1">
        <f t="shared" si="18"/>
        <v>45047</v>
      </c>
      <c r="C611" s="5" t="str">
        <f t="shared" si="19"/>
        <v>2023-05</v>
      </c>
      <c r="D611" s="3">
        <v>418.79</v>
      </c>
      <c r="E611" s="3">
        <v>178.26</v>
      </c>
      <c r="F611" s="3">
        <v>100.74</v>
      </c>
      <c r="G611" s="3">
        <v>183.21</v>
      </c>
      <c r="H611" s="3">
        <v>80.89</v>
      </c>
      <c r="I611" s="2">
        <v>101.77</v>
      </c>
      <c r="J611" s="2">
        <v>671.39</v>
      </c>
      <c r="K611" s="2">
        <v>454.72</v>
      </c>
      <c r="L611" s="3">
        <v>131.44</v>
      </c>
      <c r="M611" s="2">
        <v>16.48</v>
      </c>
    </row>
    <row r="612" spans="1:13">
      <c r="A612" s="9">
        <v>45065</v>
      </c>
      <c r="B612" s="1">
        <f t="shared" si="18"/>
        <v>45047</v>
      </c>
      <c r="C612" s="5" t="str">
        <f t="shared" si="19"/>
        <v>2023-05</v>
      </c>
      <c r="D612" s="3">
        <v>418.62</v>
      </c>
      <c r="E612" s="3">
        <v>176.11</v>
      </c>
      <c r="F612" s="3">
        <v>101.1</v>
      </c>
      <c r="G612" s="3">
        <v>183.64</v>
      </c>
      <c r="H612" s="3">
        <v>80.400000000000006</v>
      </c>
      <c r="I612" s="2">
        <v>102.84</v>
      </c>
      <c r="J612" s="2">
        <v>666.7</v>
      </c>
      <c r="K612" s="2">
        <v>454.49</v>
      </c>
      <c r="L612" s="3">
        <v>131.31</v>
      </c>
      <c r="M612" s="2">
        <v>16.420000000000002</v>
      </c>
    </row>
    <row r="613" spans="1:13">
      <c r="A613" s="9">
        <v>45064</v>
      </c>
      <c r="B613" s="1">
        <f t="shared" si="18"/>
        <v>45047</v>
      </c>
      <c r="C613" s="5" t="str">
        <f t="shared" si="19"/>
        <v>2023-05</v>
      </c>
      <c r="D613" s="3">
        <v>419.23</v>
      </c>
      <c r="E613" s="3">
        <v>177.19</v>
      </c>
      <c r="F613" s="3">
        <v>101.82</v>
      </c>
      <c r="G613" s="3">
        <v>181.84</v>
      </c>
      <c r="H613" s="3">
        <v>80.53</v>
      </c>
      <c r="I613" s="2">
        <v>102.34</v>
      </c>
      <c r="J613" s="2">
        <v>669.33</v>
      </c>
      <c r="K613" s="2">
        <v>455.75</v>
      </c>
      <c r="L613" s="3">
        <v>130.69999999999999</v>
      </c>
      <c r="M613" s="2">
        <v>16.46</v>
      </c>
    </row>
    <row r="614" spans="1:13">
      <c r="A614" s="9">
        <v>45063</v>
      </c>
      <c r="B614" s="1">
        <f t="shared" si="18"/>
        <v>45047</v>
      </c>
      <c r="C614" s="5" t="str">
        <f t="shared" si="19"/>
        <v>2023-05</v>
      </c>
      <c r="D614" s="3">
        <v>415.23</v>
      </c>
      <c r="E614" s="3">
        <v>176.12</v>
      </c>
      <c r="F614" s="3">
        <v>102.58</v>
      </c>
      <c r="G614" s="3">
        <v>184.23</v>
      </c>
      <c r="H614" s="3">
        <v>80.92</v>
      </c>
      <c r="I614" s="2">
        <v>99.77</v>
      </c>
      <c r="J614" s="2">
        <v>650.64</v>
      </c>
      <c r="K614" s="2">
        <v>457.3</v>
      </c>
      <c r="L614" s="3">
        <v>131.02000000000001</v>
      </c>
      <c r="M614" s="2">
        <v>15.43</v>
      </c>
    </row>
    <row r="615" spans="1:13">
      <c r="A615" s="9">
        <v>45062</v>
      </c>
      <c r="B615" s="1">
        <f t="shared" si="18"/>
        <v>45047</v>
      </c>
      <c r="C615" s="5" t="str">
        <f t="shared" si="19"/>
        <v>2023-05</v>
      </c>
      <c r="D615" s="3">
        <v>410.25</v>
      </c>
      <c r="E615" s="3">
        <v>172.28</v>
      </c>
      <c r="F615" s="3">
        <v>102.88</v>
      </c>
      <c r="G615" s="3">
        <v>184.87</v>
      </c>
      <c r="H615" s="3">
        <v>79.84</v>
      </c>
      <c r="I615" s="2">
        <v>98.25</v>
      </c>
      <c r="J615" s="2">
        <v>633.83000000000004</v>
      </c>
      <c r="K615" s="2">
        <v>447.73</v>
      </c>
      <c r="L615" s="3">
        <v>130.86000000000001</v>
      </c>
      <c r="M615" s="2">
        <v>14.58</v>
      </c>
    </row>
    <row r="616" spans="1:13">
      <c r="A616" s="9">
        <v>45061</v>
      </c>
      <c r="B616" s="1">
        <f t="shared" si="18"/>
        <v>45047</v>
      </c>
      <c r="C616" s="5" t="str">
        <f t="shared" si="19"/>
        <v>2023-05</v>
      </c>
      <c r="D616" s="3">
        <v>413.01</v>
      </c>
      <c r="E616" s="3">
        <v>174.83</v>
      </c>
      <c r="F616" s="3">
        <v>103.19</v>
      </c>
      <c r="G616" s="3">
        <v>187.21</v>
      </c>
      <c r="H616" s="3">
        <v>81.89</v>
      </c>
      <c r="I616" s="2">
        <v>97.26</v>
      </c>
      <c r="J616" s="2">
        <v>644.75</v>
      </c>
      <c r="K616" s="2">
        <v>451.92</v>
      </c>
      <c r="L616" s="3">
        <v>131.96</v>
      </c>
      <c r="M616" s="2">
        <v>13.78</v>
      </c>
    </row>
    <row r="617" spans="1:13">
      <c r="A617" s="9">
        <v>45058</v>
      </c>
      <c r="B617" s="1">
        <f t="shared" si="18"/>
        <v>45047</v>
      </c>
      <c r="C617" s="5" t="str">
        <f t="shared" si="19"/>
        <v>2023-05</v>
      </c>
      <c r="D617" s="3">
        <v>411.59</v>
      </c>
      <c r="E617" s="3">
        <v>172.72</v>
      </c>
      <c r="F617" s="3">
        <v>104.27</v>
      </c>
      <c r="G617" s="3">
        <v>186.81</v>
      </c>
      <c r="H617" s="3">
        <v>82.03</v>
      </c>
      <c r="I617" s="2">
        <v>97.85</v>
      </c>
      <c r="J617" s="2">
        <v>645.1</v>
      </c>
      <c r="K617" s="2">
        <v>450.79</v>
      </c>
      <c r="L617" s="3">
        <v>132.19</v>
      </c>
      <c r="M617" s="2">
        <v>13.45</v>
      </c>
    </row>
    <row r="618" spans="1:13">
      <c r="A618" s="9">
        <v>45057</v>
      </c>
      <c r="B618" s="1">
        <f t="shared" si="18"/>
        <v>45047</v>
      </c>
      <c r="C618" s="5" t="str">
        <f t="shared" si="19"/>
        <v>2023-05</v>
      </c>
      <c r="D618" s="3">
        <v>412.13</v>
      </c>
      <c r="E618" s="3">
        <v>173.07</v>
      </c>
      <c r="F618" s="3">
        <v>105.15</v>
      </c>
      <c r="G618" s="3">
        <v>187.13</v>
      </c>
      <c r="H618" s="3">
        <v>82.04</v>
      </c>
      <c r="I618" s="2">
        <v>97.44</v>
      </c>
      <c r="J618" s="2">
        <v>642.02</v>
      </c>
      <c r="K618" s="2">
        <v>450.69</v>
      </c>
      <c r="L618" s="3">
        <v>132.37</v>
      </c>
      <c r="M618" s="2">
        <v>13.64</v>
      </c>
    </row>
    <row r="619" spans="1:13">
      <c r="A619" s="9">
        <v>45056</v>
      </c>
      <c r="B619" s="1">
        <f t="shared" si="18"/>
        <v>45047</v>
      </c>
      <c r="C619" s="5" t="str">
        <f t="shared" si="19"/>
        <v>2023-05</v>
      </c>
      <c r="D619" s="3">
        <v>412.85</v>
      </c>
      <c r="E619" s="3">
        <v>174.41</v>
      </c>
      <c r="F619" s="3">
        <v>104.05</v>
      </c>
      <c r="G619" s="3">
        <v>188.75</v>
      </c>
      <c r="H619" s="3">
        <v>82.95</v>
      </c>
      <c r="I619" s="2">
        <v>97.52</v>
      </c>
      <c r="J619" s="2">
        <v>629.17999999999995</v>
      </c>
      <c r="K619" s="2">
        <v>453.15</v>
      </c>
      <c r="L619" s="3">
        <v>132.78</v>
      </c>
      <c r="M619" s="2">
        <v>13.43</v>
      </c>
    </row>
    <row r="620" spans="1:13">
      <c r="A620" s="9">
        <v>45055</v>
      </c>
      <c r="B620" s="1">
        <f t="shared" si="18"/>
        <v>45047</v>
      </c>
      <c r="C620" s="5" t="str">
        <f t="shared" si="19"/>
        <v>2023-05</v>
      </c>
      <c r="D620" s="3">
        <v>410.93</v>
      </c>
      <c r="E620" s="3">
        <v>173.53</v>
      </c>
      <c r="F620" s="3">
        <v>103.05</v>
      </c>
      <c r="G620" s="3">
        <v>189.02</v>
      </c>
      <c r="H620" s="3">
        <v>82.16</v>
      </c>
      <c r="I620" s="2">
        <v>96.14</v>
      </c>
      <c r="J620" s="2">
        <v>635.57000000000005</v>
      </c>
      <c r="K620" s="2">
        <v>452.04</v>
      </c>
      <c r="L620" s="3">
        <v>132.41</v>
      </c>
      <c r="M620" s="2">
        <v>13.23</v>
      </c>
    </row>
    <row r="621" spans="1:13">
      <c r="A621" s="9">
        <v>45054</v>
      </c>
      <c r="B621" s="1">
        <f t="shared" si="18"/>
        <v>45047</v>
      </c>
      <c r="C621" s="5" t="str">
        <f t="shared" si="19"/>
        <v>2023-05</v>
      </c>
      <c r="D621" s="3">
        <v>412.74</v>
      </c>
      <c r="E621" s="3">
        <v>174.05</v>
      </c>
      <c r="F621" s="3">
        <v>103.42</v>
      </c>
      <c r="G621" s="3">
        <v>187.69</v>
      </c>
      <c r="H621" s="3">
        <v>82.51</v>
      </c>
      <c r="I621" s="2">
        <v>96.79</v>
      </c>
      <c r="J621" s="2">
        <v>643.14</v>
      </c>
      <c r="K621" s="2">
        <v>450.96</v>
      </c>
      <c r="L621" s="3">
        <v>133.30000000000001</v>
      </c>
      <c r="M621" s="2">
        <v>13.66</v>
      </c>
    </row>
    <row r="622" spans="1:13">
      <c r="A622" s="9">
        <v>45051</v>
      </c>
      <c r="B622" s="1">
        <f t="shared" si="18"/>
        <v>45047</v>
      </c>
      <c r="C622" s="5" t="str">
        <f t="shared" si="19"/>
        <v>2023-05</v>
      </c>
      <c r="D622" s="3">
        <v>412.63</v>
      </c>
      <c r="E622" s="3">
        <v>174.45</v>
      </c>
      <c r="F622" s="3">
        <v>104.89</v>
      </c>
      <c r="G622" s="3">
        <v>187.46</v>
      </c>
      <c r="H622" s="3">
        <v>82.99</v>
      </c>
      <c r="I622" s="2">
        <v>96.97</v>
      </c>
      <c r="J622" s="2">
        <v>644.48</v>
      </c>
      <c r="K622" s="2">
        <v>455.54</v>
      </c>
      <c r="L622" s="3">
        <v>133.59</v>
      </c>
      <c r="M622" s="2">
        <v>13.72</v>
      </c>
    </row>
    <row r="623" spans="1:13">
      <c r="A623" s="9">
        <v>45050</v>
      </c>
      <c r="B623" s="1">
        <f t="shared" si="18"/>
        <v>45047</v>
      </c>
      <c r="C623" s="5" t="str">
        <f t="shared" si="19"/>
        <v>2023-05</v>
      </c>
      <c r="D623" s="3">
        <v>405.13</v>
      </c>
      <c r="E623" s="3">
        <v>170.4</v>
      </c>
      <c r="F623" s="3">
        <v>105.24</v>
      </c>
      <c r="G623" s="3">
        <v>190.44</v>
      </c>
      <c r="H623" s="3">
        <v>81.63</v>
      </c>
      <c r="I623" s="2">
        <v>94.97</v>
      </c>
      <c r="J623" s="2">
        <v>631.66</v>
      </c>
      <c r="K623" s="2">
        <v>451.93</v>
      </c>
      <c r="L623" s="3">
        <v>132.4</v>
      </c>
      <c r="M623" s="2">
        <v>13.64</v>
      </c>
    </row>
    <row r="624" spans="1:13">
      <c r="A624" s="9">
        <v>45049</v>
      </c>
      <c r="B624" s="1">
        <f t="shared" si="18"/>
        <v>45047</v>
      </c>
      <c r="C624" s="5" t="str">
        <f t="shared" si="19"/>
        <v>2023-05</v>
      </c>
      <c r="D624" s="3">
        <v>408.02</v>
      </c>
      <c r="E624" s="3">
        <v>172.33</v>
      </c>
      <c r="F624" s="3">
        <v>106.29</v>
      </c>
      <c r="G624" s="3">
        <v>189.11</v>
      </c>
      <c r="H624" s="3">
        <v>80.959999999999994</v>
      </c>
      <c r="I624" s="2">
        <v>94.78</v>
      </c>
      <c r="J624" s="2">
        <v>642.41</v>
      </c>
      <c r="K624" s="2">
        <v>453.07</v>
      </c>
      <c r="L624" s="3">
        <v>133.46</v>
      </c>
      <c r="M624" s="2">
        <v>13.4</v>
      </c>
    </row>
    <row r="625" spans="1:13">
      <c r="A625" s="9">
        <v>45048</v>
      </c>
      <c r="B625" s="1">
        <f t="shared" si="18"/>
        <v>45047</v>
      </c>
      <c r="C625" s="5" t="str">
        <f t="shared" si="19"/>
        <v>2023-05</v>
      </c>
      <c r="D625" s="3">
        <v>410.84</v>
      </c>
      <c r="E625" s="3">
        <v>171.7</v>
      </c>
      <c r="F625" s="3">
        <v>105.7</v>
      </c>
      <c r="G625" s="3">
        <v>187.52</v>
      </c>
      <c r="H625" s="3">
        <v>81.28</v>
      </c>
      <c r="I625" s="2">
        <v>94.8</v>
      </c>
      <c r="J625" s="2">
        <v>651.46</v>
      </c>
      <c r="K625" s="2">
        <v>458.89</v>
      </c>
      <c r="L625" s="3">
        <v>133.63999999999999</v>
      </c>
      <c r="M625" s="2">
        <v>10.44</v>
      </c>
    </row>
    <row r="626" spans="1:13">
      <c r="A626" s="9">
        <v>45047</v>
      </c>
      <c r="B626" s="1">
        <f t="shared" si="18"/>
        <v>45047</v>
      </c>
      <c r="C626" s="5" t="str">
        <f t="shared" si="19"/>
        <v>2023-05</v>
      </c>
      <c r="D626" s="3">
        <v>415.51</v>
      </c>
      <c r="E626" s="3">
        <v>175.3</v>
      </c>
      <c r="F626" s="3">
        <v>103.13</v>
      </c>
      <c r="G626" s="3">
        <v>183.97</v>
      </c>
      <c r="H626" s="3">
        <v>82.68</v>
      </c>
      <c r="I626" s="2">
        <v>94.87</v>
      </c>
      <c r="J626" s="2">
        <v>662.97</v>
      </c>
      <c r="K626" s="2">
        <v>469.43</v>
      </c>
      <c r="L626" s="3">
        <v>134.22</v>
      </c>
      <c r="M626" s="2">
        <v>10.51</v>
      </c>
    </row>
    <row r="627" spans="1:13">
      <c r="A627" s="9">
        <v>45044</v>
      </c>
      <c r="B627" s="1">
        <f t="shared" si="18"/>
        <v>45017</v>
      </c>
      <c r="C627" s="5" t="str">
        <f t="shared" si="19"/>
        <v>2023-04</v>
      </c>
      <c r="D627" s="3">
        <v>415.93</v>
      </c>
      <c r="E627" s="3">
        <v>175.2</v>
      </c>
      <c r="F627" s="3">
        <v>106.46</v>
      </c>
      <c r="G627" s="3">
        <v>184.8</v>
      </c>
      <c r="H627" s="3">
        <v>83.3</v>
      </c>
      <c r="I627" s="2">
        <v>94.72</v>
      </c>
      <c r="J627" s="2">
        <v>671.2</v>
      </c>
      <c r="K627" s="2">
        <v>464.45</v>
      </c>
      <c r="L627" s="3">
        <v>133.53</v>
      </c>
      <c r="M627" s="2">
        <v>10.54</v>
      </c>
    </row>
    <row r="628" spans="1:13">
      <c r="A628" s="9">
        <v>45043</v>
      </c>
      <c r="B628" s="1">
        <f t="shared" si="18"/>
        <v>45017</v>
      </c>
      <c r="C628" s="5" t="str">
        <f t="shared" si="19"/>
        <v>2023-04</v>
      </c>
      <c r="D628" s="3">
        <v>412.41</v>
      </c>
      <c r="E628" s="3">
        <v>173.68</v>
      </c>
      <c r="F628" s="3">
        <v>104.77</v>
      </c>
      <c r="G628" s="3">
        <v>184.75</v>
      </c>
      <c r="H628" s="3">
        <v>82.29</v>
      </c>
      <c r="I628" s="2">
        <v>95.04</v>
      </c>
      <c r="J628" s="2">
        <v>662.68</v>
      </c>
      <c r="K628" s="2">
        <v>465</v>
      </c>
      <c r="L628" s="3">
        <v>132.4</v>
      </c>
      <c r="M628" s="2">
        <v>9.86</v>
      </c>
    </row>
    <row r="629" spans="1:13">
      <c r="A629" s="9">
        <v>45042</v>
      </c>
      <c r="B629" s="1">
        <f t="shared" si="18"/>
        <v>45017</v>
      </c>
      <c r="C629" s="5" t="str">
        <f t="shared" si="19"/>
        <v>2023-04</v>
      </c>
      <c r="D629" s="3">
        <v>404.36</v>
      </c>
      <c r="E629" s="3">
        <v>171.39</v>
      </c>
      <c r="F629" s="3">
        <v>105.82</v>
      </c>
      <c r="G629" s="3">
        <v>184.74</v>
      </c>
      <c r="H629" s="3">
        <v>80.47</v>
      </c>
      <c r="I629" s="2">
        <v>93.71</v>
      </c>
      <c r="J629" s="2">
        <v>650.66999999999996</v>
      </c>
      <c r="K629" s="2">
        <v>461.62</v>
      </c>
      <c r="L629" s="3">
        <v>131.71</v>
      </c>
      <c r="M629" s="2">
        <v>9.49</v>
      </c>
    </row>
    <row r="630" spans="1:13">
      <c r="A630" s="9">
        <v>45041</v>
      </c>
      <c r="B630" s="1">
        <f t="shared" si="18"/>
        <v>45017</v>
      </c>
      <c r="C630" s="5" t="str">
        <f t="shared" si="19"/>
        <v>2023-04</v>
      </c>
      <c r="D630" s="3">
        <v>406.08</v>
      </c>
      <c r="E630" s="3">
        <v>173.06</v>
      </c>
      <c r="F630" s="3">
        <v>106.96</v>
      </c>
      <c r="G630" s="3">
        <v>185.75</v>
      </c>
      <c r="H630" s="3">
        <v>81.25</v>
      </c>
      <c r="I630" s="2">
        <v>94.06</v>
      </c>
      <c r="J630" s="2">
        <v>659.71</v>
      </c>
      <c r="K630" s="2">
        <v>475.58</v>
      </c>
      <c r="L630" s="3">
        <v>133.61000000000001</v>
      </c>
      <c r="M630" s="2">
        <v>9.33</v>
      </c>
    </row>
    <row r="631" spans="1:13">
      <c r="A631" s="9">
        <v>45040</v>
      </c>
      <c r="B631" s="1">
        <f t="shared" si="18"/>
        <v>45017</v>
      </c>
      <c r="C631" s="5" t="str">
        <f t="shared" si="19"/>
        <v>2023-04</v>
      </c>
      <c r="D631" s="3">
        <v>412.63</v>
      </c>
      <c r="E631" s="3">
        <v>177.44</v>
      </c>
      <c r="F631" s="3">
        <v>105.41</v>
      </c>
      <c r="G631" s="3">
        <v>184.81</v>
      </c>
      <c r="H631" s="3">
        <v>82.06</v>
      </c>
      <c r="I631" s="2">
        <v>95.44</v>
      </c>
      <c r="J631" s="2">
        <v>674.19</v>
      </c>
      <c r="K631" s="2">
        <v>480.92</v>
      </c>
      <c r="L631" s="3">
        <v>135.05000000000001</v>
      </c>
      <c r="M631" s="2">
        <v>9.86</v>
      </c>
    </row>
    <row r="632" spans="1:13">
      <c r="A632" s="9">
        <v>45037</v>
      </c>
      <c r="B632" s="1">
        <f t="shared" si="18"/>
        <v>45017</v>
      </c>
      <c r="C632" s="5" t="str">
        <f t="shared" si="19"/>
        <v>2023-04</v>
      </c>
      <c r="D632" s="3">
        <v>412.2</v>
      </c>
      <c r="E632" s="3">
        <v>177.56</v>
      </c>
      <c r="F632" s="3">
        <v>104.4</v>
      </c>
      <c r="G632" s="3">
        <v>184.25</v>
      </c>
      <c r="H632" s="3">
        <v>82.37</v>
      </c>
      <c r="I632" s="2">
        <v>95.15</v>
      </c>
      <c r="J632" s="2">
        <v>680.94</v>
      </c>
      <c r="K632" s="2">
        <v>482.55</v>
      </c>
      <c r="L632" s="3">
        <v>134.30000000000001</v>
      </c>
      <c r="M632" s="2">
        <v>10.73</v>
      </c>
    </row>
    <row r="633" spans="1:13">
      <c r="A633" s="9">
        <v>45036</v>
      </c>
      <c r="B633" s="1">
        <f t="shared" si="18"/>
        <v>45017</v>
      </c>
      <c r="C633" s="5" t="str">
        <f t="shared" si="19"/>
        <v>2023-04</v>
      </c>
      <c r="D633" s="3">
        <v>411.88</v>
      </c>
      <c r="E633" s="3">
        <v>177.33</v>
      </c>
      <c r="F633" s="3">
        <v>104.99</v>
      </c>
      <c r="G633" s="3">
        <v>186.09</v>
      </c>
      <c r="H633" s="3">
        <v>82.36</v>
      </c>
      <c r="I633" s="2">
        <v>94.83</v>
      </c>
      <c r="J633" s="2">
        <v>696.38</v>
      </c>
      <c r="K633" s="2">
        <v>490.6</v>
      </c>
      <c r="L633" s="3">
        <v>133.4</v>
      </c>
      <c r="M633" s="2">
        <v>10.8</v>
      </c>
    </row>
    <row r="634" spans="1:13">
      <c r="A634" s="9">
        <v>45035</v>
      </c>
      <c r="B634" s="1">
        <f t="shared" si="18"/>
        <v>45017</v>
      </c>
      <c r="C634" s="5" t="str">
        <f t="shared" si="19"/>
        <v>2023-04</v>
      </c>
      <c r="D634" s="3">
        <v>414.14</v>
      </c>
      <c r="E634" s="3">
        <v>178.25</v>
      </c>
      <c r="F634" s="3">
        <v>104.1</v>
      </c>
      <c r="G634" s="3">
        <v>185.36</v>
      </c>
      <c r="H634" s="3">
        <v>83.18</v>
      </c>
      <c r="I634" s="2">
        <v>95.81</v>
      </c>
      <c r="J634" s="2">
        <v>695.24</v>
      </c>
      <c r="K634" s="2">
        <v>495.16</v>
      </c>
      <c r="L634" s="3">
        <v>133.94999999999999</v>
      </c>
      <c r="M634" s="2">
        <v>10.98</v>
      </c>
    </row>
    <row r="635" spans="1:13">
      <c r="A635" s="9">
        <v>45034</v>
      </c>
      <c r="B635" s="1">
        <f t="shared" si="18"/>
        <v>45017</v>
      </c>
      <c r="C635" s="5" t="str">
        <f t="shared" si="19"/>
        <v>2023-04</v>
      </c>
      <c r="D635" s="3">
        <v>414.21</v>
      </c>
      <c r="E635" s="3">
        <v>178.02</v>
      </c>
      <c r="F635" s="3">
        <v>104.2</v>
      </c>
      <c r="G635" s="3">
        <v>186.25</v>
      </c>
      <c r="H635" s="3">
        <v>82.69</v>
      </c>
      <c r="I635" s="2">
        <v>96.47</v>
      </c>
      <c r="J635" s="2">
        <v>694.03</v>
      </c>
      <c r="K635" s="2">
        <v>501.41</v>
      </c>
      <c r="L635" s="3">
        <v>133.54</v>
      </c>
      <c r="M635" s="2">
        <v>11.59</v>
      </c>
    </row>
    <row r="636" spans="1:13">
      <c r="A636" s="9">
        <v>45033</v>
      </c>
      <c r="B636" s="1">
        <f t="shared" si="18"/>
        <v>45017</v>
      </c>
      <c r="C636" s="5" t="str">
        <f t="shared" si="19"/>
        <v>2023-04</v>
      </c>
      <c r="D636" s="3">
        <v>413.94</v>
      </c>
      <c r="E636" s="3">
        <v>178.78</v>
      </c>
      <c r="F636" s="3">
        <v>103.83</v>
      </c>
      <c r="G636" s="3">
        <v>185.53</v>
      </c>
      <c r="H636" s="3">
        <v>82.88</v>
      </c>
      <c r="I636" s="2">
        <v>95.59</v>
      </c>
      <c r="J636" s="2">
        <v>698.36</v>
      </c>
      <c r="K636" s="2">
        <v>489.64</v>
      </c>
      <c r="L636" s="3">
        <v>134.46</v>
      </c>
      <c r="M636" s="2">
        <v>11.04</v>
      </c>
    </row>
    <row r="637" spans="1:13">
      <c r="A637" s="9">
        <v>45030</v>
      </c>
      <c r="B637" s="1">
        <f t="shared" si="18"/>
        <v>45017</v>
      </c>
      <c r="C637" s="5" t="str">
        <f t="shared" si="19"/>
        <v>2023-04</v>
      </c>
      <c r="D637" s="3">
        <v>412.46</v>
      </c>
      <c r="E637" s="3">
        <v>176.51</v>
      </c>
      <c r="F637" s="3">
        <v>105.08</v>
      </c>
      <c r="G637" s="3">
        <v>186.36</v>
      </c>
      <c r="H637" s="3">
        <v>81.19</v>
      </c>
      <c r="I637" s="2">
        <v>95.71</v>
      </c>
      <c r="J637" s="2">
        <v>691.33</v>
      </c>
      <c r="K637" s="2">
        <v>487.99</v>
      </c>
      <c r="L637" s="3">
        <v>134.57</v>
      </c>
      <c r="M637" s="2">
        <v>10.92</v>
      </c>
    </row>
    <row r="638" spans="1:13">
      <c r="A638" s="9">
        <v>45029</v>
      </c>
      <c r="B638" s="1">
        <f t="shared" si="18"/>
        <v>45017</v>
      </c>
      <c r="C638" s="5" t="str">
        <f t="shared" si="19"/>
        <v>2023-04</v>
      </c>
      <c r="D638" s="3">
        <v>413.47</v>
      </c>
      <c r="E638" s="3">
        <v>178.17</v>
      </c>
      <c r="F638" s="3">
        <v>106.05</v>
      </c>
      <c r="G638" s="3">
        <v>189.72</v>
      </c>
      <c r="H638" s="3">
        <v>82.47</v>
      </c>
      <c r="I638" s="2">
        <v>95.55</v>
      </c>
      <c r="J638" s="2">
        <v>670.73</v>
      </c>
      <c r="K638" s="2">
        <v>492.14</v>
      </c>
      <c r="L638" s="3">
        <v>135.66</v>
      </c>
      <c r="M638" s="2">
        <v>10.82</v>
      </c>
    </row>
    <row r="639" spans="1:13">
      <c r="A639" s="9">
        <v>45028</v>
      </c>
      <c r="B639" s="1">
        <f t="shared" si="18"/>
        <v>45017</v>
      </c>
      <c r="C639" s="5" t="str">
        <f t="shared" si="19"/>
        <v>2023-04</v>
      </c>
      <c r="D639" s="3">
        <v>408.05</v>
      </c>
      <c r="E639" s="3">
        <v>175.84</v>
      </c>
      <c r="F639" s="3">
        <v>106.89</v>
      </c>
      <c r="G639" s="3">
        <v>187.19</v>
      </c>
      <c r="H639" s="3">
        <v>82.72</v>
      </c>
      <c r="I639" s="2">
        <v>93.9</v>
      </c>
      <c r="J639" s="2">
        <v>665.97</v>
      </c>
      <c r="K639" s="2">
        <v>488.1</v>
      </c>
      <c r="L639" s="3">
        <v>133.91999999999999</v>
      </c>
      <c r="M639" s="2">
        <v>10.81</v>
      </c>
    </row>
    <row r="640" spans="1:13">
      <c r="A640" s="9">
        <v>45027</v>
      </c>
      <c r="B640" s="1">
        <f t="shared" si="18"/>
        <v>45017</v>
      </c>
      <c r="C640" s="5" t="str">
        <f t="shared" si="19"/>
        <v>2023-04</v>
      </c>
      <c r="D640" s="3">
        <v>409.72</v>
      </c>
      <c r="E640" s="3">
        <v>177.14</v>
      </c>
      <c r="F640" s="3">
        <v>107</v>
      </c>
      <c r="G640" s="3">
        <v>186.28</v>
      </c>
      <c r="H640" s="3">
        <v>83.12</v>
      </c>
      <c r="I640" s="2">
        <v>93.97</v>
      </c>
      <c r="J640" s="2">
        <v>669.68</v>
      </c>
      <c r="K640" s="2">
        <v>487.84</v>
      </c>
      <c r="L640" s="3">
        <v>133.88</v>
      </c>
      <c r="M640" s="2">
        <v>10.47</v>
      </c>
    </row>
    <row r="641" spans="1:13">
      <c r="A641" s="9">
        <v>45026</v>
      </c>
      <c r="B641" s="1">
        <f t="shared" si="18"/>
        <v>45017</v>
      </c>
      <c r="C641" s="5" t="str">
        <f t="shared" si="19"/>
        <v>2023-04</v>
      </c>
      <c r="D641" s="3">
        <v>409.61</v>
      </c>
      <c r="E641" s="3">
        <v>175.75</v>
      </c>
      <c r="F641" s="3">
        <v>106.78</v>
      </c>
      <c r="G641" s="3">
        <v>185.11</v>
      </c>
      <c r="H641" s="3">
        <v>82.77</v>
      </c>
      <c r="I641" s="2">
        <v>93.76</v>
      </c>
      <c r="J641" s="2">
        <v>659.82</v>
      </c>
      <c r="K641" s="2">
        <v>496.75</v>
      </c>
      <c r="L641" s="3">
        <v>133.43</v>
      </c>
      <c r="M641" s="2">
        <v>10.66</v>
      </c>
    </row>
    <row r="642" spans="1:13">
      <c r="A642" s="9">
        <v>45022</v>
      </c>
      <c r="B642" s="1">
        <f t="shared" ref="B642:B705" si="20">EOMONTH(A642,-1)+1</f>
        <v>45017</v>
      </c>
      <c r="C642" s="5" t="str">
        <f t="shared" si="19"/>
        <v>2023-04</v>
      </c>
      <c r="D642" s="3">
        <v>409.19</v>
      </c>
      <c r="E642" s="3">
        <v>173.89</v>
      </c>
      <c r="F642" s="3">
        <v>108.53</v>
      </c>
      <c r="G642" s="3">
        <v>186.49</v>
      </c>
      <c r="H642" s="3">
        <v>82.39</v>
      </c>
      <c r="I642" s="2">
        <v>95.92</v>
      </c>
      <c r="J642" s="2">
        <v>656.4</v>
      </c>
      <c r="K642" s="2">
        <v>490.17</v>
      </c>
      <c r="L642" s="3">
        <v>133.52000000000001</v>
      </c>
      <c r="M642" s="2">
        <v>10.07</v>
      </c>
    </row>
    <row r="643" spans="1:13">
      <c r="A643" s="9">
        <v>45021</v>
      </c>
      <c r="B643" s="1">
        <f t="shared" si="20"/>
        <v>45017</v>
      </c>
      <c r="C643" s="5" t="str">
        <f t="shared" ref="C643:C706" si="21">TEXT(A643, "yyyy-mm")</f>
        <v>2023-04</v>
      </c>
      <c r="D643" s="3">
        <v>407.6</v>
      </c>
      <c r="E643" s="3">
        <v>173.63</v>
      </c>
      <c r="F643" s="3">
        <v>108.25</v>
      </c>
      <c r="G643" s="3">
        <v>187.83</v>
      </c>
      <c r="H643" s="3">
        <v>81.83</v>
      </c>
      <c r="I643" s="2">
        <v>94.89</v>
      </c>
      <c r="J643" s="2">
        <v>656.04</v>
      </c>
      <c r="K643" s="2">
        <v>489.99</v>
      </c>
      <c r="L643" s="3">
        <v>133.19</v>
      </c>
      <c r="M643" s="2">
        <v>10.8</v>
      </c>
    </row>
    <row r="644" spans="1:13">
      <c r="A644" s="9">
        <v>45020</v>
      </c>
      <c r="B644" s="1">
        <f t="shared" si="20"/>
        <v>45017</v>
      </c>
      <c r="C644" s="5" t="str">
        <f t="shared" si="21"/>
        <v>2023-04</v>
      </c>
      <c r="D644" s="3">
        <v>408.67</v>
      </c>
      <c r="E644" s="3">
        <v>175.35</v>
      </c>
      <c r="F644" s="3">
        <v>107.13</v>
      </c>
      <c r="G644" s="3">
        <v>187.98</v>
      </c>
      <c r="H644" s="3">
        <v>82.27</v>
      </c>
      <c r="I644" s="2">
        <v>94</v>
      </c>
      <c r="J644" s="2">
        <v>659.11</v>
      </c>
      <c r="K644" s="2">
        <v>488.54</v>
      </c>
      <c r="L644" s="3">
        <v>130.93</v>
      </c>
      <c r="M644" s="2">
        <v>10.95</v>
      </c>
    </row>
    <row r="645" spans="1:13">
      <c r="A645" s="9">
        <v>45019</v>
      </c>
      <c r="B645" s="1">
        <f t="shared" si="20"/>
        <v>45017</v>
      </c>
      <c r="C645" s="5" t="str">
        <f t="shared" si="21"/>
        <v>2023-04</v>
      </c>
      <c r="D645" s="3">
        <v>410.95</v>
      </c>
      <c r="E645" s="3">
        <v>178.48</v>
      </c>
      <c r="F645" s="3">
        <v>106.6</v>
      </c>
      <c r="G645" s="3">
        <v>184.54</v>
      </c>
      <c r="H645" s="3">
        <v>82.38</v>
      </c>
      <c r="I645" s="2">
        <v>93.92</v>
      </c>
      <c r="J645" s="2">
        <v>666.41</v>
      </c>
      <c r="K645" s="2">
        <v>486.62</v>
      </c>
      <c r="L645" s="3">
        <v>130.91</v>
      </c>
      <c r="M645" s="2">
        <v>11.27</v>
      </c>
    </row>
    <row r="646" spans="1:13">
      <c r="A646" s="9">
        <v>45016</v>
      </c>
      <c r="B646" s="1">
        <f t="shared" si="20"/>
        <v>44986</v>
      </c>
      <c r="C646" s="5" t="str">
        <f t="shared" si="21"/>
        <v>2023-03</v>
      </c>
      <c r="D646" s="3">
        <v>409.39</v>
      </c>
      <c r="E646" s="3">
        <v>178.4</v>
      </c>
      <c r="F646" s="3">
        <v>106.37</v>
      </c>
      <c r="G646" s="3">
        <v>183.22</v>
      </c>
      <c r="H646" s="3">
        <v>83.04</v>
      </c>
      <c r="I646" s="2">
        <v>92.92</v>
      </c>
      <c r="J646" s="2">
        <v>669.12</v>
      </c>
      <c r="K646" s="2">
        <v>472.73</v>
      </c>
      <c r="L646" s="3">
        <v>129.46</v>
      </c>
      <c r="M646" s="2">
        <v>10.66</v>
      </c>
    </row>
    <row r="647" spans="1:13">
      <c r="A647" s="9">
        <v>45015</v>
      </c>
      <c r="B647" s="1">
        <f t="shared" si="20"/>
        <v>44986</v>
      </c>
      <c r="C647" s="5" t="str">
        <f t="shared" si="21"/>
        <v>2023-03</v>
      </c>
      <c r="D647" s="3">
        <v>403.7</v>
      </c>
      <c r="E647" s="3">
        <v>175.18</v>
      </c>
      <c r="F647" s="3">
        <v>104.8</v>
      </c>
      <c r="G647" s="3">
        <v>184.18</v>
      </c>
      <c r="H647" s="3">
        <v>81.3</v>
      </c>
      <c r="I647" s="2">
        <v>90.51</v>
      </c>
      <c r="J647" s="2">
        <v>661.04</v>
      </c>
      <c r="K647" s="2">
        <v>473.18</v>
      </c>
      <c r="L647" s="3">
        <v>128.09</v>
      </c>
      <c r="M647" s="2">
        <v>10.33</v>
      </c>
    </row>
    <row r="648" spans="1:13">
      <c r="A648" s="9">
        <v>45014</v>
      </c>
      <c r="B648" s="1">
        <f t="shared" si="20"/>
        <v>44986</v>
      </c>
      <c r="C648" s="5" t="str">
        <f t="shared" si="21"/>
        <v>2023-03</v>
      </c>
      <c r="D648" s="3">
        <v>401.35</v>
      </c>
      <c r="E648" s="3">
        <v>175.42</v>
      </c>
      <c r="F648" s="3">
        <v>104.32</v>
      </c>
      <c r="G648" s="3">
        <v>182.53</v>
      </c>
      <c r="H648" s="3">
        <v>80.25</v>
      </c>
      <c r="I648" s="2">
        <v>90.62</v>
      </c>
      <c r="J648" s="2">
        <v>657.22</v>
      </c>
      <c r="K648" s="2">
        <v>474.19</v>
      </c>
      <c r="L648" s="3">
        <v>127.4</v>
      </c>
      <c r="M648" s="2">
        <v>10.57</v>
      </c>
    </row>
    <row r="649" spans="1:13">
      <c r="A649" s="9">
        <v>45013</v>
      </c>
      <c r="B649" s="1">
        <f t="shared" si="20"/>
        <v>44986</v>
      </c>
      <c r="C649" s="5" t="str">
        <f t="shared" si="21"/>
        <v>2023-03</v>
      </c>
      <c r="D649" s="3">
        <v>395.6</v>
      </c>
      <c r="E649" s="3">
        <v>173.45</v>
      </c>
      <c r="F649" s="3">
        <v>104.53</v>
      </c>
      <c r="G649" s="3">
        <v>183.44</v>
      </c>
      <c r="H649" s="3">
        <v>78.510000000000005</v>
      </c>
      <c r="I649" s="2">
        <v>89.85</v>
      </c>
      <c r="J649" s="2">
        <v>646.24</v>
      </c>
      <c r="K649" s="2">
        <v>471.44</v>
      </c>
      <c r="L649" s="3">
        <v>127.05</v>
      </c>
      <c r="M649" s="2">
        <v>10.28</v>
      </c>
    </row>
    <row r="650" spans="1:13">
      <c r="A650" s="9">
        <v>45012</v>
      </c>
      <c r="B650" s="1">
        <f t="shared" si="20"/>
        <v>44986</v>
      </c>
      <c r="C650" s="5" t="str">
        <f t="shared" si="21"/>
        <v>2023-03</v>
      </c>
      <c r="D650" s="3">
        <v>396.49</v>
      </c>
      <c r="E650" s="3">
        <v>173.7</v>
      </c>
      <c r="F650" s="3">
        <v>104.34</v>
      </c>
      <c r="G650" s="3">
        <v>181.95</v>
      </c>
      <c r="H650" s="3">
        <v>78.7</v>
      </c>
      <c r="I650" s="2">
        <v>90.14</v>
      </c>
      <c r="J650" s="2">
        <v>648.32000000000005</v>
      </c>
      <c r="K650" s="2">
        <v>473.39</v>
      </c>
      <c r="L650" s="3">
        <v>127.82</v>
      </c>
      <c r="M650" s="2">
        <v>11.09</v>
      </c>
    </row>
    <row r="651" spans="1:13">
      <c r="A651" s="9">
        <v>45009</v>
      </c>
      <c r="B651" s="1">
        <f t="shared" si="20"/>
        <v>44986</v>
      </c>
      <c r="C651" s="5" t="str">
        <f t="shared" si="21"/>
        <v>2023-03</v>
      </c>
      <c r="D651" s="3">
        <v>395.75</v>
      </c>
      <c r="E651" s="3">
        <v>171.79</v>
      </c>
      <c r="F651" s="3">
        <v>106.85</v>
      </c>
      <c r="G651" s="3">
        <v>183.65</v>
      </c>
      <c r="H651" s="3">
        <v>78.790000000000006</v>
      </c>
      <c r="I651" s="2">
        <v>88.01</v>
      </c>
      <c r="J651" s="2">
        <v>644.88</v>
      </c>
      <c r="K651" s="2">
        <v>474.54</v>
      </c>
      <c r="L651" s="3">
        <v>127.3</v>
      </c>
      <c r="M651" s="2">
        <v>11.08</v>
      </c>
    </row>
    <row r="652" spans="1:13">
      <c r="A652" s="9">
        <v>45008</v>
      </c>
      <c r="B652" s="1">
        <f t="shared" si="20"/>
        <v>44986</v>
      </c>
      <c r="C652" s="5" t="str">
        <f t="shared" si="21"/>
        <v>2023-03</v>
      </c>
      <c r="D652" s="3">
        <v>393.17</v>
      </c>
      <c r="E652" s="3">
        <v>170.25</v>
      </c>
      <c r="F652" s="3">
        <v>106.4</v>
      </c>
      <c r="G652" s="3">
        <v>185.74</v>
      </c>
      <c r="H652" s="3">
        <v>77.59</v>
      </c>
      <c r="I652" s="2">
        <v>87.78</v>
      </c>
      <c r="J652" s="2">
        <v>651.78</v>
      </c>
      <c r="K652" s="2">
        <v>467.9</v>
      </c>
      <c r="L652" s="3">
        <v>125.56</v>
      </c>
      <c r="M652" s="2">
        <v>11.4</v>
      </c>
    </row>
    <row r="653" spans="1:13">
      <c r="A653" s="9">
        <v>45007</v>
      </c>
      <c r="B653" s="1">
        <f t="shared" si="20"/>
        <v>44986</v>
      </c>
      <c r="C653" s="5" t="str">
        <f t="shared" si="21"/>
        <v>2023-03</v>
      </c>
      <c r="D653" s="3">
        <v>392.11</v>
      </c>
      <c r="E653" s="3">
        <v>171.64</v>
      </c>
      <c r="F653" s="3">
        <v>106.4</v>
      </c>
      <c r="G653" s="3">
        <v>183.44</v>
      </c>
      <c r="H653" s="3">
        <v>78.08</v>
      </c>
      <c r="I653" s="2">
        <v>87.9</v>
      </c>
      <c r="J653" s="2">
        <v>648.32000000000005</v>
      </c>
      <c r="K653" s="2">
        <v>468.9</v>
      </c>
      <c r="L653" s="3">
        <v>125.8</v>
      </c>
      <c r="M653" s="2">
        <v>11.25</v>
      </c>
    </row>
    <row r="654" spans="1:13">
      <c r="A654" s="9">
        <v>45006</v>
      </c>
      <c r="B654" s="1">
        <f t="shared" si="20"/>
        <v>44986</v>
      </c>
      <c r="C654" s="5" t="str">
        <f t="shared" si="21"/>
        <v>2023-03</v>
      </c>
      <c r="D654" s="3">
        <v>398.91</v>
      </c>
      <c r="E654" s="3">
        <v>176.65</v>
      </c>
      <c r="F654" s="3">
        <v>105</v>
      </c>
      <c r="G654" s="3">
        <v>180.37</v>
      </c>
      <c r="H654" s="3">
        <v>81.11</v>
      </c>
      <c r="I654" s="2">
        <v>87.58</v>
      </c>
      <c r="J654" s="2">
        <v>662.15</v>
      </c>
      <c r="K654" s="2">
        <v>474.76</v>
      </c>
      <c r="L654" s="3">
        <v>127.73</v>
      </c>
      <c r="M654" s="2">
        <v>10.83</v>
      </c>
    </row>
    <row r="655" spans="1:13">
      <c r="A655" s="9">
        <v>45005</v>
      </c>
      <c r="B655" s="1">
        <f t="shared" si="20"/>
        <v>44986</v>
      </c>
      <c r="C655" s="5" t="str">
        <f t="shared" si="21"/>
        <v>2023-03</v>
      </c>
      <c r="D655" s="3">
        <v>393.74</v>
      </c>
      <c r="E655" s="3">
        <v>173.45</v>
      </c>
      <c r="F655" s="3">
        <v>105.91</v>
      </c>
      <c r="G655" s="3">
        <v>183.84</v>
      </c>
      <c r="H655" s="3">
        <v>81.47</v>
      </c>
      <c r="I655" s="2">
        <v>86.96</v>
      </c>
      <c r="J655" s="2">
        <v>643.55999999999995</v>
      </c>
      <c r="K655" s="2">
        <v>475.7</v>
      </c>
      <c r="L655" s="3">
        <v>126.96</v>
      </c>
      <c r="M655" s="2">
        <v>9.85</v>
      </c>
    </row>
    <row r="656" spans="1:13">
      <c r="A656" s="9">
        <v>45002</v>
      </c>
      <c r="B656" s="1">
        <f t="shared" si="20"/>
        <v>44986</v>
      </c>
      <c r="C656" s="5" t="str">
        <f t="shared" si="21"/>
        <v>2023-03</v>
      </c>
      <c r="D656" s="3">
        <v>389.99</v>
      </c>
      <c r="E656" s="3">
        <v>171.23</v>
      </c>
      <c r="F656" s="3">
        <v>106.85</v>
      </c>
      <c r="G656" s="3">
        <v>183.77</v>
      </c>
      <c r="H656" s="3">
        <v>80.55</v>
      </c>
      <c r="I656" s="2">
        <v>85.26</v>
      </c>
      <c r="J656" s="2">
        <v>636.71</v>
      </c>
      <c r="K656" s="2">
        <v>465.87</v>
      </c>
      <c r="L656" s="3">
        <v>125.86</v>
      </c>
      <c r="M656" s="2">
        <v>9.5500000000000007</v>
      </c>
    </row>
    <row r="657" spans="1:13">
      <c r="A657" s="9">
        <v>45001</v>
      </c>
      <c r="B657" s="1">
        <f t="shared" si="20"/>
        <v>44986</v>
      </c>
      <c r="C657" s="5" t="str">
        <f t="shared" si="21"/>
        <v>2023-03</v>
      </c>
      <c r="D657" s="3">
        <v>396.11</v>
      </c>
      <c r="E657" s="3">
        <v>175.98</v>
      </c>
      <c r="F657" s="3">
        <v>105.27</v>
      </c>
      <c r="G657" s="3">
        <v>178.57</v>
      </c>
      <c r="H657" s="3">
        <v>82.42</v>
      </c>
      <c r="I657" s="2">
        <v>84.82</v>
      </c>
      <c r="J657" s="2">
        <v>636.98</v>
      </c>
      <c r="K657" s="2">
        <v>473.24</v>
      </c>
      <c r="L657" s="3">
        <v>127.5</v>
      </c>
      <c r="M657" s="2">
        <v>9.7200000000000006</v>
      </c>
    </row>
    <row r="658" spans="1:13">
      <c r="A658" s="9">
        <v>45000</v>
      </c>
      <c r="B658" s="1">
        <f t="shared" si="20"/>
        <v>44986</v>
      </c>
      <c r="C658" s="5" t="str">
        <f t="shared" si="21"/>
        <v>2023-03</v>
      </c>
      <c r="D658" s="3">
        <v>389.28</v>
      </c>
      <c r="E658" s="3">
        <v>173.61</v>
      </c>
      <c r="F658" s="3">
        <v>106.1</v>
      </c>
      <c r="G658" s="3">
        <v>178.21</v>
      </c>
      <c r="H658" s="3">
        <v>82.6</v>
      </c>
      <c r="I658" s="2">
        <v>82.98</v>
      </c>
      <c r="J658" s="2">
        <v>631.74</v>
      </c>
      <c r="K658" s="2">
        <v>473.31</v>
      </c>
      <c r="L658" s="3">
        <v>126.32</v>
      </c>
      <c r="M658" s="2">
        <v>9.18</v>
      </c>
    </row>
    <row r="659" spans="1:13">
      <c r="A659" s="9">
        <v>44999</v>
      </c>
      <c r="B659" s="1">
        <f t="shared" si="20"/>
        <v>44986</v>
      </c>
      <c r="C659" s="5" t="str">
        <f t="shared" si="21"/>
        <v>2023-03</v>
      </c>
      <c r="D659" s="3">
        <v>391.73</v>
      </c>
      <c r="E659" s="3">
        <v>176.52</v>
      </c>
      <c r="F659" s="3">
        <v>104.09</v>
      </c>
      <c r="G659" s="3">
        <v>176.83</v>
      </c>
      <c r="H659" s="3">
        <v>82.66</v>
      </c>
      <c r="I659" s="2">
        <v>84.56</v>
      </c>
      <c r="J659" s="2">
        <v>637.83000000000004</v>
      </c>
      <c r="K659" s="2">
        <v>478.87</v>
      </c>
      <c r="L659" s="3">
        <v>126.43</v>
      </c>
      <c r="M659" s="2">
        <v>9.25</v>
      </c>
    </row>
    <row r="660" spans="1:13">
      <c r="A660" s="9">
        <v>44998</v>
      </c>
      <c r="B660" s="1">
        <f t="shared" si="20"/>
        <v>44986</v>
      </c>
      <c r="C660" s="5" t="str">
        <f t="shared" si="21"/>
        <v>2023-03</v>
      </c>
      <c r="D660" s="3">
        <v>385.36</v>
      </c>
      <c r="E660" s="3">
        <v>173.31</v>
      </c>
      <c r="F660" s="3">
        <v>105.83</v>
      </c>
      <c r="G660" s="3">
        <v>177.86</v>
      </c>
      <c r="H660" s="3">
        <v>81.87</v>
      </c>
      <c r="I660" s="2">
        <v>84.93</v>
      </c>
      <c r="J660" s="2">
        <v>625.77</v>
      </c>
      <c r="K660" s="2">
        <v>477.33</v>
      </c>
      <c r="L660" s="3">
        <v>125.31</v>
      </c>
      <c r="M660" s="2">
        <v>8.93</v>
      </c>
    </row>
    <row r="661" spans="1:13">
      <c r="A661" s="9">
        <v>44995</v>
      </c>
      <c r="B661" s="1">
        <f t="shared" si="20"/>
        <v>44986</v>
      </c>
      <c r="C661" s="5" t="str">
        <f t="shared" si="21"/>
        <v>2023-03</v>
      </c>
      <c r="D661" s="3">
        <v>385.91</v>
      </c>
      <c r="E661" s="3">
        <v>176.18</v>
      </c>
      <c r="F661" s="3">
        <v>105.59</v>
      </c>
      <c r="G661" s="3">
        <v>173.87</v>
      </c>
      <c r="H661" s="3">
        <v>80.81</v>
      </c>
      <c r="I661" s="2">
        <v>84.07</v>
      </c>
      <c r="J661" s="2">
        <v>635.03</v>
      </c>
      <c r="K661" s="2">
        <v>475.5</v>
      </c>
      <c r="L661" s="3">
        <v>124.15</v>
      </c>
      <c r="M661" s="2">
        <v>9.2799999999999994</v>
      </c>
    </row>
    <row r="662" spans="1:13">
      <c r="A662" s="9">
        <v>44994</v>
      </c>
      <c r="B662" s="1">
        <f t="shared" si="20"/>
        <v>44986</v>
      </c>
      <c r="C662" s="5" t="str">
        <f t="shared" si="21"/>
        <v>2023-03</v>
      </c>
      <c r="D662" s="3">
        <v>391.56</v>
      </c>
      <c r="E662" s="3">
        <v>181.41</v>
      </c>
      <c r="F662" s="3">
        <v>102.07</v>
      </c>
      <c r="G662" s="3">
        <v>170.2</v>
      </c>
      <c r="H662" s="3">
        <v>83.58</v>
      </c>
      <c r="I662" s="2">
        <v>86.87</v>
      </c>
      <c r="J662" s="2">
        <v>651.28</v>
      </c>
      <c r="K662" s="2">
        <v>475.85</v>
      </c>
      <c r="L662" s="3">
        <v>125.07</v>
      </c>
      <c r="M662" s="2">
        <v>9.86</v>
      </c>
    </row>
    <row r="663" spans="1:13">
      <c r="A663" s="9">
        <v>44993</v>
      </c>
      <c r="B663" s="1">
        <f t="shared" si="20"/>
        <v>44986</v>
      </c>
      <c r="C663" s="5" t="str">
        <f t="shared" si="21"/>
        <v>2023-03</v>
      </c>
      <c r="D663" s="3">
        <v>398.92</v>
      </c>
      <c r="E663" s="3">
        <v>186.6</v>
      </c>
      <c r="F663" s="3">
        <v>101.82</v>
      </c>
      <c r="G663" s="3">
        <v>168.54</v>
      </c>
      <c r="H663" s="3">
        <v>85.54</v>
      </c>
      <c r="I663" s="2">
        <v>88.49</v>
      </c>
      <c r="J663" s="2">
        <v>674.36</v>
      </c>
      <c r="K663" s="2">
        <v>479.5</v>
      </c>
      <c r="L663" s="3">
        <v>126.35</v>
      </c>
      <c r="M663" s="2">
        <v>10.24</v>
      </c>
    </row>
    <row r="664" spans="1:13">
      <c r="A664" s="9">
        <v>44992</v>
      </c>
      <c r="B664" s="1">
        <f t="shared" si="20"/>
        <v>44986</v>
      </c>
      <c r="C664" s="5" t="str">
        <f t="shared" si="21"/>
        <v>2023-03</v>
      </c>
      <c r="D664" s="3">
        <v>398.27</v>
      </c>
      <c r="E664" s="3">
        <v>186.51</v>
      </c>
      <c r="F664" s="3">
        <v>101.72</v>
      </c>
      <c r="G664" s="3">
        <v>168.62</v>
      </c>
      <c r="H664" s="3">
        <v>84.57</v>
      </c>
      <c r="I664" s="2">
        <v>88.36</v>
      </c>
      <c r="J664" s="2">
        <v>674.66</v>
      </c>
      <c r="K664" s="2">
        <v>478.66</v>
      </c>
      <c r="L664" s="3">
        <v>127.03</v>
      </c>
      <c r="M664" s="2">
        <v>9.85</v>
      </c>
    </row>
    <row r="665" spans="1:13">
      <c r="A665" s="9">
        <v>44991</v>
      </c>
      <c r="B665" s="1">
        <f t="shared" si="20"/>
        <v>44986</v>
      </c>
      <c r="C665" s="5" t="str">
        <f t="shared" si="21"/>
        <v>2023-03</v>
      </c>
      <c r="D665" s="3">
        <v>404.47</v>
      </c>
      <c r="E665" s="3">
        <v>188.7</v>
      </c>
      <c r="F665" s="3">
        <v>101.1</v>
      </c>
      <c r="G665" s="3">
        <v>171.62</v>
      </c>
      <c r="H665" s="3">
        <v>86.59</v>
      </c>
      <c r="I665" s="2">
        <v>89.74</v>
      </c>
      <c r="J665" s="2">
        <v>688.39</v>
      </c>
      <c r="K665" s="2">
        <v>480.17</v>
      </c>
      <c r="L665" s="3">
        <v>129.11000000000001</v>
      </c>
      <c r="M665" s="2">
        <v>9.83</v>
      </c>
    </row>
    <row r="666" spans="1:13">
      <c r="A666" s="9">
        <v>44988</v>
      </c>
      <c r="B666" s="1">
        <f t="shared" si="20"/>
        <v>44986</v>
      </c>
      <c r="C666" s="5" t="str">
        <f t="shared" si="21"/>
        <v>2023-03</v>
      </c>
      <c r="D666" s="3">
        <v>404.19</v>
      </c>
      <c r="E666" s="3">
        <v>191.5</v>
      </c>
      <c r="F666" s="3">
        <v>101.89</v>
      </c>
      <c r="G666" s="3">
        <v>172.49</v>
      </c>
      <c r="H666" s="3">
        <v>86.93</v>
      </c>
      <c r="I666" s="2">
        <v>89.25</v>
      </c>
      <c r="J666" s="2">
        <v>695.24</v>
      </c>
      <c r="K666" s="2">
        <v>477.89</v>
      </c>
      <c r="L666" s="3">
        <v>129.16999999999999</v>
      </c>
      <c r="M666" s="2">
        <v>9.7799999999999994</v>
      </c>
    </row>
    <row r="667" spans="1:13">
      <c r="A667" s="9">
        <v>44987</v>
      </c>
      <c r="B667" s="1">
        <f t="shared" si="20"/>
        <v>44986</v>
      </c>
      <c r="C667" s="5" t="str">
        <f t="shared" si="21"/>
        <v>2023-03</v>
      </c>
      <c r="D667" s="3">
        <v>397.81</v>
      </c>
      <c r="E667" s="3">
        <v>188.87</v>
      </c>
      <c r="F667" s="3">
        <v>99.48</v>
      </c>
      <c r="G667" s="3">
        <v>170.66</v>
      </c>
      <c r="H667" s="3">
        <v>85.63</v>
      </c>
      <c r="I667" s="2">
        <v>86.97</v>
      </c>
      <c r="J667" s="2">
        <v>685.91</v>
      </c>
      <c r="K667" s="2">
        <v>478.31</v>
      </c>
      <c r="L667" s="3">
        <v>127.74</v>
      </c>
      <c r="M667" s="2">
        <v>9.84</v>
      </c>
    </row>
    <row r="668" spans="1:13">
      <c r="A668" s="9">
        <v>44986</v>
      </c>
      <c r="B668" s="1">
        <f t="shared" si="20"/>
        <v>44986</v>
      </c>
      <c r="C668" s="5" t="str">
        <f t="shared" si="21"/>
        <v>2023-03</v>
      </c>
      <c r="D668" s="3">
        <v>394.74</v>
      </c>
      <c r="E668" s="3">
        <v>188.42</v>
      </c>
      <c r="F668" s="3">
        <v>100.37</v>
      </c>
      <c r="G668" s="3">
        <v>170.76</v>
      </c>
      <c r="H668" s="3">
        <v>84.64</v>
      </c>
      <c r="I668" s="2">
        <v>86.34</v>
      </c>
      <c r="J668" s="2">
        <v>680.56</v>
      </c>
      <c r="K668" s="2">
        <v>474.33</v>
      </c>
      <c r="L668" s="3">
        <v>126.96</v>
      </c>
      <c r="M668" s="2">
        <v>10.199999999999999</v>
      </c>
    </row>
    <row r="669" spans="1:13">
      <c r="A669" s="9">
        <v>44985</v>
      </c>
      <c r="B669" s="1">
        <f t="shared" si="20"/>
        <v>44958</v>
      </c>
      <c r="C669" s="5" t="str">
        <f t="shared" si="21"/>
        <v>2023-02</v>
      </c>
      <c r="D669" s="3">
        <v>396.26</v>
      </c>
      <c r="E669" s="3">
        <v>188.18</v>
      </c>
      <c r="F669" s="3">
        <v>101.71</v>
      </c>
      <c r="G669" s="3">
        <v>169.78</v>
      </c>
      <c r="H669" s="3">
        <v>85.72</v>
      </c>
      <c r="I669" s="2">
        <v>87.4</v>
      </c>
      <c r="J669" s="2">
        <v>689.43</v>
      </c>
      <c r="K669" s="2">
        <v>474.26</v>
      </c>
      <c r="L669" s="3">
        <v>127.17</v>
      </c>
      <c r="M669" s="2">
        <v>9.8000000000000007</v>
      </c>
    </row>
    <row r="670" spans="1:13">
      <c r="A670" s="9">
        <v>44984</v>
      </c>
      <c r="B670" s="1">
        <f t="shared" si="20"/>
        <v>44958</v>
      </c>
      <c r="C670" s="5" t="str">
        <f t="shared" si="21"/>
        <v>2023-02</v>
      </c>
      <c r="D670" s="3">
        <v>397.73</v>
      </c>
      <c r="E670" s="3">
        <v>188.17</v>
      </c>
      <c r="F670" s="3">
        <v>101.25</v>
      </c>
      <c r="G670" s="3">
        <v>169.01</v>
      </c>
      <c r="H670" s="3">
        <v>85.84</v>
      </c>
      <c r="I670" s="2">
        <v>87.96</v>
      </c>
      <c r="J670" s="2">
        <v>683.06</v>
      </c>
      <c r="K670" s="2">
        <v>479.49</v>
      </c>
      <c r="L670" s="3">
        <v>128.12</v>
      </c>
      <c r="M670" s="2">
        <v>10.11</v>
      </c>
    </row>
    <row r="671" spans="1:13">
      <c r="A671" s="9">
        <v>44981</v>
      </c>
      <c r="B671" s="1">
        <f t="shared" si="20"/>
        <v>44958</v>
      </c>
      <c r="C671" s="5" t="str">
        <f t="shared" si="21"/>
        <v>2023-02</v>
      </c>
      <c r="D671" s="3">
        <v>396.38</v>
      </c>
      <c r="E671" s="3">
        <v>187.51</v>
      </c>
      <c r="F671" s="3">
        <v>100.97</v>
      </c>
      <c r="G671" s="3">
        <v>168.35</v>
      </c>
      <c r="H671" s="3">
        <v>85.71</v>
      </c>
      <c r="I671" s="2">
        <v>88.66</v>
      </c>
      <c r="J671" s="2">
        <v>683.43</v>
      </c>
      <c r="K671" s="2">
        <v>480.4</v>
      </c>
      <c r="L671" s="3">
        <v>128.51</v>
      </c>
      <c r="M671" s="2">
        <v>9.82</v>
      </c>
    </row>
    <row r="672" spans="1:13">
      <c r="A672" s="9">
        <v>44980</v>
      </c>
      <c r="B672" s="1">
        <f t="shared" si="20"/>
        <v>44958</v>
      </c>
      <c r="C672" s="5" t="str">
        <f t="shared" si="21"/>
        <v>2023-02</v>
      </c>
      <c r="D672" s="3">
        <v>400.66</v>
      </c>
      <c r="E672" s="3">
        <v>189.28</v>
      </c>
      <c r="F672" s="3">
        <v>102.3</v>
      </c>
      <c r="G672" s="3">
        <v>169.57</v>
      </c>
      <c r="H672" s="3">
        <v>87.24</v>
      </c>
      <c r="I672" s="2">
        <v>88.58</v>
      </c>
      <c r="J672" s="2">
        <v>691.84</v>
      </c>
      <c r="K672" s="2">
        <v>479.08</v>
      </c>
      <c r="L672" s="3">
        <v>130.19</v>
      </c>
      <c r="M672" s="2">
        <v>9.43</v>
      </c>
    </row>
    <row r="673" spans="1:13">
      <c r="A673" s="9">
        <v>44979</v>
      </c>
      <c r="B673" s="1">
        <f t="shared" si="20"/>
        <v>44958</v>
      </c>
      <c r="C673" s="5" t="str">
        <f t="shared" si="21"/>
        <v>2023-02</v>
      </c>
      <c r="D673" s="3">
        <v>398.54</v>
      </c>
      <c r="E673" s="3">
        <v>187.94</v>
      </c>
      <c r="F673" s="3">
        <v>101.31</v>
      </c>
      <c r="G673" s="3">
        <v>169.66</v>
      </c>
      <c r="H673" s="3">
        <v>86.59</v>
      </c>
      <c r="I673" s="2">
        <v>86.32</v>
      </c>
      <c r="J673" s="2">
        <v>687.41</v>
      </c>
      <c r="K673" s="2">
        <v>479.53</v>
      </c>
      <c r="L673" s="3">
        <v>129.84</v>
      </c>
      <c r="M673" s="2">
        <v>8.67</v>
      </c>
    </row>
    <row r="674" spans="1:13">
      <c r="A674" s="9">
        <v>44978</v>
      </c>
      <c r="B674" s="1">
        <f t="shared" si="20"/>
        <v>44958</v>
      </c>
      <c r="C674" s="5" t="str">
        <f t="shared" si="21"/>
        <v>2023-02</v>
      </c>
      <c r="D674" s="3">
        <v>399.09</v>
      </c>
      <c r="E674" s="3">
        <v>187.43</v>
      </c>
      <c r="F674" s="3">
        <v>100.39</v>
      </c>
      <c r="G674" s="3">
        <v>170.62</v>
      </c>
      <c r="H674" s="3">
        <v>87.38</v>
      </c>
      <c r="I674" s="2">
        <v>86.2</v>
      </c>
      <c r="J674" s="2">
        <v>695.75</v>
      </c>
      <c r="K674" s="2">
        <v>479.19</v>
      </c>
      <c r="L674" s="3">
        <v>130.28</v>
      </c>
      <c r="M674" s="2">
        <v>8.81</v>
      </c>
    </row>
    <row r="675" spans="1:13">
      <c r="A675" s="9">
        <v>44974</v>
      </c>
      <c r="B675" s="1">
        <f t="shared" si="20"/>
        <v>44958</v>
      </c>
      <c r="C675" s="5" t="str">
        <f t="shared" si="21"/>
        <v>2023-02</v>
      </c>
      <c r="D675" s="3">
        <v>407.26</v>
      </c>
      <c r="E675" s="3">
        <v>193.13</v>
      </c>
      <c r="F675" s="3">
        <v>102.38</v>
      </c>
      <c r="G675" s="3">
        <v>171.26</v>
      </c>
      <c r="H675" s="3">
        <v>89.17</v>
      </c>
      <c r="I675" s="2">
        <v>87.28</v>
      </c>
      <c r="J675" s="2">
        <v>716.16</v>
      </c>
      <c r="K675" s="2">
        <v>475.63</v>
      </c>
      <c r="L675" s="3">
        <v>131.99</v>
      </c>
      <c r="M675" s="2">
        <v>9.1999999999999993</v>
      </c>
    </row>
    <row r="676" spans="1:13">
      <c r="A676" s="9">
        <v>44973</v>
      </c>
      <c r="B676" s="1">
        <f t="shared" si="20"/>
        <v>44958</v>
      </c>
      <c r="C676" s="5" t="str">
        <f t="shared" si="21"/>
        <v>2023-02</v>
      </c>
      <c r="D676" s="3">
        <v>408.28</v>
      </c>
      <c r="E676" s="3">
        <v>192.6</v>
      </c>
      <c r="F676" s="3">
        <v>101.59</v>
      </c>
      <c r="G676" s="3">
        <v>170.75</v>
      </c>
      <c r="H676" s="3">
        <v>89.52</v>
      </c>
      <c r="I676" s="2">
        <v>87.72</v>
      </c>
      <c r="J676" s="2">
        <v>713</v>
      </c>
      <c r="K676" s="2">
        <v>471.25</v>
      </c>
      <c r="L676" s="3">
        <v>130.82</v>
      </c>
      <c r="M676" s="2">
        <v>9.59</v>
      </c>
    </row>
    <row r="677" spans="1:13">
      <c r="A677" s="9">
        <v>44972</v>
      </c>
      <c r="B677" s="1">
        <f t="shared" si="20"/>
        <v>44958</v>
      </c>
      <c r="C677" s="5" t="str">
        <f t="shared" si="21"/>
        <v>2023-02</v>
      </c>
      <c r="D677" s="3">
        <v>413.98</v>
      </c>
      <c r="E677" s="3">
        <v>194.46</v>
      </c>
      <c r="F677" s="3">
        <v>103.05</v>
      </c>
      <c r="G677" s="3">
        <v>170.89</v>
      </c>
      <c r="H677" s="3">
        <v>90.4</v>
      </c>
      <c r="I677" s="2">
        <v>88.34</v>
      </c>
      <c r="J677" s="2">
        <v>724.19</v>
      </c>
      <c r="K677" s="2">
        <v>480.51</v>
      </c>
      <c r="L677" s="3">
        <v>132.13999999999999</v>
      </c>
      <c r="M677" s="2">
        <v>9.3000000000000007</v>
      </c>
    </row>
    <row r="678" spans="1:13">
      <c r="A678" s="9">
        <v>44971</v>
      </c>
      <c r="B678" s="1">
        <f t="shared" si="20"/>
        <v>44958</v>
      </c>
      <c r="C678" s="5" t="str">
        <f t="shared" si="21"/>
        <v>2023-02</v>
      </c>
      <c r="D678" s="3">
        <v>412.64</v>
      </c>
      <c r="E678" s="3">
        <v>192.51</v>
      </c>
      <c r="F678" s="3">
        <v>104.02</v>
      </c>
      <c r="G678" s="3">
        <v>172.61</v>
      </c>
      <c r="H678" s="3">
        <v>90.04</v>
      </c>
      <c r="I678" s="2">
        <v>89.09</v>
      </c>
      <c r="J678" s="2">
        <v>729.15</v>
      </c>
      <c r="K678" s="2">
        <v>481.58</v>
      </c>
      <c r="L678" s="3">
        <v>132.80000000000001</v>
      </c>
      <c r="M678" s="2">
        <v>9.2899999999999991</v>
      </c>
    </row>
    <row r="679" spans="1:13">
      <c r="A679" s="9">
        <v>44970</v>
      </c>
      <c r="B679" s="1">
        <f t="shared" si="20"/>
        <v>44958</v>
      </c>
      <c r="C679" s="5" t="str">
        <f t="shared" si="21"/>
        <v>2023-02</v>
      </c>
      <c r="D679" s="3">
        <v>412.83</v>
      </c>
      <c r="E679" s="3">
        <v>192.6</v>
      </c>
      <c r="F679" s="3">
        <v>104.26</v>
      </c>
      <c r="G679" s="3">
        <v>172.48</v>
      </c>
      <c r="H679" s="3">
        <v>90.76</v>
      </c>
      <c r="I679" s="2">
        <v>89.42</v>
      </c>
      <c r="J679" s="2">
        <v>736.91</v>
      </c>
      <c r="K679" s="2">
        <v>481.97</v>
      </c>
      <c r="L679" s="3">
        <v>133.59</v>
      </c>
      <c r="M679" s="2">
        <v>9.0500000000000007</v>
      </c>
    </row>
    <row r="680" spans="1:13">
      <c r="A680" s="9">
        <v>44967</v>
      </c>
      <c r="B680" s="1">
        <f t="shared" si="20"/>
        <v>44958</v>
      </c>
      <c r="C680" s="5" t="str">
        <f t="shared" si="21"/>
        <v>2023-02</v>
      </c>
      <c r="D680" s="3">
        <v>408.04</v>
      </c>
      <c r="E680" s="3">
        <v>190.31</v>
      </c>
      <c r="F680" s="3">
        <v>103.39</v>
      </c>
      <c r="G680" s="3">
        <v>173.36</v>
      </c>
      <c r="H680" s="3">
        <v>89.96</v>
      </c>
      <c r="I680" s="2">
        <v>87.14</v>
      </c>
      <c r="J680" s="2">
        <v>723.51</v>
      </c>
      <c r="K680" s="2">
        <v>480.83</v>
      </c>
      <c r="L680" s="3">
        <v>132.49</v>
      </c>
      <c r="M680" s="2">
        <v>9</v>
      </c>
    </row>
    <row r="681" spans="1:13">
      <c r="A681" s="9">
        <v>44966</v>
      </c>
      <c r="B681" s="1">
        <f t="shared" si="20"/>
        <v>44958</v>
      </c>
      <c r="C681" s="5" t="str">
        <f t="shared" si="21"/>
        <v>2023-02</v>
      </c>
      <c r="D681" s="3">
        <v>407.09</v>
      </c>
      <c r="E681" s="3">
        <v>189.93</v>
      </c>
      <c r="F681" s="3">
        <v>104.56</v>
      </c>
      <c r="G681" s="3">
        <v>173.03</v>
      </c>
      <c r="H681" s="3">
        <v>89.65</v>
      </c>
      <c r="I681" s="2">
        <v>86.65</v>
      </c>
      <c r="J681" s="2">
        <v>715.97</v>
      </c>
      <c r="K681" s="2">
        <v>470.09</v>
      </c>
      <c r="L681" s="3">
        <v>131.25</v>
      </c>
      <c r="M681" s="2">
        <v>8.6999999999999993</v>
      </c>
    </row>
    <row r="682" spans="1:13">
      <c r="A682" s="9">
        <v>44965</v>
      </c>
      <c r="B682" s="1">
        <f t="shared" si="20"/>
        <v>44958</v>
      </c>
      <c r="C682" s="5" t="str">
        <f t="shared" si="21"/>
        <v>2023-02</v>
      </c>
      <c r="D682" s="3">
        <v>410.65</v>
      </c>
      <c r="E682" s="3">
        <v>192.72</v>
      </c>
      <c r="F682" s="3">
        <v>105.56</v>
      </c>
      <c r="G682" s="3">
        <v>174.41</v>
      </c>
      <c r="H682" s="3">
        <v>90.64</v>
      </c>
      <c r="I682" s="2">
        <v>86.69</v>
      </c>
      <c r="J682" s="2">
        <v>729.86</v>
      </c>
      <c r="K682" s="2">
        <v>469.65</v>
      </c>
      <c r="L682" s="3">
        <v>132.41</v>
      </c>
      <c r="M682" s="2">
        <v>8.52</v>
      </c>
    </row>
    <row r="683" spans="1:13">
      <c r="A683" s="9">
        <v>44964</v>
      </c>
      <c r="B683" s="1">
        <f t="shared" si="20"/>
        <v>44958</v>
      </c>
      <c r="C683" s="5" t="str">
        <f t="shared" si="21"/>
        <v>2023-02</v>
      </c>
      <c r="D683" s="3">
        <v>415.19</v>
      </c>
      <c r="E683" s="3">
        <v>195.58</v>
      </c>
      <c r="F683" s="3">
        <v>105.06</v>
      </c>
      <c r="G683" s="3">
        <v>173.98</v>
      </c>
      <c r="H683" s="3">
        <v>91.07</v>
      </c>
      <c r="I683" s="2">
        <v>87.74</v>
      </c>
      <c r="J683" s="2">
        <v>740.82</v>
      </c>
      <c r="K683" s="2">
        <v>468.33</v>
      </c>
      <c r="L683" s="3">
        <v>132.80000000000001</v>
      </c>
      <c r="M683" s="2">
        <v>8.1999999999999993</v>
      </c>
    </row>
    <row r="684" spans="1:13">
      <c r="A684" s="9">
        <v>44963</v>
      </c>
      <c r="B684" s="1">
        <f t="shared" si="20"/>
        <v>44958</v>
      </c>
      <c r="C684" s="5" t="str">
        <f t="shared" si="21"/>
        <v>2023-02</v>
      </c>
      <c r="D684" s="3">
        <v>409.83</v>
      </c>
      <c r="E684" s="3">
        <v>194.14</v>
      </c>
      <c r="F684" s="3">
        <v>105.91</v>
      </c>
      <c r="G684" s="3">
        <v>173.82</v>
      </c>
      <c r="H684" s="3">
        <v>91.27</v>
      </c>
      <c r="I684" s="2">
        <v>88.53</v>
      </c>
      <c r="J684" s="2">
        <v>742.38</v>
      </c>
      <c r="K684" s="2">
        <v>469.1</v>
      </c>
      <c r="L684" s="3">
        <v>131.94999999999999</v>
      </c>
      <c r="M684" s="2">
        <v>8.32</v>
      </c>
    </row>
    <row r="685" spans="1:13">
      <c r="A685" s="9">
        <v>44960</v>
      </c>
      <c r="B685" s="1">
        <f t="shared" si="20"/>
        <v>44958</v>
      </c>
      <c r="C685" s="5" t="str">
        <f t="shared" si="21"/>
        <v>2023-02</v>
      </c>
      <c r="D685" s="3">
        <v>412.35</v>
      </c>
      <c r="E685" s="3">
        <v>196.99</v>
      </c>
      <c r="F685" s="3">
        <v>106.7</v>
      </c>
      <c r="G685" s="3">
        <v>173.46</v>
      </c>
      <c r="H685" s="3">
        <v>91.94</v>
      </c>
      <c r="I685" s="2">
        <v>89.62</v>
      </c>
      <c r="J685" s="2">
        <v>757.16</v>
      </c>
      <c r="K685" s="2">
        <v>459.08</v>
      </c>
      <c r="L685" s="3">
        <v>132.69</v>
      </c>
      <c r="M685" s="2">
        <v>8.43</v>
      </c>
    </row>
    <row r="686" spans="1:13">
      <c r="A686" s="9">
        <v>44959</v>
      </c>
      <c r="B686" s="1">
        <f t="shared" si="20"/>
        <v>44958</v>
      </c>
      <c r="C686" s="5" t="str">
        <f t="shared" si="21"/>
        <v>2023-02</v>
      </c>
      <c r="D686" s="3">
        <v>416.78</v>
      </c>
      <c r="E686" s="3">
        <v>198.32</v>
      </c>
      <c r="F686" s="3">
        <v>108.32</v>
      </c>
      <c r="G686" s="3">
        <v>177.9</v>
      </c>
      <c r="H686" s="3">
        <v>93.7</v>
      </c>
      <c r="I686" s="2">
        <v>89.38</v>
      </c>
      <c r="J686" s="2">
        <v>770.73</v>
      </c>
      <c r="K686" s="2">
        <v>457.19</v>
      </c>
      <c r="L686" s="3">
        <v>133.08000000000001</v>
      </c>
      <c r="M686" s="2">
        <v>8.19</v>
      </c>
    </row>
    <row r="687" spans="1:13">
      <c r="A687" s="9">
        <v>44958</v>
      </c>
      <c r="B687" s="1">
        <f t="shared" si="20"/>
        <v>44958</v>
      </c>
      <c r="C687" s="5" t="str">
        <f t="shared" si="21"/>
        <v>2023-02</v>
      </c>
      <c r="D687" s="3">
        <v>410.8</v>
      </c>
      <c r="E687" s="3">
        <v>194.49</v>
      </c>
      <c r="F687" s="3">
        <v>108.18</v>
      </c>
      <c r="G687" s="3">
        <v>181.67</v>
      </c>
      <c r="H687" s="3">
        <v>91.62</v>
      </c>
      <c r="I687" s="2">
        <v>90.05</v>
      </c>
      <c r="J687" s="2">
        <v>762.63</v>
      </c>
      <c r="K687" s="2">
        <v>462.25</v>
      </c>
      <c r="L687" s="3">
        <v>133.99</v>
      </c>
      <c r="M687" s="2">
        <v>7.97</v>
      </c>
    </row>
    <row r="688" spans="1:13">
      <c r="A688" s="9">
        <v>44957</v>
      </c>
      <c r="B688" s="1">
        <f t="shared" si="20"/>
        <v>44927</v>
      </c>
      <c r="C688" s="5" t="str">
        <f t="shared" si="21"/>
        <v>2023-01</v>
      </c>
      <c r="D688" s="3">
        <v>406.48</v>
      </c>
      <c r="E688" s="3">
        <v>191.48</v>
      </c>
      <c r="F688" s="3">
        <v>107.17</v>
      </c>
      <c r="G688" s="3">
        <v>179.41</v>
      </c>
      <c r="H688" s="3">
        <v>91.06</v>
      </c>
      <c r="I688" s="2">
        <v>88.46</v>
      </c>
      <c r="J688" s="2">
        <v>759.21</v>
      </c>
      <c r="K688" s="2">
        <v>463.26</v>
      </c>
      <c r="L688" s="3">
        <v>133.36000000000001</v>
      </c>
      <c r="M688" s="2">
        <v>7.23</v>
      </c>
    </row>
    <row r="689" spans="1:13">
      <c r="A689" s="9">
        <v>44956</v>
      </c>
      <c r="B689" s="1">
        <f t="shared" si="20"/>
        <v>44927</v>
      </c>
      <c r="C689" s="5" t="str">
        <f t="shared" si="21"/>
        <v>2023-01</v>
      </c>
      <c r="D689" s="3">
        <v>400.59</v>
      </c>
      <c r="E689" s="3">
        <v>186.94</v>
      </c>
      <c r="F689" s="3">
        <v>106.32</v>
      </c>
      <c r="G689" s="3">
        <v>178.76</v>
      </c>
      <c r="H689" s="3">
        <v>89.19</v>
      </c>
      <c r="I689" s="2">
        <v>87.35</v>
      </c>
      <c r="J689" s="2">
        <v>747.86</v>
      </c>
      <c r="K689" s="2">
        <v>460.59</v>
      </c>
      <c r="L689" s="3">
        <v>131.66</v>
      </c>
      <c r="M689" s="2">
        <v>7.21</v>
      </c>
    </row>
    <row r="690" spans="1:13">
      <c r="A690" s="9">
        <v>44953</v>
      </c>
      <c r="B690" s="1">
        <f t="shared" si="20"/>
        <v>44927</v>
      </c>
      <c r="C690" s="5" t="str">
        <f t="shared" si="21"/>
        <v>2023-01</v>
      </c>
      <c r="D690" s="3">
        <v>405.68</v>
      </c>
      <c r="E690" s="3">
        <v>189.58</v>
      </c>
      <c r="F690" s="3">
        <v>106.71</v>
      </c>
      <c r="G690" s="3">
        <v>179.22</v>
      </c>
      <c r="H690" s="3">
        <v>90.34</v>
      </c>
      <c r="I690" s="2">
        <v>88.99</v>
      </c>
      <c r="J690" s="2">
        <v>759.18</v>
      </c>
      <c r="K690" s="2">
        <v>459.6</v>
      </c>
      <c r="L690" s="3">
        <v>132.86000000000001</v>
      </c>
      <c r="M690" s="2">
        <v>7.43</v>
      </c>
    </row>
    <row r="691" spans="1:13">
      <c r="A691" s="9">
        <v>44952</v>
      </c>
      <c r="B691" s="1">
        <f t="shared" si="20"/>
        <v>44927</v>
      </c>
      <c r="C691" s="5" t="str">
        <f t="shared" si="21"/>
        <v>2023-01</v>
      </c>
      <c r="D691" s="3">
        <v>404.75</v>
      </c>
      <c r="E691" s="3">
        <v>188.56</v>
      </c>
      <c r="F691" s="3">
        <v>106.98</v>
      </c>
      <c r="G691" s="3">
        <v>179.47</v>
      </c>
      <c r="H691" s="3">
        <v>89.34</v>
      </c>
      <c r="I691" s="2">
        <v>89.83</v>
      </c>
      <c r="J691" s="2">
        <v>758.9</v>
      </c>
      <c r="K691" s="2">
        <v>459.81</v>
      </c>
      <c r="L691" s="3">
        <v>133.77000000000001</v>
      </c>
      <c r="M691" s="2">
        <v>7.63</v>
      </c>
    </row>
    <row r="692" spans="1:13">
      <c r="A692" s="9">
        <v>44951</v>
      </c>
      <c r="B692" s="1">
        <f t="shared" si="20"/>
        <v>44927</v>
      </c>
      <c r="C692" s="5" t="str">
        <f t="shared" si="21"/>
        <v>2023-01</v>
      </c>
      <c r="D692" s="3">
        <v>400.35</v>
      </c>
      <c r="E692" s="3">
        <v>187.45</v>
      </c>
      <c r="F692" s="3">
        <v>107.48</v>
      </c>
      <c r="G692" s="3">
        <v>181.11</v>
      </c>
      <c r="H692" s="3">
        <v>88.35</v>
      </c>
      <c r="I692" s="2">
        <v>89.64</v>
      </c>
      <c r="J692" s="2">
        <v>751.25</v>
      </c>
      <c r="K692" s="2">
        <v>454.16</v>
      </c>
      <c r="L692" s="3">
        <v>133.52000000000001</v>
      </c>
      <c r="M692" s="2">
        <v>7.73</v>
      </c>
    </row>
    <row r="693" spans="1:13">
      <c r="A693" s="9">
        <v>44950</v>
      </c>
      <c r="B693" s="1">
        <f t="shared" si="20"/>
        <v>44927</v>
      </c>
      <c r="C693" s="5" t="str">
        <f t="shared" si="21"/>
        <v>2023-01</v>
      </c>
      <c r="D693" s="3">
        <v>400.2</v>
      </c>
      <c r="E693" s="3">
        <v>186.93</v>
      </c>
      <c r="F693" s="3">
        <v>107.22</v>
      </c>
      <c r="G693" s="3">
        <v>180.28</v>
      </c>
      <c r="H693" s="3">
        <v>88.31</v>
      </c>
      <c r="I693" s="2">
        <v>89.7</v>
      </c>
      <c r="J693" s="2">
        <v>752.07</v>
      </c>
      <c r="K693" s="2">
        <v>449.23</v>
      </c>
      <c r="L693" s="3">
        <v>133.47999999999999</v>
      </c>
      <c r="M693" s="2">
        <v>7.83</v>
      </c>
    </row>
    <row r="694" spans="1:13">
      <c r="A694" s="9">
        <v>44949</v>
      </c>
      <c r="B694" s="1">
        <f t="shared" si="20"/>
        <v>44927</v>
      </c>
      <c r="C694" s="5" t="str">
        <f t="shared" si="21"/>
        <v>2023-01</v>
      </c>
      <c r="D694" s="3">
        <v>400.63</v>
      </c>
      <c r="E694" s="3">
        <v>187.33</v>
      </c>
      <c r="F694" s="3">
        <v>105.7</v>
      </c>
      <c r="G694" s="3">
        <v>179.63</v>
      </c>
      <c r="H694" s="3">
        <v>88.09</v>
      </c>
      <c r="I694" s="2">
        <v>88.97</v>
      </c>
      <c r="J694" s="2">
        <v>748.02</v>
      </c>
      <c r="K694" s="2">
        <v>441.28</v>
      </c>
      <c r="L694" s="3">
        <v>134.37</v>
      </c>
      <c r="M694" s="2">
        <v>7.38</v>
      </c>
    </row>
    <row r="695" spans="1:13">
      <c r="A695" s="9">
        <v>44946</v>
      </c>
      <c r="B695" s="1">
        <f t="shared" si="20"/>
        <v>44927</v>
      </c>
      <c r="C695" s="5" t="str">
        <f t="shared" si="21"/>
        <v>2023-01</v>
      </c>
      <c r="D695" s="3">
        <v>395.88</v>
      </c>
      <c r="E695" s="3">
        <v>185.04</v>
      </c>
      <c r="F695" s="3">
        <v>106.2</v>
      </c>
      <c r="G695" s="3">
        <v>179.29</v>
      </c>
      <c r="H695" s="3">
        <v>87.69</v>
      </c>
      <c r="I695" s="2">
        <v>87.25</v>
      </c>
      <c r="J695" s="2">
        <v>741.71</v>
      </c>
      <c r="K695" s="2">
        <v>443.28</v>
      </c>
      <c r="L695" s="3">
        <v>133.91</v>
      </c>
      <c r="M695" s="2">
        <v>7.2</v>
      </c>
    </row>
    <row r="696" spans="1:13">
      <c r="A696" s="9">
        <v>44945</v>
      </c>
      <c r="B696" s="1">
        <f t="shared" si="20"/>
        <v>44927</v>
      </c>
      <c r="C696" s="5" t="str">
        <f t="shared" si="21"/>
        <v>2023-01</v>
      </c>
      <c r="D696" s="3">
        <v>388.64</v>
      </c>
      <c r="E696" s="3">
        <v>182.04</v>
      </c>
      <c r="F696" s="3">
        <v>107.95</v>
      </c>
      <c r="G696" s="3">
        <v>179.89</v>
      </c>
      <c r="H696" s="3">
        <v>86.66</v>
      </c>
      <c r="I696" s="2">
        <v>85.94</v>
      </c>
      <c r="J696" s="2">
        <v>729.87</v>
      </c>
      <c r="K696" s="2">
        <v>439.31</v>
      </c>
      <c r="L696" s="3">
        <v>133.24</v>
      </c>
      <c r="M696" s="2">
        <v>7.09</v>
      </c>
    </row>
    <row r="697" spans="1:13">
      <c r="A697" s="9">
        <v>44944</v>
      </c>
      <c r="B697" s="1">
        <f t="shared" si="20"/>
        <v>44927</v>
      </c>
      <c r="C697" s="5" t="str">
        <f t="shared" si="21"/>
        <v>2023-01</v>
      </c>
      <c r="D697" s="3">
        <v>391.49</v>
      </c>
      <c r="E697" s="3">
        <v>183.8</v>
      </c>
      <c r="F697" s="3">
        <v>108.63</v>
      </c>
      <c r="G697" s="3">
        <v>177.08</v>
      </c>
      <c r="H697" s="3">
        <v>87.14</v>
      </c>
      <c r="I697" s="2">
        <v>86.71</v>
      </c>
      <c r="J697" s="2">
        <v>747.36</v>
      </c>
      <c r="K697" s="2">
        <v>441.27</v>
      </c>
      <c r="L697" s="3">
        <v>132.91999999999999</v>
      </c>
      <c r="M697" s="2">
        <v>7.89</v>
      </c>
    </row>
    <row r="698" spans="1:13">
      <c r="A698" s="9">
        <v>44943</v>
      </c>
      <c r="B698" s="1">
        <f t="shared" si="20"/>
        <v>44927</v>
      </c>
      <c r="C698" s="5" t="str">
        <f t="shared" si="21"/>
        <v>2023-01</v>
      </c>
      <c r="D698" s="3">
        <v>397.77</v>
      </c>
      <c r="E698" s="3">
        <v>186.82</v>
      </c>
      <c r="F698" s="3">
        <v>106.06</v>
      </c>
      <c r="G698" s="3">
        <v>177.59</v>
      </c>
      <c r="H698" s="3">
        <v>88.43</v>
      </c>
      <c r="I698" s="2">
        <v>88.6</v>
      </c>
      <c r="J698" s="2">
        <v>749.73</v>
      </c>
      <c r="K698" s="2">
        <v>447.16</v>
      </c>
      <c r="L698" s="3">
        <v>134.82</v>
      </c>
      <c r="M698" s="2">
        <v>8.48</v>
      </c>
    </row>
    <row r="699" spans="1:13">
      <c r="A699" s="9">
        <v>44939</v>
      </c>
      <c r="B699" s="1">
        <f t="shared" si="20"/>
        <v>44927</v>
      </c>
      <c r="C699" s="5" t="str">
        <f t="shared" si="21"/>
        <v>2023-01</v>
      </c>
      <c r="D699" s="3">
        <v>398.5</v>
      </c>
      <c r="E699" s="3">
        <v>187.05</v>
      </c>
      <c r="F699" s="3">
        <v>106.75</v>
      </c>
      <c r="G699" s="3">
        <v>178.76</v>
      </c>
      <c r="H699" s="3">
        <v>88.18</v>
      </c>
      <c r="I699" s="2">
        <v>89.2</v>
      </c>
      <c r="J699" s="2">
        <v>753.99</v>
      </c>
      <c r="K699" s="2">
        <v>449.83</v>
      </c>
      <c r="L699" s="3">
        <v>135.44999999999999</v>
      </c>
      <c r="M699" s="2">
        <v>8.06</v>
      </c>
    </row>
    <row r="700" spans="1:13">
      <c r="A700" s="9">
        <v>44938</v>
      </c>
      <c r="B700" s="1">
        <f t="shared" si="20"/>
        <v>44927</v>
      </c>
      <c r="C700" s="5" t="str">
        <f t="shared" si="21"/>
        <v>2023-01</v>
      </c>
      <c r="D700" s="3">
        <v>396.96</v>
      </c>
      <c r="E700" s="3">
        <v>185.83</v>
      </c>
      <c r="F700" s="3">
        <v>107.76</v>
      </c>
      <c r="G700" s="3">
        <v>176.64</v>
      </c>
      <c r="H700" s="3">
        <v>88.73</v>
      </c>
      <c r="I700" s="2">
        <v>88.78</v>
      </c>
      <c r="J700" s="2">
        <v>753.96</v>
      </c>
      <c r="K700" s="2">
        <v>461.74</v>
      </c>
      <c r="L700" s="3">
        <v>134.85</v>
      </c>
      <c r="M700" s="2">
        <v>8.0500000000000007</v>
      </c>
    </row>
    <row r="701" spans="1:13">
      <c r="A701" s="9">
        <v>44937</v>
      </c>
      <c r="B701" s="1">
        <f t="shared" si="20"/>
        <v>44927</v>
      </c>
      <c r="C701" s="5" t="str">
        <f t="shared" si="21"/>
        <v>2023-01</v>
      </c>
      <c r="D701" s="3">
        <v>395.52</v>
      </c>
      <c r="E701" s="3">
        <v>182.76</v>
      </c>
      <c r="F701" s="3">
        <v>105.68</v>
      </c>
      <c r="G701" s="3">
        <v>174.62</v>
      </c>
      <c r="H701" s="3">
        <v>87.62</v>
      </c>
      <c r="I701" s="2">
        <v>88.6</v>
      </c>
      <c r="J701" s="2">
        <v>755.92</v>
      </c>
      <c r="K701" s="2">
        <v>463</v>
      </c>
      <c r="L701" s="3">
        <v>135.28</v>
      </c>
      <c r="M701" s="2">
        <v>7.56</v>
      </c>
    </row>
    <row r="702" spans="1:13">
      <c r="A702" s="9">
        <v>44936</v>
      </c>
      <c r="B702" s="1">
        <f t="shared" si="20"/>
        <v>44927</v>
      </c>
      <c r="C702" s="5" t="str">
        <f t="shared" si="21"/>
        <v>2023-01</v>
      </c>
      <c r="D702" s="3">
        <v>390.58</v>
      </c>
      <c r="E702" s="3">
        <v>180.51</v>
      </c>
      <c r="F702" s="3">
        <v>103.99</v>
      </c>
      <c r="G702" s="3">
        <v>174.74</v>
      </c>
      <c r="H702" s="3">
        <v>84.59</v>
      </c>
      <c r="I702" s="2">
        <v>86.5</v>
      </c>
      <c r="J702" s="2">
        <v>757.28</v>
      </c>
      <c r="K702" s="2">
        <v>462.29</v>
      </c>
      <c r="L702" s="3">
        <v>134.52000000000001</v>
      </c>
      <c r="M702" s="2">
        <v>7.84</v>
      </c>
    </row>
    <row r="703" spans="1:13">
      <c r="A703" s="9">
        <v>44935</v>
      </c>
      <c r="B703" s="1">
        <f t="shared" si="20"/>
        <v>44927</v>
      </c>
      <c r="C703" s="5" t="str">
        <f t="shared" si="21"/>
        <v>2023-01</v>
      </c>
      <c r="D703" s="3">
        <v>387.86</v>
      </c>
      <c r="E703" s="3">
        <v>177.88</v>
      </c>
      <c r="F703" s="3">
        <v>105.74</v>
      </c>
      <c r="G703" s="3">
        <v>174.1</v>
      </c>
      <c r="H703" s="3">
        <v>84.4</v>
      </c>
      <c r="I703" s="2">
        <v>86.42</v>
      </c>
      <c r="J703" s="2">
        <v>752.99</v>
      </c>
      <c r="K703" s="2">
        <v>458.99</v>
      </c>
      <c r="L703" s="3">
        <v>133.4</v>
      </c>
      <c r="M703" s="2">
        <v>8.48</v>
      </c>
    </row>
    <row r="704" spans="1:13">
      <c r="A704" s="9">
        <v>44932</v>
      </c>
      <c r="B704" s="1">
        <f t="shared" si="20"/>
        <v>44927</v>
      </c>
      <c r="C704" s="5" t="str">
        <f t="shared" si="21"/>
        <v>2023-01</v>
      </c>
      <c r="D704" s="3">
        <v>388.08</v>
      </c>
      <c r="E704" s="3">
        <v>177.58</v>
      </c>
      <c r="F704" s="3">
        <v>105.18</v>
      </c>
      <c r="G704" s="3">
        <v>173.71</v>
      </c>
      <c r="H704" s="3">
        <v>84.37</v>
      </c>
      <c r="I704" s="2">
        <v>85.66</v>
      </c>
      <c r="J704" s="2">
        <v>738</v>
      </c>
      <c r="K704" s="2">
        <v>473.24</v>
      </c>
      <c r="L704" s="3">
        <v>135.66999999999999</v>
      </c>
      <c r="M704" s="2">
        <v>8.44</v>
      </c>
    </row>
    <row r="705" spans="1:13">
      <c r="A705" s="9">
        <v>44931</v>
      </c>
      <c r="B705" s="1">
        <f t="shared" si="20"/>
        <v>44927</v>
      </c>
      <c r="C705" s="5" t="str">
        <f t="shared" si="21"/>
        <v>2023-01</v>
      </c>
      <c r="D705" s="3">
        <v>379.38</v>
      </c>
      <c r="E705" s="3">
        <v>173.68</v>
      </c>
      <c r="F705" s="3">
        <v>103.28</v>
      </c>
      <c r="G705" s="3">
        <v>170.52</v>
      </c>
      <c r="H705" s="3">
        <v>82.16</v>
      </c>
      <c r="I705" s="2">
        <v>84.31</v>
      </c>
      <c r="J705" s="2">
        <v>701.24</v>
      </c>
      <c r="K705" s="2">
        <v>477.07</v>
      </c>
      <c r="L705" s="3">
        <v>134.43</v>
      </c>
      <c r="M705" s="2">
        <v>8.0299999999999994</v>
      </c>
    </row>
    <row r="706" spans="1:13">
      <c r="A706" s="9">
        <v>44930</v>
      </c>
      <c r="B706" s="1">
        <f t="shared" ref="B706:B769" si="22">EOMONTH(A706,-1)+1</f>
        <v>44927</v>
      </c>
      <c r="C706" s="5" t="str">
        <f t="shared" si="21"/>
        <v>2023-01</v>
      </c>
      <c r="D706" s="3">
        <v>383.76</v>
      </c>
      <c r="E706" s="3">
        <v>175.56</v>
      </c>
      <c r="F706" s="3">
        <v>102.85</v>
      </c>
      <c r="G706" s="3">
        <v>172.67</v>
      </c>
      <c r="H706" s="3">
        <v>84.43</v>
      </c>
      <c r="I706" s="2">
        <v>84.48</v>
      </c>
      <c r="J706" s="2">
        <v>721.9</v>
      </c>
      <c r="K706" s="2">
        <v>476.5</v>
      </c>
      <c r="L706" s="3">
        <v>135.82</v>
      </c>
      <c r="M706" s="2">
        <v>8.23</v>
      </c>
    </row>
    <row r="707" spans="1:13">
      <c r="A707" s="9">
        <v>44929</v>
      </c>
      <c r="B707" s="1">
        <f t="shared" si="22"/>
        <v>44927</v>
      </c>
      <c r="C707" s="5" t="str">
        <f t="shared" ref="C707:C770" si="23">TEXT(A707, "yyyy-mm")</f>
        <v>2023-01</v>
      </c>
      <c r="D707" s="3">
        <v>380.82</v>
      </c>
      <c r="E707" s="3">
        <v>173.4</v>
      </c>
      <c r="F707" s="3">
        <v>101.46</v>
      </c>
      <c r="G707" s="3">
        <v>171.06</v>
      </c>
      <c r="H707" s="3">
        <v>82.56</v>
      </c>
      <c r="I707" s="2">
        <v>83.72</v>
      </c>
      <c r="J707" s="2">
        <v>712.04</v>
      </c>
      <c r="K707" s="2">
        <v>477.53</v>
      </c>
      <c r="L707" s="3">
        <v>135.46</v>
      </c>
      <c r="M707" s="2">
        <v>8.39</v>
      </c>
    </row>
    <row r="708" spans="1:13">
      <c r="A708" s="9">
        <v>44925</v>
      </c>
      <c r="B708" s="1">
        <f t="shared" si="22"/>
        <v>44896</v>
      </c>
      <c r="C708" s="5" t="str">
        <f t="shared" si="23"/>
        <v>2022-12</v>
      </c>
      <c r="D708" s="3">
        <v>382.43</v>
      </c>
      <c r="E708" s="3">
        <v>174.36</v>
      </c>
      <c r="F708" s="3">
        <v>99.56</v>
      </c>
      <c r="G708" s="3">
        <v>169.64</v>
      </c>
      <c r="H708" s="3">
        <v>82.48</v>
      </c>
      <c r="I708" s="2">
        <v>81.739999999999995</v>
      </c>
      <c r="J708" s="2">
        <v>708.63</v>
      </c>
      <c r="K708" s="2">
        <v>486.49</v>
      </c>
      <c r="L708" s="3">
        <v>135.85</v>
      </c>
      <c r="M708" s="2">
        <v>8.2100000000000009</v>
      </c>
    </row>
    <row r="709" spans="1:13">
      <c r="A709" s="9">
        <v>44924</v>
      </c>
      <c r="B709" s="1">
        <f t="shared" si="22"/>
        <v>44896</v>
      </c>
      <c r="C709" s="5" t="str">
        <f t="shared" si="23"/>
        <v>2022-12</v>
      </c>
      <c r="D709" s="3">
        <v>383.44</v>
      </c>
      <c r="E709" s="3">
        <v>174.85</v>
      </c>
      <c r="F709" s="3">
        <v>100.68</v>
      </c>
      <c r="G709" s="3">
        <v>168.85</v>
      </c>
      <c r="H709" s="3">
        <v>83.08</v>
      </c>
      <c r="I709" s="2">
        <v>81.400000000000006</v>
      </c>
      <c r="J709" s="2">
        <v>716.15</v>
      </c>
      <c r="K709" s="2">
        <v>487.05</v>
      </c>
      <c r="L709" s="3">
        <v>136.34</v>
      </c>
      <c r="M709" s="2">
        <v>8.19</v>
      </c>
    </row>
    <row r="710" spans="1:13">
      <c r="A710" s="9">
        <v>44923</v>
      </c>
      <c r="B710" s="1">
        <f t="shared" si="22"/>
        <v>44896</v>
      </c>
      <c r="C710" s="5" t="str">
        <f t="shared" si="23"/>
        <v>2022-12</v>
      </c>
      <c r="D710" s="3">
        <v>376.66</v>
      </c>
      <c r="E710" s="3">
        <v>170.53</v>
      </c>
      <c r="F710" s="3">
        <v>99.55</v>
      </c>
      <c r="G710" s="3">
        <v>167.91</v>
      </c>
      <c r="H710" s="3">
        <v>81.3</v>
      </c>
      <c r="I710" s="2">
        <v>80.33</v>
      </c>
      <c r="J710" s="2">
        <v>700.33</v>
      </c>
      <c r="K710" s="2">
        <v>483.22</v>
      </c>
      <c r="L710" s="3">
        <v>134.87</v>
      </c>
      <c r="M710" s="2">
        <v>8.06</v>
      </c>
    </row>
    <row r="711" spans="1:13">
      <c r="A711" s="9">
        <v>44922</v>
      </c>
      <c r="B711" s="1">
        <f t="shared" si="22"/>
        <v>44896</v>
      </c>
      <c r="C711" s="5" t="str">
        <f t="shared" si="23"/>
        <v>2022-12</v>
      </c>
      <c r="D711" s="3">
        <v>381.4</v>
      </c>
      <c r="E711" s="3">
        <v>173.22</v>
      </c>
      <c r="F711" s="3">
        <v>100.14</v>
      </c>
      <c r="G711" s="3">
        <v>168.67</v>
      </c>
      <c r="H711" s="3">
        <v>82.71</v>
      </c>
      <c r="I711" s="2">
        <v>80.98</v>
      </c>
      <c r="J711" s="2">
        <v>703.26</v>
      </c>
      <c r="K711" s="2">
        <v>485.5</v>
      </c>
      <c r="L711" s="3">
        <v>135.75</v>
      </c>
      <c r="M711" s="2">
        <v>8.2899999999999991</v>
      </c>
    </row>
    <row r="712" spans="1:13">
      <c r="A712" s="9">
        <v>44918</v>
      </c>
      <c r="B712" s="1">
        <f t="shared" si="22"/>
        <v>44896</v>
      </c>
      <c r="C712" s="5" t="str">
        <f t="shared" si="23"/>
        <v>2022-12</v>
      </c>
      <c r="D712" s="3">
        <v>382.91</v>
      </c>
      <c r="E712" s="3">
        <v>174.39</v>
      </c>
      <c r="F712" s="3">
        <v>102.16</v>
      </c>
      <c r="G712" s="3">
        <v>167.26</v>
      </c>
      <c r="H712" s="3">
        <v>82.74</v>
      </c>
      <c r="I712" s="2">
        <v>80.849999999999994</v>
      </c>
      <c r="J712" s="2">
        <v>703.94</v>
      </c>
      <c r="K712" s="2">
        <v>483.29</v>
      </c>
      <c r="L712" s="3">
        <v>136.1</v>
      </c>
      <c r="M712" s="2">
        <v>8.2200000000000006</v>
      </c>
    </row>
    <row r="713" spans="1:13">
      <c r="A713" s="9">
        <v>44917</v>
      </c>
      <c r="B713" s="1">
        <f t="shared" si="22"/>
        <v>44896</v>
      </c>
      <c r="C713" s="5" t="str">
        <f t="shared" si="23"/>
        <v>2022-12</v>
      </c>
      <c r="D713" s="3">
        <v>380.72</v>
      </c>
      <c r="E713" s="3">
        <v>173.6</v>
      </c>
      <c r="F713" s="3">
        <v>103.68</v>
      </c>
      <c r="G713" s="3">
        <v>166.76</v>
      </c>
      <c r="H713" s="3">
        <v>82.01</v>
      </c>
      <c r="I713" s="2">
        <v>80.489999999999995</v>
      </c>
      <c r="J713" s="2">
        <v>703.33</v>
      </c>
      <c r="K713" s="2">
        <v>479.3</v>
      </c>
      <c r="L713" s="3">
        <v>136.02000000000001</v>
      </c>
      <c r="M713" s="2">
        <v>8.1999999999999993</v>
      </c>
    </row>
    <row r="714" spans="1:13">
      <c r="A714" s="9">
        <v>44916</v>
      </c>
      <c r="B714" s="1">
        <f t="shared" si="22"/>
        <v>44896</v>
      </c>
      <c r="C714" s="5" t="str">
        <f t="shared" si="23"/>
        <v>2022-12</v>
      </c>
      <c r="D714" s="3">
        <v>386.23</v>
      </c>
      <c r="E714" s="3">
        <v>175.9</v>
      </c>
      <c r="F714" s="3">
        <v>103.7</v>
      </c>
      <c r="G714" s="3">
        <v>168.8</v>
      </c>
      <c r="H714" s="3">
        <v>83.52</v>
      </c>
      <c r="I714" s="2">
        <v>81.5</v>
      </c>
      <c r="J714" s="2">
        <v>712.94</v>
      </c>
      <c r="K714" s="2">
        <v>487.65</v>
      </c>
      <c r="L714" s="3">
        <v>136.21</v>
      </c>
      <c r="M714" s="2">
        <v>8.39</v>
      </c>
    </row>
    <row r="715" spans="1:13">
      <c r="A715" s="9">
        <v>44915</v>
      </c>
      <c r="B715" s="1">
        <f t="shared" si="22"/>
        <v>44896</v>
      </c>
      <c r="C715" s="5" t="str">
        <f t="shared" si="23"/>
        <v>2022-12</v>
      </c>
      <c r="D715" s="3">
        <v>380.54</v>
      </c>
      <c r="E715" s="3">
        <v>172.92</v>
      </c>
      <c r="F715" s="3">
        <v>103.44</v>
      </c>
      <c r="G715" s="3">
        <v>169.08</v>
      </c>
      <c r="H715" s="3">
        <v>82.81</v>
      </c>
      <c r="I715" s="2">
        <v>80.94</v>
      </c>
      <c r="J715" s="2">
        <v>691.56</v>
      </c>
      <c r="K715" s="2">
        <v>486.15</v>
      </c>
      <c r="L715" s="3">
        <v>134.44</v>
      </c>
      <c r="M715" s="2">
        <v>8.33</v>
      </c>
    </row>
    <row r="716" spans="1:13">
      <c r="A716" s="9">
        <v>44914</v>
      </c>
      <c r="B716" s="1">
        <f t="shared" si="22"/>
        <v>44896</v>
      </c>
      <c r="C716" s="5" t="str">
        <f t="shared" si="23"/>
        <v>2022-12</v>
      </c>
      <c r="D716" s="3">
        <v>380.02</v>
      </c>
      <c r="E716" s="3">
        <v>172.01</v>
      </c>
      <c r="F716" s="3">
        <v>105.31</v>
      </c>
      <c r="G716" s="3">
        <v>166.32</v>
      </c>
      <c r="H716" s="3">
        <v>83.02</v>
      </c>
      <c r="I716" s="2">
        <v>80.5</v>
      </c>
      <c r="J716" s="2">
        <v>692.47</v>
      </c>
      <c r="K716" s="2">
        <v>481.79</v>
      </c>
      <c r="L716" s="3">
        <v>134.47</v>
      </c>
      <c r="M716" s="2">
        <v>7.83</v>
      </c>
    </row>
    <row r="717" spans="1:13">
      <c r="A717" s="9">
        <v>44911</v>
      </c>
      <c r="B717" s="1">
        <f t="shared" si="22"/>
        <v>44896</v>
      </c>
      <c r="C717" s="5" t="str">
        <f t="shared" si="23"/>
        <v>2022-12</v>
      </c>
      <c r="D717" s="3">
        <v>383.27</v>
      </c>
      <c r="E717" s="3">
        <v>174.37</v>
      </c>
      <c r="F717" s="3">
        <v>107.11</v>
      </c>
      <c r="G717" s="3">
        <v>166.79</v>
      </c>
      <c r="H717" s="3">
        <v>84.09</v>
      </c>
      <c r="I717" s="2">
        <v>79.58</v>
      </c>
      <c r="J717" s="2">
        <v>700.22</v>
      </c>
      <c r="K717" s="2">
        <v>481.79</v>
      </c>
      <c r="L717" s="3">
        <v>135.53</v>
      </c>
      <c r="M717" s="2">
        <v>8.07</v>
      </c>
    </row>
    <row r="718" spans="1:13">
      <c r="A718" s="9">
        <v>44910</v>
      </c>
      <c r="B718" s="1">
        <f t="shared" si="22"/>
        <v>44896</v>
      </c>
      <c r="C718" s="5" t="str">
        <f t="shared" si="23"/>
        <v>2022-12</v>
      </c>
      <c r="D718" s="3">
        <v>389.63</v>
      </c>
      <c r="E718" s="3">
        <v>175.68</v>
      </c>
      <c r="F718" s="3">
        <v>108.32</v>
      </c>
      <c r="G718" s="3">
        <v>165.35</v>
      </c>
      <c r="H718" s="3">
        <v>86.32</v>
      </c>
      <c r="I718" s="2">
        <v>80.069999999999993</v>
      </c>
      <c r="J718" s="2">
        <v>698.18</v>
      </c>
      <c r="K718" s="2">
        <v>478.79</v>
      </c>
      <c r="L718" s="3">
        <v>137.53</v>
      </c>
      <c r="M718" s="2">
        <v>8.06</v>
      </c>
    </row>
    <row r="719" spans="1:13">
      <c r="A719" s="9">
        <v>44909</v>
      </c>
      <c r="B719" s="1">
        <f t="shared" si="22"/>
        <v>44896</v>
      </c>
      <c r="C719" s="5" t="str">
        <f t="shared" si="23"/>
        <v>2022-12</v>
      </c>
      <c r="D719" s="3">
        <v>399.4</v>
      </c>
      <c r="E719" s="3">
        <v>180.19</v>
      </c>
      <c r="F719" s="3">
        <v>108.16</v>
      </c>
      <c r="G719" s="3">
        <v>168.1</v>
      </c>
      <c r="H719" s="3">
        <v>87.49</v>
      </c>
      <c r="I719" s="2">
        <v>81.819999999999993</v>
      </c>
      <c r="J719" s="2">
        <v>711.52</v>
      </c>
      <c r="K719" s="2">
        <v>485.19</v>
      </c>
      <c r="L719" s="3">
        <v>140.1</v>
      </c>
      <c r="M719" s="2">
        <v>9</v>
      </c>
    </row>
    <row r="720" spans="1:13">
      <c r="A720" s="9">
        <v>44908</v>
      </c>
      <c r="B720" s="1">
        <f t="shared" si="22"/>
        <v>44896</v>
      </c>
      <c r="C720" s="5" t="str">
        <f t="shared" si="23"/>
        <v>2022-12</v>
      </c>
      <c r="D720" s="3">
        <v>401.97</v>
      </c>
      <c r="E720" s="3">
        <v>181.38</v>
      </c>
      <c r="F720" s="3">
        <v>107.7</v>
      </c>
      <c r="G720" s="3">
        <v>168.51</v>
      </c>
      <c r="H720" s="3">
        <v>88.09</v>
      </c>
      <c r="I720" s="2">
        <v>80.56</v>
      </c>
      <c r="J720" s="2">
        <v>724.15</v>
      </c>
      <c r="K720" s="2">
        <v>480.22</v>
      </c>
      <c r="L720" s="3">
        <v>139.88</v>
      </c>
      <c r="M720" s="2">
        <v>9</v>
      </c>
    </row>
    <row r="721" spans="1:13">
      <c r="A721" s="9">
        <v>44907</v>
      </c>
      <c r="B721" s="1">
        <f t="shared" si="22"/>
        <v>44896</v>
      </c>
      <c r="C721" s="5" t="str">
        <f t="shared" si="23"/>
        <v>2022-12</v>
      </c>
      <c r="D721" s="3">
        <v>398.95</v>
      </c>
      <c r="E721" s="3">
        <v>180.72</v>
      </c>
      <c r="F721" s="3">
        <v>106.67</v>
      </c>
      <c r="G721" s="3">
        <v>165.68</v>
      </c>
      <c r="H721" s="3">
        <v>86.49</v>
      </c>
      <c r="I721" s="2">
        <v>81.28</v>
      </c>
      <c r="J721" s="2">
        <v>709.23</v>
      </c>
      <c r="K721" s="2">
        <v>486.32</v>
      </c>
      <c r="L721" s="3">
        <v>139.44999999999999</v>
      </c>
      <c r="M721" s="2">
        <v>8.92</v>
      </c>
    </row>
    <row r="722" spans="1:13">
      <c r="A722" s="9">
        <v>44904</v>
      </c>
      <c r="B722" s="1">
        <f t="shared" si="22"/>
        <v>44896</v>
      </c>
      <c r="C722" s="5" t="str">
        <f t="shared" si="23"/>
        <v>2022-12</v>
      </c>
      <c r="D722" s="3">
        <v>393.28</v>
      </c>
      <c r="E722" s="3">
        <v>178.62</v>
      </c>
      <c r="F722" s="3">
        <v>106.33</v>
      </c>
      <c r="G722" s="3">
        <v>167.06</v>
      </c>
      <c r="H722" s="3">
        <v>85.83</v>
      </c>
      <c r="I722" s="2">
        <v>79.86</v>
      </c>
      <c r="J722" s="2">
        <v>706.95</v>
      </c>
      <c r="K722" s="2">
        <v>483.58</v>
      </c>
      <c r="L722" s="3">
        <v>137.97999999999999</v>
      </c>
      <c r="M722" s="2">
        <v>8.4</v>
      </c>
    </row>
    <row r="723" spans="1:13">
      <c r="A723" s="9">
        <v>44903</v>
      </c>
      <c r="B723" s="1">
        <f t="shared" si="22"/>
        <v>44896</v>
      </c>
      <c r="C723" s="5" t="str">
        <f t="shared" si="23"/>
        <v>2022-12</v>
      </c>
      <c r="D723" s="3">
        <v>396.24</v>
      </c>
      <c r="E723" s="3">
        <v>180.84</v>
      </c>
      <c r="F723" s="3">
        <v>109.17</v>
      </c>
      <c r="G723" s="3">
        <v>166.47</v>
      </c>
      <c r="H723" s="3">
        <v>85.99</v>
      </c>
      <c r="I723" s="2">
        <v>80.069999999999993</v>
      </c>
      <c r="J723" s="2">
        <v>703.44</v>
      </c>
      <c r="K723" s="2">
        <v>485.38</v>
      </c>
      <c r="L723" s="3">
        <v>139.77000000000001</v>
      </c>
      <c r="M723" s="2">
        <v>8.56</v>
      </c>
    </row>
    <row r="724" spans="1:13">
      <c r="A724" s="9">
        <v>44902</v>
      </c>
      <c r="B724" s="1">
        <f t="shared" si="22"/>
        <v>44896</v>
      </c>
      <c r="C724" s="5" t="str">
        <f t="shared" si="23"/>
        <v>2022-12</v>
      </c>
      <c r="D724" s="3">
        <v>393.16</v>
      </c>
      <c r="E724" s="3">
        <v>179.54</v>
      </c>
      <c r="F724" s="3">
        <v>109.47</v>
      </c>
      <c r="G724" s="3">
        <v>166.33</v>
      </c>
      <c r="H724" s="3">
        <v>85.39</v>
      </c>
      <c r="I724" s="2">
        <v>78.78</v>
      </c>
      <c r="J724" s="2">
        <v>709.16</v>
      </c>
      <c r="K724" s="2">
        <v>481.2</v>
      </c>
      <c r="L724" s="3">
        <v>138.52000000000001</v>
      </c>
      <c r="M724" s="2">
        <v>8.61</v>
      </c>
    </row>
    <row r="725" spans="1:13">
      <c r="A725" s="9">
        <v>44901</v>
      </c>
      <c r="B725" s="1">
        <f t="shared" si="22"/>
        <v>44896</v>
      </c>
      <c r="C725" s="5" t="str">
        <f t="shared" si="23"/>
        <v>2022-12</v>
      </c>
      <c r="D725" s="3">
        <v>393.83</v>
      </c>
      <c r="E725" s="3">
        <v>180.07</v>
      </c>
      <c r="F725" s="3">
        <v>106.95</v>
      </c>
      <c r="G725" s="3">
        <v>164.84</v>
      </c>
      <c r="H725" s="3">
        <v>85.22</v>
      </c>
      <c r="I725" s="2">
        <v>78.91</v>
      </c>
      <c r="J725" s="2">
        <v>710.29</v>
      </c>
      <c r="K725" s="2">
        <v>484</v>
      </c>
      <c r="L725" s="3">
        <v>137.38999999999999</v>
      </c>
      <c r="M725" s="2">
        <v>8.6300000000000008</v>
      </c>
    </row>
    <row r="726" spans="1:13">
      <c r="A726" s="9">
        <v>44900</v>
      </c>
      <c r="B726" s="1">
        <f t="shared" si="22"/>
        <v>44896</v>
      </c>
      <c r="C726" s="5" t="str">
        <f t="shared" si="23"/>
        <v>2022-12</v>
      </c>
      <c r="D726" s="3">
        <v>399.59</v>
      </c>
      <c r="E726" s="3">
        <v>182.87</v>
      </c>
      <c r="F726" s="3">
        <v>105.59</v>
      </c>
      <c r="G726" s="3">
        <v>164.39</v>
      </c>
      <c r="H726" s="3">
        <v>86.03</v>
      </c>
      <c r="I726" s="2">
        <v>79.430000000000007</v>
      </c>
      <c r="J726" s="2">
        <v>712.76</v>
      </c>
      <c r="K726" s="2">
        <v>490.67</v>
      </c>
      <c r="L726" s="3">
        <v>138.44</v>
      </c>
      <c r="M726" s="2">
        <v>8.33</v>
      </c>
    </row>
    <row r="727" spans="1:13">
      <c r="A727" s="9">
        <v>44897</v>
      </c>
      <c r="B727" s="1">
        <f t="shared" si="22"/>
        <v>44896</v>
      </c>
      <c r="C727" s="5" t="str">
        <f t="shared" si="23"/>
        <v>2022-12</v>
      </c>
      <c r="D727" s="3">
        <v>406.91</v>
      </c>
      <c r="E727" s="3">
        <v>188.05</v>
      </c>
      <c r="F727" s="3">
        <v>107.09</v>
      </c>
      <c r="G727" s="3">
        <v>167.26</v>
      </c>
      <c r="H727" s="3">
        <v>87.63</v>
      </c>
      <c r="I727" s="2">
        <v>83.35</v>
      </c>
      <c r="J727" s="2">
        <v>712.98</v>
      </c>
      <c r="K727" s="2">
        <v>496.23</v>
      </c>
      <c r="L727" s="3">
        <v>139.78</v>
      </c>
      <c r="M727" s="2">
        <v>8.67</v>
      </c>
    </row>
    <row r="728" spans="1:13">
      <c r="A728" s="9">
        <v>44896</v>
      </c>
      <c r="B728" s="1">
        <f t="shared" si="22"/>
        <v>44896</v>
      </c>
      <c r="C728" s="5" t="str">
        <f t="shared" si="23"/>
        <v>2022-12</v>
      </c>
      <c r="D728" s="3">
        <v>407.38</v>
      </c>
      <c r="E728" s="3">
        <v>186.96</v>
      </c>
      <c r="F728" s="3">
        <v>105.76</v>
      </c>
      <c r="G728" s="3">
        <v>167.84</v>
      </c>
      <c r="H728" s="3">
        <v>87.89</v>
      </c>
      <c r="I728" s="2">
        <v>84.11</v>
      </c>
      <c r="J728" s="2">
        <v>722.18</v>
      </c>
      <c r="K728" s="2">
        <v>483.69</v>
      </c>
      <c r="L728" s="3">
        <v>139.41999999999999</v>
      </c>
      <c r="M728" s="2">
        <v>9.0500000000000007</v>
      </c>
    </row>
    <row r="729" spans="1:13">
      <c r="A729" s="9">
        <v>44895</v>
      </c>
      <c r="B729" s="1">
        <f t="shared" si="22"/>
        <v>44866</v>
      </c>
      <c r="C729" s="5" t="str">
        <f t="shared" si="23"/>
        <v>2022-11</v>
      </c>
      <c r="D729" s="3">
        <v>407.68</v>
      </c>
      <c r="E729" s="3">
        <v>187.37</v>
      </c>
      <c r="F729" s="3">
        <v>102.73</v>
      </c>
      <c r="G729" s="3">
        <v>164.81</v>
      </c>
      <c r="H729" s="3">
        <v>88.08</v>
      </c>
      <c r="I729" s="2">
        <v>83.03</v>
      </c>
      <c r="J729" s="2">
        <v>716</v>
      </c>
      <c r="K729" s="2">
        <v>485.19</v>
      </c>
      <c r="L729" s="3">
        <v>139.02000000000001</v>
      </c>
      <c r="M729" s="2">
        <v>9.02</v>
      </c>
    </row>
    <row r="730" spans="1:13">
      <c r="A730" s="9">
        <v>44894</v>
      </c>
      <c r="B730" s="1">
        <f t="shared" si="22"/>
        <v>44866</v>
      </c>
      <c r="C730" s="5" t="str">
        <f t="shared" si="23"/>
        <v>2022-11</v>
      </c>
      <c r="D730" s="3">
        <v>395.23</v>
      </c>
      <c r="E730" s="3">
        <v>182.37</v>
      </c>
      <c r="F730" s="3">
        <v>101.98</v>
      </c>
      <c r="G730" s="3">
        <v>162.72999999999999</v>
      </c>
      <c r="H730" s="3">
        <v>86.11</v>
      </c>
      <c r="I730" s="2">
        <v>80.849999999999994</v>
      </c>
      <c r="J730" s="2">
        <v>714</v>
      </c>
      <c r="K730" s="2">
        <v>484.1</v>
      </c>
      <c r="L730" s="3">
        <v>135.78</v>
      </c>
      <c r="M730" s="2">
        <v>9.15</v>
      </c>
    </row>
    <row r="731" spans="1:13">
      <c r="A731" s="9">
        <v>44893</v>
      </c>
      <c r="B731" s="1">
        <f t="shared" si="22"/>
        <v>44866</v>
      </c>
      <c r="C731" s="5" t="str">
        <f t="shared" si="23"/>
        <v>2022-11</v>
      </c>
      <c r="D731" s="3">
        <v>395.91</v>
      </c>
      <c r="E731" s="3">
        <v>181.84</v>
      </c>
      <c r="F731" s="3">
        <v>103.19</v>
      </c>
      <c r="G731" s="3">
        <v>161.93</v>
      </c>
      <c r="H731" s="3">
        <v>84.71</v>
      </c>
      <c r="I731" s="2">
        <v>81.39</v>
      </c>
      <c r="J731" s="2">
        <v>721.17</v>
      </c>
      <c r="K731" s="2">
        <v>483.21</v>
      </c>
      <c r="L731" s="3">
        <v>136.12</v>
      </c>
      <c r="M731" s="2">
        <v>9.25</v>
      </c>
    </row>
    <row r="732" spans="1:13">
      <c r="A732" s="9">
        <v>44890</v>
      </c>
      <c r="B732" s="1">
        <f t="shared" si="22"/>
        <v>44866</v>
      </c>
      <c r="C732" s="5" t="str">
        <f t="shared" si="23"/>
        <v>2022-11</v>
      </c>
      <c r="D732" s="3">
        <v>402.33</v>
      </c>
      <c r="E732" s="3">
        <v>185.58</v>
      </c>
      <c r="F732" s="3">
        <v>102.9</v>
      </c>
      <c r="G732" s="3">
        <v>163.22</v>
      </c>
      <c r="H732" s="3">
        <v>87.04</v>
      </c>
      <c r="I732" s="2">
        <v>82.72</v>
      </c>
      <c r="J732" s="2">
        <v>737.78</v>
      </c>
      <c r="K732" s="2">
        <v>483.46</v>
      </c>
      <c r="L732" s="3">
        <v>137.15</v>
      </c>
      <c r="M732" s="2">
        <v>9.39</v>
      </c>
    </row>
    <row r="733" spans="1:13">
      <c r="A733" s="9">
        <v>44888</v>
      </c>
      <c r="B733" s="1">
        <f t="shared" si="22"/>
        <v>44866</v>
      </c>
      <c r="C733" s="5" t="str">
        <f t="shared" si="23"/>
        <v>2022-11</v>
      </c>
      <c r="D733" s="3">
        <v>402.42</v>
      </c>
      <c r="E733" s="3">
        <v>185.19</v>
      </c>
      <c r="F733" s="3">
        <v>103.25</v>
      </c>
      <c r="G733" s="3">
        <v>163.08000000000001</v>
      </c>
      <c r="H733" s="3">
        <v>86.49</v>
      </c>
      <c r="I733" s="2">
        <v>82.56</v>
      </c>
      <c r="J733" s="2">
        <v>736.32</v>
      </c>
      <c r="K733" s="2">
        <v>481.07</v>
      </c>
      <c r="L733" s="3">
        <v>136.34</v>
      </c>
      <c r="M733" s="2">
        <v>9.1199999999999992</v>
      </c>
    </row>
    <row r="734" spans="1:13">
      <c r="A734" s="9">
        <v>44887</v>
      </c>
      <c r="B734" s="1">
        <f t="shared" si="22"/>
        <v>44866</v>
      </c>
      <c r="C734" s="5" t="str">
        <f t="shared" si="23"/>
        <v>2022-11</v>
      </c>
      <c r="D734" s="3">
        <v>399.9</v>
      </c>
      <c r="E734" s="3">
        <v>184.71</v>
      </c>
      <c r="F734" s="3">
        <v>101.48</v>
      </c>
      <c r="G734" s="3">
        <v>162.07</v>
      </c>
      <c r="H734" s="3">
        <v>86.42</v>
      </c>
      <c r="I734" s="2">
        <v>82.12</v>
      </c>
      <c r="J734" s="2">
        <v>733.45</v>
      </c>
      <c r="K734" s="2">
        <v>479.5</v>
      </c>
      <c r="L734" s="3">
        <v>135.80000000000001</v>
      </c>
      <c r="M734" s="2">
        <v>8.77</v>
      </c>
    </row>
    <row r="735" spans="1:13">
      <c r="A735" s="9">
        <v>44886</v>
      </c>
      <c r="B735" s="1">
        <f t="shared" si="22"/>
        <v>44866</v>
      </c>
      <c r="C735" s="5" t="str">
        <f t="shared" si="23"/>
        <v>2022-11</v>
      </c>
      <c r="D735" s="3">
        <v>394.59</v>
      </c>
      <c r="E735" s="3">
        <v>182.76</v>
      </c>
      <c r="F735" s="3">
        <v>100.06</v>
      </c>
      <c r="G735" s="3">
        <v>161.88</v>
      </c>
      <c r="H735" s="3">
        <v>85.95</v>
      </c>
      <c r="I735" s="2">
        <v>79.819999999999993</v>
      </c>
      <c r="J735" s="2">
        <v>723.7</v>
      </c>
      <c r="K735" s="2">
        <v>480.94</v>
      </c>
      <c r="L735" s="3">
        <v>134.63</v>
      </c>
      <c r="M735" s="2">
        <v>8.39</v>
      </c>
    </row>
    <row r="736" spans="1:13">
      <c r="A736" s="9">
        <v>44883</v>
      </c>
      <c r="B736" s="1">
        <f t="shared" si="22"/>
        <v>44866</v>
      </c>
      <c r="C736" s="5" t="str">
        <f t="shared" si="23"/>
        <v>2022-11</v>
      </c>
      <c r="D736" s="3">
        <v>396.03</v>
      </c>
      <c r="E736" s="3">
        <v>183.72</v>
      </c>
      <c r="F736" s="3">
        <v>99.64</v>
      </c>
      <c r="G736" s="3">
        <v>162.79</v>
      </c>
      <c r="H736" s="3">
        <v>85.5</v>
      </c>
      <c r="I736" s="2">
        <v>79.73</v>
      </c>
      <c r="J736" s="2">
        <v>720.61</v>
      </c>
      <c r="K736" s="2">
        <v>476.82</v>
      </c>
      <c r="L736" s="3">
        <v>134.57</v>
      </c>
      <c r="M736" s="2">
        <v>8.65</v>
      </c>
    </row>
    <row r="737" spans="1:13">
      <c r="A737" s="9">
        <v>44882</v>
      </c>
      <c r="B737" s="1">
        <f t="shared" si="22"/>
        <v>44866</v>
      </c>
      <c r="C737" s="5" t="str">
        <f t="shared" si="23"/>
        <v>2022-11</v>
      </c>
      <c r="D737" s="3">
        <v>394.24</v>
      </c>
      <c r="E737" s="3">
        <v>182.54</v>
      </c>
      <c r="F737" s="3">
        <v>100.33</v>
      </c>
      <c r="G737" s="3">
        <v>163.92</v>
      </c>
      <c r="H737" s="3">
        <v>84.43</v>
      </c>
      <c r="I737" s="2">
        <v>79.2</v>
      </c>
      <c r="J737" s="2">
        <v>721.31</v>
      </c>
      <c r="K737" s="2">
        <v>472.77</v>
      </c>
      <c r="L737" s="3">
        <v>132.96</v>
      </c>
      <c r="M737" s="2">
        <v>8.6999999999999993</v>
      </c>
    </row>
    <row r="738" spans="1:13">
      <c r="A738" s="9">
        <v>44881</v>
      </c>
      <c r="B738" s="1">
        <f t="shared" si="22"/>
        <v>44866</v>
      </c>
      <c r="C738" s="5" t="str">
        <f t="shared" si="23"/>
        <v>2022-11</v>
      </c>
      <c r="D738" s="3">
        <v>395.45</v>
      </c>
      <c r="E738" s="3">
        <v>184.25</v>
      </c>
      <c r="F738" s="3">
        <v>101.4</v>
      </c>
      <c r="G738" s="3">
        <v>165.12</v>
      </c>
      <c r="H738" s="3">
        <v>85.01</v>
      </c>
      <c r="I738" s="2">
        <v>79.89</v>
      </c>
      <c r="J738" s="2">
        <v>727.03</v>
      </c>
      <c r="K738" s="2">
        <v>466.24</v>
      </c>
      <c r="L738" s="3">
        <v>133.02000000000001</v>
      </c>
      <c r="M738" s="2">
        <v>8.2200000000000006</v>
      </c>
    </row>
    <row r="739" spans="1:13">
      <c r="A739" s="9">
        <v>44880</v>
      </c>
      <c r="B739" s="1">
        <f t="shared" si="22"/>
        <v>44866</v>
      </c>
      <c r="C739" s="5" t="str">
        <f t="shared" si="23"/>
        <v>2022-11</v>
      </c>
      <c r="D739" s="3">
        <v>398.49</v>
      </c>
      <c r="E739" s="3">
        <v>187.55</v>
      </c>
      <c r="F739" s="3">
        <v>99.23</v>
      </c>
      <c r="G739" s="3">
        <v>165.5</v>
      </c>
      <c r="H739" s="3">
        <v>85.79</v>
      </c>
      <c r="I739" s="2">
        <v>79.180000000000007</v>
      </c>
      <c r="J739" s="2">
        <v>740.31</v>
      </c>
      <c r="K739" s="2">
        <v>467.25</v>
      </c>
      <c r="L739" s="3">
        <v>133.08000000000001</v>
      </c>
      <c r="M739" s="2">
        <v>8.69</v>
      </c>
    </row>
    <row r="740" spans="1:13">
      <c r="A740" s="9">
        <v>44879</v>
      </c>
      <c r="B740" s="1">
        <f t="shared" si="22"/>
        <v>44866</v>
      </c>
      <c r="C740" s="5" t="str">
        <f t="shared" si="23"/>
        <v>2022-11</v>
      </c>
      <c r="D740" s="3">
        <v>395.12</v>
      </c>
      <c r="E740" s="3">
        <v>184.81</v>
      </c>
      <c r="F740" s="3">
        <v>97.65</v>
      </c>
      <c r="G740" s="3">
        <v>164.92</v>
      </c>
      <c r="H740" s="3">
        <v>84.87</v>
      </c>
      <c r="I740" s="2">
        <v>78.53</v>
      </c>
      <c r="J740" s="2">
        <v>741.15</v>
      </c>
      <c r="K740" s="2">
        <v>462.04</v>
      </c>
      <c r="L740" s="3">
        <v>133.25</v>
      </c>
      <c r="M740" s="2">
        <v>8.19</v>
      </c>
    </row>
    <row r="741" spans="1:13">
      <c r="A741" s="9">
        <v>44876</v>
      </c>
      <c r="B741" s="1">
        <f t="shared" si="22"/>
        <v>44866</v>
      </c>
      <c r="C741" s="5" t="str">
        <f t="shared" si="23"/>
        <v>2022-11</v>
      </c>
      <c r="D741" s="3">
        <v>398.51</v>
      </c>
      <c r="E741" s="3">
        <v>186.9</v>
      </c>
      <c r="F741" s="3">
        <v>97.89</v>
      </c>
      <c r="G741" s="3">
        <v>164.56</v>
      </c>
      <c r="H741" s="3">
        <v>86.99</v>
      </c>
      <c r="I741" s="2">
        <v>77.739999999999995</v>
      </c>
      <c r="J741" s="2">
        <v>774.75</v>
      </c>
      <c r="K741" s="2">
        <v>463.86</v>
      </c>
      <c r="L741" s="3">
        <v>133.13</v>
      </c>
      <c r="M741" s="2">
        <v>8.35</v>
      </c>
    </row>
    <row r="742" spans="1:13">
      <c r="A742" s="9">
        <v>44875</v>
      </c>
      <c r="B742" s="1">
        <f t="shared" si="22"/>
        <v>44866</v>
      </c>
      <c r="C742" s="5" t="str">
        <f t="shared" si="23"/>
        <v>2022-11</v>
      </c>
      <c r="D742" s="3">
        <v>394.69</v>
      </c>
      <c r="E742" s="3">
        <v>185.38</v>
      </c>
      <c r="F742" s="3">
        <v>98.25</v>
      </c>
      <c r="G742" s="3">
        <v>163.47999999999999</v>
      </c>
      <c r="H742" s="3">
        <v>87</v>
      </c>
      <c r="I742" s="2">
        <v>77.17</v>
      </c>
      <c r="J742" s="2">
        <v>759.81</v>
      </c>
      <c r="K742" s="2">
        <v>490.77</v>
      </c>
      <c r="L742" s="3">
        <v>134.78</v>
      </c>
      <c r="M742" s="2">
        <v>8.07</v>
      </c>
    </row>
    <row r="743" spans="1:13">
      <c r="A743" s="9">
        <v>44874</v>
      </c>
      <c r="B743" s="1">
        <f t="shared" si="22"/>
        <v>44866</v>
      </c>
      <c r="C743" s="5" t="str">
        <f t="shared" si="23"/>
        <v>2022-11</v>
      </c>
      <c r="D743" s="3">
        <v>374.13</v>
      </c>
      <c r="E743" s="3">
        <v>174.63</v>
      </c>
      <c r="F743" s="3">
        <v>94.61</v>
      </c>
      <c r="G743" s="3">
        <v>158.65</v>
      </c>
      <c r="H743" s="3">
        <v>81.069999999999993</v>
      </c>
      <c r="I743" s="2">
        <v>75.66</v>
      </c>
      <c r="J743" s="2">
        <v>669.62</v>
      </c>
      <c r="K743" s="2">
        <v>485.18</v>
      </c>
      <c r="L743" s="3">
        <v>131.44</v>
      </c>
      <c r="M743" s="2">
        <v>7.65</v>
      </c>
    </row>
    <row r="744" spans="1:13">
      <c r="A744" s="9">
        <v>44873</v>
      </c>
      <c r="B744" s="1">
        <f t="shared" si="22"/>
        <v>44866</v>
      </c>
      <c r="C744" s="5" t="str">
        <f t="shared" si="23"/>
        <v>2022-11</v>
      </c>
      <c r="D744" s="3">
        <v>382</v>
      </c>
      <c r="E744" s="3">
        <v>179.56</v>
      </c>
      <c r="F744" s="3">
        <v>94.3</v>
      </c>
      <c r="G744" s="3">
        <v>159.44999999999999</v>
      </c>
      <c r="H744" s="3">
        <v>81.91</v>
      </c>
      <c r="I744" s="2">
        <v>75.64</v>
      </c>
      <c r="J744" s="2">
        <v>686.33</v>
      </c>
      <c r="K744" s="2">
        <v>494.12</v>
      </c>
      <c r="L744" s="3">
        <v>132.87</v>
      </c>
      <c r="M744" s="2">
        <v>7.83</v>
      </c>
    </row>
    <row r="745" spans="1:13">
      <c r="A745" s="9">
        <v>44872</v>
      </c>
      <c r="B745" s="1">
        <f t="shared" si="22"/>
        <v>44866</v>
      </c>
      <c r="C745" s="5" t="str">
        <f t="shared" si="23"/>
        <v>2022-11</v>
      </c>
      <c r="D745" s="3">
        <v>379.95</v>
      </c>
      <c r="E745" s="3">
        <v>179.49</v>
      </c>
      <c r="F745" s="3">
        <v>93.28</v>
      </c>
      <c r="G745" s="3">
        <v>155.85</v>
      </c>
      <c r="H745" s="3">
        <v>81.66</v>
      </c>
      <c r="I745" s="2">
        <v>76.739999999999995</v>
      </c>
      <c r="J745" s="2">
        <v>676.3</v>
      </c>
      <c r="K745" s="2">
        <v>488.63</v>
      </c>
      <c r="L745" s="3">
        <v>132.21</v>
      </c>
      <c r="M745" s="2">
        <v>7.72</v>
      </c>
    </row>
    <row r="746" spans="1:13">
      <c r="A746" s="9">
        <v>44869</v>
      </c>
      <c r="B746" s="1">
        <f t="shared" si="22"/>
        <v>44866</v>
      </c>
      <c r="C746" s="5" t="str">
        <f t="shared" si="23"/>
        <v>2022-11</v>
      </c>
      <c r="D746" s="3">
        <v>376.35</v>
      </c>
      <c r="E746" s="3">
        <v>178.68</v>
      </c>
      <c r="F746" s="3">
        <v>94.22</v>
      </c>
      <c r="G746" s="3">
        <v>156.47</v>
      </c>
      <c r="H746" s="3">
        <v>81.66</v>
      </c>
      <c r="I746" s="2">
        <v>76</v>
      </c>
      <c r="J746" s="2">
        <v>656.15</v>
      </c>
      <c r="K746" s="2">
        <v>481.67</v>
      </c>
      <c r="L746" s="3">
        <v>130.81</v>
      </c>
      <c r="M746" s="2">
        <v>7.66</v>
      </c>
    </row>
    <row r="747" spans="1:13">
      <c r="A747" s="9">
        <v>44868</v>
      </c>
      <c r="B747" s="1">
        <f t="shared" si="22"/>
        <v>44866</v>
      </c>
      <c r="C747" s="5" t="str">
        <f t="shared" si="23"/>
        <v>2022-11</v>
      </c>
      <c r="D747" s="3">
        <v>371.01</v>
      </c>
      <c r="E747" s="3">
        <v>176.3</v>
      </c>
      <c r="F747" s="3">
        <v>95.83</v>
      </c>
      <c r="G747" s="3">
        <v>151.81</v>
      </c>
      <c r="H747" s="3">
        <v>80.56</v>
      </c>
      <c r="I747" s="2">
        <v>75.03</v>
      </c>
      <c r="J747" s="2">
        <v>633.80999999999995</v>
      </c>
      <c r="K747" s="2">
        <v>484.82</v>
      </c>
      <c r="L747" s="3">
        <v>130.02000000000001</v>
      </c>
      <c r="M747" s="2">
        <v>7.97</v>
      </c>
    </row>
    <row r="748" spans="1:13">
      <c r="A748" s="9">
        <v>44867</v>
      </c>
      <c r="B748" s="1">
        <f t="shared" si="22"/>
        <v>44866</v>
      </c>
      <c r="C748" s="5" t="str">
        <f t="shared" si="23"/>
        <v>2022-11</v>
      </c>
      <c r="D748" s="3">
        <v>374.87</v>
      </c>
      <c r="E748" s="3">
        <v>177.49</v>
      </c>
      <c r="F748" s="3">
        <v>96.35</v>
      </c>
      <c r="G748" s="3">
        <v>152.38999999999999</v>
      </c>
      <c r="H748" s="3">
        <v>80.67</v>
      </c>
      <c r="I748" s="2">
        <v>75.12</v>
      </c>
      <c r="J748" s="2">
        <v>638.80999999999995</v>
      </c>
      <c r="K748" s="2">
        <v>482.06</v>
      </c>
      <c r="L748" s="3">
        <v>130.57</v>
      </c>
      <c r="M748" s="2">
        <v>8.08</v>
      </c>
    </row>
    <row r="749" spans="1:13">
      <c r="A749" s="9">
        <v>44866</v>
      </c>
      <c r="B749" s="1">
        <f t="shared" si="22"/>
        <v>44866</v>
      </c>
      <c r="C749" s="5" t="str">
        <f t="shared" si="23"/>
        <v>2022-11</v>
      </c>
      <c r="D749" s="3">
        <v>384.52</v>
      </c>
      <c r="E749" s="3">
        <v>183.58</v>
      </c>
      <c r="F749" s="3">
        <v>96.77</v>
      </c>
      <c r="G749" s="3">
        <v>153.46</v>
      </c>
      <c r="H749" s="3">
        <v>82.95</v>
      </c>
      <c r="I749" s="2">
        <v>77.11</v>
      </c>
      <c r="J749" s="2">
        <v>652</v>
      </c>
      <c r="K749" s="2">
        <v>485.63</v>
      </c>
      <c r="L749" s="3">
        <v>132.83000000000001</v>
      </c>
      <c r="M749" s="2">
        <v>7.19</v>
      </c>
    </row>
    <row r="750" spans="1:13">
      <c r="A750" s="9">
        <v>44865</v>
      </c>
      <c r="B750" s="1">
        <f t="shared" si="22"/>
        <v>44835</v>
      </c>
      <c r="C750" s="5" t="str">
        <f t="shared" si="23"/>
        <v>2022-10</v>
      </c>
      <c r="D750" s="3">
        <v>386.21</v>
      </c>
      <c r="E750" s="3">
        <v>183.33</v>
      </c>
      <c r="F750" s="3">
        <v>96.11</v>
      </c>
      <c r="G750" s="3">
        <v>151.91</v>
      </c>
      <c r="H750" s="3">
        <v>82.98</v>
      </c>
      <c r="I750" s="2">
        <v>78.069999999999993</v>
      </c>
      <c r="J750" s="2">
        <v>645.91</v>
      </c>
      <c r="K750" s="2">
        <v>486.68</v>
      </c>
      <c r="L750" s="3">
        <v>132.75</v>
      </c>
      <c r="M750" s="2">
        <v>6.96</v>
      </c>
    </row>
    <row r="751" spans="1:13">
      <c r="A751" s="9">
        <v>44862</v>
      </c>
      <c r="B751" s="1">
        <f t="shared" si="22"/>
        <v>44835</v>
      </c>
      <c r="C751" s="5" t="str">
        <f t="shared" si="23"/>
        <v>2022-10</v>
      </c>
      <c r="D751" s="3">
        <v>389.02</v>
      </c>
      <c r="E751" s="3">
        <v>183.16</v>
      </c>
      <c r="F751" s="3">
        <v>96.8</v>
      </c>
      <c r="G751" s="3">
        <v>153.16</v>
      </c>
      <c r="H751" s="3">
        <v>83.07</v>
      </c>
      <c r="I751" s="2">
        <v>77.36</v>
      </c>
      <c r="J751" s="2">
        <v>663.75</v>
      </c>
      <c r="K751" s="2">
        <v>484.87</v>
      </c>
      <c r="L751" s="3">
        <v>132.86000000000001</v>
      </c>
      <c r="M751" s="2">
        <v>6.87</v>
      </c>
    </row>
    <row r="752" spans="1:13">
      <c r="A752" s="9">
        <v>44861</v>
      </c>
      <c r="B752" s="1">
        <f t="shared" si="22"/>
        <v>44835</v>
      </c>
      <c r="C752" s="5" t="str">
        <f t="shared" si="23"/>
        <v>2022-10</v>
      </c>
      <c r="D752" s="3">
        <v>379.98</v>
      </c>
      <c r="E752" s="3">
        <v>179.09</v>
      </c>
      <c r="F752" s="3">
        <v>97.47</v>
      </c>
      <c r="G752" s="3">
        <v>154.74</v>
      </c>
      <c r="H752" s="3">
        <v>81.28</v>
      </c>
      <c r="I752" s="2">
        <v>75.150000000000006</v>
      </c>
      <c r="J752" s="2">
        <v>648.98</v>
      </c>
      <c r="K752" s="2">
        <v>471.93</v>
      </c>
      <c r="L752" s="3">
        <v>130.71</v>
      </c>
      <c r="M752" s="2">
        <v>6.68</v>
      </c>
    </row>
    <row r="753" spans="1:13">
      <c r="A753" s="9">
        <v>44860</v>
      </c>
      <c r="B753" s="1">
        <f t="shared" si="22"/>
        <v>44835</v>
      </c>
      <c r="C753" s="5" t="str">
        <f t="shared" si="23"/>
        <v>2022-10</v>
      </c>
      <c r="D753" s="3">
        <v>382.02</v>
      </c>
      <c r="E753" s="3">
        <v>179.05</v>
      </c>
      <c r="F753" s="3">
        <v>96.46</v>
      </c>
      <c r="G753" s="3">
        <v>154.97999999999999</v>
      </c>
      <c r="H753" s="3">
        <v>81.16</v>
      </c>
      <c r="I753" s="2">
        <v>74.819999999999993</v>
      </c>
      <c r="J753" s="2">
        <v>637.79999999999995</v>
      </c>
      <c r="K753" s="2">
        <v>462.56</v>
      </c>
      <c r="L753" s="3">
        <v>131.4</v>
      </c>
      <c r="M753" s="2">
        <v>6.57</v>
      </c>
    </row>
    <row r="754" spans="1:13">
      <c r="A754" s="9">
        <v>44859</v>
      </c>
      <c r="B754" s="1">
        <f t="shared" si="22"/>
        <v>44835</v>
      </c>
      <c r="C754" s="5" t="str">
        <f t="shared" si="23"/>
        <v>2022-10</v>
      </c>
      <c r="D754" s="3">
        <v>384.92</v>
      </c>
      <c r="E754" s="3">
        <v>178.17</v>
      </c>
      <c r="F754" s="3">
        <v>95.09</v>
      </c>
      <c r="G754" s="3">
        <v>154</v>
      </c>
      <c r="H754" s="3">
        <v>81.209999999999994</v>
      </c>
      <c r="I754" s="2">
        <v>73.14</v>
      </c>
      <c r="J754" s="2">
        <v>635.94000000000005</v>
      </c>
      <c r="K754" s="2">
        <v>460.15</v>
      </c>
      <c r="L754" s="3">
        <v>129.96</v>
      </c>
      <c r="M754" s="2">
        <v>6.7</v>
      </c>
    </row>
    <row r="755" spans="1:13">
      <c r="A755" s="9">
        <v>44858</v>
      </c>
      <c r="B755" s="1">
        <f t="shared" si="22"/>
        <v>44835</v>
      </c>
      <c r="C755" s="5" t="str">
        <f t="shared" si="23"/>
        <v>2022-10</v>
      </c>
      <c r="D755" s="3">
        <v>378.87</v>
      </c>
      <c r="E755" s="3">
        <v>173.44</v>
      </c>
      <c r="F755" s="3">
        <v>92.4</v>
      </c>
      <c r="G755" s="3">
        <v>153.65</v>
      </c>
      <c r="H755" s="3">
        <v>78.14</v>
      </c>
      <c r="I755" s="2">
        <v>72.92</v>
      </c>
      <c r="J755" s="2">
        <v>611.44000000000005</v>
      </c>
      <c r="K755" s="2">
        <v>457.46</v>
      </c>
      <c r="L755" s="3">
        <v>128.97999999999999</v>
      </c>
      <c r="M755" s="2">
        <v>6.3</v>
      </c>
    </row>
    <row r="756" spans="1:13">
      <c r="A756" s="9">
        <v>44855</v>
      </c>
      <c r="B756" s="1">
        <f t="shared" si="22"/>
        <v>44835</v>
      </c>
      <c r="C756" s="5" t="str">
        <f t="shared" si="23"/>
        <v>2022-10</v>
      </c>
      <c r="D756" s="3">
        <v>374.29</v>
      </c>
      <c r="E756" s="3">
        <v>172.7</v>
      </c>
      <c r="F756" s="3">
        <v>93.17</v>
      </c>
      <c r="G756" s="3">
        <v>154.15</v>
      </c>
      <c r="H756" s="3">
        <v>78.150000000000006</v>
      </c>
      <c r="I756" s="2">
        <v>72.7</v>
      </c>
      <c r="J756" s="2">
        <v>597.26</v>
      </c>
      <c r="K756" s="2">
        <v>454.61</v>
      </c>
      <c r="L756" s="3">
        <v>126.54</v>
      </c>
      <c r="M756" s="2">
        <v>6.45</v>
      </c>
    </row>
    <row r="757" spans="1:13">
      <c r="A757" s="9">
        <v>44854</v>
      </c>
      <c r="B757" s="1">
        <f t="shared" si="22"/>
        <v>44835</v>
      </c>
      <c r="C757" s="5" t="str">
        <f t="shared" si="23"/>
        <v>2022-10</v>
      </c>
      <c r="D757" s="3">
        <v>365.41</v>
      </c>
      <c r="E757" s="3">
        <v>169.03</v>
      </c>
      <c r="F757" s="3">
        <v>94.88</v>
      </c>
      <c r="G757" s="3">
        <v>151.44999999999999</v>
      </c>
      <c r="H757" s="3">
        <v>77.540000000000006</v>
      </c>
      <c r="I757" s="2">
        <v>69.25</v>
      </c>
      <c r="J757" s="2">
        <v>572.36</v>
      </c>
      <c r="K757" s="2">
        <v>444.34</v>
      </c>
      <c r="L757" s="3">
        <v>123.76</v>
      </c>
      <c r="M757" s="2">
        <v>6.13</v>
      </c>
    </row>
    <row r="758" spans="1:13">
      <c r="A758" s="9">
        <v>44853</v>
      </c>
      <c r="B758" s="1">
        <f t="shared" si="22"/>
        <v>44835</v>
      </c>
      <c r="C758" s="5" t="str">
        <f t="shared" si="23"/>
        <v>2022-10</v>
      </c>
      <c r="D758" s="3">
        <v>368.5</v>
      </c>
      <c r="E758" s="3">
        <v>171.21</v>
      </c>
      <c r="F758" s="3">
        <v>96.53</v>
      </c>
      <c r="G758" s="3">
        <v>151.69</v>
      </c>
      <c r="H758" s="3">
        <v>77.88</v>
      </c>
      <c r="I758" s="2">
        <v>66.3</v>
      </c>
      <c r="J758" s="2">
        <v>577.9</v>
      </c>
      <c r="K758" s="2">
        <v>439.96</v>
      </c>
      <c r="L758" s="3">
        <v>124.82</v>
      </c>
      <c r="M758" s="2">
        <v>5.56</v>
      </c>
    </row>
    <row r="759" spans="1:13">
      <c r="A759" s="9">
        <v>44852</v>
      </c>
      <c r="B759" s="1">
        <f t="shared" si="22"/>
        <v>44835</v>
      </c>
      <c r="C759" s="5" t="str">
        <f t="shared" si="23"/>
        <v>2022-10</v>
      </c>
      <c r="D759" s="3">
        <v>371.13</v>
      </c>
      <c r="E759" s="3">
        <v>174.17</v>
      </c>
      <c r="F759" s="3">
        <v>98.32</v>
      </c>
      <c r="G759" s="3">
        <v>153.75</v>
      </c>
      <c r="H759" s="3">
        <v>79.87</v>
      </c>
      <c r="I759" s="2">
        <v>67.03</v>
      </c>
      <c r="J759" s="2">
        <v>581.05999999999995</v>
      </c>
      <c r="K759" s="2">
        <v>431.84</v>
      </c>
      <c r="L759" s="3">
        <v>126.59</v>
      </c>
      <c r="M759" s="2">
        <v>5.54</v>
      </c>
    </row>
    <row r="760" spans="1:13">
      <c r="A760" s="9">
        <v>44851</v>
      </c>
      <c r="B760" s="1">
        <f t="shared" si="22"/>
        <v>44835</v>
      </c>
      <c r="C760" s="5" t="str">
        <f t="shared" si="23"/>
        <v>2022-10</v>
      </c>
      <c r="D760" s="3">
        <v>366.82</v>
      </c>
      <c r="E760" s="3">
        <v>172.13</v>
      </c>
      <c r="F760" s="3">
        <v>98.09</v>
      </c>
      <c r="G760" s="3">
        <v>153.41999999999999</v>
      </c>
      <c r="H760" s="3">
        <v>79.010000000000005</v>
      </c>
      <c r="I760" s="2">
        <v>67.02</v>
      </c>
      <c r="J760" s="2">
        <v>569.25</v>
      </c>
      <c r="K760" s="2">
        <v>397.31</v>
      </c>
      <c r="L760" s="3">
        <v>125.89</v>
      </c>
      <c r="M760" s="2">
        <v>5.61</v>
      </c>
    </row>
    <row r="761" spans="1:13">
      <c r="A761" s="9">
        <v>44848</v>
      </c>
      <c r="B761" s="1">
        <f t="shared" si="22"/>
        <v>44835</v>
      </c>
      <c r="C761" s="5" t="str">
        <f t="shared" si="23"/>
        <v>2022-10</v>
      </c>
      <c r="D761" s="3">
        <v>357.63</v>
      </c>
      <c r="E761" s="3">
        <v>166.81</v>
      </c>
      <c r="F761" s="3">
        <v>98.57</v>
      </c>
      <c r="G761" s="3">
        <v>152.97999999999999</v>
      </c>
      <c r="H761" s="3">
        <v>76.14</v>
      </c>
      <c r="I761" s="2">
        <v>64.31</v>
      </c>
      <c r="J761" s="2">
        <v>550.95000000000005</v>
      </c>
      <c r="K761" s="2">
        <v>389.41</v>
      </c>
      <c r="L761" s="3">
        <v>123.9</v>
      </c>
      <c r="M761" s="2">
        <v>5.4</v>
      </c>
    </row>
    <row r="762" spans="1:13">
      <c r="A762" s="9">
        <v>44847</v>
      </c>
      <c r="B762" s="1">
        <f t="shared" si="22"/>
        <v>44835</v>
      </c>
      <c r="C762" s="5" t="str">
        <f t="shared" si="23"/>
        <v>2022-10</v>
      </c>
      <c r="D762" s="3">
        <v>365.97</v>
      </c>
      <c r="E762" s="3">
        <v>171.4</v>
      </c>
      <c r="F762" s="3">
        <v>99.39</v>
      </c>
      <c r="G762" s="3">
        <v>154.91</v>
      </c>
      <c r="H762" s="3">
        <v>78.08</v>
      </c>
      <c r="I762" s="2">
        <v>65.2</v>
      </c>
      <c r="J762" s="2">
        <v>566.03</v>
      </c>
      <c r="K762" s="2">
        <v>405.96</v>
      </c>
      <c r="L762" s="3">
        <v>124.74</v>
      </c>
      <c r="M762" s="2">
        <v>5.52</v>
      </c>
    </row>
    <row r="763" spans="1:13">
      <c r="A763" s="9">
        <v>44846</v>
      </c>
      <c r="B763" s="1">
        <f t="shared" si="22"/>
        <v>44835</v>
      </c>
      <c r="C763" s="5" t="str">
        <f t="shared" si="23"/>
        <v>2022-10</v>
      </c>
      <c r="D763" s="3">
        <v>356.56</v>
      </c>
      <c r="E763" s="3">
        <v>167.26</v>
      </c>
      <c r="F763" s="3">
        <v>100.35</v>
      </c>
      <c r="G763" s="3">
        <v>155.99</v>
      </c>
      <c r="H763" s="3">
        <v>76.680000000000007</v>
      </c>
      <c r="I763" s="2">
        <v>63.78</v>
      </c>
      <c r="J763" s="2">
        <v>531.1</v>
      </c>
      <c r="K763" s="2">
        <v>397.42</v>
      </c>
      <c r="L763" s="3">
        <v>121.9</v>
      </c>
      <c r="M763" s="2">
        <v>5.24</v>
      </c>
    </row>
    <row r="764" spans="1:13">
      <c r="A764" s="9">
        <v>44845</v>
      </c>
      <c r="B764" s="1">
        <f t="shared" si="22"/>
        <v>44835</v>
      </c>
      <c r="C764" s="5" t="str">
        <f t="shared" si="23"/>
        <v>2022-10</v>
      </c>
      <c r="D764" s="3">
        <v>357.74</v>
      </c>
      <c r="E764" s="3">
        <v>167.72</v>
      </c>
      <c r="F764" s="3">
        <v>99.86</v>
      </c>
      <c r="G764" s="3">
        <v>155.16</v>
      </c>
      <c r="H764" s="3">
        <v>77.489999999999995</v>
      </c>
      <c r="I764" s="2">
        <v>62.41</v>
      </c>
      <c r="J764" s="2">
        <v>531.14</v>
      </c>
      <c r="K764" s="2">
        <v>411.06</v>
      </c>
      <c r="L764" s="3">
        <v>122.5</v>
      </c>
      <c r="M764" s="2">
        <v>5.57</v>
      </c>
    </row>
    <row r="765" spans="1:13">
      <c r="A765" s="9">
        <v>44844</v>
      </c>
      <c r="B765" s="1">
        <f t="shared" si="22"/>
        <v>44835</v>
      </c>
      <c r="C765" s="5" t="str">
        <f t="shared" si="23"/>
        <v>2022-10</v>
      </c>
      <c r="D765" s="3">
        <v>360.02</v>
      </c>
      <c r="E765" s="3">
        <v>167.67</v>
      </c>
      <c r="F765" s="3">
        <v>99.42</v>
      </c>
      <c r="G765" s="3">
        <v>155.47999999999999</v>
      </c>
      <c r="H765" s="3">
        <v>76.709999999999994</v>
      </c>
      <c r="I765" s="2">
        <v>62.57</v>
      </c>
      <c r="J765" s="2">
        <v>545.54</v>
      </c>
      <c r="K765" s="2">
        <v>409.99</v>
      </c>
      <c r="L765" s="3">
        <v>121.85</v>
      </c>
      <c r="M765" s="2">
        <v>5.63</v>
      </c>
    </row>
    <row r="766" spans="1:13">
      <c r="A766" s="9">
        <v>44841</v>
      </c>
      <c r="B766" s="1">
        <f t="shared" si="22"/>
        <v>44835</v>
      </c>
      <c r="C766" s="5" t="str">
        <f t="shared" si="23"/>
        <v>2022-10</v>
      </c>
      <c r="D766" s="3">
        <v>362.79</v>
      </c>
      <c r="E766" s="3">
        <v>168.61</v>
      </c>
      <c r="F766" s="3">
        <v>100.99</v>
      </c>
      <c r="G766" s="3">
        <v>157.88</v>
      </c>
      <c r="H766" s="3">
        <v>77.44</v>
      </c>
      <c r="I766" s="2">
        <v>63.29</v>
      </c>
      <c r="J766" s="2">
        <v>550.4</v>
      </c>
      <c r="K766" s="2">
        <v>403.96</v>
      </c>
      <c r="L766" s="3">
        <v>122.62</v>
      </c>
      <c r="M766" s="2">
        <v>5.89</v>
      </c>
    </row>
    <row r="767" spans="1:13">
      <c r="A767" s="9">
        <v>44840</v>
      </c>
      <c r="B767" s="1">
        <f t="shared" si="22"/>
        <v>44835</v>
      </c>
      <c r="C767" s="5" t="str">
        <f t="shared" si="23"/>
        <v>2022-10</v>
      </c>
      <c r="D767" s="3">
        <v>373.2</v>
      </c>
      <c r="E767" s="3">
        <v>173.72</v>
      </c>
      <c r="F767" s="3">
        <v>101.98</v>
      </c>
      <c r="G767" s="3">
        <v>159.63</v>
      </c>
      <c r="H767" s="3">
        <v>79.349999999999994</v>
      </c>
      <c r="I767" s="2">
        <v>65.3</v>
      </c>
      <c r="J767" s="2">
        <v>571.61</v>
      </c>
      <c r="K767" s="2">
        <v>399.61</v>
      </c>
      <c r="L767" s="3">
        <v>125.27</v>
      </c>
      <c r="M767" s="2">
        <v>6.15</v>
      </c>
    </row>
    <row r="768" spans="1:13">
      <c r="A768" s="9">
        <v>44839</v>
      </c>
      <c r="B768" s="1">
        <f t="shared" si="22"/>
        <v>44835</v>
      </c>
      <c r="C768" s="5" t="str">
        <f t="shared" si="23"/>
        <v>2022-10</v>
      </c>
      <c r="D768" s="3">
        <v>377.09</v>
      </c>
      <c r="E768" s="3">
        <v>174.7</v>
      </c>
      <c r="F768" s="3">
        <v>102.55</v>
      </c>
      <c r="G768" s="3">
        <v>159.81</v>
      </c>
      <c r="H768" s="3">
        <v>81.62</v>
      </c>
      <c r="I768" s="2">
        <v>66.64</v>
      </c>
      <c r="J768" s="2">
        <v>583.15</v>
      </c>
      <c r="K768" s="2">
        <v>402.51</v>
      </c>
      <c r="L768" s="3">
        <v>126.89</v>
      </c>
      <c r="M768" s="2">
        <v>6.05</v>
      </c>
    </row>
    <row r="769" spans="1:13">
      <c r="A769" s="9">
        <v>44838</v>
      </c>
      <c r="B769" s="1">
        <f t="shared" si="22"/>
        <v>44835</v>
      </c>
      <c r="C769" s="5" t="str">
        <f t="shared" si="23"/>
        <v>2022-10</v>
      </c>
      <c r="D769" s="3">
        <v>377.97</v>
      </c>
      <c r="E769" s="3">
        <v>176</v>
      </c>
      <c r="F769" s="3">
        <v>103.54</v>
      </c>
      <c r="G769" s="3">
        <v>160.69999999999999</v>
      </c>
      <c r="H769" s="3">
        <v>83.25</v>
      </c>
      <c r="I769" s="2">
        <v>65.69</v>
      </c>
      <c r="J769" s="2">
        <v>591.29999999999995</v>
      </c>
      <c r="K769" s="2">
        <v>406.11</v>
      </c>
      <c r="L769" s="3">
        <v>126.47</v>
      </c>
      <c r="M769" s="2">
        <v>6.03</v>
      </c>
    </row>
    <row r="770" spans="1:13">
      <c r="A770" s="9">
        <v>44837</v>
      </c>
      <c r="B770" s="1">
        <f t="shared" ref="B770:B833" si="24">EOMONTH(A770,-1)+1</f>
        <v>44835</v>
      </c>
      <c r="C770" s="5" t="str">
        <f t="shared" si="23"/>
        <v>2022-10</v>
      </c>
      <c r="D770" s="3">
        <v>366.61</v>
      </c>
      <c r="E770" s="3">
        <v>169.29</v>
      </c>
      <c r="F770" s="3">
        <v>103.83</v>
      </c>
      <c r="G770" s="3">
        <v>158.43</v>
      </c>
      <c r="H770" s="3">
        <v>81.599999999999994</v>
      </c>
      <c r="I770" s="2">
        <v>63.08</v>
      </c>
      <c r="J770" s="2">
        <v>572.72</v>
      </c>
      <c r="K770" s="2">
        <v>399.74</v>
      </c>
      <c r="L770" s="3">
        <v>123.6</v>
      </c>
      <c r="M770" s="2">
        <v>5.71</v>
      </c>
    </row>
    <row r="771" spans="1:13">
      <c r="A771" s="9">
        <v>44834</v>
      </c>
      <c r="B771" s="1">
        <f t="shared" si="24"/>
        <v>44805</v>
      </c>
      <c r="C771" s="5" t="str">
        <f t="shared" ref="C771:C834" si="25">TEXT(A771, "yyyy-mm")</f>
        <v>2022-09</v>
      </c>
      <c r="D771" s="3">
        <v>357.18</v>
      </c>
      <c r="E771" s="3">
        <v>164.92</v>
      </c>
      <c r="F771" s="3">
        <v>102.45</v>
      </c>
      <c r="G771" s="3">
        <v>154.66999999999999</v>
      </c>
      <c r="H771" s="3">
        <v>80.17</v>
      </c>
      <c r="I771" s="2">
        <v>61.07</v>
      </c>
      <c r="J771" s="2">
        <v>550.28</v>
      </c>
      <c r="K771" s="2">
        <v>386.29</v>
      </c>
      <c r="L771" s="3">
        <v>121.11</v>
      </c>
      <c r="M771" s="2">
        <v>5.51</v>
      </c>
    </row>
    <row r="772" spans="1:13">
      <c r="A772" s="9">
        <v>44833</v>
      </c>
      <c r="B772" s="1">
        <f t="shared" si="24"/>
        <v>44805</v>
      </c>
      <c r="C772" s="5" t="str">
        <f t="shared" si="25"/>
        <v>2022-09</v>
      </c>
      <c r="D772" s="3">
        <v>362.79</v>
      </c>
      <c r="E772" s="3">
        <v>166.13</v>
      </c>
      <c r="F772" s="3">
        <v>103.79</v>
      </c>
      <c r="G772" s="3">
        <v>154.66</v>
      </c>
      <c r="H772" s="3">
        <v>79.28</v>
      </c>
      <c r="I772" s="2">
        <v>61.4</v>
      </c>
      <c r="J772" s="2">
        <v>563.91999999999996</v>
      </c>
      <c r="K772" s="2">
        <v>389.79</v>
      </c>
      <c r="L772" s="3">
        <v>122.8</v>
      </c>
      <c r="M772" s="2">
        <v>5.45</v>
      </c>
    </row>
    <row r="773" spans="1:13">
      <c r="A773" s="9">
        <v>44832</v>
      </c>
      <c r="B773" s="1">
        <f t="shared" si="24"/>
        <v>44805</v>
      </c>
      <c r="C773" s="5" t="str">
        <f t="shared" si="25"/>
        <v>2022-09</v>
      </c>
      <c r="D773" s="3">
        <v>370.53</v>
      </c>
      <c r="E773" s="3">
        <v>169.94</v>
      </c>
      <c r="F773" s="3">
        <v>104.33</v>
      </c>
      <c r="G773" s="3">
        <v>154.69</v>
      </c>
      <c r="H773" s="3">
        <v>81.680000000000007</v>
      </c>
      <c r="I773" s="2">
        <v>63.07</v>
      </c>
      <c r="J773" s="2">
        <v>585.42999999999995</v>
      </c>
      <c r="K773" s="2">
        <v>400</v>
      </c>
      <c r="L773" s="3">
        <v>123.84</v>
      </c>
      <c r="M773" s="2">
        <v>5.57</v>
      </c>
    </row>
    <row r="774" spans="1:13">
      <c r="A774" s="9">
        <v>44831</v>
      </c>
      <c r="B774" s="1">
        <f t="shared" si="24"/>
        <v>44805</v>
      </c>
      <c r="C774" s="5" t="str">
        <f t="shared" si="25"/>
        <v>2022-09</v>
      </c>
      <c r="D774" s="3">
        <v>363.38</v>
      </c>
      <c r="E774" s="3">
        <v>164.73</v>
      </c>
      <c r="F774" s="3">
        <v>100.95</v>
      </c>
      <c r="G774" s="3">
        <v>151.54</v>
      </c>
      <c r="H774" s="3">
        <v>80.02</v>
      </c>
      <c r="I774" s="2">
        <v>62.42</v>
      </c>
      <c r="J774" s="2">
        <v>578.6</v>
      </c>
      <c r="K774" s="2">
        <v>399.74</v>
      </c>
      <c r="L774" s="3">
        <v>121.19</v>
      </c>
      <c r="M774" s="2">
        <v>5.35</v>
      </c>
    </row>
    <row r="775" spans="1:13">
      <c r="A775" s="9">
        <v>44830</v>
      </c>
      <c r="B775" s="1">
        <f t="shared" si="24"/>
        <v>44805</v>
      </c>
      <c r="C775" s="5" t="str">
        <f t="shared" si="25"/>
        <v>2022-09</v>
      </c>
      <c r="D775" s="3">
        <v>364.31</v>
      </c>
      <c r="E775" s="3">
        <v>164.17</v>
      </c>
      <c r="F775" s="3">
        <v>103.68</v>
      </c>
      <c r="G775" s="3">
        <v>151.22999999999999</v>
      </c>
      <c r="H775" s="3">
        <v>81.099999999999994</v>
      </c>
      <c r="I775" s="2">
        <v>63.45</v>
      </c>
      <c r="J775" s="2">
        <v>584.65</v>
      </c>
      <c r="K775" s="2">
        <v>407.65</v>
      </c>
      <c r="L775" s="3">
        <v>121.56</v>
      </c>
      <c r="M775" s="2">
        <v>5.22</v>
      </c>
    </row>
    <row r="776" spans="1:13">
      <c r="A776" s="9">
        <v>44827</v>
      </c>
      <c r="B776" s="1">
        <f t="shared" si="24"/>
        <v>44805</v>
      </c>
      <c r="C776" s="5" t="str">
        <f t="shared" si="25"/>
        <v>2022-09</v>
      </c>
      <c r="D776" s="3">
        <v>367.95</v>
      </c>
      <c r="E776" s="3">
        <v>167.31</v>
      </c>
      <c r="F776" s="3">
        <v>105.7</v>
      </c>
      <c r="G776" s="3">
        <v>153.01</v>
      </c>
      <c r="H776" s="3">
        <v>83.44</v>
      </c>
      <c r="I776" s="2">
        <v>64.55</v>
      </c>
      <c r="J776" s="2">
        <v>591.39</v>
      </c>
      <c r="K776" s="2">
        <v>413.07</v>
      </c>
      <c r="L776" s="3">
        <v>122.73</v>
      </c>
      <c r="M776" s="2">
        <v>5.34</v>
      </c>
    </row>
    <row r="777" spans="1:13">
      <c r="A777" s="9">
        <v>44826</v>
      </c>
      <c r="B777" s="1">
        <f t="shared" si="24"/>
        <v>44805</v>
      </c>
      <c r="C777" s="5" t="str">
        <f t="shared" si="25"/>
        <v>2022-09</v>
      </c>
      <c r="D777" s="3">
        <v>374.22</v>
      </c>
      <c r="E777" s="3">
        <v>171.39</v>
      </c>
      <c r="F777" s="3">
        <v>105.27</v>
      </c>
      <c r="G777" s="3">
        <v>155.69999999999999</v>
      </c>
      <c r="H777" s="3">
        <v>85.48</v>
      </c>
      <c r="I777" s="2">
        <v>66.03</v>
      </c>
      <c r="J777" s="2">
        <v>600.5</v>
      </c>
      <c r="K777" s="2">
        <v>422.08</v>
      </c>
      <c r="L777" s="3">
        <v>123.36</v>
      </c>
      <c r="M777" s="2">
        <v>5.42</v>
      </c>
    </row>
    <row r="778" spans="1:13">
      <c r="A778" s="9">
        <v>44825</v>
      </c>
      <c r="B778" s="1">
        <f t="shared" si="24"/>
        <v>44805</v>
      </c>
      <c r="C778" s="5" t="str">
        <f t="shared" si="25"/>
        <v>2022-09</v>
      </c>
      <c r="D778" s="3">
        <v>377.39</v>
      </c>
      <c r="E778" s="3">
        <v>175.34</v>
      </c>
      <c r="F778" s="3">
        <v>108.03</v>
      </c>
      <c r="G778" s="3">
        <v>155.79</v>
      </c>
      <c r="H778" s="3">
        <v>86.58</v>
      </c>
      <c r="I778" s="2">
        <v>66.75</v>
      </c>
      <c r="J778" s="2">
        <v>608.09</v>
      </c>
      <c r="K778" s="2">
        <v>420.2</v>
      </c>
      <c r="L778" s="3">
        <v>122.71</v>
      </c>
      <c r="M778" s="2">
        <v>5.5</v>
      </c>
    </row>
    <row r="779" spans="1:13">
      <c r="A779" s="9">
        <v>44824</v>
      </c>
      <c r="B779" s="1">
        <f t="shared" si="24"/>
        <v>44805</v>
      </c>
      <c r="C779" s="5" t="str">
        <f t="shared" si="25"/>
        <v>2022-09</v>
      </c>
      <c r="D779" s="3">
        <v>384.09</v>
      </c>
      <c r="E779" s="3">
        <v>178.06</v>
      </c>
      <c r="F779" s="3">
        <v>106.25</v>
      </c>
      <c r="G779" s="3">
        <v>155.07</v>
      </c>
      <c r="H779" s="3">
        <v>87.97</v>
      </c>
      <c r="I779" s="2">
        <v>68.11</v>
      </c>
      <c r="J779" s="2">
        <v>622.30999999999995</v>
      </c>
      <c r="K779" s="2">
        <v>420.58</v>
      </c>
      <c r="L779" s="3">
        <v>124.78</v>
      </c>
      <c r="M779" s="2">
        <v>5.58</v>
      </c>
    </row>
    <row r="780" spans="1:13">
      <c r="A780" s="9">
        <v>44823</v>
      </c>
      <c r="B780" s="1">
        <f t="shared" si="24"/>
        <v>44805</v>
      </c>
      <c r="C780" s="5" t="str">
        <f t="shared" si="25"/>
        <v>2022-09</v>
      </c>
      <c r="D780" s="3">
        <v>388.55</v>
      </c>
      <c r="E780" s="3">
        <v>180.52</v>
      </c>
      <c r="F780" s="3">
        <v>107.32</v>
      </c>
      <c r="G780" s="3">
        <v>155.96</v>
      </c>
      <c r="H780" s="3">
        <v>90.16</v>
      </c>
      <c r="I780" s="2">
        <v>69.069999999999993</v>
      </c>
      <c r="J780" s="2">
        <v>634.73</v>
      </c>
      <c r="K780" s="2">
        <v>416.52</v>
      </c>
      <c r="L780" s="3">
        <v>126.26</v>
      </c>
      <c r="M780" s="2">
        <v>5.8</v>
      </c>
    </row>
    <row r="781" spans="1:13">
      <c r="A781" s="9">
        <v>44820</v>
      </c>
      <c r="B781" s="1">
        <f t="shared" si="24"/>
        <v>44805</v>
      </c>
      <c r="C781" s="5" t="str">
        <f t="shared" si="25"/>
        <v>2022-09</v>
      </c>
      <c r="D781" s="3">
        <v>385.56</v>
      </c>
      <c r="E781" s="3">
        <v>178.99</v>
      </c>
      <c r="F781" s="3">
        <v>107.07</v>
      </c>
      <c r="G781" s="3">
        <v>155.84</v>
      </c>
      <c r="H781" s="3">
        <v>90.29</v>
      </c>
      <c r="I781" s="2">
        <v>68.83</v>
      </c>
      <c r="J781" s="2">
        <v>626.74</v>
      </c>
      <c r="K781" s="2">
        <v>414.29</v>
      </c>
      <c r="L781" s="3">
        <v>127.45</v>
      </c>
      <c r="M781" s="2">
        <v>6.23</v>
      </c>
    </row>
    <row r="782" spans="1:13">
      <c r="A782" s="9">
        <v>44819</v>
      </c>
      <c r="B782" s="1">
        <f t="shared" si="24"/>
        <v>44805</v>
      </c>
      <c r="C782" s="5" t="str">
        <f t="shared" si="25"/>
        <v>2022-09</v>
      </c>
      <c r="D782" s="3">
        <v>390.12</v>
      </c>
      <c r="E782" s="3">
        <v>181.63</v>
      </c>
      <c r="F782" s="3">
        <v>107.97</v>
      </c>
      <c r="G782" s="3">
        <v>154.97999999999999</v>
      </c>
      <c r="H782" s="3">
        <v>90.28</v>
      </c>
      <c r="I782" s="2">
        <v>70.239999999999995</v>
      </c>
      <c r="J782" s="2">
        <v>632.34</v>
      </c>
      <c r="K782" s="2">
        <v>413.59</v>
      </c>
      <c r="L782" s="3">
        <v>127.81</v>
      </c>
      <c r="M782" s="2">
        <v>6.54</v>
      </c>
    </row>
    <row r="783" spans="1:13">
      <c r="A783" s="9">
        <v>44818</v>
      </c>
      <c r="B783" s="1">
        <f t="shared" si="24"/>
        <v>44805</v>
      </c>
      <c r="C783" s="5" t="str">
        <f t="shared" si="25"/>
        <v>2022-09</v>
      </c>
      <c r="D783" s="3">
        <v>394.6</v>
      </c>
      <c r="E783" s="3">
        <v>182.96</v>
      </c>
      <c r="F783" s="3">
        <v>108.04</v>
      </c>
      <c r="G783" s="3">
        <v>157.93</v>
      </c>
      <c r="H783" s="3">
        <v>91.98</v>
      </c>
      <c r="I783" s="2">
        <v>72.12</v>
      </c>
      <c r="J783" s="2">
        <v>643.58000000000004</v>
      </c>
      <c r="K783" s="2">
        <v>416.63</v>
      </c>
      <c r="L783" s="3">
        <v>127.1</v>
      </c>
      <c r="M783" s="2">
        <v>6.44</v>
      </c>
    </row>
    <row r="784" spans="1:13">
      <c r="A784" s="9">
        <v>44817</v>
      </c>
      <c r="B784" s="1">
        <f t="shared" si="24"/>
        <v>44805</v>
      </c>
      <c r="C784" s="5" t="str">
        <f t="shared" si="25"/>
        <v>2022-09</v>
      </c>
      <c r="D784" s="3">
        <v>393.1</v>
      </c>
      <c r="E784" s="3">
        <v>182.25</v>
      </c>
      <c r="F784" s="3">
        <v>107.67</v>
      </c>
      <c r="G784" s="3">
        <v>158.54</v>
      </c>
      <c r="H784" s="3">
        <v>93.04</v>
      </c>
      <c r="I784" s="2">
        <v>76.040000000000006</v>
      </c>
      <c r="J784" s="2">
        <v>644.91</v>
      </c>
      <c r="K784" s="2">
        <v>409.33</v>
      </c>
      <c r="L784" s="3">
        <v>127.03</v>
      </c>
      <c r="M784" s="2">
        <v>6.34</v>
      </c>
    </row>
    <row r="785" spans="1:13">
      <c r="A785" s="9">
        <v>44816</v>
      </c>
      <c r="B785" s="1">
        <f t="shared" si="24"/>
        <v>44805</v>
      </c>
      <c r="C785" s="5" t="str">
        <f t="shared" si="25"/>
        <v>2022-09</v>
      </c>
      <c r="D785" s="3">
        <v>410.97</v>
      </c>
      <c r="E785" s="3">
        <v>189.67</v>
      </c>
      <c r="F785" s="3">
        <v>107.42</v>
      </c>
      <c r="G785" s="3">
        <v>160.63</v>
      </c>
      <c r="H785" s="3">
        <v>96.74</v>
      </c>
      <c r="I785" s="2">
        <v>77.08</v>
      </c>
      <c r="J785" s="2">
        <v>696.81</v>
      </c>
      <c r="K785" s="2">
        <v>418.64</v>
      </c>
      <c r="L785" s="3">
        <v>131.37</v>
      </c>
      <c r="M785" s="2">
        <v>6.67</v>
      </c>
    </row>
    <row r="786" spans="1:13">
      <c r="A786" s="9">
        <v>44813</v>
      </c>
      <c r="B786" s="1">
        <f t="shared" si="24"/>
        <v>44805</v>
      </c>
      <c r="C786" s="5" t="str">
        <f t="shared" si="25"/>
        <v>2022-09</v>
      </c>
      <c r="D786" s="3">
        <v>406.6</v>
      </c>
      <c r="E786" s="3">
        <v>187.4</v>
      </c>
      <c r="F786" s="3">
        <v>108.31</v>
      </c>
      <c r="G786" s="3">
        <v>159.82</v>
      </c>
      <c r="H786" s="3">
        <v>95.81</v>
      </c>
      <c r="I786" s="2">
        <v>75.91</v>
      </c>
      <c r="J786" s="2">
        <v>695.46</v>
      </c>
      <c r="K786" s="2">
        <v>421.53</v>
      </c>
      <c r="L786" s="3">
        <v>130.5</v>
      </c>
      <c r="M786" s="2">
        <v>6.69</v>
      </c>
    </row>
    <row r="787" spans="1:13">
      <c r="A787" s="9">
        <v>44812</v>
      </c>
      <c r="B787" s="1">
        <f t="shared" si="24"/>
        <v>44805</v>
      </c>
      <c r="C787" s="5" t="str">
        <f t="shared" si="25"/>
        <v>2022-09</v>
      </c>
      <c r="D787" s="3">
        <v>400.38</v>
      </c>
      <c r="E787" s="3">
        <v>183.71</v>
      </c>
      <c r="F787" s="3">
        <v>108.07</v>
      </c>
      <c r="G787" s="3">
        <v>158.97999999999999</v>
      </c>
      <c r="H787" s="3">
        <v>94.78</v>
      </c>
      <c r="I787" s="2">
        <v>74.650000000000006</v>
      </c>
      <c r="J787" s="2">
        <v>691.92</v>
      </c>
      <c r="K787" s="2">
        <v>419.65</v>
      </c>
      <c r="L787" s="3">
        <v>129.36000000000001</v>
      </c>
      <c r="M787" s="2">
        <v>6.5</v>
      </c>
    </row>
    <row r="788" spans="1:13">
      <c r="A788" s="9">
        <v>44811</v>
      </c>
      <c r="B788" s="1">
        <f t="shared" si="24"/>
        <v>44805</v>
      </c>
      <c r="C788" s="5" t="str">
        <f t="shared" si="25"/>
        <v>2022-09</v>
      </c>
      <c r="D788" s="3">
        <v>397.78</v>
      </c>
      <c r="E788" s="3">
        <v>182.19</v>
      </c>
      <c r="F788" s="3">
        <v>109.19</v>
      </c>
      <c r="G788" s="3">
        <v>159.94</v>
      </c>
      <c r="H788" s="3">
        <v>94.52</v>
      </c>
      <c r="I788" s="2">
        <v>74.489999999999995</v>
      </c>
      <c r="J788" s="2">
        <v>674.22</v>
      </c>
      <c r="K788" s="2">
        <v>420.14</v>
      </c>
      <c r="L788" s="3">
        <v>127.15</v>
      </c>
      <c r="M788" s="2">
        <v>6.33</v>
      </c>
    </row>
    <row r="789" spans="1:13">
      <c r="A789" s="9">
        <v>44810</v>
      </c>
      <c r="B789" s="1">
        <f t="shared" si="24"/>
        <v>44805</v>
      </c>
      <c r="C789" s="5" t="str">
        <f t="shared" si="25"/>
        <v>2022-09</v>
      </c>
      <c r="D789" s="3">
        <v>390.76</v>
      </c>
      <c r="E789" s="3">
        <v>178.31</v>
      </c>
      <c r="F789" s="3">
        <v>107.49</v>
      </c>
      <c r="G789" s="3">
        <v>158.33000000000001</v>
      </c>
      <c r="H789" s="3">
        <v>92.71</v>
      </c>
      <c r="I789" s="2">
        <v>73.83</v>
      </c>
      <c r="J789" s="2">
        <v>661.63</v>
      </c>
      <c r="K789" s="2">
        <v>417.78</v>
      </c>
      <c r="L789" s="3">
        <v>125.11</v>
      </c>
      <c r="M789" s="2">
        <v>6.16</v>
      </c>
    </row>
    <row r="790" spans="1:13">
      <c r="A790" s="9">
        <v>44806</v>
      </c>
      <c r="B790" s="1">
        <f t="shared" si="24"/>
        <v>44805</v>
      </c>
      <c r="C790" s="5" t="str">
        <f t="shared" si="25"/>
        <v>2022-09</v>
      </c>
      <c r="D790" s="3">
        <v>392.24</v>
      </c>
      <c r="E790" s="3">
        <v>180.09</v>
      </c>
      <c r="F790" s="3">
        <v>110.22</v>
      </c>
      <c r="G790" s="3">
        <v>159.26</v>
      </c>
      <c r="H790" s="3">
        <v>91.88</v>
      </c>
      <c r="I790" s="2">
        <v>74.680000000000007</v>
      </c>
      <c r="J790" s="2">
        <v>658.06</v>
      </c>
      <c r="K790" s="2">
        <v>418.57</v>
      </c>
      <c r="L790" s="3">
        <v>124.99</v>
      </c>
      <c r="M790" s="2">
        <v>6.45</v>
      </c>
    </row>
    <row r="791" spans="1:13">
      <c r="A791" s="9">
        <v>44805</v>
      </c>
      <c r="B791" s="1">
        <f t="shared" si="24"/>
        <v>44805</v>
      </c>
      <c r="C791" s="5" t="str">
        <f t="shared" si="25"/>
        <v>2022-09</v>
      </c>
      <c r="D791" s="3">
        <v>396.42</v>
      </c>
      <c r="E791" s="3">
        <v>181.5</v>
      </c>
      <c r="F791" s="3">
        <v>109.6</v>
      </c>
      <c r="G791" s="3">
        <v>157.87</v>
      </c>
      <c r="H791" s="3">
        <v>93.18</v>
      </c>
      <c r="I791" s="2">
        <v>75.3</v>
      </c>
      <c r="J791" s="2">
        <v>664.85</v>
      </c>
      <c r="K791" s="2">
        <v>422.61</v>
      </c>
      <c r="L791" s="3">
        <v>126.81</v>
      </c>
      <c r="M791" s="2">
        <v>6.33</v>
      </c>
    </row>
    <row r="792" spans="1:13">
      <c r="A792" s="9">
        <v>44804</v>
      </c>
      <c r="B792" s="1">
        <f t="shared" si="24"/>
        <v>44774</v>
      </c>
      <c r="C792" s="5" t="str">
        <f t="shared" si="25"/>
        <v>2022-08</v>
      </c>
      <c r="D792" s="3">
        <v>395.18</v>
      </c>
      <c r="E792" s="3">
        <v>183.5</v>
      </c>
      <c r="F792" s="3">
        <v>111.88</v>
      </c>
      <c r="G792" s="3">
        <v>159.27000000000001</v>
      </c>
      <c r="H792" s="3">
        <v>93.01</v>
      </c>
      <c r="I792" s="2">
        <v>74.150000000000006</v>
      </c>
      <c r="J792" s="2">
        <v>666.39</v>
      </c>
      <c r="K792" s="2">
        <v>420.11</v>
      </c>
      <c r="L792" s="3">
        <v>124.76</v>
      </c>
      <c r="M792" s="2">
        <v>6.51</v>
      </c>
    </row>
    <row r="793" spans="1:13">
      <c r="A793" s="9">
        <v>44803</v>
      </c>
      <c r="B793" s="1">
        <f t="shared" si="24"/>
        <v>44774</v>
      </c>
      <c r="C793" s="5" t="str">
        <f t="shared" si="25"/>
        <v>2022-08</v>
      </c>
      <c r="D793" s="3">
        <v>398.21</v>
      </c>
      <c r="E793" s="3">
        <v>184.62</v>
      </c>
      <c r="F793" s="3">
        <v>112.96</v>
      </c>
      <c r="G793" s="3">
        <v>160.51</v>
      </c>
      <c r="H793" s="3">
        <v>93.45</v>
      </c>
      <c r="I793" s="2">
        <v>74.14</v>
      </c>
      <c r="J793" s="2">
        <v>672.72</v>
      </c>
      <c r="K793" s="2">
        <v>425.11</v>
      </c>
      <c r="L793" s="3">
        <v>125.56</v>
      </c>
      <c r="M793" s="2">
        <v>6.46</v>
      </c>
    </row>
    <row r="794" spans="1:13">
      <c r="A794" s="9">
        <v>44802</v>
      </c>
      <c r="B794" s="1">
        <f t="shared" si="24"/>
        <v>44774</v>
      </c>
      <c r="C794" s="5" t="str">
        <f t="shared" si="25"/>
        <v>2022-08</v>
      </c>
      <c r="D794" s="3">
        <v>402.63</v>
      </c>
      <c r="E794" s="3">
        <v>187.24</v>
      </c>
      <c r="F794" s="3">
        <v>112.68</v>
      </c>
      <c r="G794" s="3">
        <v>161.86000000000001</v>
      </c>
      <c r="H794" s="3">
        <v>94.76</v>
      </c>
      <c r="I794" s="2">
        <v>74.19</v>
      </c>
      <c r="J794" s="2">
        <v>675.89</v>
      </c>
      <c r="K794" s="2">
        <v>429.68</v>
      </c>
      <c r="L794" s="3">
        <v>126.4</v>
      </c>
      <c r="M794" s="2">
        <v>6.93</v>
      </c>
    </row>
    <row r="795" spans="1:13">
      <c r="A795" s="9">
        <v>44799</v>
      </c>
      <c r="B795" s="1">
        <f t="shared" si="24"/>
        <v>44774</v>
      </c>
      <c r="C795" s="5" t="str">
        <f t="shared" si="25"/>
        <v>2022-08</v>
      </c>
      <c r="D795" s="3">
        <v>405.31</v>
      </c>
      <c r="E795" s="3">
        <v>188.98</v>
      </c>
      <c r="F795" s="3">
        <v>113.62</v>
      </c>
      <c r="G795" s="3">
        <v>161.76</v>
      </c>
      <c r="H795" s="3">
        <v>95.62</v>
      </c>
      <c r="I795" s="2">
        <v>74.650000000000006</v>
      </c>
      <c r="J795" s="2">
        <v>676.44</v>
      </c>
      <c r="K795" s="2">
        <v>431.13</v>
      </c>
      <c r="L795" s="3">
        <v>127.29</v>
      </c>
      <c r="M795" s="2">
        <v>6.98</v>
      </c>
    </row>
    <row r="796" spans="1:13">
      <c r="A796" s="9">
        <v>44798</v>
      </c>
      <c r="B796" s="1">
        <f t="shared" si="24"/>
        <v>44774</v>
      </c>
      <c r="C796" s="5" t="str">
        <f t="shared" si="25"/>
        <v>2022-08</v>
      </c>
      <c r="D796" s="3">
        <v>419.51</v>
      </c>
      <c r="E796" s="3">
        <v>195.4</v>
      </c>
      <c r="F796" s="3">
        <v>112.77</v>
      </c>
      <c r="G796" s="3">
        <v>163.75</v>
      </c>
      <c r="H796" s="3">
        <v>98.09</v>
      </c>
      <c r="I796" s="2">
        <v>76.89</v>
      </c>
      <c r="J796" s="2">
        <v>710.6</v>
      </c>
      <c r="K796" s="2">
        <v>438.64</v>
      </c>
      <c r="L796" s="3">
        <v>130.94</v>
      </c>
      <c r="M796" s="2">
        <v>7.44</v>
      </c>
    </row>
    <row r="797" spans="1:13">
      <c r="A797" s="9">
        <v>44797</v>
      </c>
      <c r="B797" s="1">
        <f t="shared" si="24"/>
        <v>44774</v>
      </c>
      <c r="C797" s="5" t="str">
        <f t="shared" si="25"/>
        <v>2022-08</v>
      </c>
      <c r="D797" s="3">
        <v>413.67</v>
      </c>
      <c r="E797" s="3">
        <v>192.41</v>
      </c>
      <c r="F797" s="3">
        <v>111.22</v>
      </c>
      <c r="G797" s="3">
        <v>163.25</v>
      </c>
      <c r="H797" s="3">
        <v>96.65</v>
      </c>
      <c r="I797" s="2">
        <v>76.17</v>
      </c>
      <c r="J797" s="2">
        <v>700.42</v>
      </c>
      <c r="K797" s="2">
        <v>433.71</v>
      </c>
      <c r="L797" s="3">
        <v>129.51</v>
      </c>
      <c r="M797" s="2">
        <v>7.03</v>
      </c>
    </row>
    <row r="798" spans="1:13">
      <c r="A798" s="9">
        <v>44796</v>
      </c>
      <c r="B798" s="1">
        <f t="shared" si="24"/>
        <v>44774</v>
      </c>
      <c r="C798" s="5" t="str">
        <f t="shared" si="25"/>
        <v>2022-08</v>
      </c>
      <c r="D798" s="3">
        <v>412.35</v>
      </c>
      <c r="E798" s="3">
        <v>190.95</v>
      </c>
      <c r="F798" s="3">
        <v>112.04</v>
      </c>
      <c r="G798" s="3">
        <v>162.77000000000001</v>
      </c>
      <c r="H798" s="3">
        <v>96.1</v>
      </c>
      <c r="I798" s="2">
        <v>76.41</v>
      </c>
      <c r="J798" s="2">
        <v>696.97</v>
      </c>
      <c r="K798" s="2">
        <v>433.12</v>
      </c>
      <c r="L798" s="3">
        <v>129.35</v>
      </c>
      <c r="M798" s="2">
        <v>6.77</v>
      </c>
    </row>
    <row r="799" spans="1:13">
      <c r="A799" s="9">
        <v>44795</v>
      </c>
      <c r="B799" s="1">
        <f t="shared" si="24"/>
        <v>44774</v>
      </c>
      <c r="C799" s="5" t="str">
        <f t="shared" si="25"/>
        <v>2022-08</v>
      </c>
      <c r="D799" s="3">
        <v>413.35</v>
      </c>
      <c r="E799" s="3">
        <v>190.64</v>
      </c>
      <c r="F799" s="3">
        <v>112.66</v>
      </c>
      <c r="G799" s="3">
        <v>161.63999999999999</v>
      </c>
      <c r="H799" s="3">
        <v>97.35</v>
      </c>
      <c r="I799" s="2">
        <v>76.459999999999994</v>
      </c>
      <c r="J799" s="2">
        <v>695.05</v>
      </c>
      <c r="K799" s="2">
        <v>432.33</v>
      </c>
      <c r="L799" s="3">
        <v>131.18</v>
      </c>
      <c r="M799" s="2">
        <v>6.8</v>
      </c>
    </row>
    <row r="800" spans="1:13">
      <c r="A800" s="9">
        <v>44792</v>
      </c>
      <c r="B800" s="1">
        <f t="shared" si="24"/>
        <v>44774</v>
      </c>
      <c r="C800" s="5" t="str">
        <f t="shared" si="25"/>
        <v>2022-08</v>
      </c>
      <c r="D800" s="3">
        <v>422.14</v>
      </c>
      <c r="E800" s="3">
        <v>194.65</v>
      </c>
      <c r="F800" s="3">
        <v>113.04</v>
      </c>
      <c r="G800" s="3">
        <v>162.72</v>
      </c>
      <c r="H800" s="3">
        <v>99.52</v>
      </c>
      <c r="I800" s="2">
        <v>78.66</v>
      </c>
      <c r="J800" s="2">
        <v>713.85</v>
      </c>
      <c r="K800" s="2">
        <v>440.03</v>
      </c>
      <c r="L800" s="3">
        <v>132.91999999999999</v>
      </c>
      <c r="M800" s="2">
        <v>6.98</v>
      </c>
    </row>
    <row r="801" spans="1:13">
      <c r="A801" s="9">
        <v>44791</v>
      </c>
      <c r="B801" s="1">
        <f t="shared" si="24"/>
        <v>44774</v>
      </c>
      <c r="C801" s="5" t="str">
        <f t="shared" si="25"/>
        <v>2022-08</v>
      </c>
      <c r="D801" s="3">
        <v>427.89</v>
      </c>
      <c r="E801" s="3">
        <v>198.92</v>
      </c>
      <c r="F801" s="3">
        <v>114.89</v>
      </c>
      <c r="G801" s="3">
        <v>163.92</v>
      </c>
      <c r="H801" s="3">
        <v>100.58</v>
      </c>
      <c r="I801" s="2">
        <v>79.319999999999993</v>
      </c>
      <c r="J801" s="2">
        <v>745.22</v>
      </c>
      <c r="K801" s="2">
        <v>439.35</v>
      </c>
      <c r="L801" s="3">
        <v>132.56</v>
      </c>
      <c r="M801" s="2">
        <v>7.2</v>
      </c>
    </row>
    <row r="802" spans="1:13">
      <c r="A802" s="9">
        <v>44790</v>
      </c>
      <c r="B802" s="1">
        <f t="shared" si="24"/>
        <v>44774</v>
      </c>
      <c r="C802" s="5" t="str">
        <f t="shared" si="25"/>
        <v>2022-08</v>
      </c>
      <c r="D802" s="3">
        <v>426.65</v>
      </c>
      <c r="E802" s="3">
        <v>197.61</v>
      </c>
      <c r="F802" s="3">
        <v>114.72</v>
      </c>
      <c r="G802" s="3">
        <v>164.35</v>
      </c>
      <c r="H802" s="3">
        <v>101.25</v>
      </c>
      <c r="I802" s="2">
        <v>79.25</v>
      </c>
      <c r="J802" s="2">
        <v>743.22</v>
      </c>
      <c r="K802" s="2">
        <v>441.59</v>
      </c>
      <c r="L802" s="3">
        <v>133.15</v>
      </c>
      <c r="M802" s="2">
        <v>6.76</v>
      </c>
    </row>
    <row r="803" spans="1:13">
      <c r="A803" s="9">
        <v>44789</v>
      </c>
      <c r="B803" s="1">
        <f t="shared" si="24"/>
        <v>44774</v>
      </c>
      <c r="C803" s="5" t="str">
        <f t="shared" si="25"/>
        <v>2022-08</v>
      </c>
      <c r="D803" s="3">
        <v>429.7</v>
      </c>
      <c r="E803" s="3">
        <v>200.99</v>
      </c>
      <c r="F803" s="3">
        <v>115.93</v>
      </c>
      <c r="G803" s="3">
        <v>165.42</v>
      </c>
      <c r="H803" s="3">
        <v>101.86</v>
      </c>
      <c r="I803" s="2">
        <v>79.52</v>
      </c>
      <c r="J803" s="2">
        <v>757.07</v>
      </c>
      <c r="K803" s="2">
        <v>440.16</v>
      </c>
      <c r="L803" s="3">
        <v>133.93</v>
      </c>
      <c r="M803" s="2">
        <v>6.61</v>
      </c>
    </row>
    <row r="804" spans="1:13">
      <c r="A804" s="9">
        <v>44788</v>
      </c>
      <c r="B804" s="1">
        <f t="shared" si="24"/>
        <v>44774</v>
      </c>
      <c r="C804" s="5" t="str">
        <f t="shared" si="25"/>
        <v>2022-08</v>
      </c>
      <c r="D804" s="3">
        <v>428.86</v>
      </c>
      <c r="E804" s="3">
        <v>201.07</v>
      </c>
      <c r="F804" s="3">
        <v>115.45</v>
      </c>
      <c r="G804" s="3">
        <v>165.71</v>
      </c>
      <c r="H804" s="3">
        <v>102.13</v>
      </c>
      <c r="I804" s="2">
        <v>79.11</v>
      </c>
      <c r="J804" s="2">
        <v>755.82</v>
      </c>
      <c r="K804" s="2">
        <v>438.01</v>
      </c>
      <c r="L804" s="3">
        <v>134.29</v>
      </c>
      <c r="M804" s="2">
        <v>6.7</v>
      </c>
    </row>
    <row r="805" spans="1:13">
      <c r="A805" s="9">
        <v>44785</v>
      </c>
      <c r="B805" s="1">
        <f t="shared" si="24"/>
        <v>44774</v>
      </c>
      <c r="C805" s="5" t="str">
        <f t="shared" si="25"/>
        <v>2022-08</v>
      </c>
      <c r="D805" s="3">
        <v>427.1</v>
      </c>
      <c r="E805" s="3">
        <v>200.36</v>
      </c>
      <c r="F805" s="3">
        <v>115.55</v>
      </c>
      <c r="G805" s="3">
        <v>167.87</v>
      </c>
      <c r="H805" s="3">
        <v>101.72</v>
      </c>
      <c r="I805" s="2">
        <v>79.150000000000006</v>
      </c>
      <c r="J805" s="2">
        <v>751.83</v>
      </c>
      <c r="K805" s="2">
        <v>434.24</v>
      </c>
      <c r="L805" s="3">
        <v>133.62</v>
      </c>
      <c r="M805" s="2">
        <v>6.53</v>
      </c>
    </row>
    <row r="806" spans="1:13">
      <c r="A806" s="9">
        <v>44784</v>
      </c>
      <c r="B806" s="1">
        <f t="shared" si="24"/>
        <v>44774</v>
      </c>
      <c r="C806" s="5" t="str">
        <f t="shared" si="25"/>
        <v>2022-08</v>
      </c>
      <c r="D806" s="3">
        <v>419.99</v>
      </c>
      <c r="E806" s="3">
        <v>196.35</v>
      </c>
      <c r="F806" s="3">
        <v>114.39</v>
      </c>
      <c r="G806" s="3">
        <v>166.34</v>
      </c>
      <c r="H806" s="3">
        <v>100</v>
      </c>
      <c r="I806" s="2">
        <v>77.16</v>
      </c>
      <c r="J806" s="2">
        <v>728.65</v>
      </c>
      <c r="K806" s="2">
        <v>428.85</v>
      </c>
      <c r="L806" s="3">
        <v>131.93</v>
      </c>
      <c r="M806" s="2">
        <v>6.42</v>
      </c>
    </row>
    <row r="807" spans="1:13">
      <c r="A807" s="9">
        <v>44783</v>
      </c>
      <c r="B807" s="1">
        <f t="shared" si="24"/>
        <v>44774</v>
      </c>
      <c r="C807" s="5" t="str">
        <f t="shared" si="25"/>
        <v>2022-08</v>
      </c>
      <c r="D807" s="3">
        <v>419.99</v>
      </c>
      <c r="E807" s="3">
        <v>195.62</v>
      </c>
      <c r="F807" s="3">
        <v>117.12</v>
      </c>
      <c r="G807" s="3">
        <v>166.78</v>
      </c>
      <c r="H807" s="3">
        <v>100.24</v>
      </c>
      <c r="I807" s="2">
        <v>77.540000000000006</v>
      </c>
      <c r="J807" s="2">
        <v>725.21</v>
      </c>
      <c r="K807" s="2">
        <v>429.99</v>
      </c>
      <c r="L807" s="3">
        <v>132.79</v>
      </c>
      <c r="M807" s="2">
        <v>6.37</v>
      </c>
    </row>
    <row r="808" spans="1:13">
      <c r="A808" s="9">
        <v>44782</v>
      </c>
      <c r="B808" s="1">
        <f t="shared" si="24"/>
        <v>44774</v>
      </c>
      <c r="C808" s="5" t="str">
        <f t="shared" si="25"/>
        <v>2022-08</v>
      </c>
      <c r="D808" s="3">
        <v>411.35</v>
      </c>
      <c r="E808" s="3">
        <v>190.19</v>
      </c>
      <c r="F808" s="3">
        <v>117.89</v>
      </c>
      <c r="G808" s="3">
        <v>167.2</v>
      </c>
      <c r="H808" s="3">
        <v>98.74</v>
      </c>
      <c r="I808" s="2">
        <v>76.77</v>
      </c>
      <c r="J808" s="2">
        <v>696.51</v>
      </c>
      <c r="K808" s="2">
        <v>428.55</v>
      </c>
      <c r="L808" s="3">
        <v>131.36000000000001</v>
      </c>
      <c r="M808" s="2">
        <v>5.82</v>
      </c>
    </row>
    <row r="809" spans="1:13">
      <c r="A809" s="9">
        <v>44781</v>
      </c>
      <c r="B809" s="1">
        <f t="shared" si="24"/>
        <v>44774</v>
      </c>
      <c r="C809" s="5" t="str">
        <f t="shared" si="25"/>
        <v>2022-08</v>
      </c>
      <c r="D809" s="3">
        <v>412.99</v>
      </c>
      <c r="E809" s="3">
        <v>192.82</v>
      </c>
      <c r="F809" s="3">
        <v>118.35</v>
      </c>
      <c r="G809" s="3">
        <v>166.69</v>
      </c>
      <c r="H809" s="3">
        <v>98.2</v>
      </c>
      <c r="I809" s="2">
        <v>76.47</v>
      </c>
      <c r="J809" s="2">
        <v>696.27</v>
      </c>
      <c r="K809" s="2">
        <v>423.86</v>
      </c>
      <c r="L809" s="3">
        <v>131.76</v>
      </c>
      <c r="M809" s="2">
        <v>6.11</v>
      </c>
    </row>
    <row r="810" spans="1:13">
      <c r="A810" s="9">
        <v>44778</v>
      </c>
      <c r="B810" s="1">
        <f t="shared" si="24"/>
        <v>44774</v>
      </c>
      <c r="C810" s="5" t="str">
        <f t="shared" si="25"/>
        <v>2022-08</v>
      </c>
      <c r="D810" s="3">
        <v>413.47</v>
      </c>
      <c r="E810" s="3">
        <v>190.8</v>
      </c>
      <c r="F810" s="3">
        <v>116.47</v>
      </c>
      <c r="G810" s="3">
        <v>165.29</v>
      </c>
      <c r="H810" s="3">
        <v>97.33</v>
      </c>
      <c r="I810" s="2">
        <v>77.349999999999994</v>
      </c>
      <c r="J810" s="2">
        <v>695.93</v>
      </c>
      <c r="K810" s="2">
        <v>426.41</v>
      </c>
      <c r="L810" s="3">
        <v>131.44999999999999</v>
      </c>
      <c r="M810" s="2">
        <v>5.91</v>
      </c>
    </row>
    <row r="811" spans="1:13">
      <c r="A811" s="9">
        <v>44777</v>
      </c>
      <c r="B811" s="1">
        <f t="shared" si="24"/>
        <v>44774</v>
      </c>
      <c r="C811" s="5" t="str">
        <f t="shared" si="25"/>
        <v>2022-08</v>
      </c>
      <c r="D811" s="3">
        <v>414.17</v>
      </c>
      <c r="E811" s="3">
        <v>189.35</v>
      </c>
      <c r="F811" s="3">
        <v>119.31</v>
      </c>
      <c r="G811" s="3">
        <v>167.17</v>
      </c>
      <c r="H811" s="3">
        <v>97.06</v>
      </c>
      <c r="I811" s="2">
        <v>77.400000000000006</v>
      </c>
      <c r="J811" s="2">
        <v>696.01</v>
      </c>
      <c r="K811" s="2">
        <v>428.13</v>
      </c>
      <c r="L811" s="3">
        <v>131.5</v>
      </c>
      <c r="M811" s="2">
        <v>5.91</v>
      </c>
    </row>
    <row r="812" spans="1:13">
      <c r="A812" s="9">
        <v>44776</v>
      </c>
      <c r="B812" s="1">
        <f t="shared" si="24"/>
        <v>44774</v>
      </c>
      <c r="C812" s="5" t="str">
        <f t="shared" si="25"/>
        <v>2022-08</v>
      </c>
      <c r="D812" s="3">
        <v>414.45</v>
      </c>
      <c r="E812" s="3">
        <v>189.75</v>
      </c>
      <c r="F812" s="3">
        <v>119.35</v>
      </c>
      <c r="G812" s="3">
        <v>164.45</v>
      </c>
      <c r="H812" s="3">
        <v>97.21</v>
      </c>
      <c r="I812" s="2">
        <v>77.37</v>
      </c>
      <c r="J812" s="2">
        <v>690.54</v>
      </c>
      <c r="K812" s="2">
        <v>429.3</v>
      </c>
      <c r="L812" s="3">
        <v>132.15</v>
      </c>
      <c r="M812" s="2">
        <v>5.73</v>
      </c>
    </row>
    <row r="813" spans="1:13">
      <c r="A813" s="9">
        <v>44775</v>
      </c>
      <c r="B813" s="1">
        <f t="shared" si="24"/>
        <v>44774</v>
      </c>
      <c r="C813" s="5" t="str">
        <f t="shared" si="25"/>
        <v>2022-08</v>
      </c>
      <c r="D813" s="3">
        <v>408.06</v>
      </c>
      <c r="E813" s="3">
        <v>187</v>
      </c>
      <c r="F813" s="3">
        <v>117.5</v>
      </c>
      <c r="G813" s="3">
        <v>164.05</v>
      </c>
      <c r="H813" s="3">
        <v>96.9</v>
      </c>
      <c r="I813" s="2">
        <v>76.349999999999994</v>
      </c>
      <c r="J813" s="2">
        <v>666.16</v>
      </c>
      <c r="K813" s="2">
        <v>428.78</v>
      </c>
      <c r="L813" s="3">
        <v>130.94999999999999</v>
      </c>
      <c r="M813" s="2">
        <v>5.62</v>
      </c>
    </row>
    <row r="814" spans="1:13">
      <c r="A814" s="9">
        <v>44774</v>
      </c>
      <c r="B814" s="1">
        <f t="shared" si="24"/>
        <v>44774</v>
      </c>
      <c r="C814" s="5" t="str">
        <f t="shared" si="25"/>
        <v>2022-08</v>
      </c>
      <c r="D814" s="3">
        <v>410.77</v>
      </c>
      <c r="E814" s="3">
        <v>187.18</v>
      </c>
      <c r="F814" s="3">
        <v>120.04</v>
      </c>
      <c r="G814" s="3">
        <v>165.03</v>
      </c>
      <c r="H814" s="3">
        <v>98.16</v>
      </c>
      <c r="I814" s="2">
        <v>77.44</v>
      </c>
      <c r="J814" s="2">
        <v>671.39</v>
      </c>
      <c r="K814" s="2">
        <v>419.28</v>
      </c>
      <c r="L814" s="3">
        <v>131.41999999999999</v>
      </c>
      <c r="M814" s="2">
        <v>5.52</v>
      </c>
    </row>
    <row r="815" spans="1:13">
      <c r="A815" s="9">
        <v>44771</v>
      </c>
      <c r="B815" s="1">
        <f t="shared" si="24"/>
        <v>44743</v>
      </c>
      <c r="C815" s="5" t="str">
        <f t="shared" si="25"/>
        <v>2022-07</v>
      </c>
      <c r="D815" s="3">
        <v>411.99</v>
      </c>
      <c r="E815" s="3">
        <v>187.25</v>
      </c>
      <c r="F815" s="3">
        <v>117.43</v>
      </c>
      <c r="G815" s="3">
        <v>164.1</v>
      </c>
      <c r="H815" s="3">
        <v>98.96</v>
      </c>
      <c r="I815" s="2">
        <v>77.84</v>
      </c>
      <c r="J815" s="2">
        <v>669.18</v>
      </c>
      <c r="K815" s="2">
        <v>413.81</v>
      </c>
      <c r="L815" s="3">
        <v>132.4</v>
      </c>
      <c r="M815" s="2">
        <v>5.4</v>
      </c>
    </row>
    <row r="816" spans="1:13">
      <c r="A816" s="9">
        <v>44770</v>
      </c>
      <c r="B816" s="1">
        <f t="shared" si="24"/>
        <v>44743</v>
      </c>
      <c r="C816" s="5" t="str">
        <f t="shared" si="25"/>
        <v>2022-07</v>
      </c>
      <c r="D816" s="3">
        <v>406.07</v>
      </c>
      <c r="E816" s="3">
        <v>185.93</v>
      </c>
      <c r="F816" s="3">
        <v>117.75</v>
      </c>
      <c r="G816" s="3">
        <v>163.63999999999999</v>
      </c>
      <c r="H816" s="3">
        <v>98.43</v>
      </c>
      <c r="I816" s="2">
        <v>77.040000000000006</v>
      </c>
      <c r="J816" s="2">
        <v>659.98</v>
      </c>
      <c r="K816" s="2">
        <v>406.08</v>
      </c>
      <c r="L816" s="3">
        <v>132.84</v>
      </c>
      <c r="M816" s="2">
        <v>5.31</v>
      </c>
    </row>
    <row r="817" spans="1:13">
      <c r="A817" s="9">
        <v>44769</v>
      </c>
      <c r="B817" s="1">
        <f t="shared" si="24"/>
        <v>44743</v>
      </c>
      <c r="C817" s="5" t="str">
        <f t="shared" si="25"/>
        <v>2022-07</v>
      </c>
      <c r="D817" s="3">
        <v>401.04</v>
      </c>
      <c r="E817" s="3">
        <v>183.41</v>
      </c>
      <c r="F817" s="3">
        <v>116.82</v>
      </c>
      <c r="G817" s="3">
        <v>161.66999999999999</v>
      </c>
      <c r="H817" s="3">
        <v>95.34</v>
      </c>
      <c r="I817" s="2">
        <v>75.87</v>
      </c>
      <c r="J817" s="2">
        <v>643.32000000000005</v>
      </c>
      <c r="K817" s="2">
        <v>398.54</v>
      </c>
      <c r="L817" s="3">
        <v>132</v>
      </c>
      <c r="M817" s="2">
        <v>5.14</v>
      </c>
    </row>
    <row r="818" spans="1:13">
      <c r="A818" s="9">
        <v>44768</v>
      </c>
      <c r="B818" s="1">
        <f t="shared" si="24"/>
        <v>44743</v>
      </c>
      <c r="C818" s="5" t="str">
        <f t="shared" si="25"/>
        <v>2022-07</v>
      </c>
      <c r="D818" s="3">
        <v>390.89</v>
      </c>
      <c r="E818" s="3">
        <v>179.33</v>
      </c>
      <c r="F818" s="3">
        <v>117.48</v>
      </c>
      <c r="G818" s="3">
        <v>160.04</v>
      </c>
      <c r="H818" s="3">
        <v>94.77</v>
      </c>
      <c r="I818" s="2">
        <v>74.03</v>
      </c>
      <c r="J818" s="2">
        <v>622.94000000000005</v>
      </c>
      <c r="K818" s="2">
        <v>396.81</v>
      </c>
      <c r="L818" s="3">
        <v>131.18</v>
      </c>
      <c r="M818" s="2">
        <v>5.17</v>
      </c>
    </row>
    <row r="819" spans="1:13">
      <c r="A819" s="9">
        <v>44767</v>
      </c>
      <c r="B819" s="1">
        <f t="shared" si="24"/>
        <v>44743</v>
      </c>
      <c r="C819" s="5" t="str">
        <f t="shared" si="25"/>
        <v>2022-07</v>
      </c>
      <c r="D819" s="3">
        <v>395.57</v>
      </c>
      <c r="E819" s="3">
        <v>180.44</v>
      </c>
      <c r="F819" s="3">
        <v>117.39</v>
      </c>
      <c r="G819" s="3">
        <v>160.22999999999999</v>
      </c>
      <c r="H819" s="3">
        <v>94.67</v>
      </c>
      <c r="I819" s="2">
        <v>74.86</v>
      </c>
      <c r="J819" s="2">
        <v>636.15</v>
      </c>
      <c r="K819" s="2">
        <v>399.8</v>
      </c>
      <c r="L819" s="3">
        <v>130.51</v>
      </c>
      <c r="M819" s="2">
        <v>5.25</v>
      </c>
    </row>
    <row r="820" spans="1:13">
      <c r="A820" s="9">
        <v>44764</v>
      </c>
      <c r="B820" s="1">
        <f t="shared" si="24"/>
        <v>44743</v>
      </c>
      <c r="C820" s="5" t="str">
        <f t="shared" si="25"/>
        <v>2022-07</v>
      </c>
      <c r="D820" s="3">
        <v>395.09</v>
      </c>
      <c r="E820" s="3">
        <v>179.51</v>
      </c>
      <c r="F820" s="3">
        <v>118.55</v>
      </c>
      <c r="G820" s="3">
        <v>160.66999999999999</v>
      </c>
      <c r="H820" s="3">
        <v>94.51</v>
      </c>
      <c r="I820" s="2">
        <v>74.900000000000006</v>
      </c>
      <c r="J820" s="2">
        <v>633.64</v>
      </c>
      <c r="K820" s="2">
        <v>394.74</v>
      </c>
      <c r="L820" s="3">
        <v>129.83000000000001</v>
      </c>
      <c r="M820" s="2">
        <v>5.07</v>
      </c>
    </row>
    <row r="821" spans="1:13">
      <c r="A821" s="9">
        <v>44763</v>
      </c>
      <c r="B821" s="1">
        <f t="shared" si="24"/>
        <v>44743</v>
      </c>
      <c r="C821" s="5" t="str">
        <f t="shared" si="25"/>
        <v>2022-07</v>
      </c>
      <c r="D821" s="3">
        <v>398.79</v>
      </c>
      <c r="E821" s="3">
        <v>182.42</v>
      </c>
      <c r="F821" s="3">
        <v>116.59</v>
      </c>
      <c r="G821" s="3">
        <v>160.27000000000001</v>
      </c>
      <c r="H821" s="3">
        <v>94.02</v>
      </c>
      <c r="I821" s="2">
        <v>74.540000000000006</v>
      </c>
      <c r="J821" s="2">
        <v>639.30999999999995</v>
      </c>
      <c r="K821" s="2">
        <v>395.2</v>
      </c>
      <c r="L821" s="3">
        <v>130.37</v>
      </c>
      <c r="M821" s="2">
        <v>5.16</v>
      </c>
    </row>
    <row r="822" spans="1:13">
      <c r="A822" s="9">
        <v>44762</v>
      </c>
      <c r="B822" s="1">
        <f t="shared" si="24"/>
        <v>44743</v>
      </c>
      <c r="C822" s="5" t="str">
        <f t="shared" si="25"/>
        <v>2022-07</v>
      </c>
      <c r="D822" s="3">
        <v>394.77</v>
      </c>
      <c r="E822" s="3">
        <v>181.49</v>
      </c>
      <c r="F822" s="3">
        <v>114.61</v>
      </c>
      <c r="G822" s="3">
        <v>158.04</v>
      </c>
      <c r="H822" s="3">
        <v>93.28</v>
      </c>
      <c r="I822" s="2">
        <v>72.59</v>
      </c>
      <c r="J822" s="2">
        <v>634.73</v>
      </c>
      <c r="K822" s="2">
        <v>395.22</v>
      </c>
      <c r="L822" s="3">
        <v>128.34</v>
      </c>
      <c r="M822" s="2">
        <v>4.5599999999999996</v>
      </c>
    </row>
    <row r="823" spans="1:13">
      <c r="A823" s="9">
        <v>44761</v>
      </c>
      <c r="B823" s="1">
        <f t="shared" si="24"/>
        <v>44743</v>
      </c>
      <c r="C823" s="5" t="str">
        <f t="shared" si="25"/>
        <v>2022-07</v>
      </c>
      <c r="D823" s="3">
        <v>392.27</v>
      </c>
      <c r="E823" s="3">
        <v>178.69</v>
      </c>
      <c r="F823" s="3">
        <v>114.31</v>
      </c>
      <c r="G823" s="3">
        <v>159.54</v>
      </c>
      <c r="H823" s="3">
        <v>93.5</v>
      </c>
      <c r="I823" s="2">
        <v>72.239999999999995</v>
      </c>
      <c r="J823" s="2">
        <v>628.34</v>
      </c>
      <c r="K823" s="2">
        <v>390.38</v>
      </c>
      <c r="L823" s="3">
        <v>129.62</v>
      </c>
      <c r="M823" s="2">
        <v>4.38</v>
      </c>
    </row>
    <row r="824" spans="1:13">
      <c r="A824" s="9">
        <v>44760</v>
      </c>
      <c r="B824" s="1">
        <f t="shared" si="24"/>
        <v>44743</v>
      </c>
      <c r="C824" s="5" t="str">
        <f t="shared" si="25"/>
        <v>2022-07</v>
      </c>
      <c r="D824" s="3">
        <v>381.95</v>
      </c>
      <c r="E824" s="3">
        <v>172.6</v>
      </c>
      <c r="F824" s="3">
        <v>114.93</v>
      </c>
      <c r="G824" s="3">
        <v>159.16</v>
      </c>
      <c r="H824" s="3">
        <v>91.14</v>
      </c>
      <c r="I824" s="2">
        <v>70.209999999999994</v>
      </c>
      <c r="J824" s="2">
        <v>597.53</v>
      </c>
      <c r="K824" s="2">
        <v>387.28</v>
      </c>
      <c r="L824" s="3">
        <v>127.45</v>
      </c>
      <c r="M824" s="2">
        <v>4.25</v>
      </c>
    </row>
    <row r="825" spans="1:13">
      <c r="A825" s="9">
        <v>44757</v>
      </c>
      <c r="B825" s="1">
        <f t="shared" si="24"/>
        <v>44743</v>
      </c>
      <c r="C825" s="5" t="str">
        <f t="shared" si="25"/>
        <v>2022-07</v>
      </c>
      <c r="D825" s="3">
        <v>385.13</v>
      </c>
      <c r="E825" s="3">
        <v>173.09</v>
      </c>
      <c r="F825" s="3">
        <v>116.14</v>
      </c>
      <c r="G825" s="3">
        <v>159.01</v>
      </c>
      <c r="H825" s="3">
        <v>91.79</v>
      </c>
      <c r="I825" s="2">
        <v>70.739999999999995</v>
      </c>
      <c r="J825" s="2">
        <v>600.37</v>
      </c>
      <c r="K825" s="2">
        <v>398.38</v>
      </c>
      <c r="L825" s="3">
        <v>130.19999999999999</v>
      </c>
      <c r="M825" s="2">
        <v>4.22</v>
      </c>
    </row>
    <row r="826" spans="1:13">
      <c r="A826" s="9">
        <v>44756</v>
      </c>
      <c r="B826" s="1">
        <f t="shared" si="24"/>
        <v>44743</v>
      </c>
      <c r="C826" s="5" t="str">
        <f t="shared" si="25"/>
        <v>2022-07</v>
      </c>
      <c r="D826" s="3">
        <v>377.91</v>
      </c>
      <c r="E826" s="3">
        <v>169.56</v>
      </c>
      <c r="F826" s="3">
        <v>115.49</v>
      </c>
      <c r="G826" s="3">
        <v>159.33000000000001</v>
      </c>
      <c r="H826" s="3">
        <v>90.26</v>
      </c>
      <c r="I826" s="2">
        <v>69.45</v>
      </c>
      <c r="J826" s="2">
        <v>588.63</v>
      </c>
      <c r="K826" s="2">
        <v>400.31</v>
      </c>
      <c r="L826" s="3">
        <v>127.13</v>
      </c>
      <c r="M826" s="2">
        <v>4.1100000000000003</v>
      </c>
    </row>
    <row r="827" spans="1:13">
      <c r="A827" s="9">
        <v>44755</v>
      </c>
      <c r="B827" s="1">
        <f t="shared" si="24"/>
        <v>44743</v>
      </c>
      <c r="C827" s="5" t="str">
        <f t="shared" si="25"/>
        <v>2022-07</v>
      </c>
      <c r="D827" s="3">
        <v>378.83</v>
      </c>
      <c r="E827" s="3">
        <v>171.32</v>
      </c>
      <c r="F827" s="3">
        <v>116.44</v>
      </c>
      <c r="G827" s="3">
        <v>161.6</v>
      </c>
      <c r="H827" s="3">
        <v>91.08</v>
      </c>
      <c r="I827" s="2">
        <v>70.03</v>
      </c>
      <c r="J827" s="2">
        <v>596.38</v>
      </c>
      <c r="K827" s="2">
        <v>408</v>
      </c>
      <c r="L827" s="3">
        <v>127.5</v>
      </c>
      <c r="M827" s="2">
        <v>4.1100000000000003</v>
      </c>
    </row>
    <row r="828" spans="1:13">
      <c r="A828" s="9">
        <v>44754</v>
      </c>
      <c r="B828" s="1">
        <f t="shared" si="24"/>
        <v>44743</v>
      </c>
      <c r="C828" s="5" t="str">
        <f t="shared" si="25"/>
        <v>2022-07</v>
      </c>
      <c r="D828" s="3">
        <v>380.83</v>
      </c>
      <c r="E828" s="3">
        <v>171.47</v>
      </c>
      <c r="F828" s="3">
        <v>115.12</v>
      </c>
      <c r="G828" s="3">
        <v>160.83000000000001</v>
      </c>
      <c r="H828" s="3">
        <v>91.52</v>
      </c>
      <c r="I828" s="2">
        <v>70.41</v>
      </c>
      <c r="J828" s="2">
        <v>603.29</v>
      </c>
      <c r="K828" s="2">
        <v>413.99</v>
      </c>
      <c r="L828" s="3">
        <v>128.75</v>
      </c>
      <c r="M828" s="2">
        <v>4.07</v>
      </c>
    </row>
    <row r="829" spans="1:13">
      <c r="A829" s="9">
        <v>44753</v>
      </c>
      <c r="B829" s="1">
        <f t="shared" si="24"/>
        <v>44743</v>
      </c>
      <c r="C829" s="5" t="str">
        <f t="shared" si="25"/>
        <v>2022-07</v>
      </c>
      <c r="D829" s="3">
        <v>384.23</v>
      </c>
      <c r="E829" s="3">
        <v>172.06</v>
      </c>
      <c r="F829" s="3">
        <v>114.44</v>
      </c>
      <c r="G829" s="3">
        <v>161.43</v>
      </c>
      <c r="H829" s="3">
        <v>91.88</v>
      </c>
      <c r="I829" s="2">
        <v>71.569999999999993</v>
      </c>
      <c r="J829" s="2">
        <v>605</v>
      </c>
      <c r="K829" s="2">
        <v>419.07</v>
      </c>
      <c r="L829" s="3">
        <v>130.41</v>
      </c>
      <c r="M829" s="2">
        <v>4.04</v>
      </c>
    </row>
    <row r="830" spans="1:13">
      <c r="A830" s="9">
        <v>44750</v>
      </c>
      <c r="B830" s="1">
        <f t="shared" si="24"/>
        <v>44743</v>
      </c>
      <c r="C830" s="5" t="str">
        <f t="shared" si="25"/>
        <v>2022-07</v>
      </c>
      <c r="D830" s="3">
        <v>388.67</v>
      </c>
      <c r="E830" s="3">
        <v>175.59</v>
      </c>
      <c r="F830" s="3">
        <v>112.5</v>
      </c>
      <c r="G830" s="3">
        <v>162.30000000000001</v>
      </c>
      <c r="H830" s="3">
        <v>92.08</v>
      </c>
      <c r="I830" s="2">
        <v>71.87</v>
      </c>
      <c r="J830" s="2">
        <v>619.55999999999995</v>
      </c>
      <c r="K830" s="2">
        <v>420.35</v>
      </c>
      <c r="L830" s="3">
        <v>130.74</v>
      </c>
      <c r="M830" s="2">
        <v>4.05</v>
      </c>
    </row>
    <row r="831" spans="1:13">
      <c r="A831" s="9">
        <v>44749</v>
      </c>
      <c r="B831" s="1">
        <f t="shared" si="24"/>
        <v>44743</v>
      </c>
      <c r="C831" s="5" t="str">
        <f t="shared" si="25"/>
        <v>2022-07</v>
      </c>
      <c r="D831" s="3">
        <v>388.99</v>
      </c>
      <c r="E831" s="3">
        <v>175.61</v>
      </c>
      <c r="F831" s="3">
        <v>113.76</v>
      </c>
      <c r="G831" s="3">
        <v>162.22999999999999</v>
      </c>
      <c r="H831" s="3">
        <v>92.57</v>
      </c>
      <c r="I831" s="2">
        <v>71.83</v>
      </c>
      <c r="J831" s="2">
        <v>623.70000000000005</v>
      </c>
      <c r="K831" s="2">
        <v>422.19</v>
      </c>
      <c r="L831" s="3">
        <v>130.35</v>
      </c>
      <c r="M831" s="2">
        <v>4.04</v>
      </c>
    </row>
    <row r="832" spans="1:13">
      <c r="A832" s="9">
        <v>44748</v>
      </c>
      <c r="B832" s="1">
        <f t="shared" si="24"/>
        <v>44743</v>
      </c>
      <c r="C832" s="5" t="str">
        <f t="shared" si="25"/>
        <v>2022-07</v>
      </c>
      <c r="D832" s="3">
        <v>383.25</v>
      </c>
      <c r="E832" s="3">
        <v>171.55</v>
      </c>
      <c r="F832" s="3">
        <v>114.77</v>
      </c>
      <c r="G832" s="3">
        <v>162.13999999999999</v>
      </c>
      <c r="H832" s="3">
        <v>92.32</v>
      </c>
      <c r="I832" s="2">
        <v>71.66</v>
      </c>
      <c r="J832" s="2">
        <v>614.74</v>
      </c>
      <c r="K832" s="2">
        <v>425.89</v>
      </c>
      <c r="L832" s="3">
        <v>129.80000000000001</v>
      </c>
      <c r="M832" s="2">
        <v>3.91</v>
      </c>
    </row>
    <row r="833" spans="1:13">
      <c r="A833" s="9">
        <v>44747</v>
      </c>
      <c r="B833" s="1">
        <f t="shared" si="24"/>
        <v>44743</v>
      </c>
      <c r="C833" s="5" t="str">
        <f t="shared" si="25"/>
        <v>2022-07</v>
      </c>
      <c r="D833" s="3">
        <v>381.96</v>
      </c>
      <c r="E833" s="3">
        <v>172.83</v>
      </c>
      <c r="F833" s="3">
        <v>116.73</v>
      </c>
      <c r="G833" s="3">
        <v>164.75</v>
      </c>
      <c r="H833" s="3">
        <v>92.49</v>
      </c>
      <c r="I833" s="2">
        <v>71.989999999999995</v>
      </c>
      <c r="J833" s="2">
        <v>620.72</v>
      </c>
      <c r="K833" s="2">
        <v>415.25</v>
      </c>
      <c r="L833" s="3">
        <v>128.93</v>
      </c>
      <c r="M833" s="2">
        <v>3.9</v>
      </c>
    </row>
    <row r="834" spans="1:13">
      <c r="A834" s="9">
        <v>44743</v>
      </c>
      <c r="B834" s="1">
        <f t="shared" ref="B834:B897" si="26">EOMONTH(A834,-1)+1</f>
        <v>44743</v>
      </c>
      <c r="C834" s="5" t="str">
        <f t="shared" si="25"/>
        <v>2022-07</v>
      </c>
      <c r="D834" s="3">
        <v>381.24</v>
      </c>
      <c r="E834" s="3">
        <v>171.41</v>
      </c>
      <c r="F834" s="3">
        <v>115.82</v>
      </c>
      <c r="G834" s="3">
        <v>168.32</v>
      </c>
      <c r="H834" s="3">
        <v>92.75</v>
      </c>
      <c r="I834" s="2">
        <v>70.87</v>
      </c>
      <c r="J834" s="2">
        <v>616.70000000000005</v>
      </c>
      <c r="K834" s="2">
        <v>433.52</v>
      </c>
      <c r="L834" s="3">
        <v>129.68</v>
      </c>
      <c r="M834" s="2">
        <v>3.91</v>
      </c>
    </row>
    <row r="835" spans="1:13">
      <c r="A835" s="9">
        <v>44742</v>
      </c>
      <c r="B835" s="1">
        <f t="shared" si="26"/>
        <v>44713</v>
      </c>
      <c r="C835" s="5" t="str">
        <f t="shared" ref="C835:C898" si="27">TEXT(A835, "yyyy-mm")</f>
        <v>2022-06</v>
      </c>
      <c r="D835" s="3">
        <v>377.25</v>
      </c>
      <c r="E835" s="3">
        <v>169.36</v>
      </c>
      <c r="F835" s="3">
        <v>114.87</v>
      </c>
      <c r="G835" s="3">
        <v>168.46</v>
      </c>
      <c r="H835" s="3">
        <v>91.11</v>
      </c>
      <c r="I835" s="2">
        <v>69.87</v>
      </c>
      <c r="J835" s="2">
        <v>609.04</v>
      </c>
      <c r="K835" s="2">
        <v>429.96</v>
      </c>
      <c r="L835" s="3">
        <v>128.24</v>
      </c>
      <c r="M835" s="2">
        <v>4.04</v>
      </c>
    </row>
    <row r="836" spans="1:13">
      <c r="A836" s="9">
        <v>44741</v>
      </c>
      <c r="B836" s="1">
        <f t="shared" si="26"/>
        <v>44713</v>
      </c>
      <c r="C836" s="5" t="str">
        <f t="shared" si="27"/>
        <v>2022-06</v>
      </c>
      <c r="D836" s="3">
        <v>380.34</v>
      </c>
      <c r="E836" s="3">
        <v>170.69</v>
      </c>
      <c r="F836" s="3">
        <v>113.87</v>
      </c>
      <c r="G836" s="3">
        <v>169.49</v>
      </c>
      <c r="H836" s="3">
        <v>91.28</v>
      </c>
      <c r="I836" s="2">
        <v>69.209999999999994</v>
      </c>
      <c r="J836" s="2">
        <v>617.96</v>
      </c>
      <c r="K836" s="2">
        <v>418.89</v>
      </c>
      <c r="L836" s="3">
        <v>128.53</v>
      </c>
      <c r="M836" s="2">
        <v>4.1100000000000003</v>
      </c>
    </row>
    <row r="837" spans="1:13">
      <c r="A837" s="9">
        <v>44740</v>
      </c>
      <c r="B837" s="1">
        <f t="shared" si="26"/>
        <v>44713</v>
      </c>
      <c r="C837" s="5" t="str">
        <f t="shared" si="27"/>
        <v>2022-06</v>
      </c>
      <c r="D837" s="3">
        <v>380.65</v>
      </c>
      <c r="E837" s="3">
        <v>172.44</v>
      </c>
      <c r="F837" s="3">
        <v>112.12</v>
      </c>
      <c r="G837" s="3">
        <v>169.62</v>
      </c>
      <c r="H837" s="3">
        <v>91.85</v>
      </c>
      <c r="I837" s="2">
        <v>68.58</v>
      </c>
      <c r="J837" s="2">
        <v>629.12</v>
      </c>
      <c r="K837" s="2">
        <v>420.71</v>
      </c>
      <c r="L837" s="3">
        <v>127.42</v>
      </c>
      <c r="M837" s="2">
        <v>4.18</v>
      </c>
    </row>
    <row r="838" spans="1:13">
      <c r="A838" s="9">
        <v>44739</v>
      </c>
      <c r="B838" s="1">
        <f t="shared" si="26"/>
        <v>44713</v>
      </c>
      <c r="C838" s="5" t="str">
        <f t="shared" si="27"/>
        <v>2022-06</v>
      </c>
      <c r="D838" s="3">
        <v>388.59</v>
      </c>
      <c r="E838" s="3">
        <v>175.74</v>
      </c>
      <c r="F838" s="3">
        <v>111.6</v>
      </c>
      <c r="G838" s="3">
        <v>169.9</v>
      </c>
      <c r="H838" s="3">
        <v>92.98</v>
      </c>
      <c r="I838" s="2">
        <v>70.41</v>
      </c>
      <c r="J838" s="2">
        <v>636.91999999999996</v>
      </c>
      <c r="K838" s="2">
        <v>419.25</v>
      </c>
      <c r="L838" s="3">
        <v>129.68</v>
      </c>
      <c r="M838" s="2">
        <v>4.33</v>
      </c>
    </row>
    <row r="839" spans="1:13">
      <c r="A839" s="9">
        <v>44736</v>
      </c>
      <c r="B839" s="1">
        <f t="shared" si="26"/>
        <v>44713</v>
      </c>
      <c r="C839" s="5" t="str">
        <f t="shared" si="27"/>
        <v>2022-06</v>
      </c>
      <c r="D839" s="3">
        <v>390.08</v>
      </c>
      <c r="E839" s="3">
        <v>175.09</v>
      </c>
      <c r="F839" s="3">
        <v>112.56</v>
      </c>
      <c r="G839" s="3">
        <v>170.09</v>
      </c>
      <c r="H839" s="3">
        <v>93.12</v>
      </c>
      <c r="I839" s="2">
        <v>70.7</v>
      </c>
      <c r="J839" s="2">
        <v>647.78</v>
      </c>
      <c r="K839" s="2">
        <v>419.04</v>
      </c>
      <c r="L839" s="3">
        <v>129.19999999999999</v>
      </c>
      <c r="M839" s="2">
        <v>4.2699999999999996</v>
      </c>
    </row>
    <row r="840" spans="1:13">
      <c r="A840" s="9">
        <v>44735</v>
      </c>
      <c r="B840" s="1">
        <f t="shared" si="26"/>
        <v>44713</v>
      </c>
      <c r="C840" s="5" t="str">
        <f t="shared" si="27"/>
        <v>2022-06</v>
      </c>
      <c r="D840" s="3">
        <v>378.06</v>
      </c>
      <c r="E840" s="3">
        <v>169.83</v>
      </c>
      <c r="F840" s="3">
        <v>114.14</v>
      </c>
      <c r="G840" s="3">
        <v>170.26</v>
      </c>
      <c r="H840" s="3">
        <v>91.18</v>
      </c>
      <c r="I840" s="2">
        <v>67.63</v>
      </c>
      <c r="J840" s="2">
        <v>624.71</v>
      </c>
      <c r="K840" s="2">
        <v>410.62</v>
      </c>
      <c r="L840" s="3">
        <v>127.09</v>
      </c>
      <c r="M840" s="2">
        <v>4.17</v>
      </c>
    </row>
    <row r="841" spans="1:13">
      <c r="A841" s="9">
        <v>44734</v>
      </c>
      <c r="B841" s="1">
        <f t="shared" si="26"/>
        <v>44713</v>
      </c>
      <c r="C841" s="5" t="str">
        <f t="shared" si="27"/>
        <v>2022-06</v>
      </c>
      <c r="D841" s="3">
        <v>374.39</v>
      </c>
      <c r="E841" s="3">
        <v>167.82</v>
      </c>
      <c r="F841" s="3">
        <v>113.21</v>
      </c>
      <c r="G841" s="3">
        <v>171.31</v>
      </c>
      <c r="H841" s="3">
        <v>90.05</v>
      </c>
      <c r="I841" s="2">
        <v>66.53</v>
      </c>
      <c r="J841" s="2">
        <v>609.28</v>
      </c>
      <c r="K841" s="2">
        <v>415.45</v>
      </c>
      <c r="L841" s="3">
        <v>124.3</v>
      </c>
      <c r="M841" s="2">
        <v>4.34</v>
      </c>
    </row>
    <row r="842" spans="1:13">
      <c r="A842" s="9">
        <v>44733</v>
      </c>
      <c r="B842" s="1">
        <f t="shared" si="26"/>
        <v>44713</v>
      </c>
      <c r="C842" s="5" t="str">
        <f t="shared" si="27"/>
        <v>2022-06</v>
      </c>
      <c r="D842" s="3">
        <v>375.07</v>
      </c>
      <c r="E842" s="3">
        <v>168.14</v>
      </c>
      <c r="F842" s="3">
        <v>110.18</v>
      </c>
      <c r="G842" s="3">
        <v>170.63</v>
      </c>
      <c r="H842" s="3">
        <v>88.92</v>
      </c>
      <c r="I842" s="2">
        <v>67.680000000000007</v>
      </c>
      <c r="J842" s="2">
        <v>614.54</v>
      </c>
      <c r="K842" s="2">
        <v>418.96</v>
      </c>
      <c r="L842" s="3">
        <v>122.6</v>
      </c>
      <c r="M842" s="2">
        <v>4.5</v>
      </c>
    </row>
    <row r="843" spans="1:13">
      <c r="A843" s="9">
        <v>44729</v>
      </c>
      <c r="B843" s="1">
        <f t="shared" si="26"/>
        <v>44713</v>
      </c>
      <c r="C843" s="5" t="str">
        <f t="shared" si="27"/>
        <v>2022-06</v>
      </c>
      <c r="D843" s="3">
        <v>365.86</v>
      </c>
      <c r="E843" s="3">
        <v>165.18</v>
      </c>
      <c r="F843" s="3">
        <v>112.08</v>
      </c>
      <c r="G843" s="3">
        <v>171.27</v>
      </c>
      <c r="H843" s="3">
        <v>87.7</v>
      </c>
      <c r="I843" s="2">
        <v>67.72</v>
      </c>
      <c r="J843" s="2">
        <v>582.26</v>
      </c>
      <c r="K843" s="2">
        <v>404.01</v>
      </c>
      <c r="L843" s="3">
        <v>119.89</v>
      </c>
      <c r="M843" s="2">
        <v>4.3099999999999996</v>
      </c>
    </row>
    <row r="844" spans="1:13">
      <c r="A844" s="9">
        <v>44728</v>
      </c>
      <c r="B844" s="1">
        <f t="shared" si="26"/>
        <v>44713</v>
      </c>
      <c r="C844" s="5" t="str">
        <f t="shared" si="27"/>
        <v>2022-06</v>
      </c>
      <c r="D844" s="3">
        <v>366.65</v>
      </c>
      <c r="E844" s="3">
        <v>163.9</v>
      </c>
      <c r="F844" s="3">
        <v>111.72</v>
      </c>
      <c r="G844" s="3">
        <v>172.69</v>
      </c>
      <c r="H844" s="3">
        <v>87.04</v>
      </c>
      <c r="I844" s="2">
        <v>68.709999999999994</v>
      </c>
      <c r="J844" s="2">
        <v>585.77</v>
      </c>
      <c r="K844" s="2">
        <v>404.79</v>
      </c>
      <c r="L844" s="3">
        <v>119.96</v>
      </c>
      <c r="M844" s="2">
        <v>4.29</v>
      </c>
    </row>
    <row r="845" spans="1:13">
      <c r="A845" s="9">
        <v>44727</v>
      </c>
      <c r="B845" s="1">
        <f t="shared" si="26"/>
        <v>44713</v>
      </c>
      <c r="C845" s="5" t="str">
        <f t="shared" si="27"/>
        <v>2022-06</v>
      </c>
      <c r="D845" s="3">
        <v>379.2</v>
      </c>
      <c r="E845" s="3">
        <v>171.86</v>
      </c>
      <c r="F845" s="3">
        <v>110.84</v>
      </c>
      <c r="G845" s="3">
        <v>170.77</v>
      </c>
      <c r="H845" s="3">
        <v>89.39</v>
      </c>
      <c r="I845" s="2">
        <v>69.7</v>
      </c>
      <c r="J845" s="2">
        <v>599.9</v>
      </c>
      <c r="K845" s="2">
        <v>414.1</v>
      </c>
      <c r="L845" s="3">
        <v>121.75</v>
      </c>
      <c r="M845" s="2">
        <v>4.72</v>
      </c>
    </row>
    <row r="846" spans="1:13">
      <c r="A846" s="9">
        <v>44726</v>
      </c>
      <c r="B846" s="1">
        <f t="shared" si="26"/>
        <v>44713</v>
      </c>
      <c r="C846" s="5" t="str">
        <f t="shared" si="27"/>
        <v>2022-06</v>
      </c>
      <c r="D846" s="3">
        <v>373.87</v>
      </c>
      <c r="E846" s="3">
        <v>169.38</v>
      </c>
      <c r="F846" s="3">
        <v>108.81</v>
      </c>
      <c r="G846" s="3">
        <v>168.57</v>
      </c>
      <c r="H846" s="3">
        <v>87.32</v>
      </c>
      <c r="I846" s="2">
        <v>70.72</v>
      </c>
      <c r="J846" s="2">
        <v>591.23</v>
      </c>
      <c r="K846" s="2">
        <v>416.17</v>
      </c>
      <c r="L846" s="3">
        <v>120.53</v>
      </c>
      <c r="M846" s="2">
        <v>4.6399999999999997</v>
      </c>
    </row>
    <row r="847" spans="1:13">
      <c r="A847" s="9">
        <v>44725</v>
      </c>
      <c r="B847" s="1">
        <f t="shared" si="26"/>
        <v>44713</v>
      </c>
      <c r="C847" s="5" t="str">
        <f t="shared" si="27"/>
        <v>2022-06</v>
      </c>
      <c r="D847" s="3">
        <v>375</v>
      </c>
      <c r="E847" s="3">
        <v>170.2</v>
      </c>
      <c r="F847" s="3">
        <v>110.2</v>
      </c>
      <c r="G847" s="3">
        <v>169.93</v>
      </c>
      <c r="H847" s="3">
        <v>87.99</v>
      </c>
      <c r="I847" s="2">
        <v>64.05</v>
      </c>
      <c r="J847" s="2">
        <v>598.72</v>
      </c>
      <c r="K847" s="2">
        <v>423.93</v>
      </c>
      <c r="L847" s="3">
        <v>121.69</v>
      </c>
      <c r="M847" s="2">
        <v>4.6900000000000004</v>
      </c>
    </row>
    <row r="848" spans="1:13">
      <c r="A848" s="9">
        <v>44722</v>
      </c>
      <c r="B848" s="1">
        <f t="shared" si="26"/>
        <v>44713</v>
      </c>
      <c r="C848" s="5" t="str">
        <f t="shared" si="27"/>
        <v>2022-06</v>
      </c>
      <c r="D848" s="3">
        <v>389.8</v>
      </c>
      <c r="E848" s="3">
        <v>178.59</v>
      </c>
      <c r="F848" s="3">
        <v>113.77</v>
      </c>
      <c r="G848" s="3">
        <v>174.54</v>
      </c>
      <c r="H848" s="3">
        <v>92.62</v>
      </c>
      <c r="I848" s="2">
        <v>67.14</v>
      </c>
      <c r="J848" s="2">
        <v>617.66999999999996</v>
      </c>
      <c r="K848" s="2">
        <v>430.19</v>
      </c>
      <c r="L848" s="3">
        <v>125.49</v>
      </c>
      <c r="M848" s="2">
        <v>4.88</v>
      </c>
    </row>
    <row r="849" spans="1:13">
      <c r="A849" s="9">
        <v>44721</v>
      </c>
      <c r="B849" s="1">
        <f t="shared" si="26"/>
        <v>44713</v>
      </c>
      <c r="C849" s="5" t="str">
        <f t="shared" si="27"/>
        <v>2022-06</v>
      </c>
      <c r="D849" s="3">
        <v>401.44</v>
      </c>
      <c r="E849" s="3">
        <v>183.57</v>
      </c>
      <c r="F849" s="3">
        <v>114.48</v>
      </c>
      <c r="G849" s="3">
        <v>172.23</v>
      </c>
      <c r="H849" s="3">
        <v>94.72</v>
      </c>
      <c r="I849" s="2">
        <v>69.22</v>
      </c>
      <c r="J849" s="2">
        <v>659.85</v>
      </c>
      <c r="K849" s="2">
        <v>432.72</v>
      </c>
      <c r="L849" s="3">
        <v>127.54</v>
      </c>
      <c r="M849" s="2">
        <v>5.0199999999999996</v>
      </c>
    </row>
    <row r="850" spans="1:13">
      <c r="A850" s="9">
        <v>44720</v>
      </c>
      <c r="B850" s="1">
        <f t="shared" si="26"/>
        <v>44713</v>
      </c>
      <c r="C850" s="5" t="str">
        <f t="shared" si="27"/>
        <v>2022-06</v>
      </c>
      <c r="D850" s="3">
        <v>411.22</v>
      </c>
      <c r="E850" s="3">
        <v>187.95</v>
      </c>
      <c r="F850" s="3">
        <v>114.1</v>
      </c>
      <c r="G850" s="3">
        <v>172.78</v>
      </c>
      <c r="H850" s="3">
        <v>97.02</v>
      </c>
      <c r="I850" s="2">
        <v>71.38</v>
      </c>
      <c r="J850" s="2">
        <v>662.41</v>
      </c>
      <c r="K850" s="2">
        <v>443.41</v>
      </c>
      <c r="L850" s="3">
        <v>130.49</v>
      </c>
      <c r="M850" s="2">
        <v>5.43</v>
      </c>
    </row>
    <row r="851" spans="1:13">
      <c r="A851" s="9">
        <v>44719</v>
      </c>
      <c r="B851" s="1">
        <f t="shared" si="26"/>
        <v>44713</v>
      </c>
      <c r="C851" s="5" t="str">
        <f t="shared" si="27"/>
        <v>2022-06</v>
      </c>
      <c r="D851" s="3">
        <v>415.74</v>
      </c>
      <c r="E851" s="3">
        <v>190.9</v>
      </c>
      <c r="F851" s="3">
        <v>115.12</v>
      </c>
      <c r="G851" s="3">
        <v>172.94</v>
      </c>
      <c r="H851" s="3">
        <v>99.31</v>
      </c>
      <c r="I851" s="2">
        <v>72.69</v>
      </c>
      <c r="J851" s="2">
        <v>679.61</v>
      </c>
      <c r="K851" s="2">
        <v>456.3</v>
      </c>
      <c r="L851" s="3">
        <v>131.53</v>
      </c>
      <c r="M851" s="2">
        <v>5.62</v>
      </c>
    </row>
    <row r="852" spans="1:13">
      <c r="A852" s="9">
        <v>44718</v>
      </c>
      <c r="B852" s="1">
        <f t="shared" si="26"/>
        <v>44713</v>
      </c>
      <c r="C852" s="5" t="str">
        <f t="shared" si="27"/>
        <v>2022-06</v>
      </c>
      <c r="D852" s="3">
        <v>411.79</v>
      </c>
      <c r="E852" s="3">
        <v>187.87</v>
      </c>
      <c r="F852" s="3">
        <v>113.89</v>
      </c>
      <c r="G852" s="3">
        <v>171.82</v>
      </c>
      <c r="H852" s="3">
        <v>97.96</v>
      </c>
      <c r="I852" s="2">
        <v>72.97</v>
      </c>
      <c r="J852" s="2">
        <v>675.34</v>
      </c>
      <c r="K852" s="2">
        <v>443.41</v>
      </c>
      <c r="L852" s="3">
        <v>129.84</v>
      </c>
      <c r="M852" s="2">
        <v>5.5</v>
      </c>
    </row>
    <row r="853" spans="1:13">
      <c r="A853" s="9">
        <v>44715</v>
      </c>
      <c r="B853" s="1">
        <f t="shared" si="26"/>
        <v>44713</v>
      </c>
      <c r="C853" s="5" t="str">
        <f t="shared" si="27"/>
        <v>2022-06</v>
      </c>
      <c r="D853" s="3">
        <v>410.54</v>
      </c>
      <c r="E853" s="3">
        <v>187.06</v>
      </c>
      <c r="F853" s="3">
        <v>116.03</v>
      </c>
      <c r="G853" s="3">
        <v>172.58</v>
      </c>
      <c r="H853" s="3">
        <v>98.27</v>
      </c>
      <c r="I853" s="2">
        <v>71.790000000000006</v>
      </c>
      <c r="J853" s="2">
        <v>671.74</v>
      </c>
      <c r="K853" s="2">
        <v>442.69</v>
      </c>
      <c r="L853" s="3">
        <v>129.82</v>
      </c>
      <c r="M853" s="2">
        <v>5.48</v>
      </c>
    </row>
    <row r="854" spans="1:13">
      <c r="A854" s="9">
        <v>44714</v>
      </c>
      <c r="B854" s="1">
        <f t="shared" si="26"/>
        <v>44713</v>
      </c>
      <c r="C854" s="5" t="str">
        <f t="shared" si="27"/>
        <v>2022-06</v>
      </c>
      <c r="D854" s="3">
        <v>417.39</v>
      </c>
      <c r="E854" s="3">
        <v>188.76</v>
      </c>
      <c r="F854" s="3">
        <v>116.28</v>
      </c>
      <c r="G854" s="3">
        <v>174.35</v>
      </c>
      <c r="H854" s="3">
        <v>99.6</v>
      </c>
      <c r="I854" s="2">
        <v>73.14</v>
      </c>
      <c r="J854" s="2">
        <v>686.49</v>
      </c>
      <c r="K854" s="2">
        <v>441.11</v>
      </c>
      <c r="L854" s="3">
        <v>131.36000000000001</v>
      </c>
      <c r="M854" s="2">
        <v>5.55</v>
      </c>
    </row>
    <row r="855" spans="1:13">
      <c r="A855" s="9">
        <v>44713</v>
      </c>
      <c r="B855" s="1">
        <f t="shared" si="26"/>
        <v>44713</v>
      </c>
      <c r="C855" s="5" t="str">
        <f t="shared" si="27"/>
        <v>2022-06</v>
      </c>
      <c r="D855" s="3">
        <v>409.59</v>
      </c>
      <c r="E855" s="3">
        <v>184.26</v>
      </c>
      <c r="F855" s="3">
        <v>116.22</v>
      </c>
      <c r="G855" s="3">
        <v>172.23</v>
      </c>
      <c r="H855" s="3">
        <v>98.25</v>
      </c>
      <c r="I855" s="2">
        <v>71.599999999999994</v>
      </c>
      <c r="J855" s="2">
        <v>660.51</v>
      </c>
      <c r="K855" s="2">
        <v>439.3</v>
      </c>
      <c r="L855" s="3">
        <v>130.33000000000001</v>
      </c>
      <c r="M855" s="2">
        <v>5.17</v>
      </c>
    </row>
    <row r="856" spans="1:13">
      <c r="A856" s="9">
        <v>44712</v>
      </c>
      <c r="B856" s="1">
        <f t="shared" si="26"/>
        <v>44682</v>
      </c>
      <c r="C856" s="5" t="str">
        <f t="shared" si="27"/>
        <v>2022-05</v>
      </c>
      <c r="D856" s="3">
        <v>412.93</v>
      </c>
      <c r="E856" s="3">
        <v>185.31</v>
      </c>
      <c r="F856" s="3">
        <v>116.56</v>
      </c>
      <c r="G856" s="3">
        <v>171.14</v>
      </c>
      <c r="H856" s="3">
        <v>99.07</v>
      </c>
      <c r="I856" s="2">
        <v>71.92</v>
      </c>
      <c r="J856" s="2">
        <v>669.08</v>
      </c>
      <c r="K856" s="2">
        <v>440.11</v>
      </c>
      <c r="L856" s="3">
        <v>132.22999999999999</v>
      </c>
      <c r="M856" s="2">
        <v>5.01</v>
      </c>
    </row>
    <row r="857" spans="1:13">
      <c r="A857" s="9">
        <v>44708</v>
      </c>
      <c r="B857" s="1">
        <f t="shared" si="26"/>
        <v>44682</v>
      </c>
      <c r="C857" s="5" t="str">
        <f t="shared" si="27"/>
        <v>2022-05</v>
      </c>
      <c r="D857" s="3">
        <v>415.26</v>
      </c>
      <c r="E857" s="3">
        <v>187.64</v>
      </c>
      <c r="F857" s="3">
        <v>119.08</v>
      </c>
      <c r="G857" s="3">
        <v>172.85</v>
      </c>
      <c r="H857" s="3">
        <v>100.3</v>
      </c>
      <c r="I857" s="2">
        <v>72.78</v>
      </c>
      <c r="J857" s="2">
        <v>666.53</v>
      </c>
      <c r="K857" s="2">
        <v>450.56</v>
      </c>
      <c r="L857" s="3">
        <v>134.02000000000001</v>
      </c>
      <c r="M857" s="2">
        <v>4.95</v>
      </c>
    </row>
    <row r="858" spans="1:13">
      <c r="A858" s="9">
        <v>44707</v>
      </c>
      <c r="B858" s="1">
        <f t="shared" si="26"/>
        <v>44682</v>
      </c>
      <c r="C858" s="5" t="str">
        <f t="shared" si="27"/>
        <v>2022-05</v>
      </c>
      <c r="D858" s="3">
        <v>405.31</v>
      </c>
      <c r="E858" s="3">
        <v>182.72</v>
      </c>
      <c r="F858" s="3">
        <v>118.79</v>
      </c>
      <c r="G858" s="3">
        <v>172.76</v>
      </c>
      <c r="H858" s="3">
        <v>97.68</v>
      </c>
      <c r="I858" s="2">
        <v>71.66</v>
      </c>
      <c r="J858" s="2">
        <v>652.44000000000005</v>
      </c>
      <c r="K858" s="2">
        <v>447.99</v>
      </c>
      <c r="L858" s="3">
        <v>131.83000000000001</v>
      </c>
      <c r="M858" s="2">
        <v>4.93</v>
      </c>
    </row>
    <row r="859" spans="1:13">
      <c r="A859" s="9">
        <v>44706</v>
      </c>
      <c r="B859" s="1">
        <f t="shared" si="26"/>
        <v>44682</v>
      </c>
      <c r="C859" s="5" t="str">
        <f t="shared" si="27"/>
        <v>2022-05</v>
      </c>
      <c r="D859" s="3">
        <v>397.37</v>
      </c>
      <c r="E859" s="3">
        <v>178.73</v>
      </c>
      <c r="F859" s="3">
        <v>119.33</v>
      </c>
      <c r="G859" s="3">
        <v>173.08</v>
      </c>
      <c r="H859" s="3">
        <v>97.56</v>
      </c>
      <c r="I859" s="2">
        <v>69.83</v>
      </c>
      <c r="J859" s="2">
        <v>626.6</v>
      </c>
      <c r="K859" s="2">
        <v>447.54</v>
      </c>
      <c r="L859" s="3">
        <v>131.27000000000001</v>
      </c>
      <c r="M859" s="2">
        <v>4.88</v>
      </c>
    </row>
    <row r="860" spans="1:13">
      <c r="A860" s="9">
        <v>44705</v>
      </c>
      <c r="B860" s="1">
        <f t="shared" si="26"/>
        <v>44682</v>
      </c>
      <c r="C860" s="5" t="str">
        <f t="shared" si="27"/>
        <v>2022-05</v>
      </c>
      <c r="D860" s="3">
        <v>393.89</v>
      </c>
      <c r="E860" s="3">
        <v>175.57</v>
      </c>
      <c r="F860" s="3">
        <v>118.86</v>
      </c>
      <c r="G860" s="3">
        <v>174.13</v>
      </c>
      <c r="H860" s="3">
        <v>96.74</v>
      </c>
      <c r="I860" s="2">
        <v>69.03</v>
      </c>
      <c r="J860" s="2">
        <v>618.35</v>
      </c>
      <c r="K860" s="2">
        <v>442.78</v>
      </c>
      <c r="L860" s="3">
        <v>131.31</v>
      </c>
      <c r="M860" s="2">
        <v>4.75</v>
      </c>
    </row>
    <row r="861" spans="1:13">
      <c r="A861" s="9">
        <v>44704</v>
      </c>
      <c r="B861" s="1">
        <f t="shared" si="26"/>
        <v>44682</v>
      </c>
      <c r="C861" s="5" t="str">
        <f t="shared" si="27"/>
        <v>2022-05</v>
      </c>
      <c r="D861" s="3">
        <v>396.92</v>
      </c>
      <c r="E861" s="3">
        <v>178.21</v>
      </c>
      <c r="F861" s="3">
        <v>116.56</v>
      </c>
      <c r="G861" s="3">
        <v>172.83</v>
      </c>
      <c r="H861" s="3">
        <v>95.93</v>
      </c>
      <c r="I861" s="2">
        <v>70.040000000000006</v>
      </c>
      <c r="J861" s="2">
        <v>611.51</v>
      </c>
      <c r="K861" s="2">
        <v>433.03</v>
      </c>
      <c r="L861" s="3">
        <v>130.91999999999999</v>
      </c>
      <c r="M861" s="2">
        <v>4.93</v>
      </c>
    </row>
    <row r="862" spans="1:13">
      <c r="A862" s="9">
        <v>44701</v>
      </c>
      <c r="B862" s="1">
        <f t="shared" si="26"/>
        <v>44682</v>
      </c>
      <c r="C862" s="5" t="str">
        <f t="shared" si="27"/>
        <v>2022-05</v>
      </c>
      <c r="D862" s="3">
        <v>389.63</v>
      </c>
      <c r="E862" s="3">
        <v>176.08</v>
      </c>
      <c r="F862" s="3">
        <v>118.51</v>
      </c>
      <c r="G862" s="3">
        <v>172.03</v>
      </c>
      <c r="H862" s="3">
        <v>94.83</v>
      </c>
      <c r="I862" s="2">
        <v>68.63</v>
      </c>
      <c r="J862" s="2">
        <v>600.44000000000005</v>
      </c>
      <c r="K862" s="2">
        <v>424.15</v>
      </c>
      <c r="L862" s="3">
        <v>129.78</v>
      </c>
      <c r="M862" s="2">
        <v>4.9800000000000004</v>
      </c>
    </row>
    <row r="863" spans="1:13">
      <c r="A863" s="9">
        <v>44700</v>
      </c>
      <c r="B863" s="1">
        <f t="shared" si="26"/>
        <v>44682</v>
      </c>
      <c r="C863" s="5" t="str">
        <f t="shared" si="27"/>
        <v>2022-05</v>
      </c>
      <c r="D863" s="3">
        <v>389.46</v>
      </c>
      <c r="E863" s="3">
        <v>176.53</v>
      </c>
      <c r="F863" s="3">
        <v>117.18</v>
      </c>
      <c r="G863" s="3">
        <v>171.91</v>
      </c>
      <c r="H863" s="3">
        <v>94.23</v>
      </c>
      <c r="I863" s="2">
        <v>67.040000000000006</v>
      </c>
      <c r="J863" s="2">
        <v>593.08000000000004</v>
      </c>
      <c r="K863" s="2">
        <v>425.62</v>
      </c>
      <c r="L863" s="3">
        <v>128.22</v>
      </c>
      <c r="M863" s="2">
        <v>5.04</v>
      </c>
    </row>
    <row r="864" spans="1:13">
      <c r="A864" s="9">
        <v>44699</v>
      </c>
      <c r="B864" s="1">
        <f t="shared" si="26"/>
        <v>44682</v>
      </c>
      <c r="C864" s="5" t="str">
        <f t="shared" si="27"/>
        <v>2022-05</v>
      </c>
      <c r="D864" s="3">
        <v>391.86</v>
      </c>
      <c r="E864" s="3">
        <v>176.24</v>
      </c>
      <c r="F864" s="3">
        <v>116.9</v>
      </c>
      <c r="G864" s="3">
        <v>169.42</v>
      </c>
      <c r="H864" s="3">
        <v>94.65</v>
      </c>
      <c r="I864" s="2">
        <v>68.3</v>
      </c>
      <c r="J864" s="2">
        <v>591.86</v>
      </c>
      <c r="K864" s="2">
        <v>434.33</v>
      </c>
      <c r="L864" s="3">
        <v>127.94</v>
      </c>
      <c r="M864" s="2">
        <v>5.24</v>
      </c>
    </row>
    <row r="865" spans="1:13">
      <c r="A865" s="9">
        <v>44698</v>
      </c>
      <c r="B865" s="1">
        <f t="shared" si="26"/>
        <v>44682</v>
      </c>
      <c r="C865" s="5" t="str">
        <f t="shared" si="27"/>
        <v>2022-05</v>
      </c>
      <c r="D865" s="3">
        <v>408.32</v>
      </c>
      <c r="E865" s="3">
        <v>182.64</v>
      </c>
      <c r="F865" s="3">
        <v>114.46</v>
      </c>
      <c r="G865" s="3">
        <v>169.33</v>
      </c>
      <c r="H865" s="3">
        <v>97.48</v>
      </c>
      <c r="I865" s="2">
        <v>71.88</v>
      </c>
      <c r="J865" s="2">
        <v>611.72</v>
      </c>
      <c r="K865" s="2">
        <v>441</v>
      </c>
      <c r="L865" s="3">
        <v>131.33000000000001</v>
      </c>
      <c r="M865" s="2">
        <v>5.41</v>
      </c>
    </row>
    <row r="866" spans="1:13">
      <c r="A866" s="9">
        <v>44697</v>
      </c>
      <c r="B866" s="1">
        <f t="shared" si="26"/>
        <v>44682</v>
      </c>
      <c r="C866" s="5" t="str">
        <f t="shared" si="27"/>
        <v>2022-05</v>
      </c>
      <c r="D866" s="3">
        <v>400.09</v>
      </c>
      <c r="E866" s="3">
        <v>177.22</v>
      </c>
      <c r="F866" s="3">
        <v>115.86</v>
      </c>
      <c r="G866" s="3">
        <v>170.4</v>
      </c>
      <c r="H866" s="3">
        <v>96.17</v>
      </c>
      <c r="I866" s="2">
        <v>69.709999999999994</v>
      </c>
      <c r="J866" s="2">
        <v>598.6</v>
      </c>
      <c r="K866" s="2">
        <v>437.55</v>
      </c>
      <c r="L866" s="3">
        <v>129.55000000000001</v>
      </c>
      <c r="M866" s="2">
        <v>5.26</v>
      </c>
    </row>
    <row r="867" spans="1:13">
      <c r="A867" s="9">
        <v>44694</v>
      </c>
      <c r="B867" s="1">
        <f t="shared" si="26"/>
        <v>44682</v>
      </c>
      <c r="C867" s="5" t="str">
        <f t="shared" si="27"/>
        <v>2022-05</v>
      </c>
      <c r="D867" s="3">
        <v>401.72</v>
      </c>
      <c r="E867" s="3">
        <v>178.07</v>
      </c>
      <c r="F867" s="3">
        <v>115.98</v>
      </c>
      <c r="G867" s="3">
        <v>168.79</v>
      </c>
      <c r="H867" s="3">
        <v>96.78</v>
      </c>
      <c r="I867" s="2">
        <v>71.17</v>
      </c>
      <c r="J867" s="2">
        <v>615.33000000000004</v>
      </c>
      <c r="K867" s="2">
        <v>435.17</v>
      </c>
      <c r="L867" s="3">
        <v>128.6</v>
      </c>
      <c r="M867" s="2">
        <v>5.24</v>
      </c>
    </row>
    <row r="868" spans="1:13">
      <c r="A868" s="9">
        <v>44693</v>
      </c>
      <c r="B868" s="1">
        <f t="shared" si="26"/>
        <v>44682</v>
      </c>
      <c r="C868" s="5" t="str">
        <f t="shared" si="27"/>
        <v>2022-05</v>
      </c>
      <c r="D868" s="3">
        <v>392.34</v>
      </c>
      <c r="E868" s="3">
        <v>172.6</v>
      </c>
      <c r="F868" s="3">
        <v>117.72</v>
      </c>
      <c r="G868" s="3">
        <v>170.17</v>
      </c>
      <c r="H868" s="3">
        <v>94.29</v>
      </c>
      <c r="I868" s="2">
        <v>70.73</v>
      </c>
      <c r="J868" s="2">
        <v>600.4</v>
      </c>
      <c r="K868" s="2">
        <v>434.59</v>
      </c>
      <c r="L868" s="3">
        <v>127.25</v>
      </c>
      <c r="M868" s="2">
        <v>5.1100000000000003</v>
      </c>
    </row>
    <row r="869" spans="1:13">
      <c r="A869" s="9">
        <v>44692</v>
      </c>
      <c r="B869" s="1">
        <f t="shared" si="26"/>
        <v>44682</v>
      </c>
      <c r="C869" s="5" t="str">
        <f t="shared" si="27"/>
        <v>2022-05</v>
      </c>
      <c r="D869" s="3">
        <v>392.75</v>
      </c>
      <c r="E869" s="3">
        <v>170.6</v>
      </c>
      <c r="F869" s="3">
        <v>117.94</v>
      </c>
      <c r="G869" s="3">
        <v>172.82</v>
      </c>
      <c r="H869" s="3">
        <v>93.56</v>
      </c>
      <c r="I869" s="2">
        <v>71.03</v>
      </c>
      <c r="J869" s="2">
        <v>600.35</v>
      </c>
      <c r="K869" s="2">
        <v>440.41</v>
      </c>
      <c r="L869" s="3">
        <v>126.03</v>
      </c>
      <c r="M869" s="2">
        <v>4.9400000000000004</v>
      </c>
    </row>
    <row r="870" spans="1:13">
      <c r="A870" s="9">
        <v>44691</v>
      </c>
      <c r="B870" s="1">
        <f t="shared" si="26"/>
        <v>44682</v>
      </c>
      <c r="C870" s="5" t="str">
        <f t="shared" si="27"/>
        <v>2022-05</v>
      </c>
      <c r="D870" s="3">
        <v>399.09</v>
      </c>
      <c r="E870" s="3">
        <v>174.95</v>
      </c>
      <c r="F870" s="3">
        <v>115.71</v>
      </c>
      <c r="G870" s="3">
        <v>171.42</v>
      </c>
      <c r="H870" s="3">
        <v>93.76</v>
      </c>
      <c r="I870" s="2">
        <v>72.53</v>
      </c>
      <c r="J870" s="2">
        <v>610.23</v>
      </c>
      <c r="K870" s="2">
        <v>439.13</v>
      </c>
      <c r="L870" s="3">
        <v>126.87</v>
      </c>
      <c r="M870" s="2">
        <v>5.1100000000000003</v>
      </c>
    </row>
    <row r="871" spans="1:13">
      <c r="A871" s="9">
        <v>44690</v>
      </c>
      <c r="B871" s="1">
        <f t="shared" si="26"/>
        <v>44682</v>
      </c>
      <c r="C871" s="5" t="str">
        <f t="shared" si="27"/>
        <v>2022-05</v>
      </c>
      <c r="D871" s="3">
        <v>398.17</v>
      </c>
      <c r="E871" s="3">
        <v>174.9</v>
      </c>
      <c r="F871" s="3">
        <v>114.67</v>
      </c>
      <c r="G871" s="3">
        <v>172.88</v>
      </c>
      <c r="H871" s="3">
        <v>95.5</v>
      </c>
      <c r="I871" s="2">
        <v>71.540000000000006</v>
      </c>
      <c r="J871" s="2">
        <v>605.55999999999995</v>
      </c>
      <c r="K871" s="2">
        <v>438.84</v>
      </c>
      <c r="L871" s="3">
        <v>126.42</v>
      </c>
      <c r="M871" s="2">
        <v>4.92</v>
      </c>
    </row>
    <row r="872" spans="1:13">
      <c r="A872" s="9">
        <v>44687</v>
      </c>
      <c r="B872" s="1">
        <f t="shared" si="26"/>
        <v>44682</v>
      </c>
      <c r="C872" s="5" t="str">
        <f t="shared" si="27"/>
        <v>2022-05</v>
      </c>
      <c r="D872" s="3">
        <v>411.34</v>
      </c>
      <c r="E872" s="3">
        <v>182.58</v>
      </c>
      <c r="F872" s="3">
        <v>113.67</v>
      </c>
      <c r="G872" s="3">
        <v>175.42</v>
      </c>
      <c r="H872" s="3">
        <v>99.9</v>
      </c>
      <c r="I872" s="2">
        <v>72.489999999999995</v>
      </c>
      <c r="J872" s="2">
        <v>628.62</v>
      </c>
      <c r="K872" s="2">
        <v>449.43</v>
      </c>
      <c r="L872" s="3">
        <v>129.78</v>
      </c>
      <c r="M872" s="2">
        <v>5.12</v>
      </c>
    </row>
    <row r="873" spans="1:13">
      <c r="A873" s="9">
        <v>44686</v>
      </c>
      <c r="B873" s="1">
        <f t="shared" si="26"/>
        <v>44682</v>
      </c>
      <c r="C873" s="5" t="str">
        <f t="shared" si="27"/>
        <v>2022-05</v>
      </c>
      <c r="D873" s="3">
        <v>413.81</v>
      </c>
      <c r="E873" s="3">
        <v>185.67</v>
      </c>
      <c r="F873" s="3">
        <v>115.37</v>
      </c>
      <c r="G873" s="3">
        <v>175.13</v>
      </c>
      <c r="H873" s="3">
        <v>101.1</v>
      </c>
      <c r="I873" s="2">
        <v>72.8</v>
      </c>
      <c r="J873" s="2">
        <v>633.80999999999995</v>
      </c>
      <c r="K873" s="2">
        <v>443.15</v>
      </c>
      <c r="L873" s="3">
        <v>130.19</v>
      </c>
      <c r="M873" s="2">
        <v>5.3</v>
      </c>
    </row>
    <row r="874" spans="1:13">
      <c r="A874" s="9">
        <v>44685</v>
      </c>
      <c r="B874" s="1">
        <f t="shared" si="26"/>
        <v>44682</v>
      </c>
      <c r="C874" s="5" t="str">
        <f t="shared" si="27"/>
        <v>2022-05</v>
      </c>
      <c r="D874" s="3">
        <v>429.06</v>
      </c>
      <c r="E874" s="3">
        <v>193.52</v>
      </c>
      <c r="F874" s="3">
        <v>118.62</v>
      </c>
      <c r="G874" s="3">
        <v>175.8</v>
      </c>
      <c r="H874" s="3">
        <v>103.87</v>
      </c>
      <c r="I874" s="2">
        <v>75.209999999999994</v>
      </c>
      <c r="J874" s="2">
        <v>665.23</v>
      </c>
      <c r="K874" s="2">
        <v>445.74</v>
      </c>
      <c r="L874" s="3">
        <v>132.77000000000001</v>
      </c>
      <c r="M874" s="2">
        <v>5.67</v>
      </c>
    </row>
    <row r="875" spans="1:13">
      <c r="A875" s="9">
        <v>44684</v>
      </c>
      <c r="B875" s="1">
        <f t="shared" si="26"/>
        <v>44682</v>
      </c>
      <c r="C875" s="5" t="str">
        <f t="shared" si="27"/>
        <v>2022-05</v>
      </c>
      <c r="D875" s="3">
        <v>416.38</v>
      </c>
      <c r="E875" s="3">
        <v>188.49</v>
      </c>
      <c r="F875" s="3">
        <v>117.97</v>
      </c>
      <c r="G875" s="3">
        <v>174.09</v>
      </c>
      <c r="H875" s="3">
        <v>102.69</v>
      </c>
      <c r="I875" s="2">
        <v>73.290000000000006</v>
      </c>
      <c r="J875" s="2">
        <v>631.05999999999995</v>
      </c>
      <c r="K875" s="2">
        <v>434.77</v>
      </c>
      <c r="L875" s="3">
        <v>129.88999999999999</v>
      </c>
      <c r="M875" s="2">
        <v>4.32</v>
      </c>
    </row>
    <row r="876" spans="1:13">
      <c r="A876" s="9">
        <v>44683</v>
      </c>
      <c r="B876" s="1">
        <f t="shared" si="26"/>
        <v>44682</v>
      </c>
      <c r="C876" s="5" t="str">
        <f t="shared" si="27"/>
        <v>2022-05</v>
      </c>
      <c r="D876" s="3">
        <v>414.48</v>
      </c>
      <c r="E876" s="3">
        <v>186.89</v>
      </c>
      <c r="F876" s="3">
        <v>117.18</v>
      </c>
      <c r="G876" s="3">
        <v>173.63</v>
      </c>
      <c r="H876" s="3">
        <v>101.43</v>
      </c>
      <c r="I876" s="2">
        <v>74</v>
      </c>
      <c r="J876" s="2">
        <v>624.79999999999995</v>
      </c>
      <c r="K876" s="2">
        <v>430.81</v>
      </c>
      <c r="L876" s="3">
        <v>129.47999999999999</v>
      </c>
      <c r="M876" s="2">
        <v>4.24</v>
      </c>
    </row>
    <row r="877" spans="1:13">
      <c r="A877" s="9">
        <v>44680</v>
      </c>
      <c r="B877" s="1">
        <f t="shared" si="26"/>
        <v>44652</v>
      </c>
      <c r="C877" s="5" t="str">
        <f t="shared" si="27"/>
        <v>2022-04</v>
      </c>
      <c r="D877" s="3">
        <v>412</v>
      </c>
      <c r="E877" s="3">
        <v>184.95</v>
      </c>
      <c r="F877" s="3">
        <v>119.45</v>
      </c>
      <c r="G877" s="3">
        <v>176.91</v>
      </c>
      <c r="H877" s="3">
        <v>103.94</v>
      </c>
      <c r="I877" s="2">
        <v>73.400000000000006</v>
      </c>
      <c r="J877" s="2">
        <v>624.67999999999995</v>
      </c>
      <c r="K877" s="2">
        <v>432.12</v>
      </c>
      <c r="L877" s="3">
        <v>130.29</v>
      </c>
      <c r="M877" s="2">
        <v>4.21</v>
      </c>
    </row>
    <row r="878" spans="1:13">
      <c r="A878" s="9">
        <v>44679</v>
      </c>
      <c r="B878" s="1">
        <f t="shared" si="26"/>
        <v>44652</v>
      </c>
      <c r="C878" s="5" t="str">
        <f t="shared" si="27"/>
        <v>2022-04</v>
      </c>
      <c r="D878" s="3">
        <v>427.81</v>
      </c>
      <c r="E878" s="3">
        <v>190.45</v>
      </c>
      <c r="F878" s="3">
        <v>121.02</v>
      </c>
      <c r="G878" s="3">
        <v>176.93</v>
      </c>
      <c r="H878" s="3">
        <v>108.94</v>
      </c>
      <c r="I878" s="2">
        <v>76.14</v>
      </c>
      <c r="J878" s="2">
        <v>650.97</v>
      </c>
      <c r="K878" s="2">
        <v>441.71</v>
      </c>
      <c r="L878" s="3">
        <v>133.72999999999999</v>
      </c>
      <c r="M878" s="2">
        <v>4.3</v>
      </c>
    </row>
    <row r="879" spans="1:13">
      <c r="A879" s="9">
        <v>44678</v>
      </c>
      <c r="B879" s="1">
        <f t="shared" si="26"/>
        <v>44652</v>
      </c>
      <c r="C879" s="5" t="str">
        <f t="shared" si="27"/>
        <v>2022-04</v>
      </c>
      <c r="D879" s="3">
        <v>417.27</v>
      </c>
      <c r="E879" s="3">
        <v>186.96</v>
      </c>
      <c r="F879" s="3">
        <v>120.84</v>
      </c>
      <c r="G879" s="3">
        <v>175.98</v>
      </c>
      <c r="H879" s="3">
        <v>106.97</v>
      </c>
      <c r="I879" s="2">
        <v>74.760000000000005</v>
      </c>
      <c r="J879" s="2">
        <v>643.02</v>
      </c>
      <c r="K879" s="2">
        <v>444.98</v>
      </c>
      <c r="L879" s="3">
        <v>131.91</v>
      </c>
      <c r="M879" s="2">
        <v>4.16</v>
      </c>
    </row>
    <row r="880" spans="1:13">
      <c r="A880" s="9">
        <v>44677</v>
      </c>
      <c r="B880" s="1">
        <f t="shared" si="26"/>
        <v>44652</v>
      </c>
      <c r="C880" s="5" t="str">
        <f t="shared" si="27"/>
        <v>2022-04</v>
      </c>
      <c r="D880" s="3">
        <v>416.1</v>
      </c>
      <c r="E880" s="3">
        <v>187.74</v>
      </c>
      <c r="F880" s="3">
        <v>122.41</v>
      </c>
      <c r="G880" s="3">
        <v>177.32</v>
      </c>
      <c r="H880" s="3">
        <v>107.68</v>
      </c>
      <c r="I880" s="2">
        <v>74.510000000000005</v>
      </c>
      <c r="J880" s="2">
        <v>647.04999999999995</v>
      </c>
      <c r="K880" s="2">
        <v>446.09</v>
      </c>
      <c r="L880" s="3">
        <v>132.19999999999999</v>
      </c>
      <c r="M880" s="2">
        <v>4.13</v>
      </c>
    </row>
    <row r="881" spans="1:13">
      <c r="A881" s="9">
        <v>44676</v>
      </c>
      <c r="B881" s="1">
        <f t="shared" si="26"/>
        <v>44652</v>
      </c>
      <c r="C881" s="5" t="str">
        <f t="shared" si="27"/>
        <v>2022-04</v>
      </c>
      <c r="D881" s="3">
        <v>428.51</v>
      </c>
      <c r="E881" s="3">
        <v>193.85</v>
      </c>
      <c r="F881" s="3">
        <v>121.19</v>
      </c>
      <c r="G881" s="3">
        <v>177.05</v>
      </c>
      <c r="H881" s="3">
        <v>109.48</v>
      </c>
      <c r="I881" s="2">
        <v>76.98</v>
      </c>
      <c r="J881" s="2">
        <v>668.28</v>
      </c>
      <c r="K881" s="2">
        <v>442.89</v>
      </c>
      <c r="L881" s="3">
        <v>134.57</v>
      </c>
      <c r="M881" s="2">
        <v>4.28</v>
      </c>
    </row>
    <row r="882" spans="1:13">
      <c r="A882" s="9">
        <v>44673</v>
      </c>
      <c r="B882" s="1">
        <f t="shared" si="26"/>
        <v>44652</v>
      </c>
      <c r="C882" s="5" t="str">
        <f t="shared" si="27"/>
        <v>2022-04</v>
      </c>
      <c r="D882" s="3">
        <v>426.04</v>
      </c>
      <c r="E882" s="3">
        <v>192.68</v>
      </c>
      <c r="F882" s="3">
        <v>119.99</v>
      </c>
      <c r="G882" s="3">
        <v>180.29</v>
      </c>
      <c r="H882" s="3">
        <v>109.76</v>
      </c>
      <c r="I882" s="2">
        <v>76.209999999999994</v>
      </c>
      <c r="J882" s="2">
        <v>662.94</v>
      </c>
      <c r="K882" s="2">
        <v>445.79</v>
      </c>
      <c r="L882" s="3">
        <v>133.66999999999999</v>
      </c>
      <c r="M882" s="2">
        <v>4.24</v>
      </c>
    </row>
    <row r="883" spans="1:13">
      <c r="A883" s="9">
        <v>44672</v>
      </c>
      <c r="B883" s="1">
        <f t="shared" si="26"/>
        <v>44652</v>
      </c>
      <c r="C883" s="5" t="str">
        <f t="shared" si="27"/>
        <v>2022-04</v>
      </c>
      <c r="D883" s="3">
        <v>438.06</v>
      </c>
      <c r="E883" s="3">
        <v>197.8</v>
      </c>
      <c r="F883" s="3">
        <v>120.75</v>
      </c>
      <c r="G883" s="3">
        <v>182.06</v>
      </c>
      <c r="H883" s="3">
        <v>111.72</v>
      </c>
      <c r="I883" s="2">
        <v>79.48</v>
      </c>
      <c r="J883" s="2">
        <v>681.46</v>
      </c>
      <c r="K883" s="2">
        <v>439.54</v>
      </c>
      <c r="L883" s="3">
        <v>138.72999999999999</v>
      </c>
      <c r="M883" s="2">
        <v>4.2699999999999996</v>
      </c>
    </row>
    <row r="884" spans="1:13">
      <c r="A884" s="9">
        <v>44671</v>
      </c>
      <c r="B884" s="1">
        <f t="shared" si="26"/>
        <v>44652</v>
      </c>
      <c r="C884" s="5" t="str">
        <f t="shared" si="27"/>
        <v>2022-04</v>
      </c>
      <c r="D884" s="3">
        <v>444.71</v>
      </c>
      <c r="E884" s="3">
        <v>202.33</v>
      </c>
      <c r="F884" s="3">
        <v>121.65</v>
      </c>
      <c r="G884" s="3">
        <v>182.71</v>
      </c>
      <c r="H884" s="3">
        <v>112.5</v>
      </c>
      <c r="I884" s="2">
        <v>80.290000000000006</v>
      </c>
      <c r="J884" s="2">
        <v>699</v>
      </c>
      <c r="K884" s="2">
        <v>453.87</v>
      </c>
      <c r="L884" s="3">
        <v>140.28</v>
      </c>
      <c r="M884" s="2">
        <v>4.51</v>
      </c>
    </row>
    <row r="885" spans="1:13">
      <c r="A885" s="9">
        <v>44670</v>
      </c>
      <c r="B885" s="1">
        <f t="shared" si="26"/>
        <v>44652</v>
      </c>
      <c r="C885" s="5" t="str">
        <f t="shared" si="27"/>
        <v>2022-04</v>
      </c>
      <c r="D885" s="3">
        <v>445.04</v>
      </c>
      <c r="E885" s="3">
        <v>201.56</v>
      </c>
      <c r="F885" s="3">
        <v>119.25</v>
      </c>
      <c r="G885" s="3">
        <v>181.82</v>
      </c>
      <c r="H885" s="3">
        <v>110.66</v>
      </c>
      <c r="I885" s="2">
        <v>79.56</v>
      </c>
      <c r="J885" s="2">
        <v>701.57</v>
      </c>
      <c r="K885" s="2">
        <v>459.9</v>
      </c>
      <c r="L885" s="3">
        <v>138.41999999999999</v>
      </c>
      <c r="M885" s="2">
        <v>4.47</v>
      </c>
    </row>
    <row r="886" spans="1:13">
      <c r="A886" s="9">
        <v>44669</v>
      </c>
      <c r="B886" s="1">
        <f t="shared" si="26"/>
        <v>44652</v>
      </c>
      <c r="C886" s="5" t="str">
        <f t="shared" si="27"/>
        <v>2022-04</v>
      </c>
      <c r="D886" s="3">
        <v>437.97</v>
      </c>
      <c r="E886" s="3">
        <v>197.62</v>
      </c>
      <c r="F886" s="3">
        <v>120.15</v>
      </c>
      <c r="G886" s="3">
        <v>184.61</v>
      </c>
      <c r="H886" s="3">
        <v>108.3</v>
      </c>
      <c r="I886" s="2">
        <v>78.22</v>
      </c>
      <c r="J886" s="2">
        <v>680</v>
      </c>
      <c r="K886" s="2">
        <v>467.44</v>
      </c>
      <c r="L886" s="3">
        <v>137.11000000000001</v>
      </c>
      <c r="M886" s="2">
        <v>3.66</v>
      </c>
    </row>
    <row r="887" spans="1:13">
      <c r="A887" s="9">
        <v>44665</v>
      </c>
      <c r="B887" s="1">
        <f t="shared" si="26"/>
        <v>44652</v>
      </c>
      <c r="C887" s="5" t="str">
        <f t="shared" si="27"/>
        <v>2022-04</v>
      </c>
      <c r="D887" s="3">
        <v>437.79</v>
      </c>
      <c r="E887" s="3">
        <v>198.96</v>
      </c>
      <c r="F887" s="3">
        <v>120.75</v>
      </c>
      <c r="G887" s="3">
        <v>184.04</v>
      </c>
      <c r="H887" s="3">
        <v>108.74</v>
      </c>
      <c r="I887" s="2">
        <v>79.45</v>
      </c>
      <c r="J887" s="2">
        <v>688.17</v>
      </c>
      <c r="K887" s="2">
        <v>467.66</v>
      </c>
      <c r="L887" s="3">
        <v>138.63999999999999</v>
      </c>
      <c r="M887" s="2">
        <v>3.65</v>
      </c>
    </row>
    <row r="888" spans="1:13">
      <c r="A888" s="9">
        <v>44664</v>
      </c>
      <c r="B888" s="1">
        <f t="shared" si="26"/>
        <v>44652</v>
      </c>
      <c r="C888" s="5" t="str">
        <f t="shared" si="27"/>
        <v>2022-04</v>
      </c>
      <c r="D888" s="3">
        <v>443.31</v>
      </c>
      <c r="E888" s="3">
        <v>200.91</v>
      </c>
      <c r="F888" s="3">
        <v>123.22</v>
      </c>
      <c r="G888" s="3">
        <v>184.65</v>
      </c>
      <c r="H888" s="3">
        <v>109.21</v>
      </c>
      <c r="I888" s="2">
        <v>79.75</v>
      </c>
      <c r="J888" s="2">
        <v>715.74</v>
      </c>
      <c r="K888" s="2">
        <v>469.19</v>
      </c>
      <c r="L888" s="3">
        <v>139.31</v>
      </c>
      <c r="M888" s="2">
        <v>3.56</v>
      </c>
    </row>
    <row r="889" spans="1:13">
      <c r="A889" s="9">
        <v>44663</v>
      </c>
      <c r="B889" s="1">
        <f t="shared" si="26"/>
        <v>44652</v>
      </c>
      <c r="C889" s="5" t="str">
        <f t="shared" si="27"/>
        <v>2022-04</v>
      </c>
      <c r="D889" s="3">
        <v>438.29</v>
      </c>
      <c r="E889" s="3">
        <v>197.16</v>
      </c>
      <c r="F889" s="3">
        <v>122.97</v>
      </c>
      <c r="G889" s="3">
        <v>183.77</v>
      </c>
      <c r="H889" s="3">
        <v>108.44</v>
      </c>
      <c r="I889" s="2">
        <v>79.33</v>
      </c>
      <c r="J889" s="2">
        <v>716.83</v>
      </c>
      <c r="K889" s="2">
        <v>467.55</v>
      </c>
      <c r="L889" s="3">
        <v>138.63</v>
      </c>
      <c r="M889" s="2">
        <v>3.48</v>
      </c>
    </row>
    <row r="890" spans="1:13">
      <c r="A890" s="9">
        <v>44662</v>
      </c>
      <c r="B890" s="1">
        <f t="shared" si="26"/>
        <v>44652</v>
      </c>
      <c r="C890" s="5" t="str">
        <f t="shared" si="27"/>
        <v>2022-04</v>
      </c>
      <c r="D890" s="3">
        <v>439.92</v>
      </c>
      <c r="E890" s="3">
        <v>196.54</v>
      </c>
      <c r="F890" s="3">
        <v>123.14</v>
      </c>
      <c r="G890" s="3">
        <v>182.37</v>
      </c>
      <c r="H890" s="3">
        <v>108.6</v>
      </c>
      <c r="I890" s="2">
        <v>79.760000000000005</v>
      </c>
      <c r="J890" s="2">
        <v>728.38</v>
      </c>
      <c r="K890" s="2">
        <v>464.25</v>
      </c>
      <c r="L890" s="3">
        <v>139.99</v>
      </c>
      <c r="M890" s="2">
        <v>3.52</v>
      </c>
    </row>
    <row r="891" spans="1:13">
      <c r="A891" s="9">
        <v>44659</v>
      </c>
      <c r="B891" s="1">
        <f t="shared" si="26"/>
        <v>44652</v>
      </c>
      <c r="C891" s="5" t="str">
        <f t="shared" si="27"/>
        <v>2022-04</v>
      </c>
      <c r="D891" s="3">
        <v>447.57</v>
      </c>
      <c r="E891" s="3">
        <v>197.87</v>
      </c>
      <c r="F891" s="3">
        <v>125.12</v>
      </c>
      <c r="G891" s="3">
        <v>181.47</v>
      </c>
      <c r="H891" s="3">
        <v>109.78</v>
      </c>
      <c r="I891" s="2">
        <v>80.94</v>
      </c>
      <c r="J891" s="2">
        <v>736.1</v>
      </c>
      <c r="K891" s="2">
        <v>461.52</v>
      </c>
      <c r="L891" s="3">
        <v>142.83000000000001</v>
      </c>
      <c r="M891" s="2">
        <v>3.53</v>
      </c>
    </row>
    <row r="892" spans="1:13">
      <c r="A892" s="9">
        <v>44658</v>
      </c>
      <c r="B892" s="1">
        <f t="shared" si="26"/>
        <v>44652</v>
      </c>
      <c r="C892" s="5" t="str">
        <f t="shared" si="27"/>
        <v>2022-04</v>
      </c>
      <c r="D892" s="3">
        <v>448.77</v>
      </c>
      <c r="E892" s="3">
        <v>199.46</v>
      </c>
      <c r="F892" s="3">
        <v>126.49</v>
      </c>
      <c r="G892" s="3">
        <v>180.34</v>
      </c>
      <c r="H892" s="3">
        <v>109.6</v>
      </c>
      <c r="I892" s="2">
        <v>81.540000000000006</v>
      </c>
      <c r="J892" s="2">
        <v>748.89</v>
      </c>
      <c r="K892" s="2">
        <v>465.51</v>
      </c>
      <c r="L892" s="3">
        <v>141.97999999999999</v>
      </c>
      <c r="M892" s="2">
        <v>3.54</v>
      </c>
    </row>
    <row r="893" spans="1:13">
      <c r="A893" s="9">
        <v>44657</v>
      </c>
      <c r="B893" s="1">
        <f t="shared" si="26"/>
        <v>44652</v>
      </c>
      <c r="C893" s="5" t="str">
        <f t="shared" si="27"/>
        <v>2022-04</v>
      </c>
      <c r="D893" s="3">
        <v>446.52</v>
      </c>
      <c r="E893" s="3">
        <v>200.11</v>
      </c>
      <c r="F893" s="3">
        <v>127.45</v>
      </c>
      <c r="G893" s="3">
        <v>179.66</v>
      </c>
      <c r="H893" s="3">
        <v>110.7</v>
      </c>
      <c r="I893" s="2">
        <v>82.12</v>
      </c>
      <c r="J893" s="2">
        <v>745.23</v>
      </c>
      <c r="K893" s="2">
        <v>454.58</v>
      </c>
      <c r="L893" s="3">
        <v>139.30000000000001</v>
      </c>
      <c r="M893" s="2">
        <v>3.54</v>
      </c>
    </row>
    <row r="894" spans="1:13">
      <c r="A894" s="9">
        <v>44656</v>
      </c>
      <c r="B894" s="1">
        <f t="shared" si="26"/>
        <v>44652</v>
      </c>
      <c r="C894" s="5" t="str">
        <f t="shared" si="27"/>
        <v>2022-04</v>
      </c>
      <c r="D894" s="3">
        <v>451.03</v>
      </c>
      <c r="E894" s="3">
        <v>202.99</v>
      </c>
      <c r="F894" s="3">
        <v>128.49</v>
      </c>
      <c r="G894" s="3">
        <v>179.24</v>
      </c>
      <c r="H894" s="3">
        <v>109.4</v>
      </c>
      <c r="I894" s="2">
        <v>82.94</v>
      </c>
      <c r="J894" s="2">
        <v>764.43</v>
      </c>
      <c r="K894" s="2">
        <v>447.24</v>
      </c>
      <c r="L894" s="3">
        <v>137.21</v>
      </c>
      <c r="M894" s="2">
        <v>3.64</v>
      </c>
    </row>
    <row r="895" spans="1:13">
      <c r="A895" s="9">
        <v>44655</v>
      </c>
      <c r="B895" s="1">
        <f t="shared" si="26"/>
        <v>44652</v>
      </c>
      <c r="C895" s="5" t="str">
        <f t="shared" si="27"/>
        <v>2022-04</v>
      </c>
      <c r="D895" s="3">
        <v>456.8</v>
      </c>
      <c r="E895" s="3">
        <v>207.91</v>
      </c>
      <c r="F895" s="3">
        <v>131.46</v>
      </c>
      <c r="G895" s="3">
        <v>180.37</v>
      </c>
      <c r="H895" s="3">
        <v>109.94</v>
      </c>
      <c r="I895" s="2">
        <v>84.07</v>
      </c>
      <c r="J895" s="2">
        <v>782.23</v>
      </c>
      <c r="K895" s="2">
        <v>444.01</v>
      </c>
      <c r="L895" s="3">
        <v>136.91999999999999</v>
      </c>
      <c r="M895" s="2">
        <v>3.77</v>
      </c>
    </row>
    <row r="896" spans="1:13">
      <c r="A896" s="9">
        <v>44652</v>
      </c>
      <c r="B896" s="1">
        <f t="shared" si="26"/>
        <v>44652</v>
      </c>
      <c r="C896" s="5" t="str">
        <f t="shared" si="27"/>
        <v>2022-04</v>
      </c>
      <c r="D896" s="3">
        <v>452.92</v>
      </c>
      <c r="E896" s="3">
        <v>207.57</v>
      </c>
      <c r="F896" s="3">
        <v>132.38</v>
      </c>
      <c r="G896" s="3">
        <v>179.5</v>
      </c>
      <c r="H896" s="3">
        <v>110.48</v>
      </c>
      <c r="I896" s="2">
        <v>82.01</v>
      </c>
      <c r="J896" s="2">
        <v>769.76</v>
      </c>
      <c r="K896" s="2">
        <v>445.98</v>
      </c>
      <c r="L896" s="3">
        <v>138.07</v>
      </c>
      <c r="M896" s="2">
        <v>3.79</v>
      </c>
    </row>
    <row r="897" spans="1:13">
      <c r="A897" s="9">
        <v>44651</v>
      </c>
      <c r="B897" s="1">
        <f t="shared" si="26"/>
        <v>44621</v>
      </c>
      <c r="C897" s="5" t="str">
        <f t="shared" si="27"/>
        <v>2022-03</v>
      </c>
      <c r="D897" s="3">
        <v>451.64</v>
      </c>
      <c r="E897" s="3">
        <v>205.27</v>
      </c>
      <c r="F897" s="3">
        <v>132.08000000000001</v>
      </c>
      <c r="G897" s="3">
        <v>180.65</v>
      </c>
      <c r="H897" s="3">
        <v>108.37</v>
      </c>
      <c r="I897" s="2">
        <v>82.73</v>
      </c>
      <c r="J897" s="2">
        <v>764.17</v>
      </c>
      <c r="K897" s="2">
        <v>441.4</v>
      </c>
      <c r="L897" s="3">
        <v>136.99</v>
      </c>
      <c r="M897" s="2">
        <v>3.81</v>
      </c>
    </row>
    <row r="898" spans="1:13">
      <c r="A898" s="9">
        <v>44650</v>
      </c>
      <c r="B898" s="1">
        <f t="shared" ref="B898:B961" si="28">EOMONTH(A898,-1)+1</f>
        <v>44621</v>
      </c>
      <c r="C898" s="5" t="str">
        <f t="shared" si="27"/>
        <v>2022-03</v>
      </c>
      <c r="D898" s="3">
        <v>458.7</v>
      </c>
      <c r="E898" s="3">
        <v>207.46</v>
      </c>
      <c r="F898" s="3">
        <v>131.76</v>
      </c>
      <c r="G898" s="3">
        <v>180.58</v>
      </c>
      <c r="H898" s="3">
        <v>109.71</v>
      </c>
      <c r="I898" s="2">
        <v>83.36</v>
      </c>
      <c r="J898" s="2">
        <v>777.36</v>
      </c>
      <c r="K898" s="2">
        <v>445.95</v>
      </c>
      <c r="L898" s="3">
        <v>138.34</v>
      </c>
      <c r="M898" s="2">
        <v>3.96</v>
      </c>
    </row>
    <row r="899" spans="1:13">
      <c r="A899" s="9">
        <v>44649</v>
      </c>
      <c r="B899" s="1">
        <f t="shared" si="28"/>
        <v>44621</v>
      </c>
      <c r="C899" s="5" t="str">
        <f t="shared" ref="C899:C962" si="29">TEXT(A899, "yyyy-mm")</f>
        <v>2022-03</v>
      </c>
      <c r="D899" s="3">
        <v>461.55</v>
      </c>
      <c r="E899" s="3">
        <v>211.71</v>
      </c>
      <c r="F899" s="3">
        <v>130.74</v>
      </c>
      <c r="G899" s="3">
        <v>179.14</v>
      </c>
      <c r="H899" s="3">
        <v>110.51</v>
      </c>
      <c r="I899" s="2">
        <v>84.29</v>
      </c>
      <c r="J899" s="2">
        <v>773.24</v>
      </c>
      <c r="K899" s="2">
        <v>437.15</v>
      </c>
      <c r="L899" s="3">
        <v>138.07</v>
      </c>
      <c r="M899" s="2">
        <v>4.25</v>
      </c>
    </row>
    <row r="900" spans="1:13">
      <c r="A900" s="9">
        <v>44648</v>
      </c>
      <c r="B900" s="1">
        <f t="shared" si="28"/>
        <v>44621</v>
      </c>
      <c r="C900" s="5" t="str">
        <f t="shared" si="29"/>
        <v>2022-03</v>
      </c>
      <c r="D900" s="3">
        <v>455.91</v>
      </c>
      <c r="E900" s="3">
        <v>206.19</v>
      </c>
      <c r="F900" s="3">
        <v>129.76</v>
      </c>
      <c r="G900" s="3">
        <v>179.06</v>
      </c>
      <c r="H900" s="3">
        <v>107.36</v>
      </c>
      <c r="I900" s="2">
        <v>83.6</v>
      </c>
      <c r="J900" s="2">
        <v>749.88</v>
      </c>
      <c r="K900" s="2">
        <v>444.98</v>
      </c>
      <c r="L900" s="3">
        <v>137.26</v>
      </c>
      <c r="M900" s="2">
        <v>4.1900000000000004</v>
      </c>
    </row>
    <row r="901" spans="1:13">
      <c r="A901" s="9">
        <v>44645</v>
      </c>
      <c r="B901" s="1">
        <f t="shared" si="28"/>
        <v>44621</v>
      </c>
      <c r="C901" s="5" t="str">
        <f t="shared" si="29"/>
        <v>2022-03</v>
      </c>
      <c r="D901" s="3">
        <v>452.69</v>
      </c>
      <c r="E901" s="3">
        <v>206.12</v>
      </c>
      <c r="F901" s="3">
        <v>128.66</v>
      </c>
      <c r="G901" s="3">
        <v>182.38</v>
      </c>
      <c r="H901" s="3">
        <v>106.23</v>
      </c>
      <c r="I901" s="2">
        <v>81.73</v>
      </c>
      <c r="J901" s="2">
        <v>741.04</v>
      </c>
      <c r="K901" s="2">
        <v>453.66</v>
      </c>
      <c r="L901" s="3">
        <v>136.27000000000001</v>
      </c>
      <c r="M901" s="2">
        <v>4.2</v>
      </c>
    </row>
    <row r="902" spans="1:13">
      <c r="A902" s="9">
        <v>44644</v>
      </c>
      <c r="B902" s="1">
        <f t="shared" si="28"/>
        <v>44621</v>
      </c>
      <c r="C902" s="5" t="str">
        <f t="shared" si="29"/>
        <v>2022-03</v>
      </c>
      <c r="D902" s="3">
        <v>450.49</v>
      </c>
      <c r="E902" s="3">
        <v>205.84</v>
      </c>
      <c r="F902" s="3">
        <v>130.47</v>
      </c>
      <c r="G902" s="3">
        <v>183.13</v>
      </c>
      <c r="H902" s="3">
        <v>104.92</v>
      </c>
      <c r="I902" s="2">
        <v>82.24</v>
      </c>
      <c r="J902" s="2">
        <v>738.28</v>
      </c>
      <c r="K902" s="2">
        <v>449.73</v>
      </c>
      <c r="L902" s="3">
        <v>135.63999999999999</v>
      </c>
      <c r="M902" s="2">
        <v>4.25</v>
      </c>
    </row>
    <row r="903" spans="1:13">
      <c r="A903" s="9">
        <v>44643</v>
      </c>
      <c r="B903" s="1">
        <f t="shared" si="28"/>
        <v>44621</v>
      </c>
      <c r="C903" s="5" t="str">
        <f t="shared" si="29"/>
        <v>2022-03</v>
      </c>
      <c r="D903" s="3">
        <v>443.8</v>
      </c>
      <c r="E903" s="3">
        <v>203.9</v>
      </c>
      <c r="F903" s="3">
        <v>131.5</v>
      </c>
      <c r="G903" s="3">
        <v>181.81</v>
      </c>
      <c r="H903" s="3">
        <v>104.26</v>
      </c>
      <c r="I903" s="2">
        <v>80.39</v>
      </c>
      <c r="J903" s="2">
        <v>736.46</v>
      </c>
      <c r="K903" s="2">
        <v>445.25</v>
      </c>
      <c r="L903" s="3">
        <v>134.04</v>
      </c>
      <c r="M903" s="2">
        <v>4.2300000000000004</v>
      </c>
    </row>
    <row r="904" spans="1:13">
      <c r="A904" s="9">
        <v>44642</v>
      </c>
      <c r="B904" s="1">
        <f t="shared" si="28"/>
        <v>44621</v>
      </c>
      <c r="C904" s="5" t="str">
        <f t="shared" si="29"/>
        <v>2022-03</v>
      </c>
      <c r="D904" s="3">
        <v>449.59</v>
      </c>
      <c r="E904" s="3">
        <v>207.5</v>
      </c>
      <c r="F904" s="3">
        <v>128.68</v>
      </c>
      <c r="G904" s="3">
        <v>179.36</v>
      </c>
      <c r="H904" s="3">
        <v>106.02</v>
      </c>
      <c r="I904" s="2">
        <v>81.8</v>
      </c>
      <c r="J904" s="2">
        <v>746.87</v>
      </c>
      <c r="K904" s="2">
        <v>440.59</v>
      </c>
      <c r="L904" s="3">
        <v>136.49</v>
      </c>
      <c r="M904" s="2">
        <v>4.3</v>
      </c>
    </row>
    <row r="905" spans="1:13">
      <c r="A905" s="9">
        <v>44641</v>
      </c>
      <c r="B905" s="1">
        <f t="shared" si="28"/>
        <v>44621</v>
      </c>
      <c r="C905" s="5" t="str">
        <f t="shared" si="29"/>
        <v>2022-03</v>
      </c>
      <c r="D905" s="3">
        <v>444.39</v>
      </c>
      <c r="E905" s="3">
        <v>205.44</v>
      </c>
      <c r="F905" s="3">
        <v>130.35</v>
      </c>
      <c r="G905" s="3">
        <v>180.67</v>
      </c>
      <c r="H905" s="3">
        <v>105.75</v>
      </c>
      <c r="I905" s="2">
        <v>80.959999999999994</v>
      </c>
      <c r="J905" s="2">
        <v>733.83</v>
      </c>
      <c r="K905" s="2">
        <v>440</v>
      </c>
      <c r="L905" s="3">
        <v>136.46</v>
      </c>
      <c r="M905" s="2">
        <v>4.3</v>
      </c>
    </row>
    <row r="906" spans="1:13">
      <c r="A906" s="9">
        <v>44638</v>
      </c>
      <c r="B906" s="1">
        <f t="shared" si="28"/>
        <v>44621</v>
      </c>
      <c r="C906" s="5" t="str">
        <f t="shared" si="29"/>
        <v>2022-03</v>
      </c>
      <c r="D906" s="3">
        <v>444.52</v>
      </c>
      <c r="E906" s="3">
        <v>207.27</v>
      </c>
      <c r="F906" s="3">
        <v>133.44</v>
      </c>
      <c r="G906" s="3">
        <v>179.3</v>
      </c>
      <c r="H906" s="3">
        <v>106.4</v>
      </c>
      <c r="I906" s="2">
        <v>81.680000000000007</v>
      </c>
      <c r="J906" s="2">
        <v>738.59</v>
      </c>
      <c r="K906" s="2">
        <v>426.18</v>
      </c>
      <c r="L906" s="3">
        <v>136.99</v>
      </c>
      <c r="M906" s="2">
        <v>4.29</v>
      </c>
    </row>
    <row r="907" spans="1:13">
      <c r="A907" s="9">
        <v>44637</v>
      </c>
      <c r="B907" s="1">
        <f t="shared" si="28"/>
        <v>44621</v>
      </c>
      <c r="C907" s="5" t="str">
        <f t="shared" si="29"/>
        <v>2022-03</v>
      </c>
      <c r="D907" s="3">
        <v>441.07</v>
      </c>
      <c r="E907" s="3">
        <v>205.11</v>
      </c>
      <c r="F907" s="3">
        <v>131.83000000000001</v>
      </c>
      <c r="G907" s="3">
        <v>180.89</v>
      </c>
      <c r="H907" s="3">
        <v>106.4</v>
      </c>
      <c r="I907" s="2">
        <v>80.599999999999994</v>
      </c>
      <c r="J907" s="2">
        <v>740.93</v>
      </c>
      <c r="K907" s="2">
        <v>428.59</v>
      </c>
      <c r="L907" s="3">
        <v>136.15</v>
      </c>
      <c r="M907" s="2">
        <v>4.1900000000000004</v>
      </c>
    </row>
    <row r="908" spans="1:13">
      <c r="A908" s="9">
        <v>44636</v>
      </c>
      <c r="B908" s="1">
        <f t="shared" si="28"/>
        <v>44621</v>
      </c>
      <c r="C908" s="5" t="str">
        <f t="shared" si="29"/>
        <v>2022-03</v>
      </c>
      <c r="D908" s="3">
        <v>435.62</v>
      </c>
      <c r="E908" s="3">
        <v>201.94</v>
      </c>
      <c r="F908" s="3">
        <v>132.82</v>
      </c>
      <c r="G908" s="3">
        <v>180.01</v>
      </c>
      <c r="H908" s="3">
        <v>104.78</v>
      </c>
      <c r="I908" s="2">
        <v>79.959999999999994</v>
      </c>
      <c r="J908" s="2">
        <v>731.11</v>
      </c>
      <c r="K908" s="2">
        <v>421.34</v>
      </c>
      <c r="L908" s="3">
        <v>134.03</v>
      </c>
      <c r="M908" s="2">
        <v>4.28</v>
      </c>
    </row>
    <row r="909" spans="1:13">
      <c r="A909" s="9">
        <v>44635</v>
      </c>
      <c r="B909" s="1">
        <f t="shared" si="28"/>
        <v>44621</v>
      </c>
      <c r="C909" s="5" t="str">
        <f t="shared" si="29"/>
        <v>2022-03</v>
      </c>
      <c r="D909" s="3">
        <v>426.17</v>
      </c>
      <c r="E909" s="3">
        <v>195.78</v>
      </c>
      <c r="F909" s="3">
        <v>131.53</v>
      </c>
      <c r="G909" s="3">
        <v>178.89</v>
      </c>
      <c r="H909" s="3">
        <v>103.55</v>
      </c>
      <c r="I909" s="2">
        <v>80.599999999999994</v>
      </c>
      <c r="J909" s="2">
        <v>707.67</v>
      </c>
      <c r="K909" s="2">
        <v>448.67</v>
      </c>
      <c r="L909" s="3">
        <v>132.44</v>
      </c>
      <c r="M909" s="2">
        <v>4.18</v>
      </c>
    </row>
    <row r="910" spans="1:13">
      <c r="A910" s="9">
        <v>44634</v>
      </c>
      <c r="B910" s="1">
        <f t="shared" si="28"/>
        <v>44621</v>
      </c>
      <c r="C910" s="5" t="str">
        <f t="shared" si="29"/>
        <v>2022-03</v>
      </c>
      <c r="D910" s="3">
        <v>417</v>
      </c>
      <c r="E910" s="3">
        <v>192.71</v>
      </c>
      <c r="F910" s="3">
        <v>131.76</v>
      </c>
      <c r="G910" s="3">
        <v>182.3</v>
      </c>
      <c r="H910" s="3">
        <v>102.86</v>
      </c>
      <c r="I910" s="2">
        <v>77.069999999999993</v>
      </c>
      <c r="J910" s="2">
        <v>697.53</v>
      </c>
      <c r="K910" s="2">
        <v>444.45</v>
      </c>
      <c r="L910" s="3">
        <v>129.85</v>
      </c>
      <c r="M910" s="2">
        <v>4.05</v>
      </c>
    </row>
    <row r="911" spans="1:13">
      <c r="A911" s="9">
        <v>44631</v>
      </c>
      <c r="B911" s="1">
        <f t="shared" si="28"/>
        <v>44621</v>
      </c>
      <c r="C911" s="5" t="str">
        <f t="shared" si="29"/>
        <v>2022-03</v>
      </c>
      <c r="D911" s="3">
        <v>420.07</v>
      </c>
      <c r="E911" s="3">
        <v>196.73</v>
      </c>
      <c r="F911" s="3">
        <v>134.91</v>
      </c>
      <c r="G911" s="3">
        <v>185.09</v>
      </c>
      <c r="H911" s="3">
        <v>103.67</v>
      </c>
      <c r="I911" s="2">
        <v>77.819999999999993</v>
      </c>
      <c r="J911" s="2">
        <v>687.04</v>
      </c>
      <c r="K911" s="2">
        <v>439.04</v>
      </c>
      <c r="L911" s="3">
        <v>128.94</v>
      </c>
      <c r="M911" s="2">
        <v>4.16</v>
      </c>
    </row>
    <row r="912" spans="1:13">
      <c r="A912" s="9">
        <v>44630</v>
      </c>
      <c r="B912" s="1">
        <f t="shared" si="28"/>
        <v>44621</v>
      </c>
      <c r="C912" s="5" t="str">
        <f t="shared" si="29"/>
        <v>2022-03</v>
      </c>
      <c r="D912" s="3">
        <v>425.48</v>
      </c>
      <c r="E912" s="3">
        <v>199.92</v>
      </c>
      <c r="F912" s="3">
        <v>134.46</v>
      </c>
      <c r="G912" s="3">
        <v>186.4</v>
      </c>
      <c r="H912" s="3">
        <v>104.5</v>
      </c>
      <c r="I912" s="2">
        <v>76.650000000000006</v>
      </c>
      <c r="J912" s="2">
        <v>697.2</v>
      </c>
      <c r="K912" s="2">
        <v>444.36</v>
      </c>
      <c r="L912" s="3">
        <v>129.91</v>
      </c>
      <c r="M912" s="2">
        <v>4.12</v>
      </c>
    </row>
    <row r="913" spans="1:13">
      <c r="A913" s="9">
        <v>44629</v>
      </c>
      <c r="B913" s="1">
        <f t="shared" si="28"/>
        <v>44621</v>
      </c>
      <c r="C913" s="5" t="str">
        <f t="shared" si="29"/>
        <v>2022-03</v>
      </c>
      <c r="D913" s="3">
        <v>427.41</v>
      </c>
      <c r="E913" s="3">
        <v>200.28</v>
      </c>
      <c r="F913" s="3">
        <v>136.41999999999999</v>
      </c>
      <c r="G913" s="3">
        <v>185.82</v>
      </c>
      <c r="H913" s="3">
        <v>104.24</v>
      </c>
      <c r="I913" s="2">
        <v>76.099999999999994</v>
      </c>
      <c r="J913" s="2">
        <v>693.25</v>
      </c>
      <c r="K913" s="2">
        <v>448.72</v>
      </c>
      <c r="L913" s="3">
        <v>129.96</v>
      </c>
      <c r="M913" s="2">
        <v>4.16</v>
      </c>
    </row>
    <row r="914" spans="1:13">
      <c r="A914" s="9">
        <v>44628</v>
      </c>
      <c r="B914" s="1">
        <f t="shared" si="28"/>
        <v>44621</v>
      </c>
      <c r="C914" s="5" t="str">
        <f t="shared" si="29"/>
        <v>2022-03</v>
      </c>
      <c r="D914" s="3">
        <v>416.25</v>
      </c>
      <c r="E914" s="3">
        <v>194.79</v>
      </c>
      <c r="F914" s="3">
        <v>137.77000000000001</v>
      </c>
      <c r="G914" s="3">
        <v>191.51</v>
      </c>
      <c r="H914" s="3">
        <v>102.66</v>
      </c>
      <c r="I914" s="2">
        <v>73.33</v>
      </c>
      <c r="J914" s="2">
        <v>662.87</v>
      </c>
      <c r="K914" s="2">
        <v>448.99</v>
      </c>
      <c r="L914" s="3">
        <v>127.55</v>
      </c>
      <c r="M914" s="2">
        <v>4.05</v>
      </c>
    </row>
    <row r="915" spans="1:13">
      <c r="A915" s="9">
        <v>44627</v>
      </c>
      <c r="B915" s="1">
        <f t="shared" si="28"/>
        <v>44621</v>
      </c>
      <c r="C915" s="5" t="str">
        <f t="shared" si="29"/>
        <v>2022-03</v>
      </c>
      <c r="D915" s="3">
        <v>419.43</v>
      </c>
      <c r="E915" s="3">
        <v>193.72</v>
      </c>
      <c r="F915" s="3">
        <v>139.16999999999999</v>
      </c>
      <c r="G915" s="3">
        <v>186.41</v>
      </c>
      <c r="H915" s="3">
        <v>103.16</v>
      </c>
      <c r="I915" s="2">
        <v>74.319999999999993</v>
      </c>
      <c r="J915" s="2">
        <v>677.07</v>
      </c>
      <c r="K915" s="2">
        <v>466.15</v>
      </c>
      <c r="L915" s="3">
        <v>130.21</v>
      </c>
      <c r="M915" s="2">
        <v>4.04</v>
      </c>
    </row>
    <row r="916" spans="1:13">
      <c r="A916" s="9">
        <v>44624</v>
      </c>
      <c r="B916" s="1">
        <f t="shared" si="28"/>
        <v>44621</v>
      </c>
      <c r="C916" s="5" t="str">
        <f t="shared" si="29"/>
        <v>2022-03</v>
      </c>
      <c r="D916" s="3">
        <v>432.17</v>
      </c>
      <c r="E916" s="3">
        <v>198.66</v>
      </c>
      <c r="F916" s="3">
        <v>140.24</v>
      </c>
      <c r="G916" s="3">
        <v>183.68</v>
      </c>
      <c r="H916" s="3">
        <v>105.24</v>
      </c>
      <c r="I916" s="2">
        <v>76.489999999999995</v>
      </c>
      <c r="J916" s="2">
        <v>696.59</v>
      </c>
      <c r="K916" s="2">
        <v>458.15</v>
      </c>
      <c r="L916" s="3">
        <v>132.52000000000001</v>
      </c>
      <c r="M916" s="2">
        <v>4.16</v>
      </c>
    </row>
    <row r="917" spans="1:13">
      <c r="A917" s="9">
        <v>44623</v>
      </c>
      <c r="B917" s="1">
        <f t="shared" si="28"/>
        <v>44621</v>
      </c>
      <c r="C917" s="5" t="str">
        <f t="shared" si="29"/>
        <v>2022-03</v>
      </c>
      <c r="D917" s="3">
        <v>435.71</v>
      </c>
      <c r="E917" s="3">
        <v>201.82</v>
      </c>
      <c r="F917" s="3">
        <v>137.86000000000001</v>
      </c>
      <c r="G917" s="3">
        <v>180.8</v>
      </c>
      <c r="H917" s="3">
        <v>104.76</v>
      </c>
      <c r="I917" s="2">
        <v>78.25</v>
      </c>
      <c r="J917" s="2">
        <v>737.71</v>
      </c>
      <c r="K917" s="2">
        <v>447.82</v>
      </c>
      <c r="L917" s="3">
        <v>131.86000000000001</v>
      </c>
      <c r="M917" s="2">
        <v>4.21</v>
      </c>
    </row>
    <row r="918" spans="1:13">
      <c r="A918" s="9">
        <v>44622</v>
      </c>
      <c r="B918" s="1">
        <f t="shared" si="28"/>
        <v>44621</v>
      </c>
      <c r="C918" s="5" t="str">
        <f t="shared" si="29"/>
        <v>2022-03</v>
      </c>
      <c r="D918" s="3">
        <v>437.89</v>
      </c>
      <c r="E918" s="3">
        <v>204.24</v>
      </c>
      <c r="F918" s="3">
        <v>136.47</v>
      </c>
      <c r="G918" s="3">
        <v>179.73</v>
      </c>
      <c r="H918" s="3">
        <v>103.91</v>
      </c>
      <c r="I918" s="2">
        <v>78.28</v>
      </c>
      <c r="J918" s="2">
        <v>738.04</v>
      </c>
      <c r="K918" s="2">
        <v>450</v>
      </c>
      <c r="L918" s="3">
        <v>131.19</v>
      </c>
      <c r="M918" s="2">
        <v>4.22</v>
      </c>
    </row>
    <row r="919" spans="1:13">
      <c r="A919" s="9">
        <v>44621</v>
      </c>
      <c r="B919" s="1">
        <f t="shared" si="28"/>
        <v>44621</v>
      </c>
      <c r="C919" s="5" t="str">
        <f t="shared" si="29"/>
        <v>2022-03</v>
      </c>
      <c r="D919" s="3">
        <v>429.98</v>
      </c>
      <c r="E919" s="3">
        <v>199.49</v>
      </c>
      <c r="F919" s="3">
        <v>141.30000000000001</v>
      </c>
      <c r="G919" s="3">
        <v>181.62</v>
      </c>
      <c r="H919" s="3">
        <v>102</v>
      </c>
      <c r="I919" s="2">
        <v>76.010000000000005</v>
      </c>
      <c r="J919" s="2">
        <v>714.81</v>
      </c>
      <c r="K919" s="2">
        <v>456.61</v>
      </c>
      <c r="L919" s="3">
        <v>129.24</v>
      </c>
      <c r="M919" s="2">
        <v>3.99</v>
      </c>
    </row>
    <row r="920" spans="1:13">
      <c r="A920" s="9">
        <v>44620</v>
      </c>
      <c r="B920" s="1">
        <f t="shared" si="28"/>
        <v>44593</v>
      </c>
      <c r="C920" s="5" t="str">
        <f t="shared" si="29"/>
        <v>2022-02</v>
      </c>
      <c r="D920" s="3">
        <v>436.63</v>
      </c>
      <c r="E920" s="3">
        <v>203.32</v>
      </c>
      <c r="F920" s="3">
        <v>139.87</v>
      </c>
      <c r="G920" s="3">
        <v>178.38</v>
      </c>
      <c r="H920" s="3">
        <v>102.54</v>
      </c>
      <c r="I920" s="2">
        <v>75.97</v>
      </c>
      <c r="J920" s="2">
        <v>743.89</v>
      </c>
      <c r="K920" s="2">
        <v>433.8</v>
      </c>
      <c r="L920" s="3">
        <v>129.96</v>
      </c>
      <c r="M920" s="2">
        <v>3.93</v>
      </c>
    </row>
    <row r="921" spans="1:13">
      <c r="A921" s="9">
        <v>44617</v>
      </c>
      <c r="B921" s="1">
        <f t="shared" si="28"/>
        <v>44593</v>
      </c>
      <c r="C921" s="5" t="str">
        <f t="shared" si="29"/>
        <v>2022-02</v>
      </c>
      <c r="D921" s="3">
        <v>437.75</v>
      </c>
      <c r="E921" s="3">
        <v>202.5</v>
      </c>
      <c r="F921" s="3">
        <v>136.87</v>
      </c>
      <c r="G921" s="3">
        <v>176.55</v>
      </c>
      <c r="H921" s="3">
        <v>104.09</v>
      </c>
      <c r="I921" s="2">
        <v>76.349999999999994</v>
      </c>
      <c r="J921" s="2">
        <v>750.87</v>
      </c>
      <c r="K921" s="2">
        <v>409.49</v>
      </c>
      <c r="L921" s="3">
        <v>130.94999999999999</v>
      </c>
      <c r="M921" s="2">
        <v>4.0199999999999996</v>
      </c>
    </row>
    <row r="922" spans="1:13">
      <c r="A922" s="9">
        <v>44616</v>
      </c>
      <c r="B922" s="1">
        <f t="shared" si="28"/>
        <v>44593</v>
      </c>
      <c r="C922" s="5" t="str">
        <f t="shared" si="29"/>
        <v>2022-02</v>
      </c>
      <c r="D922" s="3">
        <v>428.3</v>
      </c>
      <c r="E922" s="3">
        <v>198.04</v>
      </c>
      <c r="F922" s="3">
        <v>136.77000000000001</v>
      </c>
      <c r="G922" s="3">
        <v>177.14</v>
      </c>
      <c r="H922" s="3">
        <v>101.64</v>
      </c>
      <c r="I922" s="2">
        <v>74.81</v>
      </c>
      <c r="J922" s="2">
        <v>731.79</v>
      </c>
      <c r="K922" s="2">
        <v>395.71</v>
      </c>
      <c r="L922" s="3">
        <v>127.06</v>
      </c>
      <c r="M922" s="2">
        <v>3.92</v>
      </c>
    </row>
    <row r="923" spans="1:13">
      <c r="A923" s="9">
        <v>44615</v>
      </c>
      <c r="B923" s="1">
        <f t="shared" si="28"/>
        <v>44593</v>
      </c>
      <c r="C923" s="5" t="str">
        <f t="shared" si="29"/>
        <v>2022-02</v>
      </c>
      <c r="D923" s="3">
        <v>421.95</v>
      </c>
      <c r="E923" s="3">
        <v>192.98</v>
      </c>
      <c r="F923" s="3">
        <v>136.68</v>
      </c>
      <c r="G923" s="3">
        <v>178.29</v>
      </c>
      <c r="H923" s="3">
        <v>99.96</v>
      </c>
      <c r="I923" s="2">
        <v>72.47</v>
      </c>
      <c r="J923" s="2">
        <v>732.49</v>
      </c>
      <c r="K923" s="2">
        <v>388.9</v>
      </c>
      <c r="L923" s="3">
        <v>126.55</v>
      </c>
      <c r="M923" s="2">
        <v>3.9</v>
      </c>
    </row>
    <row r="924" spans="1:13">
      <c r="A924" s="9">
        <v>44614</v>
      </c>
      <c r="B924" s="1">
        <f t="shared" si="28"/>
        <v>44593</v>
      </c>
      <c r="C924" s="5" t="str">
        <f t="shared" si="29"/>
        <v>2022-02</v>
      </c>
      <c r="D924" s="3">
        <v>429.57</v>
      </c>
      <c r="E924" s="3">
        <v>196.66</v>
      </c>
      <c r="F924" s="3">
        <v>138.59</v>
      </c>
      <c r="G924" s="3">
        <v>177.49</v>
      </c>
      <c r="H924" s="3">
        <v>101.64</v>
      </c>
      <c r="I924" s="2">
        <v>74.12</v>
      </c>
      <c r="J924" s="2">
        <v>745.48</v>
      </c>
      <c r="K924" s="2">
        <v>386.2</v>
      </c>
      <c r="L924" s="3">
        <v>127.19</v>
      </c>
      <c r="M924" s="2">
        <v>3.92</v>
      </c>
    </row>
    <row r="925" spans="1:13">
      <c r="A925" s="9">
        <v>44610</v>
      </c>
      <c r="B925" s="1">
        <f t="shared" si="28"/>
        <v>44593</v>
      </c>
      <c r="C925" s="5" t="str">
        <f t="shared" si="29"/>
        <v>2022-02</v>
      </c>
      <c r="D925" s="3">
        <v>434.23</v>
      </c>
      <c r="E925" s="3">
        <v>199.47</v>
      </c>
      <c r="F925" s="3">
        <v>138.22999999999999</v>
      </c>
      <c r="G925" s="3">
        <v>177.12</v>
      </c>
      <c r="H925" s="3">
        <v>102.01</v>
      </c>
      <c r="I925" s="2">
        <v>74.569999999999993</v>
      </c>
      <c r="J925" s="2">
        <v>756.02</v>
      </c>
      <c r="K925" s="2">
        <v>386.46</v>
      </c>
      <c r="L925" s="3">
        <v>127.51</v>
      </c>
      <c r="M925" s="2">
        <v>3.92</v>
      </c>
    </row>
    <row r="926" spans="1:13">
      <c r="A926" s="9">
        <v>44609</v>
      </c>
      <c r="B926" s="1">
        <f t="shared" si="28"/>
        <v>44593</v>
      </c>
      <c r="C926" s="5" t="str">
        <f t="shared" si="29"/>
        <v>2022-02</v>
      </c>
      <c r="D926" s="3">
        <v>437.06</v>
      </c>
      <c r="E926" s="3">
        <v>201.2</v>
      </c>
      <c r="F926" s="3">
        <v>136.79</v>
      </c>
      <c r="G926" s="3">
        <v>177.25</v>
      </c>
      <c r="H926" s="3">
        <v>102.63</v>
      </c>
      <c r="I926" s="2">
        <v>75.53</v>
      </c>
      <c r="J926" s="2">
        <v>762.5</v>
      </c>
      <c r="K926" s="2">
        <v>388.77</v>
      </c>
      <c r="L926" s="3">
        <v>128.47</v>
      </c>
      <c r="M926" s="2">
        <v>3.89</v>
      </c>
    </row>
    <row r="927" spans="1:13">
      <c r="A927" s="9">
        <v>44608</v>
      </c>
      <c r="B927" s="1">
        <f t="shared" si="28"/>
        <v>44593</v>
      </c>
      <c r="C927" s="5" t="str">
        <f t="shared" si="29"/>
        <v>2022-02</v>
      </c>
      <c r="D927" s="3">
        <v>446.6</v>
      </c>
      <c r="E927" s="3">
        <v>206.49</v>
      </c>
      <c r="F927" s="3">
        <v>135.78</v>
      </c>
      <c r="G927" s="3">
        <v>174.86</v>
      </c>
      <c r="H927" s="3">
        <v>103.73</v>
      </c>
      <c r="I927" s="2">
        <v>79.19</v>
      </c>
      <c r="J927" s="2">
        <v>783.42</v>
      </c>
      <c r="K927" s="2">
        <v>386.9</v>
      </c>
      <c r="L927" s="3">
        <v>130.57</v>
      </c>
      <c r="M927" s="2">
        <v>3.98</v>
      </c>
    </row>
    <row r="928" spans="1:13">
      <c r="A928" s="9">
        <v>44607</v>
      </c>
      <c r="B928" s="1">
        <f t="shared" si="28"/>
        <v>44593</v>
      </c>
      <c r="C928" s="5" t="str">
        <f t="shared" si="29"/>
        <v>2022-02</v>
      </c>
      <c r="D928" s="3">
        <v>446.1</v>
      </c>
      <c r="E928" s="3">
        <v>206.06</v>
      </c>
      <c r="F928" s="3">
        <v>134.97999999999999</v>
      </c>
      <c r="G928" s="3">
        <v>173.08</v>
      </c>
      <c r="H928" s="3">
        <v>103.25</v>
      </c>
      <c r="I928" s="2">
        <v>79.77</v>
      </c>
      <c r="J928" s="2">
        <v>781.19</v>
      </c>
      <c r="K928" s="2">
        <v>382.22</v>
      </c>
      <c r="L928" s="3">
        <v>130.37</v>
      </c>
      <c r="M928" s="2">
        <v>3.97</v>
      </c>
    </row>
    <row r="929" spans="1:13">
      <c r="A929" s="9">
        <v>44606</v>
      </c>
      <c r="B929" s="1">
        <f t="shared" si="28"/>
        <v>44593</v>
      </c>
      <c r="C929" s="5" t="str">
        <f t="shared" si="29"/>
        <v>2022-02</v>
      </c>
      <c r="D929" s="3">
        <v>439.02</v>
      </c>
      <c r="E929" s="3">
        <v>200.68</v>
      </c>
      <c r="F929" s="3">
        <v>136.53</v>
      </c>
      <c r="G929" s="3">
        <v>174.74</v>
      </c>
      <c r="H929" s="3">
        <v>102.33</v>
      </c>
      <c r="I929" s="2">
        <v>78.95</v>
      </c>
      <c r="J929" s="2">
        <v>760.31</v>
      </c>
      <c r="K929" s="2">
        <v>386.97</v>
      </c>
      <c r="L929" s="3">
        <v>128.91999999999999</v>
      </c>
      <c r="M929" s="2">
        <v>3.81</v>
      </c>
    </row>
    <row r="930" spans="1:13">
      <c r="A930" s="9">
        <v>44603</v>
      </c>
      <c r="B930" s="1">
        <f t="shared" si="28"/>
        <v>44593</v>
      </c>
      <c r="C930" s="5" t="str">
        <f t="shared" si="29"/>
        <v>2022-02</v>
      </c>
      <c r="D930" s="3">
        <v>440.46</v>
      </c>
      <c r="E930" s="3">
        <v>201.38</v>
      </c>
      <c r="F930" s="3">
        <v>138.25</v>
      </c>
      <c r="G930" s="3">
        <v>173.81</v>
      </c>
      <c r="H930" s="3">
        <v>103.27</v>
      </c>
      <c r="I930" s="2">
        <v>79.75</v>
      </c>
      <c r="J930" s="2">
        <v>772.49</v>
      </c>
      <c r="K930" s="2">
        <v>396.19</v>
      </c>
      <c r="L930" s="3">
        <v>130.25</v>
      </c>
      <c r="M930" s="2">
        <v>3.81</v>
      </c>
    </row>
    <row r="931" spans="1:13">
      <c r="A931" s="9">
        <v>44602</v>
      </c>
      <c r="B931" s="1">
        <f t="shared" si="28"/>
        <v>44593</v>
      </c>
      <c r="C931" s="5" t="str">
        <f t="shared" si="29"/>
        <v>2022-02</v>
      </c>
      <c r="D931" s="3">
        <v>449.32</v>
      </c>
      <c r="E931" s="3">
        <v>203.44</v>
      </c>
      <c r="F931" s="3">
        <v>136.22999999999999</v>
      </c>
      <c r="G931" s="3">
        <v>170.56</v>
      </c>
      <c r="H931" s="3">
        <v>104.22</v>
      </c>
      <c r="I931" s="2">
        <v>81.849999999999994</v>
      </c>
      <c r="J931" s="2">
        <v>778.19</v>
      </c>
      <c r="K931" s="2">
        <v>385.43</v>
      </c>
      <c r="L931" s="3">
        <v>132.08000000000001</v>
      </c>
      <c r="M931" s="2">
        <v>3.86</v>
      </c>
    </row>
    <row r="932" spans="1:13">
      <c r="A932" s="9">
        <v>44601</v>
      </c>
      <c r="B932" s="1">
        <f t="shared" si="28"/>
        <v>44593</v>
      </c>
      <c r="C932" s="5" t="str">
        <f t="shared" si="29"/>
        <v>2022-02</v>
      </c>
      <c r="D932" s="3">
        <v>457.54</v>
      </c>
      <c r="E932" s="3">
        <v>206.61</v>
      </c>
      <c r="F932" s="3">
        <v>138.43</v>
      </c>
      <c r="G932" s="3">
        <v>171.21</v>
      </c>
      <c r="H932" s="3">
        <v>106.74</v>
      </c>
      <c r="I932" s="2">
        <v>83.45</v>
      </c>
      <c r="J932" s="2">
        <v>813</v>
      </c>
      <c r="K932" s="2">
        <v>394.54</v>
      </c>
      <c r="L932" s="3">
        <v>134.18</v>
      </c>
      <c r="M932" s="2">
        <v>3.87</v>
      </c>
    </row>
    <row r="933" spans="1:13">
      <c r="A933" s="9">
        <v>44600</v>
      </c>
      <c r="B933" s="1">
        <f t="shared" si="28"/>
        <v>44593</v>
      </c>
      <c r="C933" s="5" t="str">
        <f t="shared" si="29"/>
        <v>2022-02</v>
      </c>
      <c r="D933" s="3">
        <v>450.94</v>
      </c>
      <c r="E933" s="3">
        <v>202.76</v>
      </c>
      <c r="F933" s="3">
        <v>138.16999999999999</v>
      </c>
      <c r="G933" s="3">
        <v>170.63</v>
      </c>
      <c r="H933" s="3">
        <v>104.38</v>
      </c>
      <c r="I933" s="2">
        <v>80.790000000000006</v>
      </c>
      <c r="J933" s="2">
        <v>807.39</v>
      </c>
      <c r="K933" s="2">
        <v>396.04</v>
      </c>
      <c r="L933" s="3">
        <v>133.15</v>
      </c>
      <c r="M933" s="2">
        <v>3.85</v>
      </c>
    </row>
    <row r="934" spans="1:13">
      <c r="A934" s="9">
        <v>44599</v>
      </c>
      <c r="B934" s="1">
        <f t="shared" si="28"/>
        <v>44593</v>
      </c>
      <c r="C934" s="5" t="str">
        <f t="shared" si="29"/>
        <v>2022-02</v>
      </c>
      <c r="D934" s="3">
        <v>447.26</v>
      </c>
      <c r="E934" s="3">
        <v>199.36</v>
      </c>
      <c r="F934" s="3">
        <v>139.1</v>
      </c>
      <c r="G934" s="3">
        <v>170.11</v>
      </c>
      <c r="H934" s="3">
        <v>104.87</v>
      </c>
      <c r="I934" s="2">
        <v>80.739999999999995</v>
      </c>
      <c r="J934" s="2">
        <v>816.92</v>
      </c>
      <c r="K934" s="2">
        <v>392.34</v>
      </c>
      <c r="L934" s="3">
        <v>132.07</v>
      </c>
      <c r="M934" s="2">
        <v>3.8</v>
      </c>
    </row>
    <row r="935" spans="1:13">
      <c r="A935" s="9">
        <v>44596</v>
      </c>
      <c r="B935" s="1">
        <f t="shared" si="28"/>
        <v>44593</v>
      </c>
      <c r="C935" s="5" t="str">
        <f t="shared" si="29"/>
        <v>2022-02</v>
      </c>
      <c r="D935" s="3">
        <v>448.7</v>
      </c>
      <c r="E935" s="3">
        <v>198.38</v>
      </c>
      <c r="F935" s="3">
        <v>139.01</v>
      </c>
      <c r="G935" s="3">
        <v>168.86</v>
      </c>
      <c r="H935" s="3">
        <v>105.02</v>
      </c>
      <c r="I935" s="2">
        <v>82.11</v>
      </c>
      <c r="J935" s="2">
        <v>809.82</v>
      </c>
      <c r="K935" s="2">
        <v>389.33</v>
      </c>
      <c r="L935" s="3">
        <v>132.30000000000001</v>
      </c>
      <c r="M935" s="2">
        <v>3.82</v>
      </c>
    </row>
    <row r="936" spans="1:13">
      <c r="A936" s="9">
        <v>44595</v>
      </c>
      <c r="B936" s="1">
        <f t="shared" si="28"/>
        <v>44593</v>
      </c>
      <c r="C936" s="5" t="str">
        <f t="shared" si="29"/>
        <v>2022-02</v>
      </c>
      <c r="D936" s="3">
        <v>446.6</v>
      </c>
      <c r="E936" s="3">
        <v>197.53</v>
      </c>
      <c r="F936" s="3">
        <v>141.09</v>
      </c>
      <c r="G936" s="3">
        <v>168.6</v>
      </c>
      <c r="H936" s="3">
        <v>106.07</v>
      </c>
      <c r="I936" s="2">
        <v>81.94</v>
      </c>
      <c r="J936" s="2">
        <v>805.77</v>
      </c>
      <c r="K936" s="2">
        <v>389.7</v>
      </c>
      <c r="L936" s="3">
        <v>132.78</v>
      </c>
      <c r="M936" s="2">
        <v>3.93</v>
      </c>
    </row>
    <row r="937" spans="1:13">
      <c r="A937" s="9">
        <v>44594</v>
      </c>
      <c r="B937" s="1">
        <f t="shared" si="28"/>
        <v>44593</v>
      </c>
      <c r="C937" s="5" t="str">
        <f t="shared" si="29"/>
        <v>2022-02</v>
      </c>
      <c r="D937" s="3">
        <v>457.35</v>
      </c>
      <c r="E937" s="3">
        <v>201.34</v>
      </c>
      <c r="F937" s="3">
        <v>142.19999999999999</v>
      </c>
      <c r="G937" s="3">
        <v>168.84</v>
      </c>
      <c r="H937" s="3">
        <v>107.21</v>
      </c>
      <c r="I937" s="2">
        <v>82.5</v>
      </c>
      <c r="J937" s="2">
        <v>822.51</v>
      </c>
      <c r="K937" s="2">
        <v>387.34</v>
      </c>
      <c r="L937" s="3">
        <v>133.35</v>
      </c>
      <c r="M937" s="2">
        <v>4.38</v>
      </c>
    </row>
    <row r="938" spans="1:13">
      <c r="A938" s="9">
        <v>44593</v>
      </c>
      <c r="B938" s="1">
        <f t="shared" si="28"/>
        <v>44593</v>
      </c>
      <c r="C938" s="5" t="str">
        <f t="shared" si="29"/>
        <v>2022-02</v>
      </c>
      <c r="D938" s="3">
        <v>452.95</v>
      </c>
      <c r="E938" s="3">
        <v>203.36</v>
      </c>
      <c r="F938" s="3">
        <v>141.72</v>
      </c>
      <c r="G938" s="3">
        <v>168.23</v>
      </c>
      <c r="H938" s="3">
        <v>105.86</v>
      </c>
      <c r="I938" s="2">
        <v>81.040000000000006</v>
      </c>
      <c r="J938" s="2">
        <v>825.95</v>
      </c>
      <c r="K938" s="2">
        <v>387.01</v>
      </c>
      <c r="L938" s="3">
        <v>131.58000000000001</v>
      </c>
      <c r="M938" s="2">
        <v>4.17</v>
      </c>
    </row>
    <row r="939" spans="1:13">
      <c r="A939" s="9">
        <v>44592</v>
      </c>
      <c r="B939" s="1">
        <f t="shared" si="28"/>
        <v>44562</v>
      </c>
      <c r="C939" s="5" t="str">
        <f t="shared" si="29"/>
        <v>2022-01</v>
      </c>
      <c r="D939" s="3">
        <v>449.91</v>
      </c>
      <c r="E939" s="3">
        <v>201.24</v>
      </c>
      <c r="F939" s="3">
        <v>142.38999999999999</v>
      </c>
      <c r="G939" s="3">
        <v>168.09</v>
      </c>
      <c r="H939" s="3">
        <v>106.24</v>
      </c>
      <c r="I939" s="2">
        <v>81.16</v>
      </c>
      <c r="J939" s="2">
        <v>822.94</v>
      </c>
      <c r="K939" s="2">
        <v>389.13</v>
      </c>
      <c r="L939" s="3">
        <v>131.22999999999999</v>
      </c>
      <c r="M939" s="2">
        <v>4.05</v>
      </c>
    </row>
    <row r="940" spans="1:13">
      <c r="A940" s="9">
        <v>44589</v>
      </c>
      <c r="B940" s="1">
        <f t="shared" si="28"/>
        <v>44562</v>
      </c>
      <c r="C940" s="5" t="str">
        <f t="shared" si="29"/>
        <v>2022-01</v>
      </c>
      <c r="D940" s="3">
        <v>441.95</v>
      </c>
      <c r="E940" s="3">
        <v>195.25</v>
      </c>
      <c r="F940" s="3">
        <v>143.13</v>
      </c>
      <c r="G940" s="3">
        <v>167.1</v>
      </c>
      <c r="H940" s="3">
        <v>104.95</v>
      </c>
      <c r="I940" s="2">
        <v>80.48</v>
      </c>
      <c r="J940" s="2">
        <v>808.14</v>
      </c>
      <c r="K940" s="2">
        <v>393.15</v>
      </c>
      <c r="L940" s="3">
        <v>130.47999999999999</v>
      </c>
      <c r="M940" s="2">
        <v>4.0199999999999996</v>
      </c>
    </row>
    <row r="941" spans="1:13">
      <c r="A941" s="9">
        <v>44588</v>
      </c>
      <c r="B941" s="1">
        <f t="shared" si="28"/>
        <v>44562</v>
      </c>
      <c r="C941" s="5" t="str">
        <f t="shared" si="29"/>
        <v>2022-01</v>
      </c>
      <c r="D941" s="3">
        <v>431.24</v>
      </c>
      <c r="E941" s="3">
        <v>191.52</v>
      </c>
      <c r="F941" s="3">
        <v>143.08000000000001</v>
      </c>
      <c r="G941" s="3">
        <v>167.6</v>
      </c>
      <c r="H941" s="3">
        <v>101.66</v>
      </c>
      <c r="I941" s="2">
        <v>79.78</v>
      </c>
      <c r="J941" s="2">
        <v>787.96</v>
      </c>
      <c r="K941" s="2">
        <v>389.08</v>
      </c>
      <c r="L941" s="3">
        <v>127.87</v>
      </c>
      <c r="M941" s="2">
        <v>3.88</v>
      </c>
    </row>
    <row r="942" spans="1:13">
      <c r="A942" s="9">
        <v>44587</v>
      </c>
      <c r="B942" s="1">
        <f t="shared" si="28"/>
        <v>44562</v>
      </c>
      <c r="C942" s="5" t="str">
        <f t="shared" si="29"/>
        <v>2022-01</v>
      </c>
      <c r="D942" s="3">
        <v>433.38</v>
      </c>
      <c r="E942" s="3">
        <v>195.97</v>
      </c>
      <c r="F942" s="3">
        <v>140.5</v>
      </c>
      <c r="G942" s="3">
        <v>169.79</v>
      </c>
      <c r="H942" s="3">
        <v>103.37</v>
      </c>
      <c r="I942" s="2">
        <v>79.59</v>
      </c>
      <c r="J942" s="2">
        <v>795.47</v>
      </c>
      <c r="K942" s="2">
        <v>391.24</v>
      </c>
      <c r="L942" s="3">
        <v>127.54</v>
      </c>
      <c r="M942" s="2">
        <v>3.9</v>
      </c>
    </row>
    <row r="943" spans="1:13">
      <c r="A943" s="9">
        <v>44586</v>
      </c>
      <c r="B943" s="1">
        <f t="shared" si="28"/>
        <v>44562</v>
      </c>
      <c r="C943" s="5" t="str">
        <f t="shared" si="29"/>
        <v>2022-01</v>
      </c>
      <c r="D943" s="3">
        <v>434.47</v>
      </c>
      <c r="E943" s="3">
        <v>198.84</v>
      </c>
      <c r="F943" s="3">
        <v>142.22</v>
      </c>
      <c r="G943" s="3">
        <v>172.58</v>
      </c>
      <c r="H943" s="3">
        <v>105.01</v>
      </c>
      <c r="I943" s="2">
        <v>81.069999999999993</v>
      </c>
      <c r="J943" s="2">
        <v>798.55</v>
      </c>
      <c r="K943" s="2">
        <v>387.17</v>
      </c>
      <c r="L943" s="3">
        <v>128.21</v>
      </c>
      <c r="M943" s="2">
        <v>3.95</v>
      </c>
    </row>
    <row r="944" spans="1:13">
      <c r="A944" s="9">
        <v>44585</v>
      </c>
      <c r="B944" s="1">
        <f t="shared" si="28"/>
        <v>44562</v>
      </c>
      <c r="C944" s="5" t="str">
        <f t="shared" si="29"/>
        <v>2022-01</v>
      </c>
      <c r="D944" s="3">
        <v>439.84</v>
      </c>
      <c r="E944" s="3">
        <v>201.53</v>
      </c>
      <c r="F944" s="3">
        <v>142.44999999999999</v>
      </c>
      <c r="G944" s="3">
        <v>172.03</v>
      </c>
      <c r="H944" s="3">
        <v>105.43</v>
      </c>
      <c r="I944" s="2">
        <v>82.42</v>
      </c>
      <c r="J944" s="2">
        <v>786.82</v>
      </c>
      <c r="K944" s="2">
        <v>373.33</v>
      </c>
      <c r="L944" s="3">
        <v>129.04</v>
      </c>
      <c r="M944" s="2">
        <v>4.09</v>
      </c>
    </row>
    <row r="945" spans="1:13">
      <c r="A945" s="9">
        <v>44582</v>
      </c>
      <c r="B945" s="1">
        <f t="shared" si="28"/>
        <v>44562</v>
      </c>
      <c r="C945" s="5" t="str">
        <f t="shared" si="29"/>
        <v>2022-01</v>
      </c>
      <c r="D945" s="3">
        <v>437.98</v>
      </c>
      <c r="E945" s="3">
        <v>196.99</v>
      </c>
      <c r="F945" s="3">
        <v>143.63</v>
      </c>
      <c r="G945" s="3">
        <v>171.09</v>
      </c>
      <c r="H945" s="3">
        <v>105.23</v>
      </c>
      <c r="I945" s="2">
        <v>82.22</v>
      </c>
      <c r="J945" s="2">
        <v>800.92</v>
      </c>
      <c r="K945" s="2">
        <v>371.2</v>
      </c>
      <c r="L945" s="3">
        <v>129.47</v>
      </c>
      <c r="M945" s="2">
        <v>4.0999999999999996</v>
      </c>
    </row>
    <row r="946" spans="1:13">
      <c r="A946" s="9">
        <v>44581</v>
      </c>
      <c r="B946" s="1">
        <f t="shared" si="28"/>
        <v>44562</v>
      </c>
      <c r="C946" s="5" t="str">
        <f t="shared" si="29"/>
        <v>2022-01</v>
      </c>
      <c r="D946" s="3">
        <v>446.75</v>
      </c>
      <c r="E946" s="3">
        <v>200.75</v>
      </c>
      <c r="F946" s="3">
        <v>141.94</v>
      </c>
      <c r="G946" s="3">
        <v>171.65</v>
      </c>
      <c r="H946" s="3">
        <v>105.49</v>
      </c>
      <c r="I946" s="2">
        <v>82.72</v>
      </c>
      <c r="J946" s="2">
        <v>826.55</v>
      </c>
      <c r="K946" s="2">
        <v>375.13</v>
      </c>
      <c r="L946" s="3">
        <v>130.79</v>
      </c>
      <c r="M946" s="2">
        <v>4.2300000000000004</v>
      </c>
    </row>
    <row r="947" spans="1:13">
      <c r="A947" s="9">
        <v>44580</v>
      </c>
      <c r="B947" s="1">
        <f t="shared" si="28"/>
        <v>44562</v>
      </c>
      <c r="C947" s="5" t="str">
        <f t="shared" si="29"/>
        <v>2022-01</v>
      </c>
      <c r="D947" s="3">
        <v>451.75</v>
      </c>
      <c r="E947" s="3">
        <v>204.45</v>
      </c>
      <c r="F947" s="3">
        <v>141.07</v>
      </c>
      <c r="G947" s="3">
        <v>172.08</v>
      </c>
      <c r="H947" s="3">
        <v>106.86</v>
      </c>
      <c r="I947" s="2">
        <v>83.38</v>
      </c>
      <c r="J947" s="2">
        <v>825.5</v>
      </c>
      <c r="K947" s="2">
        <v>377.33</v>
      </c>
      <c r="L947" s="3">
        <v>131.65</v>
      </c>
      <c r="M947" s="2">
        <v>4.22</v>
      </c>
    </row>
    <row r="948" spans="1:13">
      <c r="A948" s="9">
        <v>44579</v>
      </c>
      <c r="B948" s="1">
        <f t="shared" si="28"/>
        <v>44562</v>
      </c>
      <c r="C948" s="5" t="str">
        <f t="shared" si="29"/>
        <v>2022-01</v>
      </c>
      <c r="D948" s="3">
        <v>456.49</v>
      </c>
      <c r="E948" s="3">
        <v>207.83</v>
      </c>
      <c r="F948" s="3">
        <v>140.1</v>
      </c>
      <c r="G948" s="3">
        <v>169.39</v>
      </c>
      <c r="H948" s="3">
        <v>108.32</v>
      </c>
      <c r="I948" s="2">
        <v>85.55</v>
      </c>
      <c r="J948" s="2">
        <v>832</v>
      </c>
      <c r="K948" s="2">
        <v>376.54</v>
      </c>
      <c r="L948" s="3">
        <v>132.19</v>
      </c>
      <c r="M948" s="2">
        <v>4.62</v>
      </c>
    </row>
    <row r="949" spans="1:13">
      <c r="A949" s="9">
        <v>44575</v>
      </c>
      <c r="B949" s="1">
        <f t="shared" si="28"/>
        <v>44562</v>
      </c>
      <c r="C949" s="5" t="str">
        <f t="shared" si="29"/>
        <v>2022-01</v>
      </c>
      <c r="D949" s="3">
        <v>464.72</v>
      </c>
      <c r="E949" s="3">
        <v>214.31</v>
      </c>
      <c r="F949" s="3">
        <v>142.1</v>
      </c>
      <c r="G949" s="3">
        <v>169.67</v>
      </c>
      <c r="H949" s="3">
        <v>109.47</v>
      </c>
      <c r="I949" s="2">
        <v>87.69</v>
      </c>
      <c r="J949" s="2">
        <v>848.6</v>
      </c>
      <c r="K949" s="2">
        <v>372.62</v>
      </c>
      <c r="L949" s="3">
        <v>134.07</v>
      </c>
      <c r="M949" s="2">
        <v>4.5599999999999996</v>
      </c>
    </row>
    <row r="950" spans="1:13">
      <c r="A950" s="9">
        <v>44574</v>
      </c>
      <c r="B950" s="1">
        <f t="shared" si="28"/>
        <v>44562</v>
      </c>
      <c r="C950" s="5" t="str">
        <f t="shared" si="29"/>
        <v>2022-01</v>
      </c>
      <c r="D950" s="3">
        <v>464.53</v>
      </c>
      <c r="E950" s="3">
        <v>214.01</v>
      </c>
      <c r="F950" s="3">
        <v>144.28</v>
      </c>
      <c r="G950" s="3">
        <v>170.16</v>
      </c>
      <c r="H950" s="3">
        <v>110.47</v>
      </c>
      <c r="I950" s="2">
        <v>87.79</v>
      </c>
      <c r="J950" s="2">
        <v>867.58</v>
      </c>
      <c r="K950" s="2">
        <v>365.18</v>
      </c>
      <c r="L950" s="3">
        <v>134.30000000000001</v>
      </c>
      <c r="M950" s="2">
        <v>4.53</v>
      </c>
    </row>
    <row r="951" spans="1:13">
      <c r="A951" s="9">
        <v>44573</v>
      </c>
      <c r="B951" s="1">
        <f t="shared" si="28"/>
        <v>44562</v>
      </c>
      <c r="C951" s="5" t="str">
        <f t="shared" si="29"/>
        <v>2022-01</v>
      </c>
      <c r="D951" s="3">
        <v>471.02</v>
      </c>
      <c r="E951" s="3">
        <v>215.99</v>
      </c>
      <c r="F951" s="3">
        <v>143.01</v>
      </c>
      <c r="G951" s="3">
        <v>170.74</v>
      </c>
      <c r="H951" s="3">
        <v>110.69</v>
      </c>
      <c r="I951" s="2">
        <v>88.31</v>
      </c>
      <c r="J951" s="2">
        <v>885.11</v>
      </c>
      <c r="K951" s="2">
        <v>361.3</v>
      </c>
      <c r="L951" s="3">
        <v>136.41999999999999</v>
      </c>
      <c r="M951" s="2">
        <v>4.4800000000000004</v>
      </c>
    </row>
    <row r="952" spans="1:13">
      <c r="A952" s="9">
        <v>44572</v>
      </c>
      <c r="B952" s="1">
        <f t="shared" si="28"/>
        <v>44562</v>
      </c>
      <c r="C952" s="5" t="str">
        <f t="shared" si="29"/>
        <v>2022-01</v>
      </c>
      <c r="D952" s="3">
        <v>469.75</v>
      </c>
      <c r="E952" s="3">
        <v>217.61</v>
      </c>
      <c r="F952" s="3">
        <v>143.56</v>
      </c>
      <c r="G952" s="3">
        <v>170.29</v>
      </c>
      <c r="H952" s="3">
        <v>110.56</v>
      </c>
      <c r="I952" s="2">
        <v>88.48</v>
      </c>
      <c r="J952" s="2">
        <v>888.19</v>
      </c>
      <c r="K952" s="2">
        <v>364.14</v>
      </c>
      <c r="L952" s="3">
        <v>136.81</v>
      </c>
      <c r="M952" s="2">
        <v>4.49</v>
      </c>
    </row>
    <row r="953" spans="1:13">
      <c r="A953" s="9">
        <v>44571</v>
      </c>
      <c r="B953" s="1">
        <f t="shared" si="28"/>
        <v>44562</v>
      </c>
      <c r="C953" s="5" t="str">
        <f t="shared" si="29"/>
        <v>2022-01</v>
      </c>
      <c r="D953" s="3">
        <v>465.51</v>
      </c>
      <c r="E953" s="3">
        <v>215.32</v>
      </c>
      <c r="F953" s="3">
        <v>142.61000000000001</v>
      </c>
      <c r="G953" s="3">
        <v>168.26</v>
      </c>
      <c r="H953" s="3">
        <v>110.39</v>
      </c>
      <c r="I953" s="2">
        <v>89.28</v>
      </c>
      <c r="J953" s="2">
        <v>873.34</v>
      </c>
      <c r="K953" s="2">
        <v>363.25</v>
      </c>
      <c r="L953" s="3">
        <v>135.72999999999999</v>
      </c>
      <c r="M953" s="2">
        <v>4.42</v>
      </c>
    </row>
    <row r="954" spans="1:13">
      <c r="A954" s="9">
        <v>44568</v>
      </c>
      <c r="B954" s="1">
        <f t="shared" si="28"/>
        <v>44562</v>
      </c>
      <c r="C954" s="5" t="str">
        <f t="shared" si="29"/>
        <v>2022-01</v>
      </c>
      <c r="D954" s="3">
        <v>466.09</v>
      </c>
      <c r="E954" s="3">
        <v>216.07</v>
      </c>
      <c r="F954" s="3">
        <v>142.26</v>
      </c>
      <c r="G954" s="3">
        <v>167.75</v>
      </c>
      <c r="H954" s="3">
        <v>111.03</v>
      </c>
      <c r="I954" s="2">
        <v>87.51</v>
      </c>
      <c r="J954" s="2">
        <v>892.27</v>
      </c>
      <c r="K954" s="2">
        <v>360.14</v>
      </c>
      <c r="L954" s="3">
        <v>134.35</v>
      </c>
      <c r="M954" s="2">
        <v>4.41</v>
      </c>
    </row>
    <row r="955" spans="1:13">
      <c r="A955" s="9">
        <v>44567</v>
      </c>
      <c r="B955" s="1">
        <f t="shared" si="28"/>
        <v>44562</v>
      </c>
      <c r="C955" s="5" t="str">
        <f t="shared" si="29"/>
        <v>2022-01</v>
      </c>
      <c r="D955" s="3">
        <v>467.94</v>
      </c>
      <c r="E955" s="3">
        <v>218.6</v>
      </c>
      <c r="F955" s="3">
        <v>143.29</v>
      </c>
      <c r="G955" s="3">
        <v>166.99</v>
      </c>
      <c r="H955" s="3">
        <v>111.77</v>
      </c>
      <c r="I955" s="2">
        <v>86.34</v>
      </c>
      <c r="J955" s="2">
        <v>895.49</v>
      </c>
      <c r="K955" s="2">
        <v>358</v>
      </c>
      <c r="L955" s="3">
        <v>135.04</v>
      </c>
      <c r="M955" s="2">
        <v>4.51</v>
      </c>
    </row>
    <row r="956" spans="1:13">
      <c r="A956" s="9">
        <v>44566</v>
      </c>
      <c r="B956" s="1">
        <f t="shared" si="28"/>
        <v>44562</v>
      </c>
      <c r="C956" s="5" t="str">
        <f t="shared" si="29"/>
        <v>2022-01</v>
      </c>
      <c r="D956" s="3">
        <v>468.38</v>
      </c>
      <c r="E956" s="3">
        <v>217.36</v>
      </c>
      <c r="F956" s="3">
        <v>142.91999999999999</v>
      </c>
      <c r="G956" s="3">
        <v>169.06</v>
      </c>
      <c r="H956" s="3">
        <v>111.67</v>
      </c>
      <c r="I956" s="2">
        <v>86.46</v>
      </c>
      <c r="J956" s="2">
        <v>891.77</v>
      </c>
      <c r="K956" s="2">
        <v>358.14</v>
      </c>
      <c r="L956" s="3">
        <v>136.62</v>
      </c>
      <c r="M956" s="2">
        <v>4.54</v>
      </c>
    </row>
    <row r="957" spans="1:13">
      <c r="A957" s="9">
        <v>44565</v>
      </c>
      <c r="B957" s="1">
        <f t="shared" si="28"/>
        <v>44562</v>
      </c>
      <c r="C957" s="5" t="str">
        <f t="shared" si="29"/>
        <v>2022-01</v>
      </c>
      <c r="D957" s="3">
        <v>477.55</v>
      </c>
      <c r="E957" s="3">
        <v>224.98</v>
      </c>
      <c r="F957" s="3">
        <v>143.69999999999999</v>
      </c>
      <c r="G957" s="3">
        <v>169.57</v>
      </c>
      <c r="H957" s="3">
        <v>114.96</v>
      </c>
      <c r="I957" s="2">
        <v>88.84</v>
      </c>
      <c r="J957" s="2">
        <v>917.22</v>
      </c>
      <c r="K957" s="2">
        <v>361.99</v>
      </c>
      <c r="L957" s="3">
        <v>137.6</v>
      </c>
      <c r="M957" s="2">
        <v>4.71</v>
      </c>
    </row>
    <row r="958" spans="1:13">
      <c r="A958" s="9">
        <v>44564</v>
      </c>
      <c r="B958" s="1">
        <f t="shared" si="28"/>
        <v>44562</v>
      </c>
      <c r="C958" s="5" t="str">
        <f t="shared" si="29"/>
        <v>2022-01</v>
      </c>
      <c r="D958" s="3">
        <v>477.71</v>
      </c>
      <c r="E958" s="3">
        <v>225.32</v>
      </c>
      <c r="F958" s="3">
        <v>144.30000000000001</v>
      </c>
      <c r="G958" s="3">
        <v>168.33</v>
      </c>
      <c r="H958" s="3">
        <v>115.1</v>
      </c>
      <c r="I958" s="2">
        <v>87.9</v>
      </c>
      <c r="J958" s="2">
        <v>911.73</v>
      </c>
      <c r="K958" s="2">
        <v>354.36</v>
      </c>
      <c r="L958" s="3">
        <v>139.44</v>
      </c>
      <c r="M958" s="2">
        <v>4.5599999999999996</v>
      </c>
    </row>
    <row r="959" spans="1:13">
      <c r="A959" s="9">
        <v>44561</v>
      </c>
      <c r="B959" s="1">
        <f t="shared" si="28"/>
        <v>44531</v>
      </c>
      <c r="C959" s="5" t="str">
        <f t="shared" si="29"/>
        <v>2021-12</v>
      </c>
      <c r="D959" s="3">
        <v>474.96</v>
      </c>
      <c r="E959" s="3">
        <v>222.45</v>
      </c>
      <c r="F959" s="3">
        <v>148.19</v>
      </c>
      <c r="G959" s="3">
        <v>170.96</v>
      </c>
      <c r="H959" s="3">
        <v>116.01</v>
      </c>
      <c r="I959" s="2">
        <v>87.21</v>
      </c>
      <c r="J959" s="2">
        <v>915.56</v>
      </c>
      <c r="K959" s="2">
        <v>355.41</v>
      </c>
      <c r="L959" s="3">
        <v>140.88999999999999</v>
      </c>
      <c r="M959" s="2">
        <v>4.4000000000000004</v>
      </c>
    </row>
    <row r="960" spans="1:13">
      <c r="A960" s="9">
        <v>44560</v>
      </c>
      <c r="B960" s="1">
        <f t="shared" si="28"/>
        <v>44531</v>
      </c>
      <c r="C960" s="5" t="str">
        <f t="shared" si="29"/>
        <v>2021-12</v>
      </c>
      <c r="D960" s="3">
        <v>476.16</v>
      </c>
      <c r="E960" s="3">
        <v>222.93</v>
      </c>
      <c r="F960" s="3">
        <v>147.9</v>
      </c>
      <c r="G960" s="3">
        <v>169.8</v>
      </c>
      <c r="H960" s="3">
        <v>115.69</v>
      </c>
      <c r="I960" s="2">
        <v>88.01</v>
      </c>
      <c r="J960" s="2">
        <v>913.76</v>
      </c>
      <c r="K960" s="2">
        <v>353.58</v>
      </c>
      <c r="L960" s="3">
        <v>141.49</v>
      </c>
      <c r="M960" s="2">
        <v>4.47</v>
      </c>
    </row>
    <row r="961" spans="1:13">
      <c r="A961" s="9">
        <v>44559</v>
      </c>
      <c r="B961" s="1">
        <f t="shared" si="28"/>
        <v>44531</v>
      </c>
      <c r="C961" s="5" t="str">
        <f t="shared" si="29"/>
        <v>2021-12</v>
      </c>
      <c r="D961" s="3">
        <v>477.48</v>
      </c>
      <c r="E961" s="3">
        <v>222.99</v>
      </c>
      <c r="F961" s="3">
        <v>146.66999999999999</v>
      </c>
      <c r="G961" s="3">
        <v>168.59</v>
      </c>
      <c r="H961" s="3">
        <v>115.19</v>
      </c>
      <c r="I961" s="2">
        <v>88.21</v>
      </c>
      <c r="J961" s="2">
        <v>909.72</v>
      </c>
      <c r="K961" s="2">
        <v>354.27</v>
      </c>
      <c r="L961" s="3">
        <v>141.19999999999999</v>
      </c>
      <c r="M961" s="2">
        <v>4.5599999999999996</v>
      </c>
    </row>
    <row r="962" spans="1:13">
      <c r="A962" s="9">
        <v>44558</v>
      </c>
      <c r="B962" s="1">
        <f t="shared" ref="B962:B1025" si="30">EOMONTH(A962,-1)+1</f>
        <v>44531</v>
      </c>
      <c r="C962" s="5" t="str">
        <f t="shared" si="29"/>
        <v>2021-12</v>
      </c>
      <c r="D962" s="3">
        <v>476.87</v>
      </c>
      <c r="E962" s="3">
        <v>222.75</v>
      </c>
      <c r="F962" s="3">
        <v>148.29</v>
      </c>
      <c r="G962" s="3">
        <v>168.64</v>
      </c>
      <c r="H962" s="3">
        <v>114.42</v>
      </c>
      <c r="I962" s="2">
        <v>88.65</v>
      </c>
      <c r="J962" s="2">
        <v>921.82</v>
      </c>
      <c r="K962" s="2">
        <v>353.75</v>
      </c>
      <c r="L962" s="3">
        <v>140.4</v>
      </c>
      <c r="M962" s="2">
        <v>4.42</v>
      </c>
    </row>
    <row r="963" spans="1:13">
      <c r="A963" s="9">
        <v>44557</v>
      </c>
      <c r="B963" s="1">
        <f t="shared" si="30"/>
        <v>44531</v>
      </c>
      <c r="C963" s="5" t="str">
        <f t="shared" ref="C963:C1026" si="31">TEXT(A963, "yyyy-mm")</f>
        <v>2021-12</v>
      </c>
      <c r="D963" s="3">
        <v>477.26</v>
      </c>
      <c r="E963" s="3">
        <v>224.12</v>
      </c>
      <c r="F963" s="3">
        <v>148.88</v>
      </c>
      <c r="G963" s="3">
        <v>169.37</v>
      </c>
      <c r="H963" s="3">
        <v>114</v>
      </c>
      <c r="I963" s="2">
        <v>89.54</v>
      </c>
      <c r="J963" s="2">
        <v>922.57</v>
      </c>
      <c r="K963" s="2">
        <v>350.28</v>
      </c>
      <c r="L963" s="3">
        <v>140.77000000000001</v>
      </c>
      <c r="M963" s="2">
        <v>4.4800000000000004</v>
      </c>
    </row>
    <row r="964" spans="1:13">
      <c r="A964" s="9">
        <v>44553</v>
      </c>
      <c r="B964" s="1">
        <f t="shared" si="30"/>
        <v>44531</v>
      </c>
      <c r="C964" s="5" t="str">
        <f t="shared" si="31"/>
        <v>2021-12</v>
      </c>
      <c r="D964" s="3">
        <v>470.6</v>
      </c>
      <c r="E964" s="3">
        <v>222.04</v>
      </c>
      <c r="F964" s="3">
        <v>148.52000000000001</v>
      </c>
      <c r="G964" s="3">
        <v>168.97</v>
      </c>
      <c r="H964" s="3">
        <v>113.15</v>
      </c>
      <c r="I964" s="2">
        <v>89.72</v>
      </c>
      <c r="J964" s="2">
        <v>913.92</v>
      </c>
      <c r="K964" s="2">
        <v>347.02</v>
      </c>
      <c r="L964" s="3">
        <v>139.30000000000001</v>
      </c>
      <c r="M964" s="2">
        <v>4.2699999999999996</v>
      </c>
    </row>
    <row r="965" spans="1:13">
      <c r="A965" s="9">
        <v>44552</v>
      </c>
      <c r="B965" s="1">
        <f t="shared" si="30"/>
        <v>44531</v>
      </c>
      <c r="C965" s="5" t="str">
        <f t="shared" si="31"/>
        <v>2021-12</v>
      </c>
      <c r="D965" s="3">
        <v>467.69</v>
      </c>
      <c r="E965" s="3">
        <v>220.28</v>
      </c>
      <c r="F965" s="3">
        <v>149.82</v>
      </c>
      <c r="G965" s="3">
        <v>168.59</v>
      </c>
      <c r="H965" s="3">
        <v>113.27</v>
      </c>
      <c r="I965" s="2">
        <v>89.86</v>
      </c>
      <c r="J965" s="2">
        <v>911.54</v>
      </c>
      <c r="K965" s="2">
        <v>343.14</v>
      </c>
      <c r="L965" s="3">
        <v>138.72999999999999</v>
      </c>
      <c r="M965" s="2">
        <v>4.26</v>
      </c>
    </row>
    <row r="966" spans="1:13">
      <c r="A966" s="9">
        <v>44551</v>
      </c>
      <c r="B966" s="1">
        <f t="shared" si="30"/>
        <v>44531</v>
      </c>
      <c r="C966" s="5" t="str">
        <f t="shared" si="31"/>
        <v>2021-12</v>
      </c>
      <c r="D966" s="3">
        <v>463.06</v>
      </c>
      <c r="E966" s="3">
        <v>218.18</v>
      </c>
      <c r="F966" s="3">
        <v>149.13</v>
      </c>
      <c r="G966" s="3">
        <v>167.02</v>
      </c>
      <c r="H966" s="3">
        <v>112.12</v>
      </c>
      <c r="I966" s="2">
        <v>91.51</v>
      </c>
      <c r="J966" s="2">
        <v>910.87</v>
      </c>
      <c r="K966" s="2">
        <v>340.77</v>
      </c>
      <c r="L966" s="3">
        <v>137.13</v>
      </c>
      <c r="M966" s="2">
        <v>4.26</v>
      </c>
    </row>
    <row r="967" spans="1:13">
      <c r="A967" s="9">
        <v>44550</v>
      </c>
      <c r="B967" s="1">
        <f t="shared" si="30"/>
        <v>44531</v>
      </c>
      <c r="C967" s="5" t="str">
        <f t="shared" si="31"/>
        <v>2021-12</v>
      </c>
      <c r="D967" s="3">
        <v>454.98</v>
      </c>
      <c r="E967" s="3">
        <v>212.12</v>
      </c>
      <c r="F967" s="3">
        <v>149.69999999999999</v>
      </c>
      <c r="G967" s="3">
        <v>167.09</v>
      </c>
      <c r="H967" s="3">
        <v>110.87</v>
      </c>
      <c r="I967" s="2">
        <v>91.64</v>
      </c>
      <c r="J967" s="2">
        <v>897.29</v>
      </c>
      <c r="K967" s="2">
        <v>337.42</v>
      </c>
      <c r="L967" s="3">
        <v>136.56</v>
      </c>
      <c r="M967" s="2">
        <v>4.13</v>
      </c>
    </row>
    <row r="968" spans="1:13">
      <c r="A968" s="9">
        <v>44547</v>
      </c>
      <c r="B968" s="1">
        <f t="shared" si="30"/>
        <v>44531</v>
      </c>
      <c r="C968" s="5" t="str">
        <f t="shared" si="31"/>
        <v>2021-12</v>
      </c>
      <c r="D968" s="3">
        <v>459.87</v>
      </c>
      <c r="E968" s="3">
        <v>215.14</v>
      </c>
      <c r="F968" s="3">
        <v>150.83000000000001</v>
      </c>
      <c r="G968" s="3">
        <v>167.8</v>
      </c>
      <c r="H968" s="3">
        <v>111.74</v>
      </c>
      <c r="I968" s="2">
        <v>96.62</v>
      </c>
      <c r="J968" s="2">
        <v>913.57</v>
      </c>
      <c r="K968" s="2">
        <v>344.14</v>
      </c>
      <c r="L968" s="3">
        <v>137.91999999999999</v>
      </c>
      <c r="M968" s="2">
        <v>4.09</v>
      </c>
    </row>
    <row r="969" spans="1:13">
      <c r="A969" s="9">
        <v>44546</v>
      </c>
      <c r="B969" s="1">
        <f t="shared" si="30"/>
        <v>44531</v>
      </c>
      <c r="C969" s="5" t="str">
        <f t="shared" si="31"/>
        <v>2021-12</v>
      </c>
      <c r="D969" s="3">
        <v>466.45</v>
      </c>
      <c r="E969" s="3">
        <v>213.18</v>
      </c>
      <c r="F969" s="3">
        <v>149.13999999999999</v>
      </c>
      <c r="G969" s="3">
        <v>168.16</v>
      </c>
      <c r="H969" s="3">
        <v>111.88</v>
      </c>
      <c r="I969" s="2">
        <v>103.22</v>
      </c>
      <c r="J969" s="2">
        <v>921.55</v>
      </c>
      <c r="K969" s="2">
        <v>344.84</v>
      </c>
      <c r="L969" s="3">
        <v>138.88999999999999</v>
      </c>
      <c r="M969" s="2">
        <v>4.16</v>
      </c>
    </row>
    <row r="970" spans="1:13">
      <c r="A970" s="9">
        <v>44545</v>
      </c>
      <c r="B970" s="1">
        <f t="shared" si="30"/>
        <v>44531</v>
      </c>
      <c r="C970" s="5" t="str">
        <f t="shared" si="31"/>
        <v>2021-12</v>
      </c>
      <c r="D970" s="3">
        <v>470.6</v>
      </c>
      <c r="E970" s="3">
        <v>217.58</v>
      </c>
      <c r="F970" s="3">
        <v>149.25</v>
      </c>
      <c r="G970" s="3">
        <v>166.15</v>
      </c>
      <c r="H970" s="3">
        <v>111.92</v>
      </c>
      <c r="I970" s="2">
        <v>103.65</v>
      </c>
      <c r="J970" s="2">
        <v>914.91</v>
      </c>
      <c r="K970" s="2">
        <v>344.42</v>
      </c>
      <c r="L970" s="3">
        <v>138.07</v>
      </c>
      <c r="M970" s="2">
        <v>4.24</v>
      </c>
    </row>
    <row r="971" spans="1:13">
      <c r="A971" s="9">
        <v>44544</v>
      </c>
      <c r="B971" s="1">
        <f t="shared" si="30"/>
        <v>44531</v>
      </c>
      <c r="C971" s="5" t="str">
        <f t="shared" si="31"/>
        <v>2021-12</v>
      </c>
      <c r="D971" s="3">
        <v>463.36</v>
      </c>
      <c r="E971" s="3">
        <v>214.18</v>
      </c>
      <c r="F971" s="3">
        <v>150.69999999999999</v>
      </c>
      <c r="G971" s="3">
        <v>165.44</v>
      </c>
      <c r="H971" s="3">
        <v>110.37</v>
      </c>
      <c r="I971" s="2">
        <v>99.89</v>
      </c>
      <c r="J971" s="2">
        <v>902.38</v>
      </c>
      <c r="K971" s="2">
        <v>345.64</v>
      </c>
      <c r="L971" s="3">
        <v>135.30000000000001</v>
      </c>
      <c r="M971" s="2">
        <v>4.16</v>
      </c>
    </row>
    <row r="972" spans="1:13">
      <c r="A972" s="9">
        <v>44543</v>
      </c>
      <c r="B972" s="1">
        <f t="shared" si="30"/>
        <v>44531</v>
      </c>
      <c r="C972" s="5" t="str">
        <f t="shared" si="31"/>
        <v>2021-12</v>
      </c>
      <c r="D972" s="3">
        <v>466.57</v>
      </c>
      <c r="E972" s="3">
        <v>216.04</v>
      </c>
      <c r="F972" s="3">
        <v>151.06</v>
      </c>
      <c r="G972" s="3">
        <v>167</v>
      </c>
      <c r="H972" s="3">
        <v>111.8</v>
      </c>
      <c r="I972" s="2">
        <v>100.89</v>
      </c>
      <c r="J972" s="2">
        <v>917.66</v>
      </c>
      <c r="K972" s="2">
        <v>345.55</v>
      </c>
      <c r="L972" s="3">
        <v>135.85</v>
      </c>
      <c r="M972" s="2">
        <v>4.1900000000000004</v>
      </c>
    </row>
    <row r="973" spans="1:13">
      <c r="A973" s="9">
        <v>44540</v>
      </c>
      <c r="B973" s="1">
        <f t="shared" si="30"/>
        <v>44531</v>
      </c>
      <c r="C973" s="5" t="str">
        <f t="shared" si="31"/>
        <v>2021-12</v>
      </c>
      <c r="D973" s="3">
        <v>470.74</v>
      </c>
      <c r="E973" s="3">
        <v>219.91</v>
      </c>
      <c r="F973" s="3">
        <v>148.86000000000001</v>
      </c>
      <c r="G973" s="3">
        <v>166.58</v>
      </c>
      <c r="H973" s="3">
        <v>110.76</v>
      </c>
      <c r="I973" s="2">
        <v>102.63</v>
      </c>
      <c r="J973" s="2">
        <v>925.16</v>
      </c>
      <c r="K973" s="2">
        <v>344.88</v>
      </c>
      <c r="L973" s="3">
        <v>134.58000000000001</v>
      </c>
      <c r="M973" s="2">
        <v>4.29</v>
      </c>
    </row>
    <row r="974" spans="1:13">
      <c r="A974" s="9">
        <v>44539</v>
      </c>
      <c r="B974" s="1">
        <f t="shared" si="30"/>
        <v>44531</v>
      </c>
      <c r="C974" s="5" t="str">
        <f t="shared" si="31"/>
        <v>2021-12</v>
      </c>
      <c r="D974" s="3">
        <v>466.35</v>
      </c>
      <c r="E974" s="3">
        <v>220.52</v>
      </c>
      <c r="F974" s="3">
        <v>149.22</v>
      </c>
      <c r="G974" s="3">
        <v>165.88</v>
      </c>
      <c r="H974" s="3">
        <v>110.42</v>
      </c>
      <c r="I974" s="2">
        <v>88.77</v>
      </c>
      <c r="J974" s="2">
        <v>919.08</v>
      </c>
      <c r="K974" s="2">
        <v>343.6</v>
      </c>
      <c r="L974" s="3">
        <v>134.11000000000001</v>
      </c>
      <c r="M974" s="2">
        <v>4.24</v>
      </c>
    </row>
    <row r="975" spans="1:13">
      <c r="A975" s="9">
        <v>44538</v>
      </c>
      <c r="B975" s="1">
        <f t="shared" si="30"/>
        <v>44531</v>
      </c>
      <c r="C975" s="5" t="str">
        <f t="shared" si="31"/>
        <v>2021-12</v>
      </c>
      <c r="D975" s="3">
        <v>469.52</v>
      </c>
      <c r="E975" s="3">
        <v>225.63</v>
      </c>
      <c r="F975" s="3">
        <v>148.38999999999999</v>
      </c>
      <c r="G975" s="3">
        <v>166.9</v>
      </c>
      <c r="H975" s="3">
        <v>112.04</v>
      </c>
      <c r="I975" s="2">
        <v>88.94</v>
      </c>
      <c r="J975" s="2">
        <v>923.86</v>
      </c>
      <c r="K975" s="2">
        <v>341.08</v>
      </c>
      <c r="L975" s="3">
        <v>133.80000000000001</v>
      </c>
      <c r="M975" s="2">
        <v>4.37</v>
      </c>
    </row>
    <row r="976" spans="1:13">
      <c r="A976" s="9">
        <v>44537</v>
      </c>
      <c r="B976" s="1">
        <f t="shared" si="30"/>
        <v>44531</v>
      </c>
      <c r="C976" s="5" t="str">
        <f t="shared" si="31"/>
        <v>2021-12</v>
      </c>
      <c r="D976" s="3">
        <v>468.28</v>
      </c>
      <c r="E976" s="3">
        <v>224.1</v>
      </c>
      <c r="F976" s="3">
        <v>151</v>
      </c>
      <c r="G976" s="3">
        <v>166.81</v>
      </c>
      <c r="H976" s="3">
        <v>111.24</v>
      </c>
      <c r="I976" s="2">
        <v>90.05</v>
      </c>
      <c r="J976" s="2">
        <v>920.92</v>
      </c>
      <c r="K976" s="2">
        <v>339.17</v>
      </c>
      <c r="L976" s="3">
        <v>132.80000000000001</v>
      </c>
      <c r="M976" s="2">
        <v>4.3899999999999997</v>
      </c>
    </row>
    <row r="977" spans="1:13">
      <c r="A977" s="9">
        <v>44536</v>
      </c>
      <c r="B977" s="1">
        <f t="shared" si="30"/>
        <v>44531</v>
      </c>
      <c r="C977" s="5" t="str">
        <f t="shared" si="31"/>
        <v>2021-12</v>
      </c>
      <c r="D977" s="3">
        <v>458.79</v>
      </c>
      <c r="E977" s="3">
        <v>219.02</v>
      </c>
      <c r="F977" s="3">
        <v>152.22999999999999</v>
      </c>
      <c r="G977" s="3">
        <v>166.22</v>
      </c>
      <c r="H977" s="3">
        <v>109.66</v>
      </c>
      <c r="I977" s="2">
        <v>88.94</v>
      </c>
      <c r="J977" s="2">
        <v>896.7</v>
      </c>
      <c r="K977" s="2">
        <v>339.96</v>
      </c>
      <c r="L977" s="3">
        <v>131.11000000000001</v>
      </c>
      <c r="M977" s="2">
        <v>4.2699999999999996</v>
      </c>
    </row>
    <row r="978" spans="1:13">
      <c r="A978" s="9">
        <v>44533</v>
      </c>
      <c r="B978" s="1">
        <f t="shared" si="30"/>
        <v>44531</v>
      </c>
      <c r="C978" s="5" t="str">
        <f t="shared" si="31"/>
        <v>2021-12</v>
      </c>
      <c r="D978" s="3">
        <v>453.42</v>
      </c>
      <c r="E978" s="3">
        <v>214.71</v>
      </c>
      <c r="F978" s="3">
        <v>154.35</v>
      </c>
      <c r="G978" s="3">
        <v>166.63</v>
      </c>
      <c r="H978" s="3">
        <v>107.77</v>
      </c>
      <c r="I978" s="2">
        <v>88.24</v>
      </c>
      <c r="J978" s="2">
        <v>899.57</v>
      </c>
      <c r="K978" s="2">
        <v>333.81</v>
      </c>
      <c r="L978" s="3">
        <v>130.37</v>
      </c>
      <c r="M978" s="2">
        <v>4.32</v>
      </c>
    </row>
    <row r="979" spans="1:13">
      <c r="A979" s="9">
        <v>44532</v>
      </c>
      <c r="B979" s="1">
        <f t="shared" si="30"/>
        <v>44531</v>
      </c>
      <c r="C979" s="5" t="str">
        <f t="shared" si="31"/>
        <v>2021-12</v>
      </c>
      <c r="D979" s="3">
        <v>457.4</v>
      </c>
      <c r="E979" s="3">
        <v>219.21</v>
      </c>
      <c r="F979" s="3">
        <v>152.53</v>
      </c>
      <c r="G979" s="3">
        <v>165.24</v>
      </c>
      <c r="H979" s="3">
        <v>108.13</v>
      </c>
      <c r="I979" s="2">
        <v>89.99</v>
      </c>
      <c r="J979" s="2">
        <v>918.85</v>
      </c>
      <c r="K979" s="2">
        <v>330.53</v>
      </c>
      <c r="L979" s="3">
        <v>130.13</v>
      </c>
      <c r="M979" s="2">
        <v>4.28</v>
      </c>
    </row>
    <row r="980" spans="1:13">
      <c r="A980" s="9">
        <v>44531</v>
      </c>
      <c r="B980" s="1">
        <f t="shared" si="30"/>
        <v>44531</v>
      </c>
      <c r="C980" s="5" t="str">
        <f t="shared" si="31"/>
        <v>2021-12</v>
      </c>
      <c r="D980" s="3">
        <v>450.5</v>
      </c>
      <c r="E980" s="3">
        <v>213.26</v>
      </c>
      <c r="F980" s="3">
        <v>152.34</v>
      </c>
      <c r="G980" s="3">
        <v>166.16</v>
      </c>
      <c r="H980" s="3">
        <v>104.98</v>
      </c>
      <c r="I980" s="2">
        <v>89.75</v>
      </c>
      <c r="J980" s="2">
        <v>900.33</v>
      </c>
      <c r="K980" s="2">
        <v>328.42</v>
      </c>
      <c r="L980" s="3">
        <v>129.5</v>
      </c>
      <c r="M980" s="2">
        <v>4.24</v>
      </c>
    </row>
    <row r="981" spans="1:13">
      <c r="A981" s="9">
        <v>44530</v>
      </c>
      <c r="B981" s="1">
        <f t="shared" si="30"/>
        <v>44501</v>
      </c>
      <c r="C981" s="5" t="str">
        <f t="shared" si="31"/>
        <v>2021-11</v>
      </c>
      <c r="D981" s="3">
        <v>455.56</v>
      </c>
      <c r="E981" s="3">
        <v>218.17</v>
      </c>
      <c r="F981" s="3">
        <v>151.59</v>
      </c>
      <c r="G981" s="3">
        <v>165.5</v>
      </c>
      <c r="H981" s="3">
        <v>106.74</v>
      </c>
      <c r="I981" s="2">
        <v>90.74</v>
      </c>
      <c r="J981" s="2">
        <v>904.61</v>
      </c>
      <c r="K981" s="2">
        <v>333.32</v>
      </c>
      <c r="L981" s="3">
        <v>129.72999999999999</v>
      </c>
      <c r="M981" s="2">
        <v>4.1399999999999997</v>
      </c>
    </row>
    <row r="982" spans="1:13">
      <c r="A982" s="9">
        <v>44529</v>
      </c>
      <c r="B982" s="1">
        <f t="shared" si="30"/>
        <v>44501</v>
      </c>
      <c r="C982" s="5" t="str">
        <f t="shared" si="31"/>
        <v>2021-11</v>
      </c>
      <c r="D982" s="3">
        <v>464.6</v>
      </c>
      <c r="E982" s="3">
        <v>222.71</v>
      </c>
      <c r="F982" s="3">
        <v>149.32</v>
      </c>
      <c r="G982" s="3">
        <v>166.62</v>
      </c>
      <c r="H982" s="3">
        <v>108.8</v>
      </c>
      <c r="I982" s="2">
        <v>92.94</v>
      </c>
      <c r="J982" s="2">
        <v>928</v>
      </c>
      <c r="K982" s="2">
        <v>341.23</v>
      </c>
      <c r="L982" s="3">
        <v>132.33000000000001</v>
      </c>
      <c r="M982" s="2">
        <v>4.0599999999999996</v>
      </c>
    </row>
    <row r="983" spans="1:13">
      <c r="A983" s="9">
        <v>44526</v>
      </c>
      <c r="B983" s="1">
        <f t="shared" si="30"/>
        <v>44501</v>
      </c>
      <c r="C983" s="5" t="str">
        <f t="shared" si="31"/>
        <v>2021-11</v>
      </c>
      <c r="D983" s="3">
        <v>458.97</v>
      </c>
      <c r="E983" s="3">
        <v>222.85</v>
      </c>
      <c r="F983" s="3">
        <v>150.53</v>
      </c>
      <c r="G983" s="3">
        <v>166.85</v>
      </c>
      <c r="H983" s="3">
        <v>108</v>
      </c>
      <c r="I983" s="2">
        <v>92.33</v>
      </c>
      <c r="J983" s="2">
        <v>901.64</v>
      </c>
      <c r="K983" s="2">
        <v>342.72</v>
      </c>
      <c r="L983" s="3">
        <v>131.97</v>
      </c>
      <c r="M983" s="2">
        <v>4.04</v>
      </c>
    </row>
    <row r="984" spans="1:13">
      <c r="A984" s="9">
        <v>44524</v>
      </c>
      <c r="B984" s="1">
        <f t="shared" si="30"/>
        <v>44501</v>
      </c>
      <c r="C984" s="5" t="str">
        <f t="shared" si="31"/>
        <v>2021-11</v>
      </c>
      <c r="D984" s="3">
        <v>469.44</v>
      </c>
      <c r="E984" s="3">
        <v>231.58</v>
      </c>
      <c r="F984" s="3">
        <v>146.82</v>
      </c>
      <c r="G984" s="3">
        <v>167.12</v>
      </c>
      <c r="H984" s="3">
        <v>111.09</v>
      </c>
      <c r="I984" s="2">
        <v>93.58</v>
      </c>
      <c r="J984" s="2">
        <v>930.72</v>
      </c>
      <c r="K984" s="2">
        <v>343.58</v>
      </c>
      <c r="L984" s="3">
        <v>132.46</v>
      </c>
      <c r="M984" s="2">
        <v>4.2</v>
      </c>
    </row>
    <row r="985" spans="1:13">
      <c r="A985" s="9">
        <v>44523</v>
      </c>
      <c r="B985" s="1">
        <f t="shared" si="30"/>
        <v>44501</v>
      </c>
      <c r="C985" s="5" t="str">
        <f t="shared" si="31"/>
        <v>2021-11</v>
      </c>
      <c r="D985" s="3">
        <v>468.19</v>
      </c>
      <c r="E985" s="3">
        <v>231.33</v>
      </c>
      <c r="F985" s="3">
        <v>144.5</v>
      </c>
      <c r="G985" s="3">
        <v>167.28</v>
      </c>
      <c r="H985" s="3">
        <v>109.76</v>
      </c>
      <c r="I985" s="2">
        <v>92.94</v>
      </c>
      <c r="J985" s="2">
        <v>935.43</v>
      </c>
      <c r="K985" s="2">
        <v>345.18</v>
      </c>
      <c r="L985" s="3">
        <v>132.51</v>
      </c>
      <c r="M985" s="2">
        <v>4.18</v>
      </c>
    </row>
    <row r="986" spans="1:13">
      <c r="A986" s="9">
        <v>44522</v>
      </c>
      <c r="B986" s="1">
        <f t="shared" si="30"/>
        <v>44501</v>
      </c>
      <c r="C986" s="5" t="str">
        <f t="shared" si="31"/>
        <v>2021-11</v>
      </c>
      <c r="D986" s="3">
        <v>467.57</v>
      </c>
      <c r="E986" s="3">
        <v>231.73</v>
      </c>
      <c r="F986" s="3">
        <v>146.62</v>
      </c>
      <c r="G986" s="3">
        <v>168.74</v>
      </c>
      <c r="H986" s="3">
        <v>108.88</v>
      </c>
      <c r="I986" s="2">
        <v>94.61</v>
      </c>
      <c r="J986" s="2">
        <v>919.33</v>
      </c>
      <c r="K986" s="2">
        <v>344.98</v>
      </c>
      <c r="L986" s="3">
        <v>132.37</v>
      </c>
      <c r="M986" s="2">
        <v>4.22</v>
      </c>
    </row>
    <row r="987" spans="1:13">
      <c r="A987" s="9">
        <v>44519</v>
      </c>
      <c r="B987" s="1">
        <f t="shared" si="30"/>
        <v>44501</v>
      </c>
      <c r="C987" s="5" t="str">
        <f t="shared" si="31"/>
        <v>2021-11</v>
      </c>
      <c r="D987" s="3">
        <v>468.89</v>
      </c>
      <c r="E987" s="3">
        <v>232.72</v>
      </c>
      <c r="F987" s="3">
        <v>148.36000000000001</v>
      </c>
      <c r="G987" s="3">
        <v>172.61</v>
      </c>
      <c r="H987" s="3">
        <v>109.42</v>
      </c>
      <c r="I987" s="2">
        <v>93.97</v>
      </c>
      <c r="J987" s="2">
        <v>914.95</v>
      </c>
      <c r="K987" s="2">
        <v>341.44</v>
      </c>
      <c r="L987" s="3">
        <v>132.97</v>
      </c>
      <c r="M987" s="2">
        <v>4.22</v>
      </c>
    </row>
    <row r="988" spans="1:13">
      <c r="A988" s="9">
        <v>44518</v>
      </c>
      <c r="B988" s="1">
        <f t="shared" si="30"/>
        <v>44501</v>
      </c>
      <c r="C988" s="5" t="str">
        <f t="shared" si="31"/>
        <v>2021-11</v>
      </c>
      <c r="D988" s="3">
        <v>469.73</v>
      </c>
      <c r="E988" s="3">
        <v>234.86</v>
      </c>
      <c r="F988" s="3">
        <v>146.81</v>
      </c>
      <c r="G988" s="3">
        <v>173.94</v>
      </c>
      <c r="H988" s="3">
        <v>110.07</v>
      </c>
      <c r="I988" s="2">
        <v>94.66</v>
      </c>
      <c r="J988" s="2">
        <v>922.77</v>
      </c>
      <c r="K988" s="2">
        <v>342.08</v>
      </c>
      <c r="L988" s="3">
        <v>133.78</v>
      </c>
      <c r="M988" s="2">
        <v>4.29</v>
      </c>
    </row>
    <row r="989" spans="1:13">
      <c r="A989" s="9">
        <v>44517</v>
      </c>
      <c r="B989" s="1">
        <f t="shared" si="30"/>
        <v>44501</v>
      </c>
      <c r="C989" s="5" t="str">
        <f t="shared" si="31"/>
        <v>2021-11</v>
      </c>
      <c r="D989" s="3">
        <v>468.14</v>
      </c>
      <c r="E989" s="3">
        <v>235.86</v>
      </c>
      <c r="F989" s="3">
        <v>146.26</v>
      </c>
      <c r="G989" s="3">
        <v>174.5</v>
      </c>
      <c r="H989" s="3">
        <v>110.05</v>
      </c>
      <c r="I989" s="2">
        <v>95.33</v>
      </c>
      <c r="J989" s="2">
        <v>931.54</v>
      </c>
      <c r="K989" s="2">
        <v>341.99</v>
      </c>
      <c r="L989" s="3">
        <v>133.72999999999999</v>
      </c>
      <c r="M989" s="2">
        <v>4.25</v>
      </c>
    </row>
    <row r="990" spans="1:13">
      <c r="A990" s="9">
        <v>44516</v>
      </c>
      <c r="B990" s="1">
        <f t="shared" si="30"/>
        <v>44501</v>
      </c>
      <c r="C990" s="5" t="str">
        <f t="shared" si="31"/>
        <v>2021-11</v>
      </c>
      <c r="D990" s="3">
        <v>469.28</v>
      </c>
      <c r="E990" s="3">
        <v>238.99</v>
      </c>
      <c r="F990" s="3">
        <v>145.11000000000001</v>
      </c>
      <c r="G990" s="3">
        <v>172.92</v>
      </c>
      <c r="H990" s="3">
        <v>109.71</v>
      </c>
      <c r="I990" s="2">
        <v>95.61</v>
      </c>
      <c r="J990" s="2">
        <v>948.95</v>
      </c>
      <c r="K990" s="2">
        <v>340.37</v>
      </c>
      <c r="L990" s="3">
        <v>133.54</v>
      </c>
      <c r="M990" s="2">
        <v>4.4000000000000004</v>
      </c>
    </row>
    <row r="991" spans="1:13">
      <c r="A991" s="9">
        <v>44515</v>
      </c>
      <c r="B991" s="1">
        <f t="shared" si="30"/>
        <v>44501</v>
      </c>
      <c r="C991" s="5" t="str">
        <f t="shared" si="31"/>
        <v>2021-11</v>
      </c>
      <c r="D991" s="3">
        <v>467.43</v>
      </c>
      <c r="E991" s="3">
        <v>238.55</v>
      </c>
      <c r="F991" s="3">
        <v>145.47999999999999</v>
      </c>
      <c r="G991" s="3">
        <v>174.18</v>
      </c>
      <c r="H991" s="3">
        <v>110.44</v>
      </c>
      <c r="I991" s="2">
        <v>94.02</v>
      </c>
      <c r="J991" s="2">
        <v>953.24</v>
      </c>
      <c r="K991" s="2">
        <v>340.92</v>
      </c>
      <c r="L991" s="3">
        <v>132.97999999999999</v>
      </c>
      <c r="M991" s="2">
        <v>4.3099999999999996</v>
      </c>
    </row>
    <row r="992" spans="1:13">
      <c r="A992" s="9">
        <v>44512</v>
      </c>
      <c r="B992" s="1">
        <f t="shared" si="30"/>
        <v>44501</v>
      </c>
      <c r="C992" s="5" t="str">
        <f t="shared" si="31"/>
        <v>2021-11</v>
      </c>
      <c r="D992" s="3">
        <v>467.27</v>
      </c>
      <c r="E992" s="3">
        <v>239.5</v>
      </c>
      <c r="F992" s="3">
        <v>147.33000000000001</v>
      </c>
      <c r="G992" s="3">
        <v>174.45</v>
      </c>
      <c r="H992" s="3">
        <v>109.67</v>
      </c>
      <c r="I992" s="2">
        <v>93.54</v>
      </c>
      <c r="J992" s="2">
        <v>971.49</v>
      </c>
      <c r="K992" s="2">
        <v>339.06</v>
      </c>
      <c r="L992" s="3">
        <v>133.81</v>
      </c>
      <c r="M992" s="2">
        <v>4.37</v>
      </c>
    </row>
    <row r="993" spans="1:13">
      <c r="A993" s="9">
        <v>44511</v>
      </c>
      <c r="B993" s="1">
        <f t="shared" si="30"/>
        <v>44501</v>
      </c>
      <c r="C993" s="5" t="str">
        <f t="shared" si="31"/>
        <v>2021-11</v>
      </c>
      <c r="D993" s="3">
        <v>463.77</v>
      </c>
      <c r="E993" s="3">
        <v>239.26</v>
      </c>
      <c r="F993" s="3">
        <v>147.97999999999999</v>
      </c>
      <c r="G993" s="3">
        <v>174.12</v>
      </c>
      <c r="H993" s="3">
        <v>109.75</v>
      </c>
      <c r="I993" s="2">
        <v>94.04</v>
      </c>
      <c r="J993" s="2">
        <v>965.6</v>
      </c>
      <c r="K993" s="2">
        <v>335.89</v>
      </c>
      <c r="L993" s="3">
        <v>133.15</v>
      </c>
      <c r="M993" s="2">
        <v>4.43</v>
      </c>
    </row>
    <row r="994" spans="1:13">
      <c r="A994" s="9">
        <v>44510</v>
      </c>
      <c r="B994" s="1">
        <f t="shared" si="30"/>
        <v>44501</v>
      </c>
      <c r="C994" s="5" t="str">
        <f t="shared" si="31"/>
        <v>2021-11</v>
      </c>
      <c r="D994" s="3">
        <v>463.62</v>
      </c>
      <c r="E994" s="3">
        <v>237.35</v>
      </c>
      <c r="F994" s="3">
        <v>148.19999999999999</v>
      </c>
      <c r="G994" s="3">
        <v>173.15</v>
      </c>
      <c r="H994" s="3">
        <v>109.57</v>
      </c>
      <c r="I994" s="2">
        <v>93.83</v>
      </c>
      <c r="J994" s="2">
        <v>959.21</v>
      </c>
      <c r="K994" s="2">
        <v>337.63</v>
      </c>
      <c r="L994" s="3">
        <v>133.54</v>
      </c>
      <c r="M994" s="2">
        <v>4.38</v>
      </c>
    </row>
    <row r="995" spans="1:13">
      <c r="A995" s="9">
        <v>44509</v>
      </c>
      <c r="B995" s="1">
        <f t="shared" si="30"/>
        <v>44501</v>
      </c>
      <c r="C995" s="5" t="str">
        <f t="shared" si="31"/>
        <v>2021-11</v>
      </c>
      <c r="D995" s="3">
        <v>467.38</v>
      </c>
      <c r="E995" s="3">
        <v>241.15</v>
      </c>
      <c r="F995" s="3">
        <v>150.96</v>
      </c>
      <c r="G995" s="3">
        <v>171.29</v>
      </c>
      <c r="H995" s="3">
        <v>110.08</v>
      </c>
      <c r="I995" s="2">
        <v>94.59</v>
      </c>
      <c r="J995" s="2">
        <v>966.75</v>
      </c>
      <c r="K995" s="2">
        <v>338.17</v>
      </c>
      <c r="L995" s="3">
        <v>133.16</v>
      </c>
      <c r="M995" s="2">
        <v>4.4800000000000004</v>
      </c>
    </row>
    <row r="996" spans="1:13">
      <c r="A996" s="9">
        <v>44508</v>
      </c>
      <c r="B996" s="1">
        <f t="shared" si="30"/>
        <v>44501</v>
      </c>
      <c r="C996" s="5" t="str">
        <f t="shared" si="31"/>
        <v>2021-11</v>
      </c>
      <c r="D996" s="3">
        <v>468.93</v>
      </c>
      <c r="E996" s="3">
        <v>242.56</v>
      </c>
      <c r="F996" s="3">
        <v>149.02000000000001</v>
      </c>
      <c r="G996" s="3">
        <v>170.45</v>
      </c>
      <c r="H996" s="3">
        <v>109.89</v>
      </c>
      <c r="I996" s="2">
        <v>95.14</v>
      </c>
      <c r="J996" s="2">
        <v>965.87</v>
      </c>
      <c r="K996" s="2">
        <v>341.78</v>
      </c>
      <c r="L996" s="3">
        <v>133.65</v>
      </c>
      <c r="M996" s="2">
        <v>4.5</v>
      </c>
    </row>
    <row r="997" spans="1:13">
      <c r="A997" s="9">
        <v>44505</v>
      </c>
      <c r="B997" s="1">
        <f t="shared" si="30"/>
        <v>44501</v>
      </c>
      <c r="C997" s="5" t="str">
        <f t="shared" si="31"/>
        <v>2021-11</v>
      </c>
      <c r="D997" s="3">
        <v>468.53</v>
      </c>
      <c r="E997" s="3">
        <v>241.81</v>
      </c>
      <c r="F997" s="3">
        <v>149.30000000000001</v>
      </c>
      <c r="G997" s="3">
        <v>169.84</v>
      </c>
      <c r="H997" s="3">
        <v>109.98</v>
      </c>
      <c r="I997" s="2">
        <v>94.95</v>
      </c>
      <c r="J997" s="2">
        <v>955.11</v>
      </c>
      <c r="K997" s="2">
        <v>339.89</v>
      </c>
      <c r="L997" s="3">
        <v>132.86000000000001</v>
      </c>
      <c r="M997" s="2">
        <v>4.66</v>
      </c>
    </row>
    <row r="998" spans="1:13">
      <c r="A998" s="9">
        <v>44504</v>
      </c>
      <c r="B998" s="1">
        <f t="shared" si="30"/>
        <v>44501</v>
      </c>
      <c r="C998" s="5" t="str">
        <f t="shared" si="31"/>
        <v>2021-11</v>
      </c>
      <c r="D998" s="3">
        <v>466.91</v>
      </c>
      <c r="E998" s="3">
        <v>238.55</v>
      </c>
      <c r="F998" s="3">
        <v>147.1</v>
      </c>
      <c r="G998" s="3">
        <v>167.65</v>
      </c>
      <c r="H998" s="3">
        <v>109.42</v>
      </c>
      <c r="I998" s="2">
        <v>95.63</v>
      </c>
      <c r="J998" s="2">
        <v>954.04</v>
      </c>
      <c r="K998" s="2">
        <v>335.5</v>
      </c>
      <c r="L998" s="3">
        <v>134.36000000000001</v>
      </c>
      <c r="M998" s="2">
        <v>4.7</v>
      </c>
    </row>
    <row r="999" spans="1:13">
      <c r="A999" s="9">
        <v>44503</v>
      </c>
      <c r="B999" s="1">
        <f t="shared" si="30"/>
        <v>44501</v>
      </c>
      <c r="C999" s="5" t="str">
        <f t="shared" si="31"/>
        <v>2021-11</v>
      </c>
      <c r="D999" s="3">
        <v>464.72</v>
      </c>
      <c r="E999" s="3">
        <v>238.64</v>
      </c>
      <c r="F999" s="3">
        <v>145.57</v>
      </c>
      <c r="G999" s="3">
        <v>165.77</v>
      </c>
      <c r="H999" s="3">
        <v>110.47</v>
      </c>
      <c r="I999" s="2">
        <v>96.15</v>
      </c>
      <c r="J999" s="2">
        <v>951.7</v>
      </c>
      <c r="K999" s="2">
        <v>331.35</v>
      </c>
      <c r="L999" s="3">
        <v>135.29</v>
      </c>
      <c r="M999" s="2">
        <v>4.1900000000000004</v>
      </c>
    </row>
    <row r="1000" spans="1:13">
      <c r="A1000" s="9">
        <v>44502</v>
      </c>
      <c r="B1000" s="1">
        <f t="shared" si="30"/>
        <v>44501</v>
      </c>
      <c r="C1000" s="5" t="str">
        <f t="shared" si="31"/>
        <v>2021-11</v>
      </c>
      <c r="D1000" s="3">
        <v>461.9</v>
      </c>
      <c r="E1000" s="3">
        <v>234.45</v>
      </c>
      <c r="F1000" s="3">
        <v>147.09</v>
      </c>
      <c r="G1000" s="3">
        <v>167.16</v>
      </c>
      <c r="H1000" s="3">
        <v>110.1</v>
      </c>
      <c r="I1000" s="2">
        <v>95.87</v>
      </c>
      <c r="J1000" s="2">
        <v>947.85</v>
      </c>
      <c r="K1000" s="2">
        <v>326.31</v>
      </c>
      <c r="L1000" s="3">
        <v>134.5</v>
      </c>
      <c r="M1000" s="2">
        <v>3.71</v>
      </c>
    </row>
    <row r="1001" spans="1:13">
      <c r="A1001" s="9">
        <v>44501</v>
      </c>
      <c r="B1001" s="1">
        <f t="shared" si="30"/>
        <v>44501</v>
      </c>
      <c r="C1001" s="5" t="str">
        <f t="shared" si="31"/>
        <v>2021-11</v>
      </c>
      <c r="D1001" s="3">
        <v>460.04</v>
      </c>
      <c r="E1001" s="3">
        <v>233.96</v>
      </c>
      <c r="F1001" s="3">
        <v>146.44</v>
      </c>
      <c r="G1001" s="3">
        <v>167.52</v>
      </c>
      <c r="H1001" s="3">
        <v>109.58</v>
      </c>
      <c r="I1001" s="2">
        <v>94.38</v>
      </c>
      <c r="J1001" s="2">
        <v>936.23</v>
      </c>
      <c r="K1001" s="2">
        <v>330.93</v>
      </c>
      <c r="L1001" s="3">
        <v>133.66</v>
      </c>
      <c r="M1001" s="2">
        <v>3.67</v>
      </c>
    </row>
    <row r="1002" spans="1:13">
      <c r="A1002" s="9">
        <v>44498</v>
      </c>
      <c r="B1002" s="1">
        <f t="shared" si="30"/>
        <v>44470</v>
      </c>
      <c r="C1002" s="5" t="str">
        <f t="shared" si="31"/>
        <v>2021-10</v>
      </c>
      <c r="D1002" s="3">
        <v>459.25</v>
      </c>
      <c r="E1002" s="3">
        <v>228.05</v>
      </c>
      <c r="F1002" s="3">
        <v>147.69</v>
      </c>
      <c r="G1002" s="3">
        <v>166.65</v>
      </c>
      <c r="H1002" s="3">
        <v>109.04</v>
      </c>
      <c r="I1002" s="2">
        <v>95.94</v>
      </c>
      <c r="J1002" s="2">
        <v>943.46</v>
      </c>
      <c r="K1002" s="2">
        <v>332.32</v>
      </c>
      <c r="L1002" s="3">
        <v>133.82</v>
      </c>
      <c r="M1002" s="2">
        <v>3.54</v>
      </c>
    </row>
    <row r="1003" spans="1:13">
      <c r="A1003" s="9">
        <v>44497</v>
      </c>
      <c r="B1003" s="1">
        <f t="shared" si="30"/>
        <v>44470</v>
      </c>
      <c r="C1003" s="5" t="str">
        <f t="shared" si="31"/>
        <v>2021-10</v>
      </c>
      <c r="D1003" s="3">
        <v>458.32</v>
      </c>
      <c r="E1003" s="3">
        <v>228.11</v>
      </c>
      <c r="F1003" s="3">
        <v>147.24</v>
      </c>
      <c r="G1003" s="3">
        <v>168.08</v>
      </c>
      <c r="H1003" s="3">
        <v>110.28</v>
      </c>
      <c r="I1003" s="2">
        <v>96.23</v>
      </c>
      <c r="J1003" s="2">
        <v>935.48</v>
      </c>
      <c r="K1003" s="2">
        <v>331.39</v>
      </c>
      <c r="L1003" s="3">
        <v>132.53</v>
      </c>
      <c r="M1003" s="2">
        <v>3.54</v>
      </c>
    </row>
    <row r="1004" spans="1:13">
      <c r="A1004" s="9">
        <v>44496</v>
      </c>
      <c r="B1004" s="1">
        <f t="shared" si="30"/>
        <v>44470</v>
      </c>
      <c r="C1004" s="5" t="str">
        <f t="shared" si="31"/>
        <v>2021-10</v>
      </c>
      <c r="D1004" s="3">
        <v>453.94</v>
      </c>
      <c r="E1004" s="3">
        <v>223.65</v>
      </c>
      <c r="F1004" s="3">
        <v>147.74</v>
      </c>
      <c r="G1004" s="3">
        <v>168.12</v>
      </c>
      <c r="H1004" s="3">
        <v>108.76</v>
      </c>
      <c r="I1004" s="2">
        <v>96.03</v>
      </c>
      <c r="J1004" s="2">
        <v>917.27</v>
      </c>
      <c r="K1004" s="2">
        <v>330.94</v>
      </c>
      <c r="L1004" s="3">
        <v>131.43</v>
      </c>
      <c r="M1004" s="2">
        <v>3.53</v>
      </c>
    </row>
    <row r="1005" spans="1:13">
      <c r="A1005" s="9">
        <v>44495</v>
      </c>
      <c r="B1005" s="1">
        <f t="shared" si="30"/>
        <v>44470</v>
      </c>
      <c r="C1005" s="5" t="str">
        <f t="shared" si="31"/>
        <v>2021-10</v>
      </c>
      <c r="D1005" s="3">
        <v>455.96</v>
      </c>
      <c r="E1005" s="3">
        <v>227.84</v>
      </c>
      <c r="F1005" s="3">
        <v>145.1</v>
      </c>
      <c r="G1005" s="3">
        <v>167.68</v>
      </c>
      <c r="H1005" s="3">
        <v>109.69</v>
      </c>
      <c r="I1005" s="2">
        <v>96.98</v>
      </c>
      <c r="J1005" s="2">
        <v>931.58</v>
      </c>
      <c r="K1005" s="2">
        <v>331.91</v>
      </c>
      <c r="L1005" s="3">
        <v>132.47999999999999</v>
      </c>
      <c r="M1005" s="2">
        <v>3.55</v>
      </c>
    </row>
    <row r="1006" spans="1:13">
      <c r="A1006" s="9">
        <v>44494</v>
      </c>
      <c r="B1006" s="1">
        <f t="shared" si="30"/>
        <v>44470</v>
      </c>
      <c r="C1006" s="5" t="str">
        <f t="shared" si="31"/>
        <v>2021-10</v>
      </c>
      <c r="D1006" s="3">
        <v>455.55</v>
      </c>
      <c r="E1006" s="3">
        <v>229.57</v>
      </c>
      <c r="F1006" s="3">
        <v>143.91</v>
      </c>
      <c r="G1006" s="3">
        <v>168.93</v>
      </c>
      <c r="H1006" s="3">
        <v>109.39</v>
      </c>
      <c r="I1006" s="2">
        <v>97.89</v>
      </c>
      <c r="J1006" s="2">
        <v>924.74</v>
      </c>
      <c r="K1006" s="2">
        <v>376.33</v>
      </c>
      <c r="L1006" s="3">
        <v>131.83000000000001</v>
      </c>
      <c r="M1006" s="2">
        <v>3.53</v>
      </c>
    </row>
    <row r="1007" spans="1:13">
      <c r="A1007" s="9">
        <v>44491</v>
      </c>
      <c r="B1007" s="1">
        <f t="shared" si="30"/>
        <v>44470</v>
      </c>
      <c r="C1007" s="5" t="str">
        <f t="shared" si="31"/>
        <v>2021-10</v>
      </c>
      <c r="D1007" s="3">
        <v>453.12</v>
      </c>
      <c r="E1007" s="3">
        <v>227.41</v>
      </c>
      <c r="F1007" s="3">
        <v>144.13</v>
      </c>
      <c r="G1007" s="3">
        <v>167.77</v>
      </c>
      <c r="H1007" s="3">
        <v>109.04</v>
      </c>
      <c r="I1007" s="2">
        <v>98.25</v>
      </c>
      <c r="J1007" s="2">
        <v>914.97</v>
      </c>
      <c r="K1007" s="2">
        <v>374.6</v>
      </c>
      <c r="L1007" s="3">
        <v>131.66999999999999</v>
      </c>
      <c r="M1007" s="2">
        <v>3.53</v>
      </c>
    </row>
    <row r="1008" spans="1:13">
      <c r="A1008" s="9">
        <v>44490</v>
      </c>
      <c r="B1008" s="1">
        <f t="shared" si="30"/>
        <v>44470</v>
      </c>
      <c r="C1008" s="5" t="str">
        <f t="shared" si="31"/>
        <v>2021-10</v>
      </c>
      <c r="D1008" s="3">
        <v>453.59</v>
      </c>
      <c r="E1008" s="3">
        <v>227.95</v>
      </c>
      <c r="F1008" s="3">
        <v>142.56</v>
      </c>
      <c r="G1008" s="3">
        <v>166.75</v>
      </c>
      <c r="H1008" s="3">
        <v>108.53</v>
      </c>
      <c r="I1008" s="2">
        <v>96.3</v>
      </c>
      <c r="J1008" s="2">
        <v>903.72</v>
      </c>
      <c r="K1008" s="2">
        <v>373.14</v>
      </c>
      <c r="L1008" s="3">
        <v>131.13999999999999</v>
      </c>
      <c r="M1008" s="2">
        <v>3.54</v>
      </c>
    </row>
    <row r="1009" spans="1:13">
      <c r="A1009" s="9">
        <v>44489</v>
      </c>
      <c r="B1009" s="1">
        <f t="shared" si="30"/>
        <v>44470</v>
      </c>
      <c r="C1009" s="5" t="str">
        <f t="shared" si="31"/>
        <v>2021-10</v>
      </c>
      <c r="D1009" s="3">
        <v>452.41</v>
      </c>
      <c r="E1009" s="3">
        <v>227.37</v>
      </c>
      <c r="F1009" s="3">
        <v>142.72999999999999</v>
      </c>
      <c r="G1009" s="3">
        <v>166.9</v>
      </c>
      <c r="H1009" s="3">
        <v>108.38</v>
      </c>
      <c r="I1009" s="2">
        <v>96.64</v>
      </c>
      <c r="J1009" s="2">
        <v>902.93</v>
      </c>
      <c r="K1009" s="2">
        <v>371.13</v>
      </c>
      <c r="L1009" s="3">
        <v>130.61000000000001</v>
      </c>
      <c r="M1009" s="2">
        <v>3.54</v>
      </c>
    </row>
    <row r="1010" spans="1:13">
      <c r="A1010" s="9">
        <v>44488</v>
      </c>
      <c r="B1010" s="1">
        <f t="shared" si="30"/>
        <v>44470</v>
      </c>
      <c r="C1010" s="5" t="str">
        <f t="shared" si="31"/>
        <v>2021-10</v>
      </c>
      <c r="D1010" s="3">
        <v>450.64</v>
      </c>
      <c r="E1010" s="3">
        <v>225.87</v>
      </c>
      <c r="F1010" s="3">
        <v>143.69999999999999</v>
      </c>
      <c r="G1010" s="3">
        <v>165.45</v>
      </c>
      <c r="H1010" s="3">
        <v>106.7</v>
      </c>
      <c r="I1010" s="2">
        <v>97.06</v>
      </c>
      <c r="J1010" s="2">
        <v>901.65</v>
      </c>
      <c r="K1010" s="2">
        <v>371.07</v>
      </c>
      <c r="L1010" s="3">
        <v>128.77000000000001</v>
      </c>
      <c r="M1010" s="2">
        <v>3.52</v>
      </c>
    </row>
    <row r="1011" spans="1:13">
      <c r="A1011" s="9">
        <v>44487</v>
      </c>
      <c r="B1011" s="1">
        <f t="shared" si="30"/>
        <v>44470</v>
      </c>
      <c r="C1011" s="5" t="str">
        <f t="shared" si="31"/>
        <v>2021-10</v>
      </c>
      <c r="D1011" s="3">
        <v>447.19</v>
      </c>
      <c r="E1011" s="3">
        <v>225.03</v>
      </c>
      <c r="F1011" s="3">
        <v>145.71</v>
      </c>
      <c r="G1011" s="3">
        <v>164.92</v>
      </c>
      <c r="H1011" s="3">
        <v>106.65</v>
      </c>
      <c r="I1011" s="2">
        <v>96.51</v>
      </c>
      <c r="J1011" s="2">
        <v>896.31</v>
      </c>
      <c r="K1011" s="2">
        <v>365</v>
      </c>
      <c r="L1011" s="3">
        <v>127.1</v>
      </c>
      <c r="M1011" s="2">
        <v>3.5</v>
      </c>
    </row>
    <row r="1012" spans="1:13">
      <c r="A1012" s="9">
        <v>44484</v>
      </c>
      <c r="B1012" s="1">
        <f t="shared" si="30"/>
        <v>44470</v>
      </c>
      <c r="C1012" s="5" t="str">
        <f t="shared" si="31"/>
        <v>2021-10</v>
      </c>
      <c r="D1012" s="3">
        <v>445.87</v>
      </c>
      <c r="E1012" s="3">
        <v>225.16</v>
      </c>
      <c r="F1012" s="3">
        <v>145.03</v>
      </c>
      <c r="G1012" s="3">
        <v>165.33</v>
      </c>
      <c r="H1012" s="3">
        <v>106.38</v>
      </c>
      <c r="I1012" s="2">
        <v>95.33</v>
      </c>
      <c r="J1012" s="2">
        <v>907.26</v>
      </c>
      <c r="K1012" s="2">
        <v>365.62</v>
      </c>
      <c r="L1012" s="3">
        <v>127.97</v>
      </c>
      <c r="M1012" s="2">
        <v>3.54</v>
      </c>
    </row>
    <row r="1013" spans="1:13">
      <c r="A1013" s="9">
        <v>44483</v>
      </c>
      <c r="B1013" s="1">
        <f t="shared" si="30"/>
        <v>44470</v>
      </c>
      <c r="C1013" s="5" t="str">
        <f t="shared" si="31"/>
        <v>2021-10</v>
      </c>
      <c r="D1013" s="3">
        <v>442.5</v>
      </c>
      <c r="E1013" s="3">
        <v>225.87</v>
      </c>
      <c r="F1013" s="3">
        <v>145.88</v>
      </c>
      <c r="G1013" s="3">
        <v>168</v>
      </c>
      <c r="H1013" s="3">
        <v>106.46</v>
      </c>
      <c r="I1013" s="2">
        <v>95.28</v>
      </c>
      <c r="J1013" s="2">
        <v>892.51</v>
      </c>
      <c r="K1013" s="2">
        <v>362.07</v>
      </c>
      <c r="L1013" s="3">
        <v>127.34</v>
      </c>
      <c r="M1013" s="2">
        <v>3.6</v>
      </c>
    </row>
    <row r="1014" spans="1:13">
      <c r="A1014" s="9">
        <v>44482</v>
      </c>
      <c r="B1014" s="1">
        <f t="shared" si="30"/>
        <v>44470</v>
      </c>
      <c r="C1014" s="5" t="str">
        <f t="shared" si="31"/>
        <v>2021-10</v>
      </c>
      <c r="D1014" s="3">
        <v>435.18</v>
      </c>
      <c r="E1014" s="3">
        <v>222.57</v>
      </c>
      <c r="F1014" s="3">
        <v>145.34</v>
      </c>
      <c r="G1014" s="3">
        <v>167.59</v>
      </c>
      <c r="H1014" s="3">
        <v>105.18</v>
      </c>
      <c r="I1014" s="2">
        <v>96.4</v>
      </c>
      <c r="J1014" s="2">
        <v>867.81</v>
      </c>
      <c r="K1014" s="2">
        <v>361.76</v>
      </c>
      <c r="L1014" s="3">
        <v>125.54</v>
      </c>
      <c r="M1014" s="2">
        <v>3.58</v>
      </c>
    </row>
    <row r="1015" spans="1:13">
      <c r="A1015" s="9">
        <v>44481</v>
      </c>
      <c r="B1015" s="1">
        <f t="shared" si="30"/>
        <v>44470</v>
      </c>
      <c r="C1015" s="5" t="str">
        <f t="shared" si="31"/>
        <v>2021-10</v>
      </c>
      <c r="D1015" s="3">
        <v>433.62</v>
      </c>
      <c r="E1015" s="3">
        <v>221.52</v>
      </c>
      <c r="F1015" s="3">
        <v>143.94</v>
      </c>
      <c r="G1015" s="3">
        <v>164.66</v>
      </c>
      <c r="H1015" s="3">
        <v>104.42</v>
      </c>
      <c r="I1015" s="2">
        <v>95.57</v>
      </c>
      <c r="J1015" s="2">
        <v>836.19</v>
      </c>
      <c r="K1015" s="2">
        <v>358.12</v>
      </c>
      <c r="L1015" s="3">
        <v>125.34</v>
      </c>
      <c r="M1015" s="2">
        <v>3.59</v>
      </c>
    </row>
    <row r="1016" spans="1:13">
      <c r="A1016" s="9">
        <v>44480</v>
      </c>
      <c r="B1016" s="1">
        <f t="shared" si="30"/>
        <v>44470</v>
      </c>
      <c r="C1016" s="5" t="str">
        <f t="shared" si="31"/>
        <v>2021-10</v>
      </c>
      <c r="D1016" s="3">
        <v>434.69</v>
      </c>
      <c r="E1016" s="3">
        <v>220.31</v>
      </c>
      <c r="F1016" s="3">
        <v>141.52000000000001</v>
      </c>
      <c r="G1016" s="3">
        <v>163.92</v>
      </c>
      <c r="H1016" s="3">
        <v>103.07</v>
      </c>
      <c r="I1016" s="2">
        <v>95.29</v>
      </c>
      <c r="J1016" s="2">
        <v>839.73</v>
      </c>
      <c r="K1016" s="2">
        <v>357.08</v>
      </c>
      <c r="L1016" s="3">
        <v>125.95</v>
      </c>
      <c r="M1016" s="2">
        <v>3.7</v>
      </c>
    </row>
    <row r="1017" spans="1:13">
      <c r="A1017" s="9">
        <v>44477</v>
      </c>
      <c r="B1017" s="1">
        <f t="shared" si="30"/>
        <v>44470</v>
      </c>
      <c r="C1017" s="5" t="str">
        <f t="shared" si="31"/>
        <v>2021-10</v>
      </c>
      <c r="D1017" s="3">
        <v>437.86</v>
      </c>
      <c r="E1017" s="3">
        <v>221.58</v>
      </c>
      <c r="F1017" s="3">
        <v>141.88</v>
      </c>
      <c r="G1017" s="3">
        <v>164.23</v>
      </c>
      <c r="H1017" s="3">
        <v>102.81</v>
      </c>
      <c r="I1017" s="2">
        <v>94.39</v>
      </c>
      <c r="J1017" s="2">
        <v>844.4</v>
      </c>
      <c r="K1017" s="2">
        <v>353.75</v>
      </c>
      <c r="L1017" s="3">
        <v>126.94</v>
      </c>
      <c r="M1017" s="2">
        <v>3.69</v>
      </c>
    </row>
    <row r="1018" spans="1:13">
      <c r="A1018" s="9">
        <v>44476</v>
      </c>
      <c r="B1018" s="1">
        <f t="shared" si="30"/>
        <v>44470</v>
      </c>
      <c r="C1018" s="5" t="str">
        <f t="shared" si="31"/>
        <v>2021-10</v>
      </c>
      <c r="D1018" s="3">
        <v>438.66</v>
      </c>
      <c r="E1018" s="3">
        <v>223.26</v>
      </c>
      <c r="F1018" s="3">
        <v>142.88</v>
      </c>
      <c r="G1018" s="3">
        <v>164.16</v>
      </c>
      <c r="H1018" s="3">
        <v>103.79</v>
      </c>
      <c r="I1018" s="2">
        <v>92.31</v>
      </c>
      <c r="J1018" s="2">
        <v>842.35</v>
      </c>
      <c r="K1018" s="2">
        <v>351.78</v>
      </c>
      <c r="L1018" s="3">
        <v>127.58</v>
      </c>
      <c r="M1018" s="2">
        <v>3.73</v>
      </c>
    </row>
    <row r="1019" spans="1:13">
      <c r="A1019" s="9">
        <v>44475</v>
      </c>
      <c r="B1019" s="1">
        <f t="shared" si="30"/>
        <v>44470</v>
      </c>
      <c r="C1019" s="5" t="str">
        <f t="shared" si="31"/>
        <v>2021-10</v>
      </c>
      <c r="D1019" s="3">
        <v>434.9</v>
      </c>
      <c r="E1019" s="3">
        <v>219.87</v>
      </c>
      <c r="F1019" s="3">
        <v>144.38999999999999</v>
      </c>
      <c r="G1019" s="3">
        <v>165.03</v>
      </c>
      <c r="H1019" s="3">
        <v>103.51</v>
      </c>
      <c r="I1019" s="2">
        <v>91.34</v>
      </c>
      <c r="J1019" s="2">
        <v>837.55</v>
      </c>
      <c r="K1019" s="2">
        <v>349.99</v>
      </c>
      <c r="L1019" s="3">
        <v>125.91</v>
      </c>
      <c r="M1019" s="2">
        <v>3.65</v>
      </c>
    </row>
    <row r="1020" spans="1:13">
      <c r="A1020" s="9">
        <v>44474</v>
      </c>
      <c r="B1020" s="1">
        <f t="shared" si="30"/>
        <v>44470</v>
      </c>
      <c r="C1020" s="5" t="str">
        <f t="shared" si="31"/>
        <v>2021-10</v>
      </c>
      <c r="D1020" s="3">
        <v>433.1</v>
      </c>
      <c r="E1020" s="3">
        <v>221.02</v>
      </c>
      <c r="F1020" s="3">
        <v>143.58000000000001</v>
      </c>
      <c r="G1020" s="3">
        <v>164.59</v>
      </c>
      <c r="H1020" s="3">
        <v>102.53</v>
      </c>
      <c r="I1020" s="2">
        <v>91.49</v>
      </c>
      <c r="J1020" s="2">
        <v>838.78</v>
      </c>
      <c r="K1020" s="2">
        <v>347.75</v>
      </c>
      <c r="L1020" s="3">
        <v>126.14</v>
      </c>
      <c r="M1020" s="2">
        <v>3.73</v>
      </c>
    </row>
    <row r="1021" spans="1:13">
      <c r="A1021" s="9">
        <v>44473</v>
      </c>
      <c r="B1021" s="1">
        <f t="shared" si="30"/>
        <v>44470</v>
      </c>
      <c r="C1021" s="5" t="str">
        <f t="shared" si="31"/>
        <v>2021-10</v>
      </c>
      <c r="D1021" s="3">
        <v>428.64</v>
      </c>
      <c r="E1021" s="3">
        <v>220.26</v>
      </c>
      <c r="F1021" s="3">
        <v>144.97999999999999</v>
      </c>
      <c r="G1021" s="3">
        <v>165.36</v>
      </c>
      <c r="H1021" s="3">
        <v>103.24</v>
      </c>
      <c r="I1021" s="2">
        <v>89.26</v>
      </c>
      <c r="J1021" s="2">
        <v>825.56</v>
      </c>
      <c r="K1021" s="2">
        <v>345.99</v>
      </c>
      <c r="L1021" s="3">
        <v>125.39</v>
      </c>
      <c r="M1021" s="2">
        <v>3.69</v>
      </c>
    </row>
    <row r="1022" spans="1:13">
      <c r="A1022" s="9">
        <v>44470</v>
      </c>
      <c r="B1022" s="1">
        <f t="shared" si="30"/>
        <v>44470</v>
      </c>
      <c r="C1022" s="5" t="str">
        <f t="shared" si="31"/>
        <v>2021-10</v>
      </c>
      <c r="D1022" s="3">
        <v>434.24</v>
      </c>
      <c r="E1022" s="3">
        <v>222.28</v>
      </c>
      <c r="F1022" s="3">
        <v>145.35</v>
      </c>
      <c r="G1022" s="3">
        <v>164.59</v>
      </c>
      <c r="H1022" s="3">
        <v>103.22</v>
      </c>
      <c r="I1022" s="2">
        <v>89.74</v>
      </c>
      <c r="J1022" s="2">
        <v>841.89</v>
      </c>
      <c r="K1022" s="2">
        <v>347.8</v>
      </c>
      <c r="L1022" s="3">
        <v>127.33</v>
      </c>
      <c r="M1022" s="2">
        <v>3.74</v>
      </c>
    </row>
    <row r="1023" spans="1:13">
      <c r="A1023" s="9">
        <v>44469</v>
      </c>
      <c r="B1023" s="1">
        <f t="shared" si="30"/>
        <v>44440</v>
      </c>
      <c r="C1023" s="5" t="str">
        <f t="shared" si="31"/>
        <v>2021-09</v>
      </c>
      <c r="D1023" s="3">
        <v>429.14</v>
      </c>
      <c r="E1023" s="3">
        <v>218.75</v>
      </c>
      <c r="F1023" s="3">
        <v>144.32</v>
      </c>
      <c r="G1023" s="3">
        <v>164.22</v>
      </c>
      <c r="H1023" s="3">
        <v>101.78</v>
      </c>
      <c r="I1023" s="2">
        <v>87.13</v>
      </c>
      <c r="J1023" s="2">
        <v>838.66</v>
      </c>
      <c r="K1023" s="2">
        <v>345.1</v>
      </c>
      <c r="L1023" s="3">
        <v>127.3</v>
      </c>
      <c r="M1023" s="2">
        <v>3.66</v>
      </c>
    </row>
    <row r="1024" spans="1:13">
      <c r="A1024" s="9">
        <v>44468</v>
      </c>
      <c r="B1024" s="1">
        <f t="shared" si="30"/>
        <v>44440</v>
      </c>
      <c r="C1024" s="5" t="str">
        <f t="shared" si="31"/>
        <v>2021-09</v>
      </c>
      <c r="D1024" s="3">
        <v>434.45</v>
      </c>
      <c r="E1024" s="3">
        <v>220.82</v>
      </c>
      <c r="F1024" s="3">
        <v>144.34</v>
      </c>
      <c r="G1024" s="3">
        <v>161.32</v>
      </c>
      <c r="H1024" s="3">
        <v>103.49</v>
      </c>
      <c r="I1024" s="2">
        <v>91.25</v>
      </c>
      <c r="J1024" s="2">
        <v>856.57</v>
      </c>
      <c r="K1024" s="2">
        <v>350.29</v>
      </c>
      <c r="L1024" s="3">
        <v>128.88</v>
      </c>
      <c r="M1024" s="2">
        <v>3.67</v>
      </c>
    </row>
    <row r="1025" spans="1:13">
      <c r="A1025" s="9">
        <v>44467</v>
      </c>
      <c r="B1025" s="1">
        <f t="shared" si="30"/>
        <v>44440</v>
      </c>
      <c r="C1025" s="5" t="str">
        <f t="shared" si="31"/>
        <v>2021-09</v>
      </c>
      <c r="D1025" s="3">
        <v>433.72</v>
      </c>
      <c r="E1025" s="3">
        <v>221.29</v>
      </c>
      <c r="F1025" s="3">
        <v>144.09</v>
      </c>
      <c r="G1025" s="3">
        <v>162.05000000000001</v>
      </c>
      <c r="H1025" s="3">
        <v>102.72</v>
      </c>
      <c r="I1025" s="2">
        <v>90.49</v>
      </c>
      <c r="J1025" s="2">
        <v>860.57</v>
      </c>
      <c r="K1025" s="2">
        <v>352.15</v>
      </c>
      <c r="L1025" s="3">
        <v>127.87</v>
      </c>
      <c r="M1025" s="2">
        <v>3.73</v>
      </c>
    </row>
    <row r="1026" spans="1:13">
      <c r="A1026" s="9">
        <v>44466</v>
      </c>
      <c r="B1026" s="1">
        <f t="shared" ref="B1026:B1089" si="32">EOMONTH(A1026,-1)+1</f>
        <v>44440</v>
      </c>
      <c r="C1026" s="5" t="str">
        <f t="shared" si="31"/>
        <v>2021-09</v>
      </c>
      <c r="D1026" s="3">
        <v>442.64</v>
      </c>
      <c r="E1026" s="3">
        <v>226.44</v>
      </c>
      <c r="F1026" s="3">
        <v>146.37</v>
      </c>
      <c r="G1026" s="3">
        <v>163.63999999999999</v>
      </c>
      <c r="H1026" s="3">
        <v>103.42</v>
      </c>
      <c r="I1026" s="2">
        <v>91.04</v>
      </c>
      <c r="J1026" s="2">
        <v>875.47</v>
      </c>
      <c r="K1026" s="2">
        <v>353.36</v>
      </c>
      <c r="L1026" s="3">
        <v>130.1</v>
      </c>
      <c r="M1026" s="2">
        <v>3.79</v>
      </c>
    </row>
    <row r="1027" spans="1:13">
      <c r="A1027" s="9">
        <v>44463</v>
      </c>
      <c r="B1027" s="1">
        <f t="shared" si="32"/>
        <v>44440</v>
      </c>
      <c r="C1027" s="5" t="str">
        <f t="shared" ref="C1027:C1090" si="33">TEXT(A1027, "yyyy-mm")</f>
        <v>2021-09</v>
      </c>
      <c r="D1027" s="3">
        <v>443.91</v>
      </c>
      <c r="E1027" s="3">
        <v>223.05</v>
      </c>
      <c r="F1027" s="3">
        <v>146.91</v>
      </c>
      <c r="G1027" s="3">
        <v>163.30000000000001</v>
      </c>
      <c r="H1027" s="3">
        <v>104.83</v>
      </c>
      <c r="I1027" s="2">
        <v>89.94</v>
      </c>
      <c r="J1027" s="2">
        <v>874.62</v>
      </c>
      <c r="K1027" s="2">
        <v>349.52</v>
      </c>
      <c r="L1027" s="3">
        <v>131.97999999999999</v>
      </c>
      <c r="M1027" s="2">
        <v>3.73</v>
      </c>
    </row>
    <row r="1028" spans="1:13">
      <c r="A1028" s="9">
        <v>44462</v>
      </c>
      <c r="B1028" s="1">
        <f t="shared" si="32"/>
        <v>44440</v>
      </c>
      <c r="C1028" s="5" t="str">
        <f t="shared" si="33"/>
        <v>2021-09</v>
      </c>
      <c r="D1028" s="3">
        <v>443.18</v>
      </c>
      <c r="E1028" s="3">
        <v>224.81</v>
      </c>
      <c r="F1028" s="3">
        <v>148.36000000000001</v>
      </c>
      <c r="G1028" s="3">
        <v>163.51</v>
      </c>
      <c r="H1028" s="3">
        <v>106.62</v>
      </c>
      <c r="I1028" s="2">
        <v>89.42</v>
      </c>
      <c r="J1028" s="2">
        <v>876.17</v>
      </c>
      <c r="K1028" s="2">
        <v>344.2</v>
      </c>
      <c r="L1028" s="3">
        <v>132.52000000000001</v>
      </c>
      <c r="M1028" s="2">
        <v>3.75</v>
      </c>
    </row>
    <row r="1029" spans="1:13">
      <c r="A1029" s="9">
        <v>44461</v>
      </c>
      <c r="B1029" s="1">
        <f t="shared" si="32"/>
        <v>44440</v>
      </c>
      <c r="C1029" s="5" t="str">
        <f t="shared" si="33"/>
        <v>2021-09</v>
      </c>
      <c r="D1029" s="3">
        <v>437.86</v>
      </c>
      <c r="E1029" s="3">
        <v>220.9</v>
      </c>
      <c r="F1029" s="3">
        <v>151.79</v>
      </c>
      <c r="G1029" s="3">
        <v>165.42</v>
      </c>
      <c r="H1029" s="3">
        <v>106.83</v>
      </c>
      <c r="I1029" s="2">
        <v>88.44</v>
      </c>
      <c r="J1029" s="2">
        <v>851.05</v>
      </c>
      <c r="K1029" s="2">
        <v>341.73</v>
      </c>
      <c r="L1029" s="3">
        <v>131.57</v>
      </c>
      <c r="M1029" s="2">
        <v>3.77</v>
      </c>
    </row>
    <row r="1030" spans="1:13">
      <c r="A1030" s="9">
        <v>44460</v>
      </c>
      <c r="B1030" s="1">
        <f t="shared" si="32"/>
        <v>44440</v>
      </c>
      <c r="C1030" s="5" t="str">
        <f t="shared" si="33"/>
        <v>2021-09</v>
      </c>
      <c r="D1030" s="3">
        <v>433.63</v>
      </c>
      <c r="E1030" s="3">
        <v>217.52</v>
      </c>
      <c r="F1030" s="3">
        <v>150.88999999999999</v>
      </c>
      <c r="G1030" s="3">
        <v>166.04</v>
      </c>
      <c r="H1030" s="3">
        <v>105.8</v>
      </c>
      <c r="I1030" s="2">
        <v>86.92</v>
      </c>
      <c r="J1030" s="2">
        <v>845.24</v>
      </c>
      <c r="K1030" s="2">
        <v>336.05</v>
      </c>
      <c r="L1030" s="3">
        <v>131.35</v>
      </c>
      <c r="M1030" s="2">
        <v>3.67</v>
      </c>
    </row>
    <row r="1031" spans="1:13">
      <c r="A1031" s="9">
        <v>44459</v>
      </c>
      <c r="B1031" s="1">
        <f t="shared" si="32"/>
        <v>44440</v>
      </c>
      <c r="C1031" s="5" t="str">
        <f t="shared" si="33"/>
        <v>2021-09</v>
      </c>
      <c r="D1031" s="3">
        <v>434.04</v>
      </c>
      <c r="E1031" s="3">
        <v>217.19</v>
      </c>
      <c r="F1031" s="3">
        <v>151.02000000000001</v>
      </c>
      <c r="G1031" s="3">
        <v>164.94</v>
      </c>
      <c r="H1031" s="3">
        <v>105.75</v>
      </c>
      <c r="I1031" s="2">
        <v>86.17</v>
      </c>
      <c r="J1031" s="2">
        <v>857.27</v>
      </c>
      <c r="K1031" s="2">
        <v>338.46</v>
      </c>
      <c r="L1031" s="3">
        <v>131.15</v>
      </c>
      <c r="M1031" s="2">
        <v>3.63</v>
      </c>
    </row>
    <row r="1032" spans="1:13">
      <c r="A1032" s="9">
        <v>44456</v>
      </c>
      <c r="B1032" s="1">
        <f t="shared" si="32"/>
        <v>44440</v>
      </c>
      <c r="C1032" s="5" t="str">
        <f t="shared" si="33"/>
        <v>2021-09</v>
      </c>
      <c r="D1032" s="3">
        <v>441.4</v>
      </c>
      <c r="E1032" s="3">
        <v>222.48</v>
      </c>
      <c r="F1032" s="3">
        <v>149.16999999999999</v>
      </c>
      <c r="G1032" s="3">
        <v>163.77000000000001</v>
      </c>
      <c r="H1032" s="3">
        <v>106.4</v>
      </c>
      <c r="I1032" s="2">
        <v>86.39</v>
      </c>
      <c r="J1032" s="2">
        <v>876.63</v>
      </c>
      <c r="K1032" s="2">
        <v>340.98</v>
      </c>
      <c r="L1032" s="3">
        <v>133</v>
      </c>
      <c r="M1032" s="2">
        <v>3.73</v>
      </c>
    </row>
    <row r="1033" spans="1:13">
      <c r="A1033" s="9">
        <v>44455</v>
      </c>
      <c r="B1033" s="1">
        <f t="shared" si="32"/>
        <v>44440</v>
      </c>
      <c r="C1033" s="5" t="str">
        <f t="shared" si="33"/>
        <v>2021-09</v>
      </c>
      <c r="D1033" s="3">
        <v>447.17</v>
      </c>
      <c r="E1033" s="3">
        <v>222.19</v>
      </c>
      <c r="F1033" s="3">
        <v>149.88999999999999</v>
      </c>
      <c r="G1033" s="3">
        <v>164.03</v>
      </c>
      <c r="H1033" s="3">
        <v>107.36</v>
      </c>
      <c r="I1033" s="2">
        <v>87.25</v>
      </c>
      <c r="J1033" s="2">
        <v>890.44</v>
      </c>
      <c r="K1033" s="2">
        <v>341.5</v>
      </c>
      <c r="L1033" s="3">
        <v>132.87</v>
      </c>
      <c r="M1033" s="2">
        <v>3.64</v>
      </c>
    </row>
    <row r="1034" spans="1:13">
      <c r="A1034" s="9">
        <v>44454</v>
      </c>
      <c r="B1034" s="1">
        <f t="shared" si="32"/>
        <v>44440</v>
      </c>
      <c r="C1034" s="5" t="str">
        <f t="shared" si="33"/>
        <v>2021-09</v>
      </c>
      <c r="D1034" s="3">
        <v>447.88</v>
      </c>
      <c r="E1034" s="3">
        <v>222.03</v>
      </c>
      <c r="F1034" s="3">
        <v>150.58000000000001</v>
      </c>
      <c r="G1034" s="3">
        <v>167.83</v>
      </c>
      <c r="H1034" s="3">
        <v>107.27</v>
      </c>
      <c r="I1034" s="2">
        <v>87.73</v>
      </c>
      <c r="J1034" s="2">
        <v>909.65</v>
      </c>
      <c r="K1034" s="2">
        <v>345.07</v>
      </c>
      <c r="L1034" s="3">
        <v>133.21</v>
      </c>
      <c r="M1034" s="2">
        <v>3.64</v>
      </c>
    </row>
    <row r="1035" spans="1:13">
      <c r="A1035" s="9">
        <v>44453</v>
      </c>
      <c r="B1035" s="1">
        <f t="shared" si="32"/>
        <v>44440</v>
      </c>
      <c r="C1035" s="5" t="str">
        <f t="shared" si="33"/>
        <v>2021-09</v>
      </c>
      <c r="D1035" s="3">
        <v>444.17</v>
      </c>
      <c r="E1035" s="3">
        <v>220.04</v>
      </c>
      <c r="F1035" s="3">
        <v>151.11000000000001</v>
      </c>
      <c r="G1035" s="3">
        <v>168.82</v>
      </c>
      <c r="H1035" s="3">
        <v>106.93</v>
      </c>
      <c r="I1035" s="2">
        <v>86.39</v>
      </c>
      <c r="J1035" s="2">
        <v>901.95</v>
      </c>
      <c r="K1035" s="2">
        <v>344.34</v>
      </c>
      <c r="L1035" s="3">
        <v>132.35</v>
      </c>
      <c r="M1035" s="2">
        <v>3.61</v>
      </c>
    </row>
    <row r="1036" spans="1:13">
      <c r="A1036" s="9">
        <v>44452</v>
      </c>
      <c r="B1036" s="1">
        <f t="shared" si="32"/>
        <v>44440</v>
      </c>
      <c r="C1036" s="5" t="str">
        <f t="shared" si="33"/>
        <v>2021-09</v>
      </c>
      <c r="D1036" s="3">
        <v>446.58</v>
      </c>
      <c r="E1036" s="3">
        <v>222.88</v>
      </c>
      <c r="F1036" s="3">
        <v>149.30000000000001</v>
      </c>
      <c r="G1036" s="3">
        <v>167.74</v>
      </c>
      <c r="H1036" s="3">
        <v>107.12</v>
      </c>
      <c r="I1036" s="2">
        <v>88.89</v>
      </c>
      <c r="J1036" s="2">
        <v>916.26</v>
      </c>
      <c r="K1036" s="2">
        <v>346.31</v>
      </c>
      <c r="L1036" s="3">
        <v>132.37</v>
      </c>
      <c r="M1036" s="2">
        <v>3.71</v>
      </c>
    </row>
    <row r="1037" spans="1:13">
      <c r="A1037" s="9">
        <v>44449</v>
      </c>
      <c r="B1037" s="1">
        <f t="shared" si="32"/>
        <v>44440</v>
      </c>
      <c r="C1037" s="5" t="str">
        <f t="shared" si="33"/>
        <v>2021-09</v>
      </c>
      <c r="D1037" s="3">
        <v>445.44</v>
      </c>
      <c r="E1037" s="3">
        <v>221.62</v>
      </c>
      <c r="F1037" s="3">
        <v>148.4</v>
      </c>
      <c r="G1037" s="3">
        <v>167.18</v>
      </c>
      <c r="H1037" s="3">
        <v>106.4</v>
      </c>
      <c r="I1037" s="2">
        <v>89.68</v>
      </c>
      <c r="J1037" s="2">
        <v>916.62</v>
      </c>
      <c r="K1037" s="2">
        <v>345.88</v>
      </c>
      <c r="L1037" s="3">
        <v>133.19</v>
      </c>
      <c r="M1037" s="2">
        <v>3.66</v>
      </c>
    </row>
    <row r="1038" spans="1:13">
      <c r="A1038" s="9">
        <v>44448</v>
      </c>
      <c r="B1038" s="1">
        <f t="shared" si="32"/>
        <v>44440</v>
      </c>
      <c r="C1038" s="5" t="str">
        <f t="shared" si="33"/>
        <v>2021-09</v>
      </c>
      <c r="D1038" s="3">
        <v>448.98</v>
      </c>
      <c r="E1038" s="3">
        <v>223.81</v>
      </c>
      <c r="F1038" s="3">
        <v>149.72</v>
      </c>
      <c r="G1038" s="3">
        <v>168.03</v>
      </c>
      <c r="H1038" s="3">
        <v>107.98</v>
      </c>
      <c r="I1038" s="2">
        <v>89.54</v>
      </c>
      <c r="J1038" s="2">
        <v>922.14</v>
      </c>
      <c r="K1038" s="2">
        <v>348.93</v>
      </c>
      <c r="L1038" s="3">
        <v>134.41999999999999</v>
      </c>
      <c r="M1038" s="2">
        <v>3.65</v>
      </c>
    </row>
    <row r="1039" spans="1:13">
      <c r="A1039" s="9">
        <v>44447</v>
      </c>
      <c r="B1039" s="1">
        <f t="shared" si="32"/>
        <v>44440</v>
      </c>
      <c r="C1039" s="5" t="str">
        <f t="shared" si="33"/>
        <v>2021-09</v>
      </c>
      <c r="D1039" s="3">
        <v>450.91</v>
      </c>
      <c r="E1039" s="3">
        <v>223.92</v>
      </c>
      <c r="F1039" s="3">
        <v>147.93</v>
      </c>
      <c r="G1039" s="3">
        <v>167.29</v>
      </c>
      <c r="H1039" s="3">
        <v>110.22</v>
      </c>
      <c r="I1039" s="2">
        <v>89.47</v>
      </c>
      <c r="J1039" s="2">
        <v>924.34</v>
      </c>
      <c r="K1039" s="2">
        <v>351.46</v>
      </c>
      <c r="L1039" s="3">
        <v>135.99</v>
      </c>
      <c r="M1039" s="2">
        <v>3.63</v>
      </c>
    </row>
    <row r="1040" spans="1:13">
      <c r="A1040" s="9">
        <v>44446</v>
      </c>
      <c r="B1040" s="1">
        <f t="shared" si="32"/>
        <v>44440</v>
      </c>
      <c r="C1040" s="5" t="str">
        <f t="shared" si="33"/>
        <v>2021-09</v>
      </c>
      <c r="D1040" s="3">
        <v>451.46</v>
      </c>
      <c r="E1040" s="3">
        <v>226.39</v>
      </c>
      <c r="F1040" s="3">
        <v>146.93</v>
      </c>
      <c r="G1040" s="3">
        <v>167.71</v>
      </c>
      <c r="H1040" s="3">
        <v>109.67</v>
      </c>
      <c r="I1040" s="2">
        <v>88.72</v>
      </c>
      <c r="J1040" s="2">
        <v>924.83</v>
      </c>
      <c r="K1040" s="2">
        <v>349.2</v>
      </c>
      <c r="L1040" s="3">
        <v>136.05000000000001</v>
      </c>
      <c r="M1040" s="2">
        <v>3.67</v>
      </c>
    </row>
    <row r="1041" spans="1:13">
      <c r="A1041" s="9">
        <v>44442</v>
      </c>
      <c r="B1041" s="1">
        <f t="shared" si="32"/>
        <v>44440</v>
      </c>
      <c r="C1041" s="5" t="str">
        <f t="shared" si="33"/>
        <v>2021-09</v>
      </c>
      <c r="D1041" s="3">
        <v>453.08</v>
      </c>
      <c r="E1041" s="3">
        <v>227.96</v>
      </c>
      <c r="F1041" s="3">
        <v>148.18</v>
      </c>
      <c r="G1041" s="3">
        <v>171.06</v>
      </c>
      <c r="H1041" s="3">
        <v>110.92</v>
      </c>
      <c r="I1041" s="2">
        <v>90</v>
      </c>
      <c r="J1041" s="2">
        <v>937.28</v>
      </c>
      <c r="K1041" s="2">
        <v>356</v>
      </c>
      <c r="L1041" s="3">
        <v>136.85</v>
      </c>
      <c r="M1041" s="2">
        <v>3.8</v>
      </c>
    </row>
    <row r="1042" spans="1:13">
      <c r="A1042" s="9">
        <v>44441</v>
      </c>
      <c r="B1042" s="1">
        <f t="shared" si="32"/>
        <v>44440</v>
      </c>
      <c r="C1042" s="5" t="str">
        <f t="shared" si="33"/>
        <v>2021-09</v>
      </c>
      <c r="D1042" s="3">
        <v>453.19</v>
      </c>
      <c r="E1042" s="3">
        <v>229.02</v>
      </c>
      <c r="F1042" s="3">
        <v>149.54</v>
      </c>
      <c r="G1042" s="3">
        <v>169.25</v>
      </c>
      <c r="H1042" s="3">
        <v>110.9</v>
      </c>
      <c r="I1042" s="2">
        <v>89.8</v>
      </c>
      <c r="J1042" s="2">
        <v>950.67</v>
      </c>
      <c r="K1042" s="2">
        <v>358.05</v>
      </c>
      <c r="L1042" s="3">
        <v>136.69999999999999</v>
      </c>
      <c r="M1042" s="2">
        <v>3.78</v>
      </c>
    </row>
    <row r="1043" spans="1:13">
      <c r="A1043" s="9">
        <v>44440</v>
      </c>
      <c r="B1043" s="1">
        <f t="shared" si="32"/>
        <v>44440</v>
      </c>
      <c r="C1043" s="5" t="str">
        <f t="shared" si="33"/>
        <v>2021-09</v>
      </c>
      <c r="D1043" s="3">
        <v>451.8</v>
      </c>
      <c r="E1043" s="3">
        <v>227.44</v>
      </c>
      <c r="F1043" s="3">
        <v>148.88999999999999</v>
      </c>
      <c r="G1043" s="3">
        <v>169.7</v>
      </c>
      <c r="H1043" s="3">
        <v>110.32</v>
      </c>
      <c r="I1043" s="2">
        <v>89.95</v>
      </c>
      <c r="J1043" s="2">
        <v>943.82</v>
      </c>
      <c r="K1043" s="2">
        <v>356.66</v>
      </c>
      <c r="L1043" s="3">
        <v>135.25</v>
      </c>
      <c r="M1043" s="2">
        <v>3.75</v>
      </c>
    </row>
    <row r="1044" spans="1:13">
      <c r="A1044" s="9">
        <v>44439</v>
      </c>
      <c r="B1044" s="1">
        <f t="shared" si="32"/>
        <v>44409</v>
      </c>
      <c r="C1044" s="5" t="str">
        <f t="shared" si="33"/>
        <v>2021-08</v>
      </c>
      <c r="D1044" s="3">
        <v>451.56</v>
      </c>
      <c r="E1044" s="3">
        <v>225.92</v>
      </c>
      <c r="F1044" s="3">
        <v>148.83000000000001</v>
      </c>
      <c r="G1044" s="3">
        <v>169.69</v>
      </c>
      <c r="H1044" s="3">
        <v>108.58</v>
      </c>
      <c r="I1044" s="2">
        <v>89.13</v>
      </c>
      <c r="J1044" s="2">
        <v>943.29</v>
      </c>
      <c r="K1044" s="2">
        <v>359.8</v>
      </c>
      <c r="L1044" s="3">
        <v>135.21</v>
      </c>
      <c r="M1044" s="2">
        <v>3.65</v>
      </c>
    </row>
    <row r="1045" spans="1:13">
      <c r="A1045" s="9">
        <v>44438</v>
      </c>
      <c r="B1045" s="1">
        <f t="shared" si="32"/>
        <v>44409</v>
      </c>
      <c r="C1045" s="5" t="str">
        <f t="shared" si="33"/>
        <v>2021-08</v>
      </c>
      <c r="D1045" s="3">
        <v>452.23</v>
      </c>
      <c r="E1045" s="3">
        <v>225.48</v>
      </c>
      <c r="F1045" s="3">
        <v>149.85</v>
      </c>
      <c r="G1045" s="3">
        <v>169.35</v>
      </c>
      <c r="H1045" s="3">
        <v>108.07</v>
      </c>
      <c r="I1045" s="2">
        <v>89.45</v>
      </c>
      <c r="J1045" s="2">
        <v>948.08</v>
      </c>
      <c r="K1045" s="2">
        <v>362.05</v>
      </c>
      <c r="L1045" s="3">
        <v>135.38999999999999</v>
      </c>
      <c r="M1045" s="2">
        <v>3.55</v>
      </c>
    </row>
    <row r="1046" spans="1:13">
      <c r="A1046" s="9">
        <v>44435</v>
      </c>
      <c r="B1046" s="1">
        <f t="shared" si="32"/>
        <v>44409</v>
      </c>
      <c r="C1046" s="5" t="str">
        <f t="shared" si="33"/>
        <v>2021-08</v>
      </c>
      <c r="D1046" s="3">
        <v>450.25</v>
      </c>
      <c r="E1046" s="3">
        <v>226.41</v>
      </c>
      <c r="F1046" s="3">
        <v>149.46</v>
      </c>
      <c r="G1046" s="3">
        <v>170.19</v>
      </c>
      <c r="H1046" s="3">
        <v>107</v>
      </c>
      <c r="I1046" s="2">
        <v>89.35</v>
      </c>
      <c r="J1046" s="2">
        <v>954.94</v>
      </c>
      <c r="K1046" s="2">
        <v>361.99</v>
      </c>
      <c r="L1046" s="3">
        <v>134.63</v>
      </c>
      <c r="M1046" s="2">
        <v>3.57</v>
      </c>
    </row>
    <row r="1047" spans="1:13">
      <c r="A1047" s="9">
        <v>44434</v>
      </c>
      <c r="B1047" s="1">
        <f t="shared" si="32"/>
        <v>44409</v>
      </c>
      <c r="C1047" s="5" t="str">
        <f t="shared" si="33"/>
        <v>2021-08</v>
      </c>
      <c r="D1047" s="3">
        <v>446.26</v>
      </c>
      <c r="E1047" s="3">
        <v>220.2</v>
      </c>
      <c r="F1047" s="3">
        <v>148.44999999999999</v>
      </c>
      <c r="G1047" s="3">
        <v>167.67</v>
      </c>
      <c r="H1047" s="3">
        <v>105.89</v>
      </c>
      <c r="I1047" s="2">
        <v>88.72</v>
      </c>
      <c r="J1047" s="2">
        <v>935.88</v>
      </c>
      <c r="K1047" s="2">
        <v>361.62</v>
      </c>
      <c r="L1047" s="3">
        <v>134.78</v>
      </c>
      <c r="M1047" s="2">
        <v>3.5</v>
      </c>
    </row>
    <row r="1048" spans="1:13">
      <c r="A1048" s="9">
        <v>44433</v>
      </c>
      <c r="B1048" s="1">
        <f t="shared" si="32"/>
        <v>44409</v>
      </c>
      <c r="C1048" s="5" t="str">
        <f t="shared" si="33"/>
        <v>2021-08</v>
      </c>
      <c r="D1048" s="3">
        <v>448.91</v>
      </c>
      <c r="E1048" s="3">
        <v>222.56</v>
      </c>
      <c r="F1048" s="3">
        <v>148.04</v>
      </c>
      <c r="G1048" s="3">
        <v>167.48</v>
      </c>
      <c r="H1048" s="3">
        <v>105.85</v>
      </c>
      <c r="I1048" s="2">
        <v>88.62</v>
      </c>
      <c r="J1048" s="2">
        <v>939.52</v>
      </c>
      <c r="K1048" s="2">
        <v>358.75</v>
      </c>
      <c r="L1048" s="3">
        <v>135.31</v>
      </c>
      <c r="M1048" s="2">
        <v>3.56</v>
      </c>
    </row>
    <row r="1049" spans="1:13">
      <c r="A1049" s="9">
        <v>44432</v>
      </c>
      <c r="B1049" s="1">
        <f t="shared" si="32"/>
        <v>44409</v>
      </c>
      <c r="C1049" s="5" t="str">
        <f t="shared" si="33"/>
        <v>2021-08</v>
      </c>
      <c r="D1049" s="3">
        <v>447.97</v>
      </c>
      <c r="E1049" s="3">
        <v>221.78</v>
      </c>
      <c r="F1049" s="3">
        <v>149.28</v>
      </c>
      <c r="G1049" s="3">
        <v>168.65</v>
      </c>
      <c r="H1049" s="3">
        <v>105.92</v>
      </c>
      <c r="I1049" s="2">
        <v>88.55</v>
      </c>
      <c r="J1049" s="2">
        <v>929.19</v>
      </c>
      <c r="K1049" s="2">
        <v>359</v>
      </c>
      <c r="L1049" s="3">
        <v>135.68</v>
      </c>
      <c r="M1049" s="2">
        <v>3.55</v>
      </c>
    </row>
    <row r="1050" spans="1:13">
      <c r="A1050" s="9">
        <v>44431</v>
      </c>
      <c r="B1050" s="1">
        <f t="shared" si="32"/>
        <v>44409</v>
      </c>
      <c r="C1050" s="5" t="str">
        <f t="shared" si="33"/>
        <v>2021-08</v>
      </c>
      <c r="D1050" s="3">
        <v>447.26</v>
      </c>
      <c r="E1050" s="3">
        <v>219.62</v>
      </c>
      <c r="F1050" s="3">
        <v>150.44999999999999</v>
      </c>
      <c r="G1050" s="3">
        <v>168.73</v>
      </c>
      <c r="H1050" s="3">
        <v>106.39</v>
      </c>
      <c r="I1050" s="2">
        <v>89.12</v>
      </c>
      <c r="J1050" s="2">
        <v>927.86</v>
      </c>
      <c r="K1050" s="2">
        <v>357.35</v>
      </c>
      <c r="L1050" s="3">
        <v>136.16</v>
      </c>
      <c r="M1050" s="2">
        <v>3.59</v>
      </c>
    </row>
    <row r="1051" spans="1:13">
      <c r="A1051" s="9">
        <v>44428</v>
      </c>
      <c r="B1051" s="1">
        <f t="shared" si="32"/>
        <v>44409</v>
      </c>
      <c r="C1051" s="5" t="str">
        <f t="shared" si="33"/>
        <v>2021-08</v>
      </c>
      <c r="D1051" s="3">
        <v>443.36</v>
      </c>
      <c r="E1051" s="3">
        <v>215.52</v>
      </c>
      <c r="F1051" s="3">
        <v>150.55000000000001</v>
      </c>
      <c r="G1051" s="3">
        <v>166.7</v>
      </c>
      <c r="H1051" s="3">
        <v>106.59</v>
      </c>
      <c r="I1051" s="2">
        <v>88.94</v>
      </c>
      <c r="J1051" s="2">
        <v>917.17</v>
      </c>
      <c r="K1051" s="2">
        <v>357.17</v>
      </c>
      <c r="L1051" s="3">
        <v>136.11000000000001</v>
      </c>
      <c r="M1051" s="2">
        <v>3.56</v>
      </c>
    </row>
    <row r="1052" spans="1:13">
      <c r="A1052" s="9">
        <v>44427</v>
      </c>
      <c r="B1052" s="1">
        <f t="shared" si="32"/>
        <v>44409</v>
      </c>
      <c r="C1052" s="5" t="str">
        <f t="shared" si="33"/>
        <v>2021-08</v>
      </c>
      <c r="D1052" s="3">
        <v>439.86</v>
      </c>
      <c r="E1052" s="3">
        <v>211.94</v>
      </c>
      <c r="F1052" s="3">
        <v>150.44999999999999</v>
      </c>
      <c r="G1052" s="3">
        <v>166.61</v>
      </c>
      <c r="H1052" s="3">
        <v>106.06</v>
      </c>
      <c r="I1052" s="2">
        <v>88.71</v>
      </c>
      <c r="J1052" s="2">
        <v>903.78</v>
      </c>
      <c r="K1052" s="2">
        <v>354.03</v>
      </c>
      <c r="L1052" s="3">
        <v>135.34</v>
      </c>
      <c r="M1052" s="2">
        <v>3.48</v>
      </c>
    </row>
    <row r="1053" spans="1:13">
      <c r="A1053" s="9">
        <v>44426</v>
      </c>
      <c r="B1053" s="1">
        <f t="shared" si="32"/>
        <v>44409</v>
      </c>
      <c r="C1053" s="5" t="str">
        <f t="shared" si="33"/>
        <v>2021-08</v>
      </c>
      <c r="D1053" s="3">
        <v>439.18</v>
      </c>
      <c r="E1053" s="3">
        <v>214.51</v>
      </c>
      <c r="F1053" s="3">
        <v>149.35</v>
      </c>
      <c r="G1053" s="3">
        <v>167.1</v>
      </c>
      <c r="H1053" s="3">
        <v>105.55</v>
      </c>
      <c r="I1053" s="2">
        <v>88.94</v>
      </c>
      <c r="J1053" s="2">
        <v>901.91</v>
      </c>
      <c r="K1053" s="2">
        <v>356.6</v>
      </c>
      <c r="L1053" s="3">
        <v>134.72999999999999</v>
      </c>
      <c r="M1053" s="2">
        <v>3.56</v>
      </c>
    </row>
    <row r="1054" spans="1:13">
      <c r="A1054" s="9">
        <v>44425</v>
      </c>
      <c r="B1054" s="1">
        <f t="shared" si="32"/>
        <v>44409</v>
      </c>
      <c r="C1054" s="5" t="str">
        <f t="shared" si="33"/>
        <v>2021-08</v>
      </c>
      <c r="D1054" s="3">
        <v>444.04</v>
      </c>
      <c r="E1054" s="3">
        <v>216.4</v>
      </c>
      <c r="F1054" s="3">
        <v>148.85</v>
      </c>
      <c r="G1054" s="3">
        <v>166.97</v>
      </c>
      <c r="H1054" s="3">
        <v>106.52</v>
      </c>
      <c r="I1054" s="2">
        <v>90.95</v>
      </c>
      <c r="J1054" s="2">
        <v>909.62</v>
      </c>
      <c r="K1054" s="2">
        <v>361.6</v>
      </c>
      <c r="L1054" s="3">
        <v>136.81</v>
      </c>
      <c r="M1054" s="2">
        <v>3.66</v>
      </c>
    </row>
    <row r="1055" spans="1:13">
      <c r="A1055" s="9">
        <v>44424</v>
      </c>
      <c r="B1055" s="1">
        <f t="shared" si="32"/>
        <v>44409</v>
      </c>
      <c r="C1055" s="5" t="str">
        <f t="shared" si="33"/>
        <v>2021-08</v>
      </c>
      <c r="D1055" s="3">
        <v>446.97</v>
      </c>
      <c r="E1055" s="3">
        <v>219.07</v>
      </c>
      <c r="F1055" s="3">
        <v>148.91</v>
      </c>
      <c r="G1055" s="3">
        <v>167.22</v>
      </c>
      <c r="H1055" s="3">
        <v>106.63</v>
      </c>
      <c r="I1055" s="2">
        <v>90.82</v>
      </c>
      <c r="J1055" s="2">
        <v>924.89</v>
      </c>
      <c r="K1055" s="2">
        <v>360.25</v>
      </c>
      <c r="L1055" s="3">
        <v>135.21</v>
      </c>
      <c r="M1055" s="2">
        <v>3.71</v>
      </c>
    </row>
    <row r="1056" spans="1:13">
      <c r="A1056" s="9">
        <v>44421</v>
      </c>
      <c r="B1056" s="1">
        <f t="shared" si="32"/>
        <v>44409</v>
      </c>
      <c r="C1056" s="5" t="str">
        <f t="shared" si="33"/>
        <v>2021-08</v>
      </c>
      <c r="D1056" s="3">
        <v>445.92</v>
      </c>
      <c r="E1056" s="3">
        <v>221.13</v>
      </c>
      <c r="F1056" s="3">
        <v>148.55000000000001</v>
      </c>
      <c r="G1056" s="3">
        <v>166.39</v>
      </c>
      <c r="H1056" s="3">
        <v>106.76</v>
      </c>
      <c r="I1056" s="2">
        <v>90.38</v>
      </c>
      <c r="J1056" s="2">
        <v>916.86</v>
      </c>
      <c r="K1056" s="2">
        <v>357.98</v>
      </c>
      <c r="L1056" s="3">
        <v>133.69</v>
      </c>
      <c r="M1056" s="2">
        <v>3.63</v>
      </c>
    </row>
    <row r="1057" spans="1:13">
      <c r="A1057" s="9">
        <v>44420</v>
      </c>
      <c r="B1057" s="1">
        <f t="shared" si="32"/>
        <v>44409</v>
      </c>
      <c r="C1057" s="5" t="str">
        <f t="shared" si="33"/>
        <v>2021-08</v>
      </c>
      <c r="D1057" s="3">
        <v>445.11</v>
      </c>
      <c r="E1057" s="3">
        <v>223.16</v>
      </c>
      <c r="F1057" s="3">
        <v>146.24</v>
      </c>
      <c r="G1057" s="3">
        <v>164.04</v>
      </c>
      <c r="H1057" s="3">
        <v>106.18</v>
      </c>
      <c r="I1057" s="2">
        <v>89.81</v>
      </c>
      <c r="J1057" s="2">
        <v>918.54</v>
      </c>
      <c r="K1057" s="2">
        <v>359.75</v>
      </c>
      <c r="L1057" s="3">
        <v>132.86000000000001</v>
      </c>
      <c r="M1057" s="2">
        <v>3.83</v>
      </c>
    </row>
    <row r="1058" spans="1:13">
      <c r="A1058" s="9">
        <v>44419</v>
      </c>
      <c r="B1058" s="1">
        <f t="shared" si="32"/>
        <v>44409</v>
      </c>
      <c r="C1058" s="5" t="str">
        <f t="shared" si="33"/>
        <v>2021-08</v>
      </c>
      <c r="D1058" s="3">
        <v>443.78</v>
      </c>
      <c r="E1058" s="3">
        <v>223.69</v>
      </c>
      <c r="F1058" s="3">
        <v>146.47999999999999</v>
      </c>
      <c r="G1058" s="3">
        <v>164</v>
      </c>
      <c r="H1058" s="3">
        <v>105.95</v>
      </c>
      <c r="I1058" s="2">
        <v>89.63</v>
      </c>
      <c r="J1058" s="2">
        <v>917.09</v>
      </c>
      <c r="K1058" s="2">
        <v>363.3</v>
      </c>
      <c r="L1058" s="3">
        <v>131.82</v>
      </c>
      <c r="M1058" s="2">
        <v>3.88</v>
      </c>
    </row>
    <row r="1059" spans="1:13">
      <c r="A1059" s="9">
        <v>44418</v>
      </c>
      <c r="B1059" s="1">
        <f t="shared" si="32"/>
        <v>44409</v>
      </c>
      <c r="C1059" s="5" t="str">
        <f t="shared" si="33"/>
        <v>2021-08</v>
      </c>
      <c r="D1059" s="3">
        <v>442.68</v>
      </c>
      <c r="E1059" s="3">
        <v>222.6</v>
      </c>
      <c r="F1059" s="3">
        <v>146.57</v>
      </c>
      <c r="G1059" s="3">
        <v>161.77000000000001</v>
      </c>
      <c r="H1059" s="3">
        <v>105.33</v>
      </c>
      <c r="I1059" s="2">
        <v>89.64</v>
      </c>
      <c r="J1059" s="2">
        <v>912.56</v>
      </c>
      <c r="K1059" s="2">
        <v>362.24</v>
      </c>
      <c r="L1059" s="3">
        <v>133.13999999999999</v>
      </c>
      <c r="M1059" s="2">
        <v>3.86</v>
      </c>
    </row>
    <row r="1060" spans="1:13">
      <c r="A1060" s="9">
        <v>44417</v>
      </c>
      <c r="B1060" s="1">
        <f t="shared" si="32"/>
        <v>44409</v>
      </c>
      <c r="C1060" s="5" t="str">
        <f t="shared" si="33"/>
        <v>2021-08</v>
      </c>
      <c r="D1060" s="3">
        <v>442.13</v>
      </c>
      <c r="E1060" s="3">
        <v>222.16</v>
      </c>
      <c r="F1060" s="3">
        <v>147.25</v>
      </c>
      <c r="G1060" s="3">
        <v>161.72</v>
      </c>
      <c r="H1060" s="3">
        <v>106.34</v>
      </c>
      <c r="I1060" s="2">
        <v>89.9</v>
      </c>
      <c r="J1060" s="2">
        <v>901.97</v>
      </c>
      <c r="K1060" s="2">
        <v>361.04</v>
      </c>
      <c r="L1060" s="3">
        <v>133.44999999999999</v>
      </c>
      <c r="M1060" s="2">
        <v>3.89</v>
      </c>
    </row>
    <row r="1061" spans="1:13">
      <c r="A1061" s="9">
        <v>44414</v>
      </c>
      <c r="B1061" s="1">
        <f t="shared" si="32"/>
        <v>44409</v>
      </c>
      <c r="C1061" s="5" t="str">
        <f t="shared" si="33"/>
        <v>2021-08</v>
      </c>
      <c r="D1061" s="3">
        <v>442.49</v>
      </c>
      <c r="E1061" s="3">
        <v>223.39</v>
      </c>
      <c r="F1061" s="3">
        <v>147.78</v>
      </c>
      <c r="G1061" s="3">
        <v>164.64</v>
      </c>
      <c r="H1061" s="3">
        <v>106.91</v>
      </c>
      <c r="I1061" s="2">
        <v>89.52</v>
      </c>
      <c r="J1061" s="2">
        <v>896.09</v>
      </c>
      <c r="K1061" s="2">
        <v>362.05</v>
      </c>
      <c r="L1061" s="3">
        <v>132.94</v>
      </c>
      <c r="M1061" s="2">
        <v>3.9</v>
      </c>
    </row>
    <row r="1062" spans="1:13">
      <c r="A1062" s="9">
        <v>44413</v>
      </c>
      <c r="B1062" s="1">
        <f t="shared" si="32"/>
        <v>44409</v>
      </c>
      <c r="C1062" s="5" t="str">
        <f t="shared" si="33"/>
        <v>2021-08</v>
      </c>
      <c r="D1062" s="3">
        <v>441.76</v>
      </c>
      <c r="E1062" s="3">
        <v>222.03</v>
      </c>
      <c r="F1062" s="3">
        <v>150.29</v>
      </c>
      <c r="G1062" s="3">
        <v>168.86</v>
      </c>
      <c r="H1062" s="3">
        <v>107.1</v>
      </c>
      <c r="I1062" s="2">
        <v>89.43</v>
      </c>
      <c r="J1062" s="2">
        <v>889.28</v>
      </c>
      <c r="K1062" s="2">
        <v>360.78</v>
      </c>
      <c r="L1062" s="3">
        <v>133.05000000000001</v>
      </c>
      <c r="M1062" s="2">
        <v>3.86</v>
      </c>
    </row>
    <row r="1063" spans="1:13">
      <c r="A1063" s="9">
        <v>44412</v>
      </c>
      <c r="B1063" s="1">
        <f t="shared" si="32"/>
        <v>44409</v>
      </c>
      <c r="C1063" s="5" t="str">
        <f t="shared" si="33"/>
        <v>2021-08</v>
      </c>
      <c r="D1063" s="3">
        <v>438.98</v>
      </c>
      <c r="E1063" s="3">
        <v>218.11</v>
      </c>
      <c r="F1063" s="3">
        <v>151.06</v>
      </c>
      <c r="G1063" s="3">
        <v>169.53</v>
      </c>
      <c r="H1063" s="3">
        <v>105.86</v>
      </c>
      <c r="I1063" s="2">
        <v>90.05</v>
      </c>
      <c r="J1063" s="2">
        <v>882.01</v>
      </c>
      <c r="K1063" s="2">
        <v>361.64</v>
      </c>
      <c r="L1063" s="3">
        <v>133.6</v>
      </c>
      <c r="M1063" s="2">
        <v>3.78</v>
      </c>
    </row>
    <row r="1064" spans="1:13">
      <c r="A1064" s="9">
        <v>44411</v>
      </c>
      <c r="B1064" s="1">
        <f t="shared" si="32"/>
        <v>44409</v>
      </c>
      <c r="C1064" s="5" t="str">
        <f t="shared" si="33"/>
        <v>2021-08</v>
      </c>
      <c r="D1064" s="3">
        <v>441.15</v>
      </c>
      <c r="E1064" s="3">
        <v>220.86</v>
      </c>
      <c r="F1064" s="3">
        <v>150.75</v>
      </c>
      <c r="G1064" s="3">
        <v>169.49</v>
      </c>
      <c r="H1064" s="3">
        <v>106.19</v>
      </c>
      <c r="I1064" s="2">
        <v>89.74</v>
      </c>
      <c r="J1064" s="2">
        <v>880.21</v>
      </c>
      <c r="K1064" s="2">
        <v>369.45</v>
      </c>
      <c r="L1064" s="3">
        <v>134.16999999999999</v>
      </c>
      <c r="M1064" s="2">
        <v>3.79</v>
      </c>
    </row>
    <row r="1065" spans="1:13">
      <c r="A1065" s="9">
        <v>44410</v>
      </c>
      <c r="B1065" s="1">
        <f t="shared" si="32"/>
        <v>44409</v>
      </c>
      <c r="C1065" s="5" t="str">
        <f t="shared" si="33"/>
        <v>2021-08</v>
      </c>
      <c r="D1065" s="3">
        <v>437.59</v>
      </c>
      <c r="E1065" s="3">
        <v>219.95</v>
      </c>
      <c r="F1065" s="3">
        <v>150.66999999999999</v>
      </c>
      <c r="G1065" s="3">
        <v>169.61</v>
      </c>
      <c r="H1065" s="3">
        <v>106.06</v>
      </c>
      <c r="I1065" s="2">
        <v>87.6</v>
      </c>
      <c r="J1065" s="2">
        <v>873.26</v>
      </c>
      <c r="K1065" s="2">
        <v>368.3</v>
      </c>
      <c r="L1065" s="3">
        <v>132.33000000000001</v>
      </c>
      <c r="M1065" s="2">
        <v>3.75</v>
      </c>
    </row>
    <row r="1066" spans="1:13">
      <c r="A1066" s="9">
        <v>44407</v>
      </c>
      <c r="B1066" s="1">
        <f t="shared" si="32"/>
        <v>44378</v>
      </c>
      <c r="C1066" s="5" t="str">
        <f t="shared" si="33"/>
        <v>2021-07</v>
      </c>
      <c r="D1066" s="3">
        <v>438.51</v>
      </c>
      <c r="E1066" s="3">
        <v>221.05</v>
      </c>
      <c r="F1066" s="3">
        <v>149.52000000000001</v>
      </c>
      <c r="G1066" s="3">
        <v>169.82</v>
      </c>
      <c r="H1066" s="3">
        <v>106.29</v>
      </c>
      <c r="I1066" s="2">
        <v>87.14</v>
      </c>
      <c r="J1066" s="2">
        <v>867.17</v>
      </c>
      <c r="K1066" s="2">
        <v>371.67</v>
      </c>
      <c r="L1066" s="3">
        <v>132.15</v>
      </c>
      <c r="M1066" s="2">
        <v>3.8</v>
      </c>
    </row>
    <row r="1067" spans="1:13">
      <c r="A1067" s="9">
        <v>44406</v>
      </c>
      <c r="B1067" s="1">
        <f t="shared" si="32"/>
        <v>44378</v>
      </c>
      <c r="C1067" s="5" t="str">
        <f t="shared" si="33"/>
        <v>2021-07</v>
      </c>
      <c r="D1067" s="3">
        <v>440.65</v>
      </c>
      <c r="E1067" s="3">
        <v>222.52</v>
      </c>
      <c r="F1067" s="3">
        <v>148.82</v>
      </c>
      <c r="G1067" s="3">
        <v>171.17</v>
      </c>
      <c r="H1067" s="3">
        <v>106.15</v>
      </c>
      <c r="I1067" s="2">
        <v>87.63</v>
      </c>
      <c r="J1067" s="2">
        <v>869.39</v>
      </c>
      <c r="K1067" s="2">
        <v>372.6</v>
      </c>
      <c r="L1067" s="3">
        <v>132.03</v>
      </c>
      <c r="M1067" s="2">
        <v>3.74</v>
      </c>
    </row>
    <row r="1068" spans="1:13">
      <c r="A1068" s="9">
        <v>44405</v>
      </c>
      <c r="B1068" s="1">
        <f t="shared" si="32"/>
        <v>44378</v>
      </c>
      <c r="C1068" s="5" t="str">
        <f t="shared" si="33"/>
        <v>2021-07</v>
      </c>
      <c r="D1068" s="3">
        <v>438.83</v>
      </c>
      <c r="E1068" s="3">
        <v>220.82</v>
      </c>
      <c r="F1068" s="3">
        <v>149.65</v>
      </c>
      <c r="G1068" s="3">
        <v>169.29</v>
      </c>
      <c r="H1068" s="3">
        <v>106.13</v>
      </c>
      <c r="I1068" s="2">
        <v>87.18</v>
      </c>
      <c r="J1068" s="2">
        <v>860.71</v>
      </c>
      <c r="K1068" s="2">
        <v>372.81</v>
      </c>
      <c r="L1068" s="3">
        <v>131.71</v>
      </c>
      <c r="M1068" s="2">
        <v>3.57</v>
      </c>
    </row>
    <row r="1069" spans="1:13">
      <c r="A1069" s="9">
        <v>44404</v>
      </c>
      <c r="B1069" s="1">
        <f t="shared" si="32"/>
        <v>44378</v>
      </c>
      <c r="C1069" s="5" t="str">
        <f t="shared" si="33"/>
        <v>2021-07</v>
      </c>
      <c r="D1069" s="3">
        <v>439.01</v>
      </c>
      <c r="E1069" s="3">
        <v>217.62</v>
      </c>
      <c r="F1069" s="3">
        <v>149.63999999999999</v>
      </c>
      <c r="G1069" s="3">
        <v>168.44</v>
      </c>
      <c r="H1069" s="3">
        <v>106.5</v>
      </c>
      <c r="I1069" s="2">
        <v>87.8</v>
      </c>
      <c r="J1069" s="2">
        <v>861.88</v>
      </c>
      <c r="K1069" s="2">
        <v>374.73</v>
      </c>
      <c r="L1069" s="3">
        <v>131.24</v>
      </c>
      <c r="M1069" s="2">
        <v>3.5</v>
      </c>
    </row>
    <row r="1070" spans="1:13">
      <c r="A1070" s="9">
        <v>44403</v>
      </c>
      <c r="B1070" s="1">
        <f t="shared" si="32"/>
        <v>44378</v>
      </c>
      <c r="C1070" s="5" t="str">
        <f t="shared" si="33"/>
        <v>2021-07</v>
      </c>
      <c r="D1070" s="3">
        <v>441.02</v>
      </c>
      <c r="E1070" s="3">
        <v>220.19</v>
      </c>
      <c r="F1070" s="3">
        <v>148.06</v>
      </c>
      <c r="G1070" s="3">
        <v>168.16</v>
      </c>
      <c r="H1070" s="3">
        <v>105.9</v>
      </c>
      <c r="I1070" s="2">
        <v>87.86</v>
      </c>
      <c r="J1070" s="2">
        <v>871.49</v>
      </c>
      <c r="K1070" s="2">
        <v>368.05</v>
      </c>
      <c r="L1070" s="3">
        <v>130.63</v>
      </c>
      <c r="M1070" s="2">
        <v>3.53</v>
      </c>
    </row>
    <row r="1071" spans="1:13">
      <c r="A1071" s="9">
        <v>44400</v>
      </c>
      <c r="B1071" s="1">
        <f t="shared" si="32"/>
        <v>44378</v>
      </c>
      <c r="C1071" s="5" t="str">
        <f t="shared" si="33"/>
        <v>2021-07</v>
      </c>
      <c r="D1071" s="3">
        <v>439.94</v>
      </c>
      <c r="E1071" s="3">
        <v>219.55</v>
      </c>
      <c r="F1071" s="3">
        <v>148.5</v>
      </c>
      <c r="G1071" s="3">
        <v>168.56</v>
      </c>
      <c r="H1071" s="3">
        <v>105.85</v>
      </c>
      <c r="I1071" s="2">
        <v>87.69</v>
      </c>
      <c r="J1071" s="2">
        <v>868.95</v>
      </c>
      <c r="K1071" s="2">
        <v>380.77</v>
      </c>
      <c r="L1071" s="3">
        <v>131.47999999999999</v>
      </c>
      <c r="M1071" s="2">
        <v>3.51</v>
      </c>
    </row>
    <row r="1072" spans="1:13">
      <c r="A1072" s="9">
        <v>44399</v>
      </c>
      <c r="B1072" s="1">
        <f t="shared" si="32"/>
        <v>44378</v>
      </c>
      <c r="C1072" s="5" t="str">
        <f t="shared" si="33"/>
        <v>2021-07</v>
      </c>
      <c r="D1072" s="3">
        <v>435.46</v>
      </c>
      <c r="E1072" s="3">
        <v>218.53</v>
      </c>
      <c r="F1072" s="3">
        <v>149.5</v>
      </c>
      <c r="G1072" s="3">
        <v>169.09</v>
      </c>
      <c r="H1072" s="3">
        <v>104.98</v>
      </c>
      <c r="I1072" s="2">
        <v>90.69</v>
      </c>
      <c r="J1072" s="2">
        <v>866.86</v>
      </c>
      <c r="K1072" s="2">
        <v>379.93</v>
      </c>
      <c r="L1072" s="3">
        <v>129.97999999999999</v>
      </c>
      <c r="M1072" s="2">
        <v>3.44</v>
      </c>
    </row>
    <row r="1073" spans="1:13">
      <c r="A1073" s="9">
        <v>44398</v>
      </c>
      <c r="B1073" s="1">
        <f t="shared" si="32"/>
        <v>44378</v>
      </c>
      <c r="C1073" s="5" t="str">
        <f t="shared" si="33"/>
        <v>2021-07</v>
      </c>
      <c r="D1073" s="3">
        <v>434.55</v>
      </c>
      <c r="E1073" s="3">
        <v>222.06</v>
      </c>
      <c r="F1073" s="3">
        <v>148.1</v>
      </c>
      <c r="G1073" s="3">
        <v>168.76</v>
      </c>
      <c r="H1073" s="3">
        <v>105.82</v>
      </c>
      <c r="I1073" s="2">
        <v>89.69</v>
      </c>
      <c r="J1073" s="2">
        <v>882.68</v>
      </c>
      <c r="K1073" s="2">
        <v>380.89</v>
      </c>
      <c r="L1073" s="3">
        <v>129.03</v>
      </c>
      <c r="M1073" s="2">
        <v>3.51</v>
      </c>
    </row>
    <row r="1074" spans="1:13">
      <c r="A1074" s="9">
        <v>44397</v>
      </c>
      <c r="B1074" s="1">
        <f t="shared" si="32"/>
        <v>44378</v>
      </c>
      <c r="C1074" s="5" t="str">
        <f t="shared" si="33"/>
        <v>2021-07</v>
      </c>
      <c r="D1074" s="3">
        <v>431.06</v>
      </c>
      <c r="E1074" s="3">
        <v>218.3</v>
      </c>
      <c r="F1074" s="3">
        <v>150</v>
      </c>
      <c r="G1074" s="3">
        <v>169.39</v>
      </c>
      <c r="H1074" s="3">
        <v>105.83</v>
      </c>
      <c r="I1074" s="2">
        <v>88.66</v>
      </c>
      <c r="J1074" s="2">
        <v>878.84</v>
      </c>
      <c r="K1074" s="2">
        <v>379.98</v>
      </c>
      <c r="L1074" s="3">
        <v>128.82</v>
      </c>
      <c r="M1074" s="2">
        <v>3.48</v>
      </c>
    </row>
    <row r="1075" spans="1:13">
      <c r="A1075" s="9">
        <v>44396</v>
      </c>
      <c r="B1075" s="1">
        <f t="shared" si="32"/>
        <v>44378</v>
      </c>
      <c r="C1075" s="5" t="str">
        <f t="shared" si="33"/>
        <v>2021-07</v>
      </c>
      <c r="D1075" s="3">
        <v>424.97</v>
      </c>
      <c r="E1075" s="3">
        <v>211.73</v>
      </c>
      <c r="F1075" s="3">
        <v>151.46</v>
      </c>
      <c r="G1075" s="3">
        <v>169.61</v>
      </c>
      <c r="H1075" s="3">
        <v>103.39</v>
      </c>
      <c r="I1075" s="2">
        <v>86.98</v>
      </c>
      <c r="J1075" s="2">
        <v>845.16</v>
      </c>
      <c r="K1075" s="2">
        <v>372.02</v>
      </c>
      <c r="L1075" s="3">
        <v>127.27</v>
      </c>
      <c r="M1075" s="2">
        <v>3.49</v>
      </c>
    </row>
    <row r="1076" spans="1:13">
      <c r="A1076" s="9">
        <v>44393</v>
      </c>
      <c r="B1076" s="1">
        <f t="shared" si="32"/>
        <v>44378</v>
      </c>
      <c r="C1076" s="5" t="str">
        <f t="shared" si="33"/>
        <v>2021-07</v>
      </c>
      <c r="D1076" s="3">
        <v>431.34</v>
      </c>
      <c r="E1076" s="3">
        <v>214.95</v>
      </c>
      <c r="F1076" s="3">
        <v>148.21</v>
      </c>
      <c r="G1076" s="3">
        <v>169.41</v>
      </c>
      <c r="H1076" s="3">
        <v>105.31</v>
      </c>
      <c r="I1076" s="2">
        <v>87.49</v>
      </c>
      <c r="J1076" s="2">
        <v>875.02</v>
      </c>
      <c r="K1076" s="2">
        <v>377.14</v>
      </c>
      <c r="L1076" s="3">
        <v>128.62</v>
      </c>
      <c r="M1076" s="2">
        <v>3.41</v>
      </c>
    </row>
    <row r="1077" spans="1:13">
      <c r="A1077" s="9">
        <v>44392</v>
      </c>
      <c r="B1077" s="1">
        <f t="shared" si="32"/>
        <v>44378</v>
      </c>
      <c r="C1077" s="5" t="str">
        <f t="shared" si="33"/>
        <v>2021-07</v>
      </c>
      <c r="D1077" s="3">
        <v>434.75</v>
      </c>
      <c r="E1077" s="3">
        <v>217.63</v>
      </c>
      <c r="F1077" s="3">
        <v>148.49</v>
      </c>
      <c r="G1077" s="3">
        <v>171.07</v>
      </c>
      <c r="H1077" s="3">
        <v>105.38</v>
      </c>
      <c r="I1077" s="2">
        <v>86.24</v>
      </c>
      <c r="J1077" s="2">
        <v>880</v>
      </c>
      <c r="K1077" s="2">
        <v>378.25</v>
      </c>
      <c r="L1077" s="3">
        <v>128.27000000000001</v>
      </c>
      <c r="M1077" s="2">
        <v>3.46</v>
      </c>
    </row>
    <row r="1078" spans="1:13">
      <c r="A1078" s="9">
        <v>44391</v>
      </c>
      <c r="B1078" s="1">
        <f t="shared" si="32"/>
        <v>44378</v>
      </c>
      <c r="C1078" s="5" t="str">
        <f t="shared" si="33"/>
        <v>2021-07</v>
      </c>
      <c r="D1078" s="3">
        <v>436.24</v>
      </c>
      <c r="E1078" s="3">
        <v>218.87</v>
      </c>
      <c r="F1078" s="3">
        <v>146.87</v>
      </c>
      <c r="G1078" s="3">
        <v>171.04</v>
      </c>
      <c r="H1078" s="3">
        <v>105.21</v>
      </c>
      <c r="I1078" s="2">
        <v>88.28</v>
      </c>
      <c r="J1078" s="2">
        <v>880.32</v>
      </c>
      <c r="K1078" s="2">
        <v>376.82</v>
      </c>
      <c r="L1078" s="3">
        <v>128.72</v>
      </c>
      <c r="M1078" s="2">
        <v>3.45</v>
      </c>
    </row>
    <row r="1079" spans="1:13">
      <c r="A1079" s="9">
        <v>44390</v>
      </c>
      <c r="B1079" s="1">
        <f t="shared" si="32"/>
        <v>44378</v>
      </c>
      <c r="C1079" s="5" t="str">
        <f t="shared" si="33"/>
        <v>2021-07</v>
      </c>
      <c r="D1079" s="3">
        <v>435.59</v>
      </c>
      <c r="E1079" s="3">
        <v>222.3</v>
      </c>
      <c r="F1079" s="3">
        <v>145.22</v>
      </c>
      <c r="G1079" s="3">
        <v>169.22</v>
      </c>
      <c r="H1079" s="3">
        <v>104.48</v>
      </c>
      <c r="I1079" s="2">
        <v>87.07</v>
      </c>
      <c r="J1079" s="2">
        <v>908.07</v>
      </c>
      <c r="K1079" s="2">
        <v>377.84</v>
      </c>
      <c r="L1079" s="3">
        <v>128.84</v>
      </c>
      <c r="M1079" s="2">
        <v>3.3</v>
      </c>
    </row>
    <row r="1080" spans="1:13">
      <c r="A1080" s="9">
        <v>44389</v>
      </c>
      <c r="B1080" s="1">
        <f t="shared" si="32"/>
        <v>44378</v>
      </c>
      <c r="C1080" s="5" t="str">
        <f t="shared" si="33"/>
        <v>2021-07</v>
      </c>
      <c r="D1080" s="3">
        <v>437.08</v>
      </c>
      <c r="E1080" s="3">
        <v>226.57</v>
      </c>
      <c r="F1080" s="3">
        <v>146.34</v>
      </c>
      <c r="G1080" s="3">
        <v>169</v>
      </c>
      <c r="H1080" s="3">
        <v>105.96</v>
      </c>
      <c r="I1080" s="2">
        <v>87.08</v>
      </c>
      <c r="J1080" s="2">
        <v>915.92</v>
      </c>
      <c r="K1080" s="2">
        <v>379.07</v>
      </c>
      <c r="L1080" s="3">
        <v>128.96</v>
      </c>
      <c r="M1080" s="2">
        <v>3.36</v>
      </c>
    </row>
    <row r="1081" spans="1:13">
      <c r="A1081" s="9">
        <v>44386</v>
      </c>
      <c r="B1081" s="1">
        <f t="shared" si="32"/>
        <v>44378</v>
      </c>
      <c r="C1081" s="5" t="str">
        <f t="shared" si="33"/>
        <v>2021-07</v>
      </c>
      <c r="D1081" s="3">
        <v>435.52</v>
      </c>
      <c r="E1081" s="3">
        <v>226.38</v>
      </c>
      <c r="F1081" s="3">
        <v>146.53</v>
      </c>
      <c r="G1081" s="3">
        <v>169.21</v>
      </c>
      <c r="H1081" s="3">
        <v>105.06</v>
      </c>
      <c r="I1081" s="2">
        <v>87.76</v>
      </c>
      <c r="J1081" s="2">
        <v>901.31</v>
      </c>
      <c r="K1081" s="2">
        <v>383.11</v>
      </c>
      <c r="L1081" s="3">
        <v>128.71</v>
      </c>
      <c r="M1081" s="2">
        <v>3.46</v>
      </c>
    </row>
    <row r="1082" spans="1:13">
      <c r="A1082" s="9">
        <v>44385</v>
      </c>
      <c r="B1082" s="1">
        <f t="shared" si="32"/>
        <v>44378</v>
      </c>
      <c r="C1082" s="5" t="str">
        <f t="shared" si="33"/>
        <v>2021-07</v>
      </c>
      <c r="D1082" s="3">
        <v>430.92</v>
      </c>
      <c r="E1082" s="3">
        <v>221.7</v>
      </c>
      <c r="F1082" s="3">
        <v>148.62</v>
      </c>
      <c r="G1082" s="3">
        <v>168.65</v>
      </c>
      <c r="H1082" s="3">
        <v>103.36</v>
      </c>
      <c r="I1082" s="2">
        <v>85.59</v>
      </c>
      <c r="J1082" s="2">
        <v>876.5</v>
      </c>
      <c r="K1082" s="2">
        <v>379.92</v>
      </c>
      <c r="L1082" s="3">
        <v>128.27000000000001</v>
      </c>
      <c r="M1082" s="2">
        <v>3.38</v>
      </c>
    </row>
    <row r="1083" spans="1:13">
      <c r="A1083" s="9">
        <v>44384</v>
      </c>
      <c r="B1083" s="1">
        <f t="shared" si="32"/>
        <v>44378</v>
      </c>
      <c r="C1083" s="5" t="str">
        <f t="shared" si="33"/>
        <v>2021-07</v>
      </c>
      <c r="D1083" s="3">
        <v>434.46</v>
      </c>
      <c r="E1083" s="3">
        <v>223.76</v>
      </c>
      <c r="F1083" s="3">
        <v>148.04</v>
      </c>
      <c r="G1083" s="3">
        <v>168.76</v>
      </c>
      <c r="H1083" s="3">
        <v>103.65</v>
      </c>
      <c r="I1083" s="2">
        <v>86.09</v>
      </c>
      <c r="J1083" s="2">
        <v>900.94</v>
      </c>
      <c r="K1083" s="2">
        <v>383.48</v>
      </c>
      <c r="L1083" s="3">
        <v>128.97999999999999</v>
      </c>
      <c r="M1083" s="2">
        <v>3.43</v>
      </c>
    </row>
    <row r="1084" spans="1:13">
      <c r="A1084" s="9">
        <v>44383</v>
      </c>
      <c r="B1084" s="1">
        <f t="shared" si="32"/>
        <v>44378</v>
      </c>
      <c r="C1084" s="5" t="str">
        <f t="shared" si="33"/>
        <v>2021-07</v>
      </c>
      <c r="D1084" s="3">
        <v>432.93</v>
      </c>
      <c r="E1084" s="3">
        <v>225.86</v>
      </c>
      <c r="F1084" s="3">
        <v>146.74</v>
      </c>
      <c r="G1084" s="3">
        <v>168.12</v>
      </c>
      <c r="H1084" s="3">
        <v>103.29</v>
      </c>
      <c r="I1084" s="2">
        <v>83.08</v>
      </c>
      <c r="J1084" s="2">
        <v>892.68</v>
      </c>
      <c r="K1084" s="2">
        <v>378.67</v>
      </c>
      <c r="L1084" s="3">
        <v>128.16999999999999</v>
      </c>
      <c r="M1084" s="2">
        <v>3.46</v>
      </c>
    </row>
    <row r="1085" spans="1:13">
      <c r="A1085" s="9">
        <v>44379</v>
      </c>
      <c r="B1085" s="1">
        <f t="shared" si="32"/>
        <v>44378</v>
      </c>
      <c r="C1085" s="5" t="str">
        <f t="shared" si="33"/>
        <v>2021-07</v>
      </c>
      <c r="D1085" s="3">
        <v>433.72</v>
      </c>
      <c r="E1085" s="3">
        <v>229.19</v>
      </c>
      <c r="F1085" s="3">
        <v>145.04</v>
      </c>
      <c r="G1085" s="3">
        <v>167.29</v>
      </c>
      <c r="H1085" s="3">
        <v>102.54</v>
      </c>
      <c r="I1085" s="2">
        <v>81.819999999999993</v>
      </c>
      <c r="J1085" s="2">
        <v>893.63</v>
      </c>
      <c r="K1085" s="2">
        <v>381.49</v>
      </c>
      <c r="L1085" s="3">
        <v>128.29</v>
      </c>
      <c r="M1085" s="2">
        <v>3.54</v>
      </c>
    </row>
    <row r="1086" spans="1:13">
      <c r="A1086" s="9">
        <v>44378</v>
      </c>
      <c r="B1086" s="1">
        <f t="shared" si="32"/>
        <v>44378</v>
      </c>
      <c r="C1086" s="5" t="str">
        <f t="shared" si="33"/>
        <v>2021-07</v>
      </c>
      <c r="D1086" s="3">
        <v>430.43</v>
      </c>
      <c r="E1086" s="3">
        <v>231.39</v>
      </c>
      <c r="F1086" s="3">
        <v>144.16999999999999</v>
      </c>
      <c r="G1086" s="3">
        <v>166.2</v>
      </c>
      <c r="H1086" s="3">
        <v>102.23</v>
      </c>
      <c r="I1086" s="2">
        <v>79.540000000000006</v>
      </c>
      <c r="J1086" s="2">
        <v>879.23</v>
      </c>
      <c r="K1086" s="2">
        <v>380.22</v>
      </c>
      <c r="L1086" s="3">
        <v>127.07</v>
      </c>
      <c r="M1086" s="2">
        <v>3.55</v>
      </c>
    </row>
    <row r="1087" spans="1:13">
      <c r="A1087" s="9">
        <v>44377</v>
      </c>
      <c r="B1087" s="1">
        <f t="shared" si="32"/>
        <v>44348</v>
      </c>
      <c r="C1087" s="5" t="str">
        <f t="shared" si="33"/>
        <v>2021-06</v>
      </c>
      <c r="D1087" s="3">
        <v>428.06</v>
      </c>
      <c r="E1087" s="3">
        <v>229.37</v>
      </c>
      <c r="F1087" s="3">
        <v>144.35</v>
      </c>
      <c r="G1087" s="3">
        <v>165.63</v>
      </c>
      <c r="H1087" s="3">
        <v>101.79</v>
      </c>
      <c r="I1087" s="2">
        <v>77.84</v>
      </c>
      <c r="J1087" s="2">
        <v>874.97</v>
      </c>
      <c r="K1087" s="2">
        <v>378.35</v>
      </c>
      <c r="L1087" s="3">
        <v>125.95</v>
      </c>
      <c r="M1087" s="2">
        <v>3.52</v>
      </c>
    </row>
    <row r="1088" spans="1:13">
      <c r="A1088" s="9">
        <v>44376</v>
      </c>
      <c r="B1088" s="1">
        <f t="shared" si="32"/>
        <v>44348</v>
      </c>
      <c r="C1088" s="5" t="str">
        <f t="shared" si="33"/>
        <v>2021-06</v>
      </c>
      <c r="D1088" s="3">
        <v>427.7</v>
      </c>
      <c r="E1088" s="3">
        <v>229.34</v>
      </c>
      <c r="F1088" s="3">
        <v>143.71</v>
      </c>
      <c r="G1088" s="3">
        <v>164.83</v>
      </c>
      <c r="H1088" s="3">
        <v>102.33</v>
      </c>
      <c r="I1088" s="2">
        <v>78.099999999999994</v>
      </c>
      <c r="J1088" s="2">
        <v>873.53</v>
      </c>
      <c r="K1088" s="2">
        <v>373.42</v>
      </c>
      <c r="L1088" s="3">
        <v>126.03</v>
      </c>
      <c r="M1088" s="2">
        <v>3.54</v>
      </c>
    </row>
    <row r="1089" spans="1:13">
      <c r="A1089" s="9">
        <v>44375</v>
      </c>
      <c r="B1089" s="1">
        <f t="shared" si="32"/>
        <v>44348</v>
      </c>
      <c r="C1089" s="5" t="str">
        <f t="shared" si="33"/>
        <v>2021-06</v>
      </c>
      <c r="D1089" s="3">
        <v>427.47</v>
      </c>
      <c r="E1089" s="3">
        <v>230.44</v>
      </c>
      <c r="F1089" s="3">
        <v>143.47</v>
      </c>
      <c r="G1089" s="3">
        <v>166.58</v>
      </c>
      <c r="H1089" s="3">
        <v>102.61</v>
      </c>
      <c r="I1089" s="2">
        <v>78.5</v>
      </c>
      <c r="J1089" s="2">
        <v>878.74</v>
      </c>
      <c r="K1089" s="2">
        <v>380.07</v>
      </c>
      <c r="L1089" s="3">
        <v>125.89</v>
      </c>
      <c r="M1089" s="2">
        <v>3.55</v>
      </c>
    </row>
    <row r="1090" spans="1:13">
      <c r="A1090" s="9">
        <v>44372</v>
      </c>
      <c r="B1090" s="1">
        <f t="shared" ref="B1090:B1153" si="34">EOMONTH(A1090,-1)+1</f>
        <v>44348</v>
      </c>
      <c r="C1090" s="5" t="str">
        <f t="shared" si="33"/>
        <v>2021-06</v>
      </c>
      <c r="D1090" s="3">
        <v>426.61</v>
      </c>
      <c r="E1090" s="3">
        <v>232.28</v>
      </c>
      <c r="F1090" s="3">
        <v>142.01</v>
      </c>
      <c r="G1090" s="3">
        <v>166.59</v>
      </c>
      <c r="H1090" s="3">
        <v>102.91</v>
      </c>
      <c r="I1090" s="2">
        <v>78.459999999999994</v>
      </c>
      <c r="J1090" s="2">
        <v>874.03</v>
      </c>
      <c r="K1090" s="2">
        <v>382.01</v>
      </c>
      <c r="L1090" s="3">
        <v>125.7</v>
      </c>
      <c r="M1090" s="2">
        <v>3.6</v>
      </c>
    </row>
    <row r="1091" spans="1:13">
      <c r="A1091" s="9">
        <v>44371</v>
      </c>
      <c r="B1091" s="1">
        <f t="shared" si="34"/>
        <v>44348</v>
      </c>
      <c r="C1091" s="5" t="str">
        <f t="shared" ref="C1091:C1154" si="35">TEXT(A1091, "yyyy-mm")</f>
        <v>2021-06</v>
      </c>
      <c r="D1091" s="3">
        <v>425.1</v>
      </c>
      <c r="E1091" s="3">
        <v>231.89</v>
      </c>
      <c r="F1091" s="3">
        <v>143.5</v>
      </c>
      <c r="G1091" s="3">
        <v>166.04</v>
      </c>
      <c r="H1091" s="3">
        <v>102.22</v>
      </c>
      <c r="I1091" s="2">
        <v>77.739999999999995</v>
      </c>
      <c r="J1091" s="2">
        <v>867.34</v>
      </c>
      <c r="K1091" s="2">
        <v>377.73</v>
      </c>
      <c r="L1091" s="3">
        <v>125.13</v>
      </c>
      <c r="M1091" s="2">
        <v>3.54</v>
      </c>
    </row>
    <row r="1092" spans="1:13">
      <c r="A1092" s="9">
        <v>44370</v>
      </c>
      <c r="B1092" s="1">
        <f t="shared" si="34"/>
        <v>44348</v>
      </c>
      <c r="C1092" s="5" t="str">
        <f t="shared" si="35"/>
        <v>2021-06</v>
      </c>
      <c r="D1092" s="3">
        <v>422.6</v>
      </c>
      <c r="E1092" s="3">
        <v>228.66</v>
      </c>
      <c r="F1092" s="3">
        <v>143.27000000000001</v>
      </c>
      <c r="G1092" s="3">
        <v>166.14</v>
      </c>
      <c r="H1092" s="3">
        <v>103.17</v>
      </c>
      <c r="I1092" s="2">
        <v>78.099999999999994</v>
      </c>
      <c r="J1092" s="2">
        <v>865.42</v>
      </c>
      <c r="K1092" s="2">
        <v>377.33</v>
      </c>
      <c r="L1092" s="3">
        <v>124.49</v>
      </c>
      <c r="M1092" s="2">
        <v>3.43</v>
      </c>
    </row>
    <row r="1093" spans="1:13">
      <c r="A1093" s="9">
        <v>44369</v>
      </c>
      <c r="B1093" s="1">
        <f t="shared" si="34"/>
        <v>44348</v>
      </c>
      <c r="C1093" s="5" t="str">
        <f t="shared" si="35"/>
        <v>2021-06</v>
      </c>
      <c r="D1093" s="3">
        <v>423.11</v>
      </c>
      <c r="E1093" s="3">
        <v>227.91</v>
      </c>
      <c r="F1093" s="3">
        <v>143.63999999999999</v>
      </c>
      <c r="G1093" s="3">
        <v>166.25</v>
      </c>
      <c r="H1093" s="3">
        <v>103.35</v>
      </c>
      <c r="I1093" s="2">
        <v>78.680000000000007</v>
      </c>
      <c r="J1093" s="2">
        <v>864.76</v>
      </c>
      <c r="K1093" s="2">
        <v>382.48</v>
      </c>
      <c r="L1093" s="3">
        <v>125.01</v>
      </c>
      <c r="M1093" s="2">
        <v>3.4</v>
      </c>
    </row>
    <row r="1094" spans="1:13">
      <c r="A1094" s="9">
        <v>44368</v>
      </c>
      <c r="B1094" s="1">
        <f t="shared" si="34"/>
        <v>44348</v>
      </c>
      <c r="C1094" s="5" t="str">
        <f t="shared" si="35"/>
        <v>2021-06</v>
      </c>
      <c r="D1094" s="3">
        <v>420.86</v>
      </c>
      <c r="E1094" s="3">
        <v>226.88</v>
      </c>
      <c r="F1094" s="3">
        <v>143.29</v>
      </c>
      <c r="G1094" s="3">
        <v>166.95</v>
      </c>
      <c r="H1094" s="3">
        <v>103.89</v>
      </c>
      <c r="I1094" s="2">
        <v>77.989999999999995</v>
      </c>
      <c r="J1094" s="2">
        <v>861.26</v>
      </c>
      <c r="K1094" s="2">
        <v>382.5</v>
      </c>
      <c r="L1094" s="3">
        <v>124.74</v>
      </c>
      <c r="M1094" s="2">
        <v>3.49</v>
      </c>
    </row>
    <row r="1095" spans="1:13">
      <c r="A1095" s="9">
        <v>44365</v>
      </c>
      <c r="B1095" s="1">
        <f t="shared" si="34"/>
        <v>44348</v>
      </c>
      <c r="C1095" s="5" t="str">
        <f t="shared" si="35"/>
        <v>2021-06</v>
      </c>
      <c r="D1095" s="3">
        <v>414.92</v>
      </c>
      <c r="E1095" s="3">
        <v>222.13</v>
      </c>
      <c r="F1095" s="3">
        <v>145.72999999999999</v>
      </c>
      <c r="G1095" s="3">
        <v>164.93</v>
      </c>
      <c r="H1095" s="3">
        <v>101.79</v>
      </c>
      <c r="I1095" s="2">
        <v>76.23</v>
      </c>
      <c r="J1095" s="2">
        <v>840.78</v>
      </c>
      <c r="K1095" s="2">
        <v>379.19</v>
      </c>
      <c r="L1095" s="3">
        <v>123.74</v>
      </c>
      <c r="M1095" s="2">
        <v>3.43</v>
      </c>
    </row>
    <row r="1096" spans="1:13">
      <c r="A1096" s="9">
        <v>44364</v>
      </c>
      <c r="B1096" s="1">
        <f t="shared" si="34"/>
        <v>44348</v>
      </c>
      <c r="C1096" s="5" t="str">
        <f t="shared" si="35"/>
        <v>2021-06</v>
      </c>
      <c r="D1096" s="3">
        <v>421.97</v>
      </c>
      <c r="E1096" s="3">
        <v>227.29</v>
      </c>
      <c r="F1096" s="3">
        <v>143.04</v>
      </c>
      <c r="G1096" s="3">
        <v>165.85</v>
      </c>
      <c r="H1096" s="3">
        <v>103.55</v>
      </c>
      <c r="I1096" s="2">
        <v>77.56</v>
      </c>
      <c r="J1096" s="2">
        <v>868.82</v>
      </c>
      <c r="K1096" s="2">
        <v>382.9</v>
      </c>
      <c r="L1096" s="3">
        <v>125.17</v>
      </c>
      <c r="M1096" s="2">
        <v>3.54</v>
      </c>
    </row>
    <row r="1097" spans="1:13">
      <c r="A1097" s="9">
        <v>44363</v>
      </c>
      <c r="B1097" s="1">
        <f t="shared" si="34"/>
        <v>44348</v>
      </c>
      <c r="C1097" s="5" t="str">
        <f t="shared" si="35"/>
        <v>2021-06</v>
      </c>
      <c r="D1097" s="3">
        <v>422.11</v>
      </c>
      <c r="E1097" s="3">
        <v>229.87</v>
      </c>
      <c r="F1097" s="3">
        <v>140.93</v>
      </c>
      <c r="G1097" s="3">
        <v>171.11</v>
      </c>
      <c r="H1097" s="3">
        <v>103.68</v>
      </c>
      <c r="I1097" s="2">
        <v>77.08</v>
      </c>
      <c r="J1097" s="2">
        <v>869.35</v>
      </c>
      <c r="K1097" s="2">
        <v>383.6</v>
      </c>
      <c r="L1097" s="3">
        <v>124.22</v>
      </c>
      <c r="M1097" s="2">
        <v>3.58</v>
      </c>
    </row>
    <row r="1098" spans="1:13">
      <c r="A1098" s="9">
        <v>44362</v>
      </c>
      <c r="B1098" s="1">
        <f t="shared" si="34"/>
        <v>44348</v>
      </c>
      <c r="C1098" s="5" t="str">
        <f t="shared" si="35"/>
        <v>2021-06</v>
      </c>
      <c r="D1098" s="3">
        <v>424.48</v>
      </c>
      <c r="E1098" s="3">
        <v>230.36</v>
      </c>
      <c r="F1098" s="3">
        <v>141.05000000000001</v>
      </c>
      <c r="G1098" s="3">
        <v>174.05</v>
      </c>
      <c r="H1098" s="3">
        <v>104.36</v>
      </c>
      <c r="I1098" s="2">
        <v>81.64</v>
      </c>
      <c r="J1098" s="2">
        <v>881.01</v>
      </c>
      <c r="K1098" s="2">
        <v>389.8</v>
      </c>
      <c r="L1098" s="3">
        <v>124.7</v>
      </c>
      <c r="M1098" s="2">
        <v>3.62</v>
      </c>
    </row>
    <row r="1099" spans="1:13">
      <c r="A1099" s="9">
        <v>44361</v>
      </c>
      <c r="B1099" s="1">
        <f t="shared" si="34"/>
        <v>44348</v>
      </c>
      <c r="C1099" s="5" t="str">
        <f t="shared" si="35"/>
        <v>2021-06</v>
      </c>
      <c r="D1099" s="3">
        <v>425.26</v>
      </c>
      <c r="E1099" s="3">
        <v>231.02</v>
      </c>
      <c r="F1099" s="3">
        <v>141.22</v>
      </c>
      <c r="G1099" s="3">
        <v>174.71</v>
      </c>
      <c r="H1099" s="3">
        <v>105.49</v>
      </c>
      <c r="I1099" s="2">
        <v>82.62</v>
      </c>
      <c r="J1099" s="2">
        <v>876.78</v>
      </c>
      <c r="K1099" s="2">
        <v>389.11</v>
      </c>
      <c r="L1099" s="3">
        <v>124.66</v>
      </c>
      <c r="M1099" s="2">
        <v>3.62</v>
      </c>
    </row>
    <row r="1100" spans="1:13">
      <c r="A1100" s="9">
        <v>44358</v>
      </c>
      <c r="B1100" s="1">
        <f t="shared" si="34"/>
        <v>44348</v>
      </c>
      <c r="C1100" s="5" t="str">
        <f t="shared" si="35"/>
        <v>2021-06</v>
      </c>
      <c r="D1100" s="3">
        <v>424.31</v>
      </c>
      <c r="E1100" s="3">
        <v>231.7</v>
      </c>
      <c r="F1100" s="3">
        <v>142.31</v>
      </c>
      <c r="G1100" s="3">
        <v>175.74</v>
      </c>
      <c r="H1100" s="3">
        <v>105.08</v>
      </c>
      <c r="I1100" s="2">
        <v>82.9</v>
      </c>
      <c r="J1100" s="2">
        <v>880.66</v>
      </c>
      <c r="K1100" s="2">
        <v>387.72</v>
      </c>
      <c r="L1100" s="3">
        <v>124.55</v>
      </c>
      <c r="M1100" s="2">
        <v>3.67</v>
      </c>
    </row>
    <row r="1101" spans="1:13">
      <c r="A1101" s="9">
        <v>44357</v>
      </c>
      <c r="B1101" s="1">
        <f t="shared" si="34"/>
        <v>44348</v>
      </c>
      <c r="C1101" s="5" t="str">
        <f t="shared" si="35"/>
        <v>2021-06</v>
      </c>
      <c r="D1101" s="3">
        <v>423.61</v>
      </c>
      <c r="E1101" s="3">
        <v>229.28</v>
      </c>
      <c r="F1101" s="3">
        <v>142.54</v>
      </c>
      <c r="G1101" s="3">
        <v>177.74</v>
      </c>
      <c r="H1101" s="3">
        <v>105.5</v>
      </c>
      <c r="I1101" s="2">
        <v>82.3</v>
      </c>
      <c r="J1101" s="2">
        <v>867.44</v>
      </c>
      <c r="K1101" s="2">
        <v>387.72</v>
      </c>
      <c r="L1101" s="3">
        <v>125.44</v>
      </c>
      <c r="M1101" s="2">
        <v>3.64</v>
      </c>
    </row>
    <row r="1102" spans="1:13">
      <c r="A1102" s="9">
        <v>44356</v>
      </c>
      <c r="B1102" s="1">
        <f t="shared" si="34"/>
        <v>44348</v>
      </c>
      <c r="C1102" s="5" t="str">
        <f t="shared" si="35"/>
        <v>2021-06</v>
      </c>
      <c r="D1102" s="3">
        <v>421.65</v>
      </c>
      <c r="E1102" s="3">
        <v>231.34</v>
      </c>
      <c r="F1102" s="3">
        <v>141.69</v>
      </c>
      <c r="G1102" s="3">
        <v>176.98</v>
      </c>
      <c r="H1102" s="3">
        <v>104.75</v>
      </c>
      <c r="I1102" s="2">
        <v>84.52</v>
      </c>
      <c r="J1102" s="2">
        <v>870.94</v>
      </c>
      <c r="K1102" s="2">
        <v>386.8</v>
      </c>
      <c r="L1102" s="3">
        <v>123.33</v>
      </c>
      <c r="M1102" s="2">
        <v>3.63</v>
      </c>
    </row>
    <row r="1103" spans="1:13">
      <c r="A1103" s="9">
        <v>44355</v>
      </c>
      <c r="B1103" s="1">
        <f t="shared" si="34"/>
        <v>44348</v>
      </c>
      <c r="C1103" s="5" t="str">
        <f t="shared" si="35"/>
        <v>2021-06</v>
      </c>
      <c r="D1103" s="3">
        <v>422.28</v>
      </c>
      <c r="E1103" s="3">
        <v>232.89</v>
      </c>
      <c r="F1103" s="3">
        <v>140.44999999999999</v>
      </c>
      <c r="G1103" s="3">
        <v>177.32</v>
      </c>
      <c r="H1103" s="3">
        <v>104.61</v>
      </c>
      <c r="I1103" s="2">
        <v>84.61</v>
      </c>
      <c r="J1103" s="2">
        <v>884.52</v>
      </c>
      <c r="K1103" s="2">
        <v>388.53</v>
      </c>
      <c r="L1103" s="3">
        <v>122.15</v>
      </c>
      <c r="M1103" s="2">
        <v>3.69</v>
      </c>
    </row>
    <row r="1104" spans="1:13">
      <c r="A1104" s="9">
        <v>44354</v>
      </c>
      <c r="B1104" s="1">
        <f t="shared" si="34"/>
        <v>44348</v>
      </c>
      <c r="C1104" s="5" t="str">
        <f t="shared" si="35"/>
        <v>2021-06</v>
      </c>
      <c r="D1104" s="3">
        <v>422.19</v>
      </c>
      <c r="E1104" s="3">
        <v>230.45</v>
      </c>
      <c r="F1104" s="3">
        <v>139.47</v>
      </c>
      <c r="G1104" s="3">
        <v>177.87</v>
      </c>
      <c r="H1104" s="3">
        <v>103.75</v>
      </c>
      <c r="I1104" s="2">
        <v>83.94</v>
      </c>
      <c r="J1104" s="2">
        <v>884.96</v>
      </c>
      <c r="K1104" s="2">
        <v>391.51</v>
      </c>
      <c r="L1104" s="3">
        <v>122.53</v>
      </c>
      <c r="M1104" s="2">
        <v>3.7</v>
      </c>
    </row>
    <row r="1105" spans="1:13">
      <c r="A1105" s="9">
        <v>44351</v>
      </c>
      <c r="B1105" s="1">
        <f t="shared" si="34"/>
        <v>44348</v>
      </c>
      <c r="C1105" s="5" t="str">
        <f t="shared" si="35"/>
        <v>2021-06</v>
      </c>
      <c r="D1105" s="3">
        <v>422.6</v>
      </c>
      <c r="E1105" s="3">
        <v>227.4</v>
      </c>
      <c r="F1105" s="3">
        <v>139.9</v>
      </c>
      <c r="G1105" s="3">
        <v>177.16</v>
      </c>
      <c r="H1105" s="3">
        <v>102.54</v>
      </c>
      <c r="I1105" s="2">
        <v>82.89</v>
      </c>
      <c r="J1105" s="2">
        <v>886.85</v>
      </c>
      <c r="K1105" s="2">
        <v>394.1</v>
      </c>
      <c r="L1105" s="3">
        <v>122.09</v>
      </c>
      <c r="M1105" s="2">
        <v>3.67</v>
      </c>
    </row>
    <row r="1106" spans="1:13">
      <c r="A1106" s="9">
        <v>44350</v>
      </c>
      <c r="B1106" s="1">
        <f t="shared" si="34"/>
        <v>44348</v>
      </c>
      <c r="C1106" s="5" t="str">
        <f t="shared" si="35"/>
        <v>2021-06</v>
      </c>
      <c r="D1106" s="3">
        <v>418.77</v>
      </c>
      <c r="E1106" s="3">
        <v>226.42</v>
      </c>
      <c r="F1106" s="3">
        <v>138.01</v>
      </c>
      <c r="G1106" s="3">
        <v>175.27</v>
      </c>
      <c r="H1106" s="3">
        <v>102.49</v>
      </c>
      <c r="I1106" s="2">
        <v>81.09</v>
      </c>
      <c r="J1106" s="2">
        <v>881.01</v>
      </c>
      <c r="K1106" s="2">
        <v>387.35</v>
      </c>
      <c r="L1106" s="3">
        <v>121.7</v>
      </c>
      <c r="M1106" s="2">
        <v>3.64</v>
      </c>
    </row>
    <row r="1107" spans="1:13">
      <c r="A1107" s="9">
        <v>44349</v>
      </c>
      <c r="B1107" s="1">
        <f t="shared" si="34"/>
        <v>44348</v>
      </c>
      <c r="C1107" s="5" t="str">
        <f t="shared" si="35"/>
        <v>2021-06</v>
      </c>
      <c r="D1107" s="3">
        <v>420.33</v>
      </c>
      <c r="E1107" s="3">
        <v>228.33</v>
      </c>
      <c r="F1107" s="3">
        <v>138.53</v>
      </c>
      <c r="G1107" s="3">
        <v>178.77</v>
      </c>
      <c r="H1107" s="3">
        <v>102.87</v>
      </c>
      <c r="I1107" s="2">
        <v>80.27</v>
      </c>
      <c r="J1107" s="2">
        <v>887.42</v>
      </c>
      <c r="K1107" s="2">
        <v>385.09</v>
      </c>
      <c r="L1107" s="3">
        <v>121.33</v>
      </c>
      <c r="M1107" s="2">
        <v>3.63</v>
      </c>
    </row>
    <row r="1108" spans="1:13">
      <c r="A1108" s="9">
        <v>44348</v>
      </c>
      <c r="B1108" s="1">
        <f t="shared" si="34"/>
        <v>44348</v>
      </c>
      <c r="C1108" s="5" t="str">
        <f t="shared" si="35"/>
        <v>2021-06</v>
      </c>
      <c r="D1108" s="3">
        <v>419.67</v>
      </c>
      <c r="E1108" s="3">
        <v>228.06</v>
      </c>
      <c r="F1108" s="3">
        <v>138.21</v>
      </c>
      <c r="G1108" s="3">
        <v>177.9</v>
      </c>
      <c r="H1108" s="3">
        <v>101.68</v>
      </c>
      <c r="I1108" s="2">
        <v>79.569999999999993</v>
      </c>
      <c r="J1108" s="2">
        <v>876.91</v>
      </c>
      <c r="K1108" s="2">
        <v>381.92</v>
      </c>
      <c r="L1108" s="3">
        <v>121.57</v>
      </c>
      <c r="M1108" s="2">
        <v>3.52</v>
      </c>
    </row>
    <row r="1109" spans="1:13">
      <c r="A1109" s="9">
        <v>44344</v>
      </c>
      <c r="B1109" s="1">
        <f t="shared" si="34"/>
        <v>44317</v>
      </c>
      <c r="C1109" s="5" t="str">
        <f t="shared" si="35"/>
        <v>2021-05</v>
      </c>
      <c r="D1109" s="3">
        <v>420.04</v>
      </c>
      <c r="E1109" s="3">
        <v>225.5</v>
      </c>
      <c r="F1109" s="3">
        <v>138.44</v>
      </c>
      <c r="G1109" s="3">
        <v>178.38</v>
      </c>
      <c r="H1109" s="3">
        <v>99.88</v>
      </c>
      <c r="I1109" s="2">
        <v>78.739999999999995</v>
      </c>
      <c r="J1109" s="2">
        <v>877.04</v>
      </c>
      <c r="K1109" s="2">
        <v>382.2</v>
      </c>
      <c r="L1109" s="3">
        <v>123.6</v>
      </c>
      <c r="M1109" s="2">
        <v>3.47</v>
      </c>
    </row>
    <row r="1110" spans="1:13">
      <c r="A1110" s="9">
        <v>44343</v>
      </c>
      <c r="B1110" s="1">
        <f t="shared" si="34"/>
        <v>44317</v>
      </c>
      <c r="C1110" s="5" t="str">
        <f t="shared" si="35"/>
        <v>2021-05</v>
      </c>
      <c r="D1110" s="3">
        <v>419.29</v>
      </c>
      <c r="E1110" s="3">
        <v>225.65</v>
      </c>
      <c r="F1110" s="3">
        <v>138.655</v>
      </c>
      <c r="G1110" s="3">
        <v>177.71</v>
      </c>
      <c r="H1110" s="3">
        <v>99.28</v>
      </c>
      <c r="I1110" s="2">
        <v>78.98</v>
      </c>
      <c r="J1110" s="2">
        <v>876.43</v>
      </c>
      <c r="K1110" s="2">
        <v>387.39</v>
      </c>
      <c r="L1110" s="3">
        <v>123.12</v>
      </c>
      <c r="M1110" s="2">
        <v>3.6</v>
      </c>
    </row>
    <row r="1111" spans="1:13">
      <c r="A1111" s="9">
        <v>44342</v>
      </c>
      <c r="B1111" s="1">
        <f t="shared" si="34"/>
        <v>44317</v>
      </c>
      <c r="C1111" s="5" t="str">
        <f t="shared" si="35"/>
        <v>2021-05</v>
      </c>
      <c r="D1111" s="3">
        <v>419.07</v>
      </c>
      <c r="E1111" s="3">
        <v>223.35</v>
      </c>
      <c r="F1111" s="3">
        <v>139.22</v>
      </c>
      <c r="G1111" s="3">
        <v>177.64</v>
      </c>
      <c r="H1111" s="3">
        <v>99.51</v>
      </c>
      <c r="I1111" s="2">
        <v>79.260000000000005</v>
      </c>
      <c r="J1111" s="2">
        <v>876.73</v>
      </c>
      <c r="K1111" s="2">
        <v>384.13</v>
      </c>
      <c r="L1111" s="3">
        <v>123.39</v>
      </c>
      <c r="M1111" s="2">
        <v>3.57</v>
      </c>
    </row>
    <row r="1112" spans="1:13">
      <c r="A1112" s="9">
        <v>44341</v>
      </c>
      <c r="B1112" s="1">
        <f t="shared" si="34"/>
        <v>44317</v>
      </c>
      <c r="C1112" s="5" t="str">
        <f t="shared" si="35"/>
        <v>2021-05</v>
      </c>
      <c r="D1112" s="3">
        <v>418.24</v>
      </c>
      <c r="E1112" s="3">
        <v>219.26</v>
      </c>
      <c r="F1112" s="3">
        <v>139.46</v>
      </c>
      <c r="G1112" s="3">
        <v>177.95</v>
      </c>
      <c r="H1112" s="3">
        <v>99.07</v>
      </c>
      <c r="I1112" s="2">
        <v>78.83</v>
      </c>
      <c r="J1112" s="2">
        <v>874.27</v>
      </c>
      <c r="K1112" s="2">
        <v>385.85</v>
      </c>
      <c r="L1112" s="3">
        <v>124.11</v>
      </c>
      <c r="M1112" s="2">
        <v>3.55</v>
      </c>
    </row>
    <row r="1113" spans="1:13">
      <c r="A1113" s="9">
        <v>44340</v>
      </c>
      <c r="B1113" s="1">
        <f t="shared" si="34"/>
        <v>44317</v>
      </c>
      <c r="C1113" s="5" t="str">
        <f t="shared" si="35"/>
        <v>2021-05</v>
      </c>
      <c r="D1113" s="3">
        <v>419.17</v>
      </c>
      <c r="E1113" s="3">
        <v>221.4</v>
      </c>
      <c r="F1113" s="3">
        <v>138.18</v>
      </c>
      <c r="G1113" s="3">
        <v>176.35</v>
      </c>
      <c r="H1113" s="3">
        <v>99.1</v>
      </c>
      <c r="I1113" s="2">
        <v>79.38</v>
      </c>
      <c r="J1113" s="2">
        <v>872.36</v>
      </c>
      <c r="K1113" s="2">
        <v>387.71</v>
      </c>
      <c r="L1113" s="3">
        <v>124.48</v>
      </c>
      <c r="M1113" s="2">
        <v>3.59</v>
      </c>
    </row>
    <row r="1114" spans="1:13">
      <c r="A1114" s="9">
        <v>44337</v>
      </c>
      <c r="B1114" s="1">
        <f t="shared" si="34"/>
        <v>44317</v>
      </c>
      <c r="C1114" s="5" t="str">
        <f t="shared" si="35"/>
        <v>2021-05</v>
      </c>
      <c r="D1114" s="3">
        <v>414.94</v>
      </c>
      <c r="E1114" s="3">
        <v>219.97</v>
      </c>
      <c r="F1114" s="3">
        <v>137.66999999999999</v>
      </c>
      <c r="G1114" s="3">
        <v>176.04</v>
      </c>
      <c r="H1114" s="3">
        <v>97.88</v>
      </c>
      <c r="I1114" s="2">
        <v>79.03</v>
      </c>
      <c r="J1114" s="2">
        <v>860.77</v>
      </c>
      <c r="K1114" s="2">
        <v>387.22</v>
      </c>
      <c r="L1114" s="3">
        <v>124.36</v>
      </c>
      <c r="M1114" s="2">
        <v>3.57</v>
      </c>
    </row>
    <row r="1115" spans="1:13">
      <c r="A1115" s="9">
        <v>44336</v>
      </c>
      <c r="B1115" s="1">
        <f t="shared" si="34"/>
        <v>44317</v>
      </c>
      <c r="C1115" s="5" t="str">
        <f t="shared" si="35"/>
        <v>2021-05</v>
      </c>
      <c r="D1115" s="3">
        <v>415.28</v>
      </c>
      <c r="E1115" s="3">
        <v>219.4</v>
      </c>
      <c r="F1115" s="3">
        <v>137.22999999999999</v>
      </c>
      <c r="G1115" s="3">
        <v>175.96</v>
      </c>
      <c r="H1115" s="3">
        <v>97.98</v>
      </c>
      <c r="I1115" s="2">
        <v>78.72</v>
      </c>
      <c r="J1115" s="2">
        <v>844.88</v>
      </c>
      <c r="K1115" s="2">
        <v>388.32</v>
      </c>
      <c r="L1115" s="3">
        <v>124.34</v>
      </c>
      <c r="M1115" s="2">
        <v>3.59</v>
      </c>
    </row>
    <row r="1116" spans="1:13">
      <c r="A1116" s="9">
        <v>44335</v>
      </c>
      <c r="B1116" s="1">
        <f t="shared" si="34"/>
        <v>44317</v>
      </c>
      <c r="C1116" s="5" t="str">
        <f t="shared" si="35"/>
        <v>2021-05</v>
      </c>
      <c r="D1116" s="3">
        <v>410.86</v>
      </c>
      <c r="E1116" s="3">
        <v>217.95</v>
      </c>
      <c r="F1116" s="3">
        <v>136.11000000000001</v>
      </c>
      <c r="G1116" s="3">
        <v>175.16</v>
      </c>
      <c r="H1116" s="3">
        <v>96.89</v>
      </c>
      <c r="I1116" s="2">
        <v>78.739999999999995</v>
      </c>
      <c r="J1116" s="2">
        <v>838.52</v>
      </c>
      <c r="K1116" s="2">
        <v>385.54</v>
      </c>
      <c r="L1116" s="3">
        <v>123.05</v>
      </c>
      <c r="M1116" s="2">
        <v>3.58</v>
      </c>
    </row>
    <row r="1117" spans="1:13">
      <c r="A1117" s="9">
        <v>44334</v>
      </c>
      <c r="B1117" s="1">
        <f t="shared" si="34"/>
        <v>44317</v>
      </c>
      <c r="C1117" s="5" t="str">
        <f t="shared" si="35"/>
        <v>2021-05</v>
      </c>
      <c r="D1117" s="3">
        <v>411.94</v>
      </c>
      <c r="E1117" s="3">
        <v>219.64</v>
      </c>
      <c r="F1117" s="3">
        <v>136.44</v>
      </c>
      <c r="G1117" s="3">
        <v>175.04</v>
      </c>
      <c r="H1117" s="3">
        <v>97.2</v>
      </c>
      <c r="I1117" s="2">
        <v>78.69</v>
      </c>
      <c r="J1117" s="2">
        <v>840.14</v>
      </c>
      <c r="K1117" s="2">
        <v>387.22</v>
      </c>
      <c r="L1117" s="3">
        <v>123.26</v>
      </c>
      <c r="M1117" s="2">
        <v>3.6</v>
      </c>
    </row>
    <row r="1118" spans="1:13">
      <c r="A1118" s="9">
        <v>44333</v>
      </c>
      <c r="B1118" s="1">
        <f t="shared" si="34"/>
        <v>44317</v>
      </c>
      <c r="C1118" s="5" t="str">
        <f t="shared" si="35"/>
        <v>2021-05</v>
      </c>
      <c r="D1118" s="3">
        <v>415.52</v>
      </c>
      <c r="E1118" s="3">
        <v>221.32</v>
      </c>
      <c r="F1118" s="3">
        <v>136.79</v>
      </c>
      <c r="G1118" s="3">
        <v>174.7</v>
      </c>
      <c r="H1118" s="3">
        <v>97.18</v>
      </c>
      <c r="I1118" s="2">
        <v>79.08</v>
      </c>
      <c r="J1118" s="2">
        <v>849.46</v>
      </c>
      <c r="K1118" s="2">
        <v>391.12</v>
      </c>
      <c r="L1118" s="3">
        <v>123.22</v>
      </c>
      <c r="M1118" s="2">
        <v>3.61</v>
      </c>
    </row>
    <row r="1119" spans="1:13">
      <c r="A1119" s="9">
        <v>44330</v>
      </c>
      <c r="B1119" s="1">
        <f t="shared" si="34"/>
        <v>44317</v>
      </c>
      <c r="C1119" s="5" t="str">
        <f t="shared" si="35"/>
        <v>2021-05</v>
      </c>
      <c r="D1119" s="3">
        <v>416.58</v>
      </c>
      <c r="E1119" s="3">
        <v>221.02</v>
      </c>
      <c r="F1119" s="3">
        <v>137.08000000000001</v>
      </c>
      <c r="G1119" s="3">
        <v>172.69</v>
      </c>
      <c r="H1119" s="3">
        <v>97.08</v>
      </c>
      <c r="I1119" s="2">
        <v>78.89</v>
      </c>
      <c r="J1119" s="2">
        <v>856.87</v>
      </c>
      <c r="K1119" s="2">
        <v>390.78</v>
      </c>
      <c r="L1119" s="3">
        <v>123.45</v>
      </c>
      <c r="M1119" s="2">
        <v>3.63</v>
      </c>
    </row>
    <row r="1120" spans="1:13">
      <c r="A1120" s="9">
        <v>44329</v>
      </c>
      <c r="B1120" s="1">
        <f t="shared" si="34"/>
        <v>44317</v>
      </c>
      <c r="C1120" s="5" t="str">
        <f t="shared" si="35"/>
        <v>2021-05</v>
      </c>
      <c r="D1120" s="3">
        <v>410.28</v>
      </c>
      <c r="E1120" s="3">
        <v>215.75</v>
      </c>
      <c r="F1120" s="3">
        <v>135.81</v>
      </c>
      <c r="G1120" s="3">
        <v>171.13</v>
      </c>
      <c r="H1120" s="3">
        <v>95.94</v>
      </c>
      <c r="I1120" s="2">
        <v>78.14</v>
      </c>
      <c r="J1120" s="2">
        <v>838.99</v>
      </c>
      <c r="K1120" s="2">
        <v>387.77</v>
      </c>
      <c r="L1120" s="3">
        <v>122.83</v>
      </c>
      <c r="M1120" s="2">
        <v>3.46</v>
      </c>
    </row>
    <row r="1121" spans="1:13">
      <c r="A1121" s="9">
        <v>44328</v>
      </c>
      <c r="B1121" s="1">
        <f t="shared" si="34"/>
        <v>44317</v>
      </c>
      <c r="C1121" s="5" t="str">
        <f t="shared" si="35"/>
        <v>2021-05</v>
      </c>
      <c r="D1121" s="3">
        <v>405.41</v>
      </c>
      <c r="E1121" s="3">
        <v>211.85</v>
      </c>
      <c r="F1121" s="3">
        <v>135.6</v>
      </c>
      <c r="G1121" s="3">
        <v>170.43</v>
      </c>
      <c r="H1121" s="3">
        <v>94.71</v>
      </c>
      <c r="I1121" s="2">
        <v>76.75</v>
      </c>
      <c r="J1121" s="2">
        <v>823.5</v>
      </c>
      <c r="K1121" s="2">
        <v>380.62</v>
      </c>
      <c r="L1121" s="3">
        <v>121.73</v>
      </c>
      <c r="M1121" s="2">
        <v>3.37</v>
      </c>
    </row>
    <row r="1122" spans="1:13">
      <c r="A1122" s="9">
        <v>44327</v>
      </c>
      <c r="B1122" s="1">
        <f t="shared" si="34"/>
        <v>44317</v>
      </c>
      <c r="C1122" s="5" t="str">
        <f t="shared" si="35"/>
        <v>2021-05</v>
      </c>
      <c r="D1122" s="3">
        <v>414.21</v>
      </c>
      <c r="E1122" s="3">
        <v>218.96</v>
      </c>
      <c r="F1122" s="3">
        <v>137.04</v>
      </c>
      <c r="G1122" s="3">
        <v>172.14</v>
      </c>
      <c r="H1122" s="3">
        <v>97.17</v>
      </c>
      <c r="I1122" s="2">
        <v>77.69</v>
      </c>
      <c r="J1122" s="2">
        <v>844.1</v>
      </c>
      <c r="K1122" s="2">
        <v>387.82</v>
      </c>
      <c r="L1122" s="3">
        <v>122.89</v>
      </c>
      <c r="M1122" s="2">
        <v>3.42</v>
      </c>
    </row>
    <row r="1123" spans="1:13">
      <c r="A1123" s="9">
        <v>44326</v>
      </c>
      <c r="B1123" s="1">
        <f t="shared" si="34"/>
        <v>44317</v>
      </c>
      <c r="C1123" s="5" t="str">
        <f t="shared" si="35"/>
        <v>2021-05</v>
      </c>
      <c r="D1123" s="3">
        <v>417.94</v>
      </c>
      <c r="E1123" s="3">
        <v>219.66</v>
      </c>
      <c r="F1123" s="3">
        <v>137.82</v>
      </c>
      <c r="G1123" s="3">
        <v>172.11</v>
      </c>
      <c r="H1123" s="3">
        <v>98.41</v>
      </c>
      <c r="I1123" s="2">
        <v>80.150000000000006</v>
      </c>
      <c r="J1123" s="2">
        <v>857.45</v>
      </c>
      <c r="K1123" s="2">
        <v>393.14</v>
      </c>
      <c r="L1123" s="3">
        <v>124.23</v>
      </c>
      <c r="M1123" s="2">
        <v>3.52</v>
      </c>
    </row>
    <row r="1124" spans="1:13">
      <c r="A1124" s="9">
        <v>44323</v>
      </c>
      <c r="B1124" s="1">
        <f t="shared" si="34"/>
        <v>44317</v>
      </c>
      <c r="C1124" s="5" t="str">
        <f t="shared" si="35"/>
        <v>2021-05</v>
      </c>
      <c r="D1124" s="3">
        <v>422.12</v>
      </c>
      <c r="E1124" s="3">
        <v>225.39</v>
      </c>
      <c r="F1124" s="3">
        <v>139.22999999999999</v>
      </c>
      <c r="G1124" s="3">
        <v>171.59</v>
      </c>
      <c r="H1124" s="3">
        <v>98.44</v>
      </c>
      <c r="I1124" s="2">
        <v>80.400000000000006</v>
      </c>
      <c r="J1124" s="2">
        <v>873.83</v>
      </c>
      <c r="K1124" s="2">
        <v>390.34</v>
      </c>
      <c r="L1124" s="3">
        <v>124.07</v>
      </c>
      <c r="M1124" s="2">
        <v>3.64</v>
      </c>
    </row>
    <row r="1125" spans="1:13">
      <c r="A1125" s="9">
        <v>44322</v>
      </c>
      <c r="B1125" s="1">
        <f t="shared" si="34"/>
        <v>44317</v>
      </c>
      <c r="C1125" s="5" t="str">
        <f t="shared" si="35"/>
        <v>2021-05</v>
      </c>
      <c r="D1125" s="3">
        <v>419.07</v>
      </c>
      <c r="E1125" s="3">
        <v>222.59</v>
      </c>
      <c r="F1125" s="3">
        <v>139.91999999999999</v>
      </c>
      <c r="G1125" s="3">
        <v>170.06</v>
      </c>
      <c r="H1125" s="3">
        <v>97.16</v>
      </c>
      <c r="I1125" s="2">
        <v>79.739999999999995</v>
      </c>
      <c r="J1125" s="2">
        <v>867.1</v>
      </c>
      <c r="K1125" s="2">
        <v>387.34</v>
      </c>
      <c r="L1125" s="3">
        <v>123.22</v>
      </c>
      <c r="M1125" s="2">
        <v>3.62</v>
      </c>
    </row>
    <row r="1126" spans="1:13">
      <c r="A1126" s="9">
        <v>44321</v>
      </c>
      <c r="B1126" s="1">
        <f t="shared" si="34"/>
        <v>44317</v>
      </c>
      <c r="C1126" s="5" t="str">
        <f t="shared" si="35"/>
        <v>2021-05</v>
      </c>
      <c r="D1126" s="3">
        <v>415.75</v>
      </c>
      <c r="E1126" s="3">
        <v>222.4</v>
      </c>
      <c r="F1126" s="3">
        <v>139.69</v>
      </c>
      <c r="G1126" s="3">
        <v>167.27</v>
      </c>
      <c r="H1126" s="3">
        <v>96.62</v>
      </c>
      <c r="I1126" s="2">
        <v>79.19</v>
      </c>
      <c r="J1126" s="2">
        <v>851.01</v>
      </c>
      <c r="K1126" s="2">
        <v>386.37</v>
      </c>
      <c r="L1126" s="3">
        <v>123.06</v>
      </c>
      <c r="M1126" s="2">
        <v>3.63</v>
      </c>
    </row>
    <row r="1127" spans="1:13">
      <c r="A1127" s="9">
        <v>44320</v>
      </c>
      <c r="B1127" s="1">
        <f t="shared" si="34"/>
        <v>44317</v>
      </c>
      <c r="C1127" s="5" t="str">
        <f t="shared" si="35"/>
        <v>2021-05</v>
      </c>
      <c r="D1127" s="3">
        <v>415.62</v>
      </c>
      <c r="E1127" s="3">
        <v>223.29</v>
      </c>
      <c r="F1127" s="3">
        <v>139.46</v>
      </c>
      <c r="G1127" s="3">
        <v>166.58</v>
      </c>
      <c r="H1127" s="3">
        <v>98.25</v>
      </c>
      <c r="I1127" s="2">
        <v>78.53</v>
      </c>
      <c r="J1127" s="2">
        <v>836.43</v>
      </c>
      <c r="K1127" s="2">
        <v>387.48</v>
      </c>
      <c r="L1127" s="3">
        <v>122.84</v>
      </c>
      <c r="M1127" s="2">
        <v>3.66</v>
      </c>
    </row>
    <row r="1128" spans="1:13">
      <c r="A1128" s="9">
        <v>44319</v>
      </c>
      <c r="B1128" s="1">
        <f t="shared" si="34"/>
        <v>44317</v>
      </c>
      <c r="C1128" s="5" t="str">
        <f t="shared" si="35"/>
        <v>2021-05</v>
      </c>
      <c r="D1128" s="3">
        <v>418.2</v>
      </c>
      <c r="E1128" s="3">
        <v>225.99</v>
      </c>
      <c r="F1128" s="3">
        <v>138.52000000000001</v>
      </c>
      <c r="G1128" s="3">
        <v>167.81</v>
      </c>
      <c r="H1128" s="3">
        <v>98.89</v>
      </c>
      <c r="I1128" s="2">
        <v>77.33</v>
      </c>
      <c r="J1128" s="2">
        <v>825.62</v>
      </c>
      <c r="K1128" s="2">
        <v>385.31</v>
      </c>
      <c r="L1128" s="3">
        <v>122.71</v>
      </c>
      <c r="M1128" s="2">
        <v>3.73</v>
      </c>
    </row>
    <row r="1129" spans="1:13">
      <c r="A1129" s="9">
        <v>44316</v>
      </c>
      <c r="B1129" s="1">
        <f t="shared" si="34"/>
        <v>44287</v>
      </c>
      <c r="C1129" s="5" t="str">
        <f t="shared" si="35"/>
        <v>2021-04</v>
      </c>
      <c r="D1129" s="3">
        <v>417.3</v>
      </c>
      <c r="E1129" s="3">
        <v>224.89</v>
      </c>
      <c r="F1129" s="3">
        <v>138.63999999999999</v>
      </c>
      <c r="G1129" s="3">
        <v>165.66</v>
      </c>
      <c r="H1129" s="3">
        <v>99.08</v>
      </c>
      <c r="I1129" s="2">
        <v>75.790000000000006</v>
      </c>
      <c r="J1129" s="2">
        <v>819.3</v>
      </c>
      <c r="K1129" s="2">
        <v>380.56</v>
      </c>
      <c r="L1129" s="3">
        <v>121.33</v>
      </c>
      <c r="M1129" s="2">
        <v>3.7</v>
      </c>
    </row>
    <row r="1130" spans="1:13">
      <c r="A1130" s="9">
        <v>44315</v>
      </c>
      <c r="B1130" s="1">
        <f t="shared" si="34"/>
        <v>44287</v>
      </c>
      <c r="C1130" s="5" t="str">
        <f t="shared" si="35"/>
        <v>2021-04</v>
      </c>
      <c r="D1130" s="3">
        <v>420.06</v>
      </c>
      <c r="E1130" s="3">
        <v>227.99</v>
      </c>
      <c r="F1130" s="3">
        <v>138.32</v>
      </c>
      <c r="G1130" s="3">
        <v>166.22</v>
      </c>
      <c r="H1130" s="3">
        <v>98.69</v>
      </c>
      <c r="I1130" s="2">
        <v>75.87</v>
      </c>
      <c r="J1130" s="2">
        <v>827.32</v>
      </c>
      <c r="K1130" s="2">
        <v>380.35</v>
      </c>
      <c r="L1130" s="3">
        <v>121.69</v>
      </c>
      <c r="M1130" s="2">
        <v>3.81</v>
      </c>
    </row>
    <row r="1131" spans="1:13">
      <c r="A1131" s="9">
        <v>44314</v>
      </c>
      <c r="B1131" s="1">
        <f t="shared" si="34"/>
        <v>44287</v>
      </c>
      <c r="C1131" s="5" t="str">
        <f t="shared" si="35"/>
        <v>2021-04</v>
      </c>
      <c r="D1131" s="3">
        <v>417.4</v>
      </c>
      <c r="E1131" s="3">
        <v>228.84</v>
      </c>
      <c r="F1131" s="3">
        <v>138.72999999999999</v>
      </c>
      <c r="G1131" s="3">
        <v>166.91</v>
      </c>
      <c r="H1131" s="3">
        <v>97.85</v>
      </c>
      <c r="I1131" s="2">
        <v>74.77</v>
      </c>
      <c r="J1131" s="2">
        <v>816.28</v>
      </c>
      <c r="K1131" s="2">
        <v>372.94</v>
      </c>
      <c r="L1131" s="3">
        <v>122.18</v>
      </c>
      <c r="M1131" s="2">
        <v>3.81</v>
      </c>
    </row>
    <row r="1132" spans="1:13">
      <c r="A1132" s="9">
        <v>44313</v>
      </c>
      <c r="B1132" s="1">
        <f t="shared" si="34"/>
        <v>44287</v>
      </c>
      <c r="C1132" s="5" t="str">
        <f t="shared" si="35"/>
        <v>2021-04</v>
      </c>
      <c r="D1132" s="3">
        <v>417.52</v>
      </c>
      <c r="E1132" s="3">
        <v>228.45</v>
      </c>
      <c r="F1132" s="3">
        <v>138.63999999999999</v>
      </c>
      <c r="G1132" s="3">
        <v>166.42</v>
      </c>
      <c r="H1132" s="3">
        <v>98.06</v>
      </c>
      <c r="I1132" s="2">
        <v>75.22</v>
      </c>
      <c r="J1132" s="2">
        <v>820.51</v>
      </c>
      <c r="K1132" s="2">
        <v>373.22</v>
      </c>
      <c r="L1132" s="3">
        <v>122.55</v>
      </c>
      <c r="M1132" s="2">
        <v>3.85</v>
      </c>
    </row>
    <row r="1133" spans="1:13">
      <c r="A1133" s="9">
        <v>44312</v>
      </c>
      <c r="B1133" s="1">
        <f t="shared" si="34"/>
        <v>44287</v>
      </c>
      <c r="C1133" s="5" t="str">
        <f t="shared" si="35"/>
        <v>2021-04</v>
      </c>
      <c r="D1133" s="3">
        <v>417.61</v>
      </c>
      <c r="E1133" s="3">
        <v>228.11</v>
      </c>
      <c r="F1133" s="3">
        <v>139.86000000000001</v>
      </c>
      <c r="G1133" s="3">
        <v>166.84</v>
      </c>
      <c r="H1133" s="3">
        <v>98.07</v>
      </c>
      <c r="I1133" s="2">
        <v>74.5</v>
      </c>
      <c r="J1133" s="2">
        <v>818.32</v>
      </c>
      <c r="K1133" s="2">
        <v>371.98</v>
      </c>
      <c r="L1133" s="3">
        <v>123.26</v>
      </c>
      <c r="M1133" s="2">
        <v>3.87</v>
      </c>
    </row>
    <row r="1134" spans="1:13">
      <c r="A1134" s="9">
        <v>44309</v>
      </c>
      <c r="B1134" s="1">
        <f t="shared" si="34"/>
        <v>44287</v>
      </c>
      <c r="C1134" s="5" t="str">
        <f t="shared" si="35"/>
        <v>2021-04</v>
      </c>
      <c r="D1134" s="3">
        <v>416.74</v>
      </c>
      <c r="E1134" s="3">
        <v>225.76</v>
      </c>
      <c r="F1134" s="3">
        <v>140.06</v>
      </c>
      <c r="G1134" s="3">
        <v>166.4</v>
      </c>
      <c r="H1134" s="3">
        <v>97.78</v>
      </c>
      <c r="I1134" s="2">
        <v>74.97</v>
      </c>
      <c r="J1134" s="2">
        <v>813.17</v>
      </c>
      <c r="K1134" s="2">
        <v>377.29</v>
      </c>
      <c r="L1134" s="3">
        <v>123.68</v>
      </c>
      <c r="M1134" s="2">
        <v>3.83</v>
      </c>
    </row>
    <row r="1135" spans="1:13">
      <c r="A1135" s="9">
        <v>44308</v>
      </c>
      <c r="B1135" s="1">
        <f t="shared" si="34"/>
        <v>44287</v>
      </c>
      <c r="C1135" s="5" t="str">
        <f t="shared" si="35"/>
        <v>2021-04</v>
      </c>
      <c r="D1135" s="3">
        <v>412.27</v>
      </c>
      <c r="E1135" s="3">
        <v>221.58</v>
      </c>
      <c r="F1135" s="3">
        <v>140.38999999999999</v>
      </c>
      <c r="G1135" s="3">
        <v>167.04</v>
      </c>
      <c r="H1135" s="3">
        <v>97.21</v>
      </c>
      <c r="I1135" s="2">
        <v>74.87</v>
      </c>
      <c r="J1135" s="2">
        <v>795.32</v>
      </c>
      <c r="K1135" s="2">
        <v>380.09</v>
      </c>
      <c r="L1135" s="3">
        <v>122.87</v>
      </c>
      <c r="M1135" s="2">
        <v>3.78</v>
      </c>
    </row>
    <row r="1136" spans="1:13">
      <c r="A1136" s="9">
        <v>44307</v>
      </c>
      <c r="B1136" s="1">
        <f t="shared" si="34"/>
        <v>44287</v>
      </c>
      <c r="C1136" s="5" t="str">
        <f t="shared" si="35"/>
        <v>2021-04</v>
      </c>
      <c r="D1136" s="3">
        <v>416.07</v>
      </c>
      <c r="E1136" s="3">
        <v>222.5</v>
      </c>
      <c r="F1136" s="3">
        <v>139.78</v>
      </c>
      <c r="G1136" s="3">
        <v>168.13</v>
      </c>
      <c r="H1136" s="3">
        <v>97.74</v>
      </c>
      <c r="I1136" s="2">
        <v>76.66</v>
      </c>
      <c r="J1136" s="2">
        <v>811.53</v>
      </c>
      <c r="K1136" s="2">
        <v>387.24</v>
      </c>
      <c r="L1136" s="3">
        <v>123.42</v>
      </c>
      <c r="M1136" s="2">
        <v>3.85</v>
      </c>
    </row>
    <row r="1137" spans="1:13">
      <c r="A1137" s="9">
        <v>44306</v>
      </c>
      <c r="B1137" s="1">
        <f t="shared" si="34"/>
        <v>44287</v>
      </c>
      <c r="C1137" s="5" t="str">
        <f t="shared" si="35"/>
        <v>2021-04</v>
      </c>
      <c r="D1137" s="3">
        <v>412.17</v>
      </c>
      <c r="E1137" s="3">
        <v>217.19</v>
      </c>
      <c r="F1137" s="3">
        <v>139.5</v>
      </c>
      <c r="G1137" s="3">
        <v>166.48</v>
      </c>
      <c r="H1137" s="3">
        <v>97.1</v>
      </c>
      <c r="I1137" s="2">
        <v>79.239999999999995</v>
      </c>
      <c r="J1137" s="2">
        <v>804.96</v>
      </c>
      <c r="K1137" s="2">
        <v>387.33</v>
      </c>
      <c r="L1137" s="3">
        <v>121.98</v>
      </c>
      <c r="M1137" s="2">
        <v>3.78</v>
      </c>
    </row>
    <row r="1138" spans="1:13">
      <c r="A1138" s="9">
        <v>44305</v>
      </c>
      <c r="B1138" s="1">
        <f t="shared" si="34"/>
        <v>44287</v>
      </c>
      <c r="C1138" s="5" t="str">
        <f t="shared" si="35"/>
        <v>2021-04</v>
      </c>
      <c r="D1138" s="3">
        <v>415.21</v>
      </c>
      <c r="E1138" s="3">
        <v>221.73</v>
      </c>
      <c r="F1138" s="3">
        <v>138.86000000000001</v>
      </c>
      <c r="G1138" s="3">
        <v>165.89</v>
      </c>
      <c r="H1138" s="3">
        <v>96.31</v>
      </c>
      <c r="I1138" s="2">
        <v>78.75</v>
      </c>
      <c r="J1138" s="2">
        <v>811.09</v>
      </c>
      <c r="K1138" s="2">
        <v>391.73</v>
      </c>
      <c r="L1138" s="3">
        <v>121.51</v>
      </c>
      <c r="M1138" s="2">
        <v>3.86</v>
      </c>
    </row>
    <row r="1139" spans="1:13">
      <c r="A1139" s="9">
        <v>44302</v>
      </c>
      <c r="B1139" s="1">
        <f t="shared" si="34"/>
        <v>44287</v>
      </c>
      <c r="C1139" s="5" t="str">
        <f t="shared" si="35"/>
        <v>2021-04</v>
      </c>
      <c r="D1139" s="3">
        <v>417.26</v>
      </c>
      <c r="E1139" s="3">
        <v>224.65</v>
      </c>
      <c r="F1139" s="3">
        <v>139.26</v>
      </c>
      <c r="G1139" s="3">
        <v>166.35</v>
      </c>
      <c r="H1139" s="3">
        <v>96.12</v>
      </c>
      <c r="I1139" s="2">
        <v>78.95</v>
      </c>
      <c r="J1139" s="2">
        <v>811.45</v>
      </c>
      <c r="K1139" s="2">
        <v>391.81</v>
      </c>
      <c r="L1139" s="3">
        <v>121.48</v>
      </c>
      <c r="M1139" s="2">
        <v>3.92</v>
      </c>
    </row>
    <row r="1140" spans="1:13">
      <c r="A1140" s="9">
        <v>44301</v>
      </c>
      <c r="B1140" s="1">
        <f t="shared" si="34"/>
        <v>44287</v>
      </c>
      <c r="C1140" s="5" t="str">
        <f t="shared" si="35"/>
        <v>2021-04</v>
      </c>
      <c r="D1140" s="3">
        <v>415.87</v>
      </c>
      <c r="E1140" s="3">
        <v>224.29</v>
      </c>
      <c r="F1140" s="3">
        <v>140.35</v>
      </c>
      <c r="G1140" s="3">
        <v>165.35</v>
      </c>
      <c r="H1140" s="3">
        <v>95.91</v>
      </c>
      <c r="I1140" s="2">
        <v>78.290000000000006</v>
      </c>
      <c r="J1140" s="2">
        <v>817.84</v>
      </c>
      <c r="K1140" s="2">
        <v>390.63</v>
      </c>
      <c r="L1140" s="3">
        <v>120.58</v>
      </c>
      <c r="M1140" s="2">
        <v>3.93</v>
      </c>
    </row>
    <row r="1141" spans="1:13">
      <c r="A1141" s="9">
        <v>44300</v>
      </c>
      <c r="B1141" s="1">
        <f t="shared" si="34"/>
        <v>44287</v>
      </c>
      <c r="C1141" s="5" t="str">
        <f t="shared" si="35"/>
        <v>2021-04</v>
      </c>
      <c r="D1141" s="3">
        <v>411.45</v>
      </c>
      <c r="E1141" s="3">
        <v>223.32</v>
      </c>
      <c r="F1141" s="3">
        <v>138.04</v>
      </c>
      <c r="G1141" s="3">
        <v>162.72</v>
      </c>
      <c r="H1141" s="3">
        <v>94.26</v>
      </c>
      <c r="I1141" s="2">
        <v>76.819999999999993</v>
      </c>
      <c r="J1141" s="2">
        <v>801.07</v>
      </c>
      <c r="K1141" s="2">
        <v>388.67</v>
      </c>
      <c r="L1141" s="3">
        <v>118.55</v>
      </c>
      <c r="M1141" s="2">
        <v>3.93</v>
      </c>
    </row>
    <row r="1142" spans="1:13">
      <c r="A1142" s="9">
        <v>44299</v>
      </c>
      <c r="B1142" s="1">
        <f t="shared" si="34"/>
        <v>44287</v>
      </c>
      <c r="C1142" s="5" t="str">
        <f t="shared" si="35"/>
        <v>2021-04</v>
      </c>
      <c r="D1142" s="3">
        <v>412.86</v>
      </c>
      <c r="E1142" s="3">
        <v>221.14</v>
      </c>
      <c r="F1142" s="3">
        <v>138.47999999999999</v>
      </c>
      <c r="G1142" s="3">
        <v>163.43</v>
      </c>
      <c r="H1142" s="3">
        <v>94.76</v>
      </c>
      <c r="I1142" s="2">
        <v>76.67</v>
      </c>
      <c r="J1142" s="2">
        <v>802.49</v>
      </c>
      <c r="K1142" s="2">
        <v>387.11</v>
      </c>
      <c r="L1142" s="3">
        <v>118.56</v>
      </c>
      <c r="M1142" s="2">
        <v>3.95</v>
      </c>
    </row>
    <row r="1143" spans="1:13">
      <c r="A1143" s="9">
        <v>44298</v>
      </c>
      <c r="B1143" s="1">
        <f t="shared" si="34"/>
        <v>44287</v>
      </c>
      <c r="C1143" s="5" t="str">
        <f t="shared" si="35"/>
        <v>2021-04</v>
      </c>
      <c r="D1143" s="3">
        <v>411.64</v>
      </c>
      <c r="E1143" s="3">
        <v>221.72</v>
      </c>
      <c r="F1143" s="3">
        <v>137.44999999999999</v>
      </c>
      <c r="G1143" s="3">
        <v>162.28</v>
      </c>
      <c r="H1143" s="3">
        <v>94.29</v>
      </c>
      <c r="I1143" s="2">
        <v>76.12</v>
      </c>
      <c r="J1143" s="2">
        <v>807.98</v>
      </c>
      <c r="K1143" s="2">
        <v>387.85</v>
      </c>
      <c r="L1143" s="3">
        <v>118.07</v>
      </c>
      <c r="M1143" s="2">
        <v>4</v>
      </c>
    </row>
    <row r="1144" spans="1:13">
      <c r="A1144" s="9">
        <v>44295</v>
      </c>
      <c r="B1144" s="1">
        <f t="shared" si="34"/>
        <v>44287</v>
      </c>
      <c r="C1144" s="5" t="str">
        <f t="shared" si="35"/>
        <v>2021-04</v>
      </c>
      <c r="D1144" s="3">
        <v>411.49</v>
      </c>
      <c r="E1144" s="3">
        <v>222.59</v>
      </c>
      <c r="F1144" s="3">
        <v>137.51</v>
      </c>
      <c r="G1144" s="3">
        <v>163.27000000000001</v>
      </c>
      <c r="H1144" s="3">
        <v>93.74</v>
      </c>
      <c r="I1144" s="2">
        <v>75.58</v>
      </c>
      <c r="J1144" s="2">
        <v>808.35</v>
      </c>
      <c r="K1144" s="2">
        <v>386.23</v>
      </c>
      <c r="L1144" s="3">
        <v>117.95</v>
      </c>
      <c r="M1144" s="2">
        <v>3.97</v>
      </c>
    </row>
    <row r="1145" spans="1:13">
      <c r="A1145" s="9">
        <v>44294</v>
      </c>
      <c r="B1145" s="1">
        <f t="shared" si="34"/>
        <v>44287</v>
      </c>
      <c r="C1145" s="5" t="str">
        <f t="shared" si="35"/>
        <v>2021-04</v>
      </c>
      <c r="D1145" s="3">
        <v>408.52</v>
      </c>
      <c r="E1145" s="3">
        <v>222.56</v>
      </c>
      <c r="F1145" s="3">
        <v>138.01</v>
      </c>
      <c r="G1145" s="3">
        <v>164.51</v>
      </c>
      <c r="H1145" s="3">
        <v>93.85</v>
      </c>
      <c r="I1145" s="2">
        <v>75.28</v>
      </c>
      <c r="J1145" s="2">
        <v>800.6</v>
      </c>
      <c r="K1145" s="2">
        <v>386.02</v>
      </c>
      <c r="L1145" s="3">
        <v>116.67</v>
      </c>
      <c r="M1145" s="2">
        <v>3.96</v>
      </c>
    </row>
    <row r="1146" spans="1:13">
      <c r="A1146" s="9">
        <v>44293</v>
      </c>
      <c r="B1146" s="1">
        <f t="shared" si="34"/>
        <v>44287</v>
      </c>
      <c r="C1146" s="5" t="str">
        <f t="shared" si="35"/>
        <v>2021-04</v>
      </c>
      <c r="D1146" s="3">
        <v>406.59</v>
      </c>
      <c r="E1146" s="3">
        <v>220.69</v>
      </c>
      <c r="F1146" s="3">
        <v>136.88</v>
      </c>
      <c r="G1146" s="3">
        <v>162.76</v>
      </c>
      <c r="H1146" s="3">
        <v>94.2</v>
      </c>
      <c r="I1146" s="2">
        <v>74.069999999999993</v>
      </c>
      <c r="J1146" s="2">
        <v>788</v>
      </c>
      <c r="K1146" s="2">
        <v>380.19</v>
      </c>
      <c r="L1146" s="3">
        <v>116.49</v>
      </c>
      <c r="M1146" s="2">
        <v>3.93</v>
      </c>
    </row>
    <row r="1147" spans="1:13">
      <c r="A1147" s="9">
        <v>44292</v>
      </c>
      <c r="B1147" s="1">
        <f t="shared" si="34"/>
        <v>44287</v>
      </c>
      <c r="C1147" s="5" t="str">
        <f t="shared" si="35"/>
        <v>2021-04</v>
      </c>
      <c r="D1147" s="3">
        <v>406.12</v>
      </c>
      <c r="E1147" s="3">
        <v>224.31</v>
      </c>
      <c r="F1147" s="3">
        <v>137.84</v>
      </c>
      <c r="G1147" s="3">
        <v>163.22</v>
      </c>
      <c r="H1147" s="3">
        <v>94.13</v>
      </c>
      <c r="I1147" s="2">
        <v>74.28</v>
      </c>
      <c r="J1147" s="2">
        <v>781.71</v>
      </c>
      <c r="K1147" s="2">
        <v>378.97</v>
      </c>
      <c r="L1147" s="3">
        <v>116.75</v>
      </c>
      <c r="M1147" s="2">
        <v>3.94</v>
      </c>
    </row>
    <row r="1148" spans="1:13">
      <c r="A1148" s="9">
        <v>44291</v>
      </c>
      <c r="B1148" s="1">
        <f t="shared" si="34"/>
        <v>44287</v>
      </c>
      <c r="C1148" s="5" t="str">
        <f t="shared" si="35"/>
        <v>2021-04</v>
      </c>
      <c r="D1148" s="3">
        <v>406.36</v>
      </c>
      <c r="E1148" s="3">
        <v>224.97</v>
      </c>
      <c r="F1148" s="3">
        <v>136.91</v>
      </c>
      <c r="G1148" s="3">
        <v>161.91999999999999</v>
      </c>
      <c r="H1148" s="3">
        <v>93.89</v>
      </c>
      <c r="I1148" s="2">
        <v>74.16</v>
      </c>
      <c r="J1148" s="2">
        <v>784.02</v>
      </c>
      <c r="K1148" s="2">
        <v>378.75</v>
      </c>
      <c r="L1148" s="3">
        <v>117.2</v>
      </c>
      <c r="M1148" s="2">
        <v>4</v>
      </c>
    </row>
    <row r="1149" spans="1:13">
      <c r="A1149" s="9">
        <v>44287</v>
      </c>
      <c r="B1149" s="1">
        <f t="shared" si="34"/>
        <v>44287</v>
      </c>
      <c r="C1149" s="5" t="str">
        <f t="shared" si="35"/>
        <v>2021-04</v>
      </c>
      <c r="D1149" s="3">
        <v>400.61</v>
      </c>
      <c r="E1149" s="3">
        <v>223.74</v>
      </c>
      <c r="F1149" s="3">
        <v>137.51</v>
      </c>
      <c r="G1149" s="3">
        <v>161.97999999999999</v>
      </c>
      <c r="H1149" s="3">
        <v>93.53</v>
      </c>
      <c r="I1149" s="2">
        <v>71.81</v>
      </c>
      <c r="J1149" s="2">
        <v>766.83</v>
      </c>
      <c r="K1149" s="2">
        <v>371.02</v>
      </c>
      <c r="L1149" s="3">
        <v>116.39</v>
      </c>
      <c r="M1149" s="2">
        <v>3.96</v>
      </c>
    </row>
    <row r="1150" spans="1:13">
      <c r="A1150" s="9">
        <v>44286</v>
      </c>
      <c r="B1150" s="1">
        <f t="shared" si="34"/>
        <v>44256</v>
      </c>
      <c r="C1150" s="5" t="str">
        <f t="shared" si="35"/>
        <v>2021-03</v>
      </c>
      <c r="D1150" s="3">
        <v>396.33</v>
      </c>
      <c r="E1150" s="3">
        <v>220.94</v>
      </c>
      <c r="F1150" s="3">
        <v>135.44999999999999</v>
      </c>
      <c r="G1150" s="3">
        <v>159.96</v>
      </c>
      <c r="H1150" s="3">
        <v>91.86</v>
      </c>
      <c r="I1150" s="2">
        <v>70.17</v>
      </c>
      <c r="J1150" s="2">
        <v>753.96</v>
      </c>
      <c r="K1150" s="2">
        <v>369.5</v>
      </c>
      <c r="L1150" s="3">
        <v>116.74</v>
      </c>
      <c r="M1150" s="2">
        <v>3.91</v>
      </c>
    </row>
    <row r="1151" spans="1:13">
      <c r="A1151" s="9">
        <v>44285</v>
      </c>
      <c r="B1151" s="1">
        <f t="shared" si="34"/>
        <v>44256</v>
      </c>
      <c r="C1151" s="5" t="str">
        <f t="shared" si="35"/>
        <v>2021-03</v>
      </c>
      <c r="D1151" s="3">
        <v>394.73</v>
      </c>
      <c r="E1151" s="3">
        <v>218.01</v>
      </c>
      <c r="F1151" s="3">
        <v>136.21</v>
      </c>
      <c r="G1151" s="3">
        <v>157.57</v>
      </c>
      <c r="H1151" s="3">
        <v>92.42</v>
      </c>
      <c r="I1151" s="2">
        <v>70.55</v>
      </c>
      <c r="J1151" s="2">
        <v>749.26</v>
      </c>
      <c r="K1151" s="2">
        <v>370.54</v>
      </c>
      <c r="L1151" s="3">
        <v>116.51</v>
      </c>
      <c r="M1151" s="2">
        <v>3.79</v>
      </c>
    </row>
    <row r="1152" spans="1:13">
      <c r="A1152" s="9">
        <v>44284</v>
      </c>
      <c r="B1152" s="1">
        <f t="shared" si="34"/>
        <v>44256</v>
      </c>
      <c r="C1152" s="5" t="str">
        <f t="shared" si="35"/>
        <v>2021-03</v>
      </c>
      <c r="D1152" s="3">
        <v>395.78</v>
      </c>
      <c r="E1152" s="3">
        <v>214.4</v>
      </c>
      <c r="F1152" s="3">
        <v>135.5</v>
      </c>
      <c r="G1152" s="3">
        <v>160.31</v>
      </c>
      <c r="H1152" s="3">
        <v>92.3</v>
      </c>
      <c r="I1152" s="2">
        <v>71.13</v>
      </c>
      <c r="J1152" s="2">
        <v>757.86</v>
      </c>
      <c r="K1152" s="2">
        <v>372.79</v>
      </c>
      <c r="L1152" s="3">
        <v>117.57</v>
      </c>
      <c r="M1152" s="2">
        <v>3.75</v>
      </c>
    </row>
    <row r="1153" spans="1:13">
      <c r="A1153" s="9">
        <v>44281</v>
      </c>
      <c r="B1153" s="1">
        <f t="shared" si="34"/>
        <v>44256</v>
      </c>
      <c r="C1153" s="5" t="str">
        <f t="shared" si="35"/>
        <v>2021-03</v>
      </c>
      <c r="D1153" s="3">
        <v>395.98</v>
      </c>
      <c r="E1153" s="3">
        <v>220.61</v>
      </c>
      <c r="F1153" s="3">
        <v>136.66</v>
      </c>
      <c r="G1153" s="3">
        <v>162.24</v>
      </c>
      <c r="H1153" s="3">
        <v>92.84</v>
      </c>
      <c r="I1153" s="2">
        <v>70.25</v>
      </c>
      <c r="J1153" s="2">
        <v>756.9</v>
      </c>
      <c r="K1153" s="2">
        <v>364.71</v>
      </c>
      <c r="L1153" s="3">
        <v>117.02</v>
      </c>
      <c r="M1153" s="2">
        <v>3.82</v>
      </c>
    </row>
    <row r="1154" spans="1:13">
      <c r="A1154" s="9">
        <v>44280</v>
      </c>
      <c r="B1154" s="1">
        <f t="shared" ref="B1154:B1217" si="36">EOMONTH(A1154,-1)+1</f>
        <v>44256</v>
      </c>
      <c r="C1154" s="5" t="str">
        <f t="shared" si="35"/>
        <v>2021-03</v>
      </c>
      <c r="D1154" s="3">
        <v>389.7</v>
      </c>
      <c r="E1154" s="3">
        <v>216.66</v>
      </c>
      <c r="F1154" s="3">
        <v>137.13999999999999</v>
      </c>
      <c r="G1154" s="3">
        <v>161.78</v>
      </c>
      <c r="H1154" s="3">
        <v>90.88</v>
      </c>
      <c r="I1154" s="2">
        <v>68.63</v>
      </c>
      <c r="J1154" s="2">
        <v>727.5</v>
      </c>
      <c r="K1154" s="2">
        <v>361.22</v>
      </c>
      <c r="L1154" s="3">
        <v>114.85</v>
      </c>
      <c r="M1154" s="2">
        <v>3.71</v>
      </c>
    </row>
    <row r="1155" spans="1:13">
      <c r="A1155" s="9">
        <v>44279</v>
      </c>
      <c r="B1155" s="1">
        <f t="shared" si="36"/>
        <v>44256</v>
      </c>
      <c r="C1155" s="5" t="str">
        <f t="shared" ref="C1155:C1218" si="37">TEXT(A1155, "yyyy-mm")</f>
        <v>2021-03</v>
      </c>
      <c r="D1155" s="3">
        <v>387.52</v>
      </c>
      <c r="E1155" s="3">
        <v>212.04</v>
      </c>
      <c r="F1155" s="3">
        <v>138.22999999999999</v>
      </c>
      <c r="G1155" s="3">
        <v>162.37</v>
      </c>
      <c r="H1155" s="3">
        <v>90.49</v>
      </c>
      <c r="I1155" s="2">
        <v>66.83</v>
      </c>
      <c r="J1155" s="2">
        <v>722.75</v>
      </c>
      <c r="K1155" s="2">
        <v>356.12</v>
      </c>
      <c r="L1155" s="3">
        <v>114.37</v>
      </c>
      <c r="M1155" s="2">
        <v>3.74</v>
      </c>
    </row>
    <row r="1156" spans="1:13">
      <c r="A1156" s="9">
        <v>44278</v>
      </c>
      <c r="B1156" s="1">
        <f t="shared" si="36"/>
        <v>44256</v>
      </c>
      <c r="C1156" s="5" t="str">
        <f t="shared" si="37"/>
        <v>2021-03</v>
      </c>
      <c r="D1156" s="3">
        <v>389.5</v>
      </c>
      <c r="E1156" s="3">
        <v>217.06</v>
      </c>
      <c r="F1156" s="3">
        <v>137.49</v>
      </c>
      <c r="G1156" s="3">
        <v>161.81</v>
      </c>
      <c r="H1156" s="3">
        <v>91</v>
      </c>
      <c r="I1156" s="2">
        <v>67.27</v>
      </c>
      <c r="J1156" s="2">
        <v>716.57</v>
      </c>
      <c r="K1156" s="2">
        <v>353.61</v>
      </c>
      <c r="L1156" s="3">
        <v>114.5</v>
      </c>
      <c r="M1156" s="2">
        <v>3.77</v>
      </c>
    </row>
    <row r="1157" spans="1:13">
      <c r="A1157" s="9">
        <v>44277</v>
      </c>
      <c r="B1157" s="1">
        <f t="shared" si="36"/>
        <v>44256</v>
      </c>
      <c r="C1157" s="5" t="str">
        <f t="shared" si="37"/>
        <v>2021-03</v>
      </c>
      <c r="D1157" s="3">
        <v>392.59</v>
      </c>
      <c r="E1157" s="3">
        <v>225.23</v>
      </c>
      <c r="F1157" s="3">
        <v>136.26</v>
      </c>
      <c r="G1157" s="3">
        <v>163</v>
      </c>
      <c r="H1157" s="3">
        <v>91.13</v>
      </c>
      <c r="I1157" s="2">
        <v>66.319999999999993</v>
      </c>
      <c r="J1157" s="2">
        <v>730.92</v>
      </c>
      <c r="K1157" s="2">
        <v>357.66</v>
      </c>
      <c r="L1157" s="3">
        <v>115.67</v>
      </c>
      <c r="M1157" s="2">
        <v>3.89</v>
      </c>
    </row>
    <row r="1158" spans="1:13">
      <c r="A1158" s="9">
        <v>44274</v>
      </c>
      <c r="B1158" s="1">
        <f t="shared" si="36"/>
        <v>44256</v>
      </c>
      <c r="C1158" s="5" t="str">
        <f t="shared" si="37"/>
        <v>2021-03</v>
      </c>
      <c r="D1158" s="3">
        <v>389.48</v>
      </c>
      <c r="E1158" s="3">
        <v>226.94</v>
      </c>
      <c r="F1158" s="3">
        <v>134.75</v>
      </c>
      <c r="G1158" s="3">
        <v>163.24</v>
      </c>
      <c r="H1158" s="3">
        <v>90.49</v>
      </c>
      <c r="I1158" s="2">
        <v>66.260000000000005</v>
      </c>
      <c r="J1158" s="2">
        <v>729.64</v>
      </c>
      <c r="K1158" s="2">
        <v>355.07</v>
      </c>
      <c r="L1158" s="3">
        <v>115.07</v>
      </c>
      <c r="M1158" s="2">
        <v>3.86</v>
      </c>
    </row>
    <row r="1159" spans="1:13">
      <c r="A1159" s="9">
        <v>44273</v>
      </c>
      <c r="B1159" s="1">
        <f t="shared" si="36"/>
        <v>44256</v>
      </c>
      <c r="C1159" s="5" t="str">
        <f t="shared" si="37"/>
        <v>2021-03</v>
      </c>
      <c r="D1159" s="3">
        <v>391.48</v>
      </c>
      <c r="E1159" s="3">
        <v>225.24</v>
      </c>
      <c r="F1159" s="3">
        <v>133.91999999999999</v>
      </c>
      <c r="G1159" s="3">
        <v>162.56</v>
      </c>
      <c r="H1159" s="3">
        <v>91.74</v>
      </c>
      <c r="I1159" s="2">
        <v>66.739999999999995</v>
      </c>
      <c r="J1159" s="2">
        <v>723.73</v>
      </c>
      <c r="K1159" s="2">
        <v>358.45</v>
      </c>
      <c r="L1159" s="3">
        <v>114.66</v>
      </c>
      <c r="M1159" s="2">
        <v>3.82</v>
      </c>
    </row>
    <row r="1160" spans="1:13">
      <c r="A1160" s="9">
        <v>44272</v>
      </c>
      <c r="B1160" s="1">
        <f t="shared" si="36"/>
        <v>44256</v>
      </c>
      <c r="C1160" s="5" t="str">
        <f t="shared" si="37"/>
        <v>2021-03</v>
      </c>
      <c r="D1160" s="3">
        <v>397.26</v>
      </c>
      <c r="E1160" s="3">
        <v>232.31</v>
      </c>
      <c r="F1160" s="3">
        <v>135.29</v>
      </c>
      <c r="G1160" s="3">
        <v>163.51</v>
      </c>
      <c r="H1160" s="3">
        <v>92.68</v>
      </c>
      <c r="I1160" s="2">
        <v>66.22</v>
      </c>
      <c r="J1160" s="2">
        <v>728.22</v>
      </c>
      <c r="K1160" s="2">
        <v>351.02</v>
      </c>
      <c r="L1160" s="3">
        <v>114.9</v>
      </c>
      <c r="M1160" s="2">
        <v>3.83</v>
      </c>
    </row>
    <row r="1161" spans="1:13">
      <c r="A1161" s="9">
        <v>44271</v>
      </c>
      <c r="B1161" s="1">
        <f t="shared" si="36"/>
        <v>44256</v>
      </c>
      <c r="C1161" s="5" t="str">
        <f t="shared" si="37"/>
        <v>2021-03</v>
      </c>
      <c r="D1161" s="3">
        <v>395.91</v>
      </c>
      <c r="E1161" s="3">
        <v>230.5</v>
      </c>
      <c r="F1161" s="3">
        <v>136.31</v>
      </c>
      <c r="G1161" s="3">
        <v>162.35</v>
      </c>
      <c r="H1161" s="3">
        <v>92.6</v>
      </c>
      <c r="I1161" s="2">
        <v>66.849999999999994</v>
      </c>
      <c r="J1161" s="2">
        <v>723.07</v>
      </c>
      <c r="K1161" s="2">
        <v>347.13</v>
      </c>
      <c r="L1161" s="3">
        <v>115.32</v>
      </c>
      <c r="M1161" s="2">
        <v>3.71</v>
      </c>
    </row>
    <row r="1162" spans="1:13">
      <c r="A1162" s="9">
        <v>44270</v>
      </c>
      <c r="B1162" s="1">
        <f t="shared" si="36"/>
        <v>44256</v>
      </c>
      <c r="C1162" s="5" t="str">
        <f t="shared" si="37"/>
        <v>2021-03</v>
      </c>
      <c r="D1162" s="3">
        <v>396.41</v>
      </c>
      <c r="E1162" s="3">
        <v>234.42</v>
      </c>
      <c r="F1162" s="3">
        <v>136.86000000000001</v>
      </c>
      <c r="G1162" s="3">
        <v>162.19999999999999</v>
      </c>
      <c r="H1162" s="3">
        <v>92.98</v>
      </c>
      <c r="I1162" s="2">
        <v>67.73</v>
      </c>
      <c r="J1162" s="2">
        <v>719.01</v>
      </c>
      <c r="K1162" s="2">
        <v>346.41</v>
      </c>
      <c r="L1162" s="3">
        <v>115.39</v>
      </c>
      <c r="M1162" s="2">
        <v>3.71</v>
      </c>
    </row>
    <row r="1163" spans="1:13">
      <c r="A1163" s="9">
        <v>44267</v>
      </c>
      <c r="B1163" s="1">
        <f t="shared" si="36"/>
        <v>44256</v>
      </c>
      <c r="C1163" s="5" t="str">
        <f t="shared" si="37"/>
        <v>2021-03</v>
      </c>
      <c r="D1163" s="3">
        <v>394.06</v>
      </c>
      <c r="E1163" s="3">
        <v>233.59</v>
      </c>
      <c r="F1163" s="3">
        <v>136.06</v>
      </c>
      <c r="G1163" s="3">
        <v>161.49</v>
      </c>
      <c r="H1163" s="3">
        <v>91.62</v>
      </c>
      <c r="I1163" s="2">
        <v>67.16</v>
      </c>
      <c r="J1163" s="2">
        <v>716.19</v>
      </c>
      <c r="K1163" s="2">
        <v>340.19</v>
      </c>
      <c r="L1163" s="3">
        <v>114.6</v>
      </c>
      <c r="M1163" s="2">
        <v>3.65</v>
      </c>
    </row>
    <row r="1164" spans="1:13">
      <c r="A1164" s="9">
        <v>44266</v>
      </c>
      <c r="B1164" s="1">
        <f t="shared" si="36"/>
        <v>44256</v>
      </c>
      <c r="C1164" s="5" t="str">
        <f t="shared" si="37"/>
        <v>2021-03</v>
      </c>
      <c r="D1164" s="3">
        <v>393.53</v>
      </c>
      <c r="E1164" s="3">
        <v>232.22</v>
      </c>
      <c r="F1164" s="3">
        <v>139.01</v>
      </c>
      <c r="G1164" s="3">
        <v>161.52000000000001</v>
      </c>
      <c r="H1164" s="3">
        <v>90.11</v>
      </c>
      <c r="I1164" s="2">
        <v>67.41</v>
      </c>
      <c r="J1164" s="2">
        <v>722.12</v>
      </c>
      <c r="K1164" s="2">
        <v>339.73</v>
      </c>
      <c r="L1164" s="3">
        <v>114.35</v>
      </c>
      <c r="M1164" s="2">
        <v>3.58</v>
      </c>
    </row>
    <row r="1165" spans="1:13">
      <c r="A1165" s="9">
        <v>44265</v>
      </c>
      <c r="B1165" s="1">
        <f t="shared" si="36"/>
        <v>44256</v>
      </c>
      <c r="C1165" s="5" t="str">
        <f t="shared" si="37"/>
        <v>2021-03</v>
      </c>
      <c r="D1165" s="3">
        <v>389.58</v>
      </c>
      <c r="E1165" s="3">
        <v>227.22</v>
      </c>
      <c r="F1165" s="3">
        <v>140.02000000000001</v>
      </c>
      <c r="G1165" s="3">
        <v>161.66</v>
      </c>
      <c r="H1165" s="3">
        <v>89.07</v>
      </c>
      <c r="I1165" s="2">
        <v>72.12</v>
      </c>
      <c r="J1165" s="2">
        <v>728.5</v>
      </c>
      <c r="K1165" s="2">
        <v>340.84</v>
      </c>
      <c r="L1165" s="3">
        <v>113.66</v>
      </c>
      <c r="M1165" s="2">
        <v>3.57</v>
      </c>
    </row>
    <row r="1166" spans="1:13">
      <c r="A1166" s="9">
        <v>44264</v>
      </c>
      <c r="B1166" s="1">
        <f t="shared" si="36"/>
        <v>44256</v>
      </c>
      <c r="C1166" s="5" t="str">
        <f t="shared" si="37"/>
        <v>2021-03</v>
      </c>
      <c r="D1166" s="3">
        <v>387.17</v>
      </c>
      <c r="E1166" s="3">
        <v>223.34</v>
      </c>
      <c r="F1166" s="3">
        <v>139.74</v>
      </c>
      <c r="G1166" s="3">
        <v>160.84</v>
      </c>
      <c r="H1166" s="3">
        <v>88.19</v>
      </c>
      <c r="I1166" s="2">
        <v>72.64</v>
      </c>
      <c r="J1166" s="2">
        <v>722</v>
      </c>
      <c r="K1166" s="2">
        <v>337.5</v>
      </c>
      <c r="L1166" s="3">
        <v>113.4</v>
      </c>
      <c r="M1166" s="2">
        <v>3.43</v>
      </c>
    </row>
    <row r="1167" spans="1:13">
      <c r="A1167" s="9">
        <v>44263</v>
      </c>
      <c r="B1167" s="1">
        <f t="shared" si="36"/>
        <v>44256</v>
      </c>
      <c r="C1167" s="5" t="str">
        <f t="shared" si="37"/>
        <v>2021-03</v>
      </c>
      <c r="D1167" s="3">
        <v>381.72</v>
      </c>
      <c r="E1167" s="3">
        <v>218.74</v>
      </c>
      <c r="F1167" s="3">
        <v>137.83000000000001</v>
      </c>
      <c r="G1167" s="3">
        <v>157.49</v>
      </c>
      <c r="H1167" s="3">
        <v>87.61</v>
      </c>
      <c r="I1167" s="2">
        <v>72.16</v>
      </c>
      <c r="J1167" s="2">
        <v>698.96</v>
      </c>
      <c r="K1167" s="2">
        <v>341.45</v>
      </c>
      <c r="L1167" s="3">
        <v>112.74</v>
      </c>
      <c r="M1167" s="2">
        <v>3.46</v>
      </c>
    </row>
    <row r="1168" spans="1:13">
      <c r="A1168" s="9">
        <v>44260</v>
      </c>
      <c r="B1168" s="1">
        <f t="shared" si="36"/>
        <v>44256</v>
      </c>
      <c r="C1168" s="5" t="str">
        <f t="shared" si="37"/>
        <v>2021-03</v>
      </c>
      <c r="D1168" s="3">
        <v>383.63</v>
      </c>
      <c r="E1168" s="3">
        <v>217.71</v>
      </c>
      <c r="F1168" s="3">
        <v>138.91</v>
      </c>
      <c r="G1168" s="3">
        <v>159.13999999999999</v>
      </c>
      <c r="H1168" s="3">
        <v>86.86</v>
      </c>
      <c r="I1168" s="2">
        <v>69.97</v>
      </c>
      <c r="J1168" s="2">
        <v>702.28</v>
      </c>
      <c r="K1168" s="2">
        <v>340.43</v>
      </c>
      <c r="L1168" s="3">
        <v>113.02</v>
      </c>
      <c r="M1168" s="2">
        <v>3.39</v>
      </c>
    </row>
    <row r="1169" spans="1:13">
      <c r="A1169" s="9">
        <v>44259</v>
      </c>
      <c r="B1169" s="1">
        <f t="shared" si="36"/>
        <v>44256</v>
      </c>
      <c r="C1169" s="5" t="str">
        <f t="shared" si="37"/>
        <v>2021-03</v>
      </c>
      <c r="D1169" s="3">
        <v>376.7</v>
      </c>
      <c r="E1169" s="3">
        <v>213.19</v>
      </c>
      <c r="F1169" s="3">
        <v>138.63999999999999</v>
      </c>
      <c r="G1169" s="3">
        <v>159.04</v>
      </c>
      <c r="H1169" s="3">
        <v>85.92</v>
      </c>
      <c r="I1169" s="2">
        <v>65.61</v>
      </c>
      <c r="J1169" s="2">
        <v>683.21</v>
      </c>
      <c r="K1169" s="2">
        <v>338.25</v>
      </c>
      <c r="L1169" s="3">
        <v>110.8</v>
      </c>
      <c r="M1169" s="2">
        <v>3.26</v>
      </c>
    </row>
    <row r="1170" spans="1:13">
      <c r="A1170" s="9">
        <v>44258</v>
      </c>
      <c r="B1170" s="1">
        <f t="shared" si="36"/>
        <v>44256</v>
      </c>
      <c r="C1170" s="5" t="str">
        <f t="shared" si="37"/>
        <v>2021-03</v>
      </c>
      <c r="D1170" s="3">
        <v>381.42</v>
      </c>
      <c r="E1170" s="3">
        <v>219.32</v>
      </c>
      <c r="F1170" s="3">
        <v>139.54</v>
      </c>
      <c r="G1170" s="3">
        <v>160.62</v>
      </c>
      <c r="H1170" s="3">
        <v>86.91</v>
      </c>
      <c r="I1170" s="2">
        <v>66.91</v>
      </c>
      <c r="J1170" s="2">
        <v>701.49</v>
      </c>
      <c r="K1170" s="2">
        <v>340.91</v>
      </c>
      <c r="L1170" s="3">
        <v>112.31</v>
      </c>
      <c r="M1170" s="2">
        <v>3.36</v>
      </c>
    </row>
    <row r="1171" spans="1:13">
      <c r="A1171" s="9">
        <v>44257</v>
      </c>
      <c r="B1171" s="1">
        <f t="shared" si="36"/>
        <v>44256</v>
      </c>
      <c r="C1171" s="5" t="str">
        <f t="shared" si="37"/>
        <v>2021-03</v>
      </c>
      <c r="D1171" s="3">
        <v>386.54</v>
      </c>
      <c r="E1171" s="3">
        <v>221.72</v>
      </c>
      <c r="F1171" s="3">
        <v>141.07</v>
      </c>
      <c r="G1171" s="3">
        <v>162.41</v>
      </c>
      <c r="H1171" s="3">
        <v>87.41</v>
      </c>
      <c r="I1171" s="2">
        <v>66.66</v>
      </c>
      <c r="J1171" s="2">
        <v>716.31</v>
      </c>
      <c r="K1171" s="2">
        <v>338.59</v>
      </c>
      <c r="L1171" s="3">
        <v>113.75</v>
      </c>
      <c r="M1171" s="2">
        <v>3.41</v>
      </c>
    </row>
    <row r="1172" spans="1:13">
      <c r="A1172" s="9">
        <v>44256</v>
      </c>
      <c r="B1172" s="1">
        <f t="shared" si="36"/>
        <v>44256</v>
      </c>
      <c r="C1172" s="5" t="str">
        <f t="shared" si="37"/>
        <v>2021-03</v>
      </c>
      <c r="D1172" s="3">
        <v>389.58</v>
      </c>
      <c r="E1172" s="3">
        <v>226.07</v>
      </c>
      <c r="F1172" s="3">
        <v>141.06</v>
      </c>
      <c r="G1172" s="3">
        <v>161.53</v>
      </c>
      <c r="H1172" s="3">
        <v>88.26</v>
      </c>
      <c r="I1172" s="2">
        <v>66.17</v>
      </c>
      <c r="J1172" s="2">
        <v>719.2</v>
      </c>
      <c r="K1172" s="2">
        <v>333.47</v>
      </c>
      <c r="L1172" s="3">
        <v>114.08</v>
      </c>
      <c r="M1172" s="2">
        <v>3.43</v>
      </c>
    </row>
    <row r="1173" spans="1:13">
      <c r="A1173" s="9">
        <v>44253</v>
      </c>
      <c r="B1173" s="1">
        <f t="shared" si="36"/>
        <v>44228</v>
      </c>
      <c r="C1173" s="5" t="str">
        <f t="shared" si="37"/>
        <v>2021-02</v>
      </c>
      <c r="D1173" s="3">
        <v>380.36</v>
      </c>
      <c r="E1173" s="3">
        <v>218.31</v>
      </c>
      <c r="F1173" s="3">
        <v>143.12</v>
      </c>
      <c r="G1173" s="3">
        <v>161.81</v>
      </c>
      <c r="H1173" s="3">
        <v>87.87</v>
      </c>
      <c r="I1173" s="2">
        <v>64.510000000000005</v>
      </c>
      <c r="J1173" s="2">
        <v>694.5</v>
      </c>
      <c r="K1173" s="2">
        <v>330.25</v>
      </c>
      <c r="L1173" s="3">
        <v>112.61</v>
      </c>
      <c r="M1173" s="2">
        <v>3.26</v>
      </c>
    </row>
    <row r="1174" spans="1:13">
      <c r="A1174" s="9">
        <v>44252</v>
      </c>
      <c r="B1174" s="1">
        <f t="shared" si="36"/>
        <v>44228</v>
      </c>
      <c r="C1174" s="5" t="str">
        <f t="shared" si="37"/>
        <v>2021-02</v>
      </c>
      <c r="D1174" s="3">
        <v>382.33</v>
      </c>
      <c r="E1174" s="3">
        <v>218.61</v>
      </c>
      <c r="F1174" s="3">
        <v>138.54</v>
      </c>
      <c r="G1174" s="3">
        <v>165.82</v>
      </c>
      <c r="H1174" s="3">
        <v>89.17</v>
      </c>
      <c r="I1174" s="2">
        <v>65.3</v>
      </c>
      <c r="J1174" s="2">
        <v>694.79</v>
      </c>
      <c r="K1174" s="2">
        <v>341.69</v>
      </c>
      <c r="L1174" s="3">
        <v>113.59</v>
      </c>
      <c r="M1174" s="2">
        <v>3.25</v>
      </c>
    </row>
    <row r="1175" spans="1:13">
      <c r="A1175" s="9">
        <v>44251</v>
      </c>
      <c r="B1175" s="1">
        <f t="shared" si="36"/>
        <v>44228</v>
      </c>
      <c r="C1175" s="5" t="str">
        <f t="shared" si="37"/>
        <v>2021-02</v>
      </c>
      <c r="D1175" s="3">
        <v>391.77</v>
      </c>
      <c r="E1175" s="3">
        <v>227</v>
      </c>
      <c r="F1175" s="3">
        <v>140.84</v>
      </c>
      <c r="G1175" s="3">
        <v>169</v>
      </c>
      <c r="H1175" s="3">
        <v>90.91</v>
      </c>
      <c r="I1175" s="2">
        <v>64.7</v>
      </c>
      <c r="J1175" s="2">
        <v>712.1</v>
      </c>
      <c r="K1175" s="2">
        <v>346.53</v>
      </c>
      <c r="L1175" s="3">
        <v>114.74</v>
      </c>
      <c r="M1175" s="2">
        <v>3.37</v>
      </c>
    </row>
    <row r="1176" spans="1:13">
      <c r="A1176" s="9">
        <v>44250</v>
      </c>
      <c r="B1176" s="1">
        <f t="shared" si="36"/>
        <v>44228</v>
      </c>
      <c r="C1176" s="5" t="str">
        <f t="shared" si="37"/>
        <v>2021-02</v>
      </c>
      <c r="D1176" s="3">
        <v>387.5</v>
      </c>
      <c r="E1176" s="3">
        <v>221.76</v>
      </c>
      <c r="F1176" s="3">
        <v>141.77000000000001</v>
      </c>
      <c r="G1176" s="3">
        <v>169.12</v>
      </c>
      <c r="H1176" s="3">
        <v>90.22</v>
      </c>
      <c r="I1176" s="2">
        <v>64.5</v>
      </c>
      <c r="J1176" s="2">
        <v>703.16</v>
      </c>
      <c r="K1176" s="2">
        <v>346.23</v>
      </c>
      <c r="L1176" s="3">
        <v>113.95</v>
      </c>
      <c r="M1176" s="2">
        <v>3.26</v>
      </c>
    </row>
    <row r="1177" spans="1:13">
      <c r="A1177" s="9">
        <v>44249</v>
      </c>
      <c r="B1177" s="1">
        <f t="shared" si="36"/>
        <v>44228</v>
      </c>
      <c r="C1177" s="5" t="str">
        <f t="shared" si="37"/>
        <v>2021-02</v>
      </c>
      <c r="D1177" s="3">
        <v>387.03</v>
      </c>
      <c r="E1177" s="3">
        <v>223.73</v>
      </c>
      <c r="F1177" s="3">
        <v>142.18</v>
      </c>
      <c r="G1177" s="3">
        <v>169.51</v>
      </c>
      <c r="H1177" s="3">
        <v>89.66</v>
      </c>
      <c r="I1177" s="2">
        <v>64.45</v>
      </c>
      <c r="J1177" s="2">
        <v>703.14</v>
      </c>
      <c r="K1177" s="2">
        <v>340.47</v>
      </c>
      <c r="L1177" s="3">
        <v>114.14</v>
      </c>
      <c r="M1177" s="2">
        <v>3.18</v>
      </c>
    </row>
    <row r="1178" spans="1:13">
      <c r="A1178" s="9">
        <v>44246</v>
      </c>
      <c r="B1178" s="1">
        <f t="shared" si="36"/>
        <v>44228</v>
      </c>
      <c r="C1178" s="5" t="str">
        <f t="shared" si="37"/>
        <v>2021-02</v>
      </c>
      <c r="D1178" s="3">
        <v>390.03</v>
      </c>
      <c r="E1178" s="3">
        <v>225.19</v>
      </c>
      <c r="F1178" s="3">
        <v>143.27000000000001</v>
      </c>
      <c r="G1178" s="3">
        <v>167.01</v>
      </c>
      <c r="H1178" s="3">
        <v>88.92</v>
      </c>
      <c r="I1178" s="2">
        <v>61.13</v>
      </c>
      <c r="J1178" s="2">
        <v>710.11</v>
      </c>
      <c r="K1178" s="2">
        <v>335.42</v>
      </c>
      <c r="L1178" s="3">
        <v>114.41</v>
      </c>
      <c r="M1178" s="2">
        <v>3.17</v>
      </c>
    </row>
    <row r="1179" spans="1:13">
      <c r="A1179" s="9">
        <v>44245</v>
      </c>
      <c r="B1179" s="1">
        <f t="shared" si="36"/>
        <v>44228</v>
      </c>
      <c r="C1179" s="5" t="str">
        <f t="shared" si="37"/>
        <v>2021-02</v>
      </c>
      <c r="D1179" s="3">
        <v>390.72</v>
      </c>
      <c r="E1179" s="3">
        <v>220.59</v>
      </c>
      <c r="F1179" s="3">
        <v>145.19999999999999</v>
      </c>
      <c r="G1179" s="3">
        <v>166.32</v>
      </c>
      <c r="H1179" s="3">
        <v>88.41</v>
      </c>
      <c r="I1179" s="2">
        <v>62.07</v>
      </c>
      <c r="J1179" s="2">
        <v>703.53</v>
      </c>
      <c r="K1179" s="2">
        <v>337.92</v>
      </c>
      <c r="L1179" s="3">
        <v>115.81</v>
      </c>
      <c r="M1179" s="2">
        <v>3.16</v>
      </c>
    </row>
    <row r="1180" spans="1:13">
      <c r="A1180" s="9">
        <v>44244</v>
      </c>
      <c r="B1180" s="1">
        <f t="shared" si="36"/>
        <v>44228</v>
      </c>
      <c r="C1180" s="5" t="str">
        <f t="shared" si="37"/>
        <v>2021-02</v>
      </c>
      <c r="D1180" s="3">
        <v>392.39</v>
      </c>
      <c r="E1180" s="3">
        <v>224.06</v>
      </c>
      <c r="F1180" s="3">
        <v>145.79</v>
      </c>
      <c r="G1180" s="3">
        <v>166.33</v>
      </c>
      <c r="H1180" s="3">
        <v>88.79</v>
      </c>
      <c r="I1180" s="2">
        <v>62.09</v>
      </c>
      <c r="J1180" s="2">
        <v>721.39</v>
      </c>
      <c r="K1180" s="2">
        <v>337</v>
      </c>
      <c r="L1180" s="3">
        <v>116.54</v>
      </c>
      <c r="M1180" s="2">
        <v>3.15</v>
      </c>
    </row>
    <row r="1181" spans="1:13">
      <c r="A1181" s="9">
        <v>44243</v>
      </c>
      <c r="B1181" s="1">
        <f t="shared" si="36"/>
        <v>44228</v>
      </c>
      <c r="C1181" s="5" t="str">
        <f t="shared" si="37"/>
        <v>2021-02</v>
      </c>
      <c r="D1181" s="3">
        <v>392.3</v>
      </c>
      <c r="E1181" s="3">
        <v>225.83</v>
      </c>
      <c r="F1181" s="3">
        <v>144.87</v>
      </c>
      <c r="G1181" s="3">
        <v>168.24</v>
      </c>
      <c r="H1181" s="3">
        <v>88.9</v>
      </c>
      <c r="I1181" s="2">
        <v>62.14</v>
      </c>
      <c r="J1181" s="2">
        <v>730.31</v>
      </c>
      <c r="K1181" s="2">
        <v>335.03</v>
      </c>
      <c r="L1181" s="3">
        <v>116.12</v>
      </c>
      <c r="M1181" s="2">
        <v>3.19</v>
      </c>
    </row>
    <row r="1182" spans="1:13">
      <c r="A1182" s="9">
        <v>44239</v>
      </c>
      <c r="B1182" s="1">
        <f t="shared" si="36"/>
        <v>44228</v>
      </c>
      <c r="C1182" s="5" t="str">
        <f t="shared" si="37"/>
        <v>2021-02</v>
      </c>
      <c r="D1182" s="3">
        <v>392.64</v>
      </c>
      <c r="E1182" s="3">
        <v>227.26</v>
      </c>
      <c r="F1182" s="3">
        <v>147.11000000000001</v>
      </c>
      <c r="G1182" s="3">
        <v>170.69</v>
      </c>
      <c r="H1182" s="3">
        <v>89.59</v>
      </c>
      <c r="I1182" s="2">
        <v>63.08</v>
      </c>
      <c r="J1182" s="2">
        <v>722.98</v>
      </c>
      <c r="K1182" s="2">
        <v>337.73</v>
      </c>
      <c r="L1182" s="3">
        <v>117.28</v>
      </c>
      <c r="M1182" s="2">
        <v>3.2</v>
      </c>
    </row>
    <row r="1183" spans="1:13">
      <c r="A1183" s="9">
        <v>44238</v>
      </c>
      <c r="B1183" s="1">
        <f t="shared" si="36"/>
        <v>44228</v>
      </c>
      <c r="C1183" s="5" t="str">
        <f t="shared" si="37"/>
        <v>2021-02</v>
      </c>
      <c r="D1183" s="3">
        <v>390.71</v>
      </c>
      <c r="E1183" s="3">
        <v>226.62</v>
      </c>
      <c r="F1183" s="3">
        <v>148.96</v>
      </c>
      <c r="G1183" s="3">
        <v>171.21</v>
      </c>
      <c r="H1183" s="3">
        <v>89.57</v>
      </c>
      <c r="I1183" s="2">
        <v>62.7</v>
      </c>
      <c r="J1183" s="2">
        <v>721.43</v>
      </c>
      <c r="K1183" s="2">
        <v>339.14</v>
      </c>
      <c r="L1183" s="3">
        <v>116.41</v>
      </c>
      <c r="M1183" s="2">
        <v>3.42</v>
      </c>
    </row>
    <row r="1184" spans="1:13">
      <c r="A1184" s="9">
        <v>44237</v>
      </c>
      <c r="B1184" s="1">
        <f t="shared" si="36"/>
        <v>44228</v>
      </c>
      <c r="C1184" s="5" t="str">
        <f t="shared" si="37"/>
        <v>2021-02</v>
      </c>
      <c r="D1184" s="3">
        <v>390.08</v>
      </c>
      <c r="E1184" s="3">
        <v>226.88</v>
      </c>
      <c r="F1184" s="3">
        <v>149.78</v>
      </c>
      <c r="G1184" s="3">
        <v>172.71</v>
      </c>
      <c r="H1184" s="3">
        <v>89.38</v>
      </c>
      <c r="I1184" s="2">
        <v>63.27</v>
      </c>
      <c r="J1184" s="2">
        <v>723.17</v>
      </c>
      <c r="K1184" s="2">
        <v>342.19</v>
      </c>
      <c r="L1184" s="3">
        <v>116.19</v>
      </c>
      <c r="M1184" s="2">
        <v>3.37</v>
      </c>
    </row>
    <row r="1185" spans="1:13">
      <c r="A1185" s="9">
        <v>44236</v>
      </c>
      <c r="B1185" s="1">
        <f t="shared" si="36"/>
        <v>44228</v>
      </c>
      <c r="C1185" s="5" t="str">
        <f t="shared" si="37"/>
        <v>2021-02</v>
      </c>
      <c r="D1185" s="3">
        <v>390.25</v>
      </c>
      <c r="E1185" s="3">
        <v>228.38</v>
      </c>
      <c r="F1185" s="3">
        <v>148.79</v>
      </c>
      <c r="G1185" s="3">
        <v>172.08</v>
      </c>
      <c r="H1185" s="3">
        <v>88.9</v>
      </c>
      <c r="I1185" s="2">
        <v>63.67</v>
      </c>
      <c r="J1185" s="2">
        <v>728.8</v>
      </c>
      <c r="K1185" s="2">
        <v>342.34</v>
      </c>
      <c r="L1185" s="3">
        <v>115.98</v>
      </c>
      <c r="M1185" s="2">
        <v>3.39</v>
      </c>
    </row>
    <row r="1186" spans="1:13">
      <c r="A1186" s="9">
        <v>44235</v>
      </c>
      <c r="B1186" s="1">
        <f t="shared" si="36"/>
        <v>44228</v>
      </c>
      <c r="C1186" s="5" t="str">
        <f t="shared" si="37"/>
        <v>2021-02</v>
      </c>
      <c r="D1186" s="3">
        <v>390.51</v>
      </c>
      <c r="E1186" s="3">
        <v>227.31</v>
      </c>
      <c r="F1186" s="3">
        <v>148.68</v>
      </c>
      <c r="G1186" s="3">
        <v>171.52</v>
      </c>
      <c r="H1186" s="3">
        <v>88.59</v>
      </c>
      <c r="I1186" s="2">
        <v>63.11</v>
      </c>
      <c r="J1186" s="2">
        <v>726.45</v>
      </c>
      <c r="K1186" s="2">
        <v>337.84</v>
      </c>
      <c r="L1186" s="3">
        <v>115.81</v>
      </c>
      <c r="M1186" s="2">
        <v>3.38</v>
      </c>
    </row>
    <row r="1187" spans="1:13">
      <c r="A1187" s="9">
        <v>44232</v>
      </c>
      <c r="B1187" s="1">
        <f t="shared" si="36"/>
        <v>44228</v>
      </c>
      <c r="C1187" s="5" t="str">
        <f t="shared" si="37"/>
        <v>2021-02</v>
      </c>
      <c r="D1187" s="3">
        <v>387.71</v>
      </c>
      <c r="E1187" s="3">
        <v>221.65</v>
      </c>
      <c r="F1187" s="3">
        <v>148.03</v>
      </c>
      <c r="G1187" s="3">
        <v>169.81</v>
      </c>
      <c r="H1187" s="3">
        <v>88.11</v>
      </c>
      <c r="I1187" s="2">
        <v>63.6</v>
      </c>
      <c r="J1187" s="2">
        <v>726.33</v>
      </c>
      <c r="K1187" s="2">
        <v>337.04</v>
      </c>
      <c r="L1187" s="3">
        <v>115.67</v>
      </c>
      <c r="M1187" s="2">
        <v>3.2</v>
      </c>
    </row>
    <row r="1188" spans="1:13">
      <c r="A1188" s="9">
        <v>44231</v>
      </c>
      <c r="B1188" s="1">
        <f t="shared" si="36"/>
        <v>44228</v>
      </c>
      <c r="C1188" s="5" t="str">
        <f t="shared" si="37"/>
        <v>2021-02</v>
      </c>
      <c r="D1188" s="3">
        <v>386.19</v>
      </c>
      <c r="E1188" s="3">
        <v>218.62</v>
      </c>
      <c r="F1188" s="3">
        <v>149.28</v>
      </c>
      <c r="G1188" s="3">
        <v>168.15</v>
      </c>
      <c r="H1188" s="3">
        <v>87.8</v>
      </c>
      <c r="I1188" s="2">
        <v>63.35</v>
      </c>
      <c r="J1188" s="2">
        <v>732.45</v>
      </c>
      <c r="K1188" s="2">
        <v>337.23</v>
      </c>
      <c r="L1188" s="3">
        <v>115.46</v>
      </c>
      <c r="M1188" s="2">
        <v>3.29</v>
      </c>
    </row>
    <row r="1189" spans="1:13">
      <c r="A1189" s="9">
        <v>44230</v>
      </c>
      <c r="B1189" s="1">
        <f t="shared" si="36"/>
        <v>44228</v>
      </c>
      <c r="C1189" s="5" t="str">
        <f t="shared" si="37"/>
        <v>2021-02</v>
      </c>
      <c r="D1189" s="3">
        <v>381.85</v>
      </c>
      <c r="E1189" s="3">
        <v>214.25</v>
      </c>
      <c r="F1189" s="3">
        <v>149.68</v>
      </c>
      <c r="G1189" s="3">
        <v>171.85</v>
      </c>
      <c r="H1189" s="3">
        <v>87.2</v>
      </c>
      <c r="I1189" s="2">
        <v>62.17</v>
      </c>
      <c r="J1189" s="2">
        <v>724.08</v>
      </c>
      <c r="K1189" s="2">
        <v>332.39</v>
      </c>
      <c r="L1189" s="3">
        <v>114.98</v>
      </c>
      <c r="M1189" s="2">
        <v>3.3</v>
      </c>
    </row>
    <row r="1190" spans="1:13">
      <c r="A1190" s="9">
        <v>44229</v>
      </c>
      <c r="B1190" s="1">
        <f t="shared" si="36"/>
        <v>44228</v>
      </c>
      <c r="C1190" s="5" t="str">
        <f t="shared" si="37"/>
        <v>2021-02</v>
      </c>
      <c r="D1190" s="3">
        <v>381.55</v>
      </c>
      <c r="E1190" s="3">
        <v>213.61</v>
      </c>
      <c r="F1190" s="3">
        <v>151.02000000000001</v>
      </c>
      <c r="G1190" s="3">
        <v>172.11</v>
      </c>
      <c r="H1190" s="3">
        <v>87.42</v>
      </c>
      <c r="I1190" s="2">
        <v>62.37</v>
      </c>
      <c r="J1190" s="2">
        <v>729.5</v>
      </c>
      <c r="K1190" s="2">
        <v>332.7</v>
      </c>
      <c r="L1190" s="3">
        <v>115.8</v>
      </c>
      <c r="M1190" s="2">
        <v>3.18</v>
      </c>
    </row>
    <row r="1191" spans="1:13">
      <c r="A1191" s="9">
        <v>44228</v>
      </c>
      <c r="B1191" s="1">
        <f t="shared" si="36"/>
        <v>44228</v>
      </c>
      <c r="C1191" s="5" t="str">
        <f t="shared" si="37"/>
        <v>2021-02</v>
      </c>
      <c r="D1191" s="3">
        <v>376.23</v>
      </c>
      <c r="E1191" s="3">
        <v>210.61</v>
      </c>
      <c r="F1191" s="3">
        <v>152</v>
      </c>
      <c r="G1191" s="3">
        <v>174.23</v>
      </c>
      <c r="H1191" s="3">
        <v>86.9</v>
      </c>
      <c r="I1191" s="2">
        <v>61.51</v>
      </c>
      <c r="J1191" s="2">
        <v>713.17</v>
      </c>
      <c r="K1191" s="2">
        <v>324.02999999999997</v>
      </c>
      <c r="L1191" s="3">
        <v>115.47</v>
      </c>
      <c r="M1191" s="2">
        <v>3.15</v>
      </c>
    </row>
    <row r="1192" spans="1:13">
      <c r="A1192" s="9">
        <v>44225</v>
      </c>
      <c r="B1192" s="1">
        <f t="shared" si="36"/>
        <v>44197</v>
      </c>
      <c r="C1192" s="5" t="str">
        <f t="shared" si="37"/>
        <v>2021-01</v>
      </c>
      <c r="D1192" s="3">
        <v>370.07</v>
      </c>
      <c r="E1192" s="3">
        <v>205.56</v>
      </c>
      <c r="F1192" s="3">
        <v>152</v>
      </c>
      <c r="G1192" s="3">
        <v>172.61</v>
      </c>
      <c r="H1192" s="3">
        <v>84.96</v>
      </c>
      <c r="I1192" s="2">
        <v>60.43</v>
      </c>
      <c r="J1192" s="2">
        <v>701.26</v>
      </c>
      <c r="K1192" s="2">
        <v>321.82</v>
      </c>
      <c r="L1192" s="3">
        <v>115.03</v>
      </c>
      <c r="M1192" s="2">
        <v>3.1</v>
      </c>
    </row>
    <row r="1193" spans="1:13">
      <c r="A1193" s="9">
        <v>44224</v>
      </c>
      <c r="B1193" s="1">
        <f t="shared" si="36"/>
        <v>44197</v>
      </c>
      <c r="C1193" s="5" t="str">
        <f t="shared" si="37"/>
        <v>2021-01</v>
      </c>
      <c r="D1193" s="3">
        <v>377.63</v>
      </c>
      <c r="E1193" s="3">
        <v>208.72</v>
      </c>
      <c r="F1193" s="3">
        <v>152.91999999999999</v>
      </c>
      <c r="G1193" s="3">
        <v>172.68</v>
      </c>
      <c r="H1193" s="3">
        <v>85.95</v>
      </c>
      <c r="I1193" s="2">
        <v>61.22</v>
      </c>
      <c r="J1193" s="2">
        <v>719.91</v>
      </c>
      <c r="K1193" s="2">
        <v>327.93</v>
      </c>
      <c r="L1193" s="3">
        <v>116.01</v>
      </c>
      <c r="M1193" s="2">
        <v>3.18</v>
      </c>
    </row>
    <row r="1194" spans="1:13">
      <c r="A1194" s="9">
        <v>44223</v>
      </c>
      <c r="B1194" s="1">
        <f t="shared" si="36"/>
        <v>44197</v>
      </c>
      <c r="C1194" s="5" t="str">
        <f t="shared" si="37"/>
        <v>2021-01</v>
      </c>
      <c r="D1194" s="3">
        <v>374.41</v>
      </c>
      <c r="E1194" s="3">
        <v>209.39</v>
      </c>
      <c r="F1194" s="3">
        <v>153.77000000000001</v>
      </c>
      <c r="G1194" s="3">
        <v>172.52</v>
      </c>
      <c r="H1194" s="3">
        <v>85.49</v>
      </c>
      <c r="I1194" s="2">
        <v>62.55</v>
      </c>
      <c r="J1194" s="2">
        <v>697.79</v>
      </c>
      <c r="K1194" s="2">
        <v>332.51</v>
      </c>
      <c r="L1194" s="3">
        <v>114.34</v>
      </c>
      <c r="M1194" s="2">
        <v>3.22</v>
      </c>
    </row>
    <row r="1195" spans="1:13">
      <c r="A1195" s="9">
        <v>44222</v>
      </c>
      <c r="B1195" s="1">
        <f t="shared" si="36"/>
        <v>44197</v>
      </c>
      <c r="C1195" s="5" t="str">
        <f t="shared" si="37"/>
        <v>2021-01</v>
      </c>
      <c r="D1195" s="3">
        <v>383.79</v>
      </c>
      <c r="E1195" s="3">
        <v>213.3</v>
      </c>
      <c r="F1195" s="3">
        <v>153.38</v>
      </c>
      <c r="G1195" s="3">
        <v>173.62</v>
      </c>
      <c r="H1195" s="3">
        <v>87.03</v>
      </c>
      <c r="I1195" s="2">
        <v>61.8</v>
      </c>
      <c r="J1195" s="2">
        <v>721.85</v>
      </c>
      <c r="K1195" s="2">
        <v>330.69</v>
      </c>
      <c r="L1195" s="3">
        <v>117.92</v>
      </c>
      <c r="M1195" s="2">
        <v>3.38</v>
      </c>
    </row>
    <row r="1196" spans="1:13">
      <c r="A1196" s="9">
        <v>44221</v>
      </c>
      <c r="B1196" s="1">
        <f t="shared" si="36"/>
        <v>44197</v>
      </c>
      <c r="C1196" s="5" t="str">
        <f t="shared" si="37"/>
        <v>2021-01</v>
      </c>
      <c r="D1196" s="3">
        <v>384.39</v>
      </c>
      <c r="E1196" s="3">
        <v>214.79</v>
      </c>
      <c r="F1196" s="3">
        <v>153.66999999999999</v>
      </c>
      <c r="G1196" s="3">
        <v>174.05</v>
      </c>
      <c r="H1196" s="3">
        <v>86.42</v>
      </c>
      <c r="I1196" s="2">
        <v>60.9</v>
      </c>
      <c r="J1196" s="2">
        <v>722.98</v>
      </c>
      <c r="K1196" s="2">
        <v>343.51</v>
      </c>
      <c r="L1196" s="3">
        <v>118.36</v>
      </c>
      <c r="M1196" s="2">
        <v>3.47</v>
      </c>
    </row>
    <row r="1197" spans="1:13">
      <c r="A1197" s="9">
        <v>44218</v>
      </c>
      <c r="B1197" s="1">
        <f t="shared" si="36"/>
        <v>44197</v>
      </c>
      <c r="C1197" s="5" t="str">
        <f t="shared" si="37"/>
        <v>2021-01</v>
      </c>
      <c r="D1197" s="3">
        <v>382.88</v>
      </c>
      <c r="E1197" s="3">
        <v>215</v>
      </c>
      <c r="F1197" s="3">
        <v>151.88</v>
      </c>
      <c r="G1197" s="3">
        <v>173.9</v>
      </c>
      <c r="H1197" s="3">
        <v>85.77</v>
      </c>
      <c r="I1197" s="2">
        <v>60.36</v>
      </c>
      <c r="J1197" s="2">
        <v>735.05</v>
      </c>
      <c r="K1197" s="2">
        <v>339.88</v>
      </c>
      <c r="L1197" s="3">
        <v>117.59</v>
      </c>
      <c r="M1197" s="2">
        <v>3.42</v>
      </c>
    </row>
    <row r="1198" spans="1:13">
      <c r="A1198" s="9">
        <v>44217</v>
      </c>
      <c r="B1198" s="1">
        <f t="shared" si="36"/>
        <v>44197</v>
      </c>
      <c r="C1198" s="5" t="str">
        <f t="shared" si="37"/>
        <v>2021-01</v>
      </c>
      <c r="D1198" s="3">
        <v>384.24</v>
      </c>
      <c r="E1198" s="3">
        <v>212.53</v>
      </c>
      <c r="F1198" s="3">
        <v>151.38999999999999</v>
      </c>
      <c r="G1198" s="3">
        <v>175.28</v>
      </c>
      <c r="H1198" s="3">
        <v>85.57</v>
      </c>
      <c r="I1198" s="2">
        <v>61.21</v>
      </c>
      <c r="J1198" s="2">
        <v>742.2</v>
      </c>
      <c r="K1198" s="2">
        <v>339.67</v>
      </c>
      <c r="L1198" s="3">
        <v>117.94</v>
      </c>
      <c r="M1198" s="2">
        <v>3.38</v>
      </c>
    </row>
    <row r="1199" spans="1:13">
      <c r="A1199" s="9">
        <v>44216</v>
      </c>
      <c r="B1199" s="1">
        <f t="shared" si="36"/>
        <v>44197</v>
      </c>
      <c r="C1199" s="5" t="str">
        <f t="shared" si="37"/>
        <v>2021-01</v>
      </c>
      <c r="D1199" s="3">
        <v>383.89</v>
      </c>
      <c r="E1199" s="3">
        <v>214.39</v>
      </c>
      <c r="F1199" s="3">
        <v>152.46</v>
      </c>
      <c r="G1199" s="3">
        <v>175.39</v>
      </c>
      <c r="H1199" s="3">
        <v>85.98</v>
      </c>
      <c r="I1199" s="2">
        <v>61.56</v>
      </c>
      <c r="J1199" s="2">
        <v>741.54</v>
      </c>
      <c r="K1199" s="2">
        <v>341.67</v>
      </c>
      <c r="L1199" s="3">
        <v>118.5</v>
      </c>
      <c r="M1199" s="2">
        <v>3.37</v>
      </c>
    </row>
    <row r="1200" spans="1:13">
      <c r="A1200" s="9">
        <v>44215</v>
      </c>
      <c r="B1200" s="1">
        <f t="shared" si="36"/>
        <v>44197</v>
      </c>
      <c r="C1200" s="5" t="str">
        <f t="shared" si="37"/>
        <v>2021-01</v>
      </c>
      <c r="D1200" s="3">
        <v>378.65</v>
      </c>
      <c r="E1200" s="3">
        <v>213.45</v>
      </c>
      <c r="F1200" s="3">
        <v>152.31</v>
      </c>
      <c r="G1200" s="3">
        <v>172.58</v>
      </c>
      <c r="H1200" s="3">
        <v>84.37</v>
      </c>
      <c r="I1200" s="2">
        <v>61.29</v>
      </c>
      <c r="J1200" s="2">
        <v>733.65</v>
      </c>
      <c r="K1200" s="2">
        <v>341.5</v>
      </c>
      <c r="L1200" s="3">
        <v>117.85</v>
      </c>
      <c r="M1200" s="2">
        <v>3.25</v>
      </c>
    </row>
    <row r="1201" spans="1:13">
      <c r="A1201" s="9">
        <v>44211</v>
      </c>
      <c r="B1201" s="1">
        <f t="shared" si="36"/>
        <v>44197</v>
      </c>
      <c r="C1201" s="5" t="str">
        <f t="shared" si="37"/>
        <v>2021-01</v>
      </c>
      <c r="D1201" s="3">
        <v>375.7</v>
      </c>
      <c r="E1201" s="3">
        <v>210.75</v>
      </c>
      <c r="F1201" s="3">
        <v>151.82</v>
      </c>
      <c r="G1201" s="3">
        <v>171.13</v>
      </c>
      <c r="H1201" s="3">
        <v>84.61</v>
      </c>
      <c r="I1201" s="2">
        <v>61.78</v>
      </c>
      <c r="J1201" s="2">
        <v>727.76</v>
      </c>
      <c r="K1201" s="2">
        <v>347.27</v>
      </c>
      <c r="L1201" s="3">
        <v>116.97</v>
      </c>
      <c r="M1201" s="2">
        <v>3.24</v>
      </c>
    </row>
    <row r="1202" spans="1:13">
      <c r="A1202" s="9">
        <v>44210</v>
      </c>
      <c r="B1202" s="1">
        <f t="shared" si="36"/>
        <v>44197</v>
      </c>
      <c r="C1202" s="5" t="str">
        <f t="shared" si="37"/>
        <v>2021-01</v>
      </c>
      <c r="D1202" s="3">
        <v>378.46</v>
      </c>
      <c r="E1202" s="3">
        <v>213.94</v>
      </c>
      <c r="F1202" s="3">
        <v>151.22</v>
      </c>
      <c r="G1202" s="3">
        <v>173.28</v>
      </c>
      <c r="H1202" s="3">
        <v>83.65</v>
      </c>
      <c r="I1202" s="2">
        <v>61.6</v>
      </c>
      <c r="J1202" s="2">
        <v>743.5</v>
      </c>
      <c r="K1202" s="2">
        <v>347.44</v>
      </c>
      <c r="L1202" s="3">
        <v>116.61</v>
      </c>
      <c r="M1202" s="2">
        <v>3.27</v>
      </c>
    </row>
    <row r="1203" spans="1:13">
      <c r="A1203" s="9">
        <v>44209</v>
      </c>
      <c r="B1203" s="1">
        <f t="shared" si="36"/>
        <v>44197</v>
      </c>
      <c r="C1203" s="5" t="str">
        <f t="shared" si="37"/>
        <v>2021-01</v>
      </c>
      <c r="D1203" s="3">
        <v>379.79</v>
      </c>
      <c r="E1203" s="3">
        <v>209.75</v>
      </c>
      <c r="F1203" s="3">
        <v>152.65</v>
      </c>
      <c r="G1203" s="3">
        <v>173.37</v>
      </c>
      <c r="H1203" s="3">
        <v>83.16</v>
      </c>
      <c r="I1203" s="2">
        <v>62.06</v>
      </c>
      <c r="J1203" s="2">
        <v>779.75</v>
      </c>
      <c r="K1203" s="2">
        <v>345.49</v>
      </c>
      <c r="L1203" s="3">
        <v>116.98</v>
      </c>
      <c r="M1203" s="2">
        <v>3.25</v>
      </c>
    </row>
    <row r="1204" spans="1:13">
      <c r="A1204" s="9">
        <v>44208</v>
      </c>
      <c r="B1204" s="1">
        <f t="shared" si="36"/>
        <v>44197</v>
      </c>
      <c r="C1204" s="5" t="str">
        <f t="shared" si="37"/>
        <v>2021-01</v>
      </c>
      <c r="D1204" s="3">
        <v>378.77</v>
      </c>
      <c r="E1204" s="3">
        <v>211.26</v>
      </c>
      <c r="F1204" s="3">
        <v>150.94999999999999</v>
      </c>
      <c r="G1204" s="3">
        <v>174.12</v>
      </c>
      <c r="H1204" s="3">
        <v>82.16</v>
      </c>
      <c r="I1204" s="2">
        <v>62.42</v>
      </c>
      <c r="J1204" s="2">
        <v>777.74</v>
      </c>
      <c r="K1204" s="2">
        <v>341.85</v>
      </c>
      <c r="L1204" s="3">
        <v>116.66</v>
      </c>
      <c r="M1204" s="2">
        <v>3.24</v>
      </c>
    </row>
    <row r="1205" spans="1:13">
      <c r="A1205" s="9">
        <v>44207</v>
      </c>
      <c r="B1205" s="1">
        <f t="shared" si="36"/>
        <v>44197</v>
      </c>
      <c r="C1205" s="5" t="str">
        <f t="shared" si="37"/>
        <v>2021-01</v>
      </c>
      <c r="D1205" s="3">
        <v>378.69</v>
      </c>
      <c r="E1205" s="3">
        <v>207.54</v>
      </c>
      <c r="F1205" s="3">
        <v>151.07</v>
      </c>
      <c r="G1205" s="3">
        <v>173</v>
      </c>
      <c r="H1205" s="3">
        <v>81.97</v>
      </c>
      <c r="I1205" s="2">
        <v>63.03</v>
      </c>
      <c r="J1205" s="2">
        <v>766.68</v>
      </c>
      <c r="K1205" s="2">
        <v>337.68</v>
      </c>
      <c r="L1205" s="3">
        <v>117.94</v>
      </c>
      <c r="M1205" s="2">
        <v>3.21</v>
      </c>
    </row>
    <row r="1206" spans="1:13">
      <c r="A1206" s="9">
        <v>44204</v>
      </c>
      <c r="B1206" s="1">
        <f t="shared" si="36"/>
        <v>44197</v>
      </c>
      <c r="C1206" s="5" t="str">
        <f t="shared" si="37"/>
        <v>2021-01</v>
      </c>
      <c r="D1206" s="3">
        <v>381.26</v>
      </c>
      <c r="E1206" s="3">
        <v>207.72</v>
      </c>
      <c r="F1206" s="3">
        <v>151.32</v>
      </c>
      <c r="G1206" s="3">
        <v>173.34</v>
      </c>
      <c r="H1206" s="3">
        <v>83.07</v>
      </c>
      <c r="I1206" s="2">
        <v>63.38</v>
      </c>
      <c r="J1206" s="2">
        <v>756.45</v>
      </c>
      <c r="K1206" s="2">
        <v>336.1</v>
      </c>
      <c r="L1206" s="3">
        <v>117.39</v>
      </c>
      <c r="M1206" s="2">
        <v>3.19</v>
      </c>
    </row>
    <row r="1207" spans="1:13">
      <c r="A1207" s="9">
        <v>44203</v>
      </c>
      <c r="B1207" s="1">
        <f t="shared" si="36"/>
        <v>44197</v>
      </c>
      <c r="C1207" s="5" t="str">
        <f t="shared" si="37"/>
        <v>2021-01</v>
      </c>
      <c r="D1207" s="3">
        <v>379.1</v>
      </c>
      <c r="E1207" s="3">
        <v>208.17</v>
      </c>
      <c r="F1207" s="3">
        <v>151.81</v>
      </c>
      <c r="G1207" s="3">
        <v>179.48</v>
      </c>
      <c r="H1207" s="3">
        <v>82.27</v>
      </c>
      <c r="I1207" s="2">
        <v>63.07</v>
      </c>
      <c r="J1207" s="2">
        <v>750.42</v>
      </c>
      <c r="K1207" s="2">
        <v>342.55</v>
      </c>
      <c r="L1207" s="3">
        <v>116.83</v>
      </c>
      <c r="M1207" s="2">
        <v>3.22</v>
      </c>
    </row>
    <row r="1208" spans="1:13">
      <c r="A1208" s="9">
        <v>44202</v>
      </c>
      <c r="B1208" s="1">
        <f t="shared" si="36"/>
        <v>44197</v>
      </c>
      <c r="C1208" s="5" t="str">
        <f t="shared" si="37"/>
        <v>2021-01</v>
      </c>
      <c r="D1208" s="3">
        <v>373.55</v>
      </c>
      <c r="E1208" s="3">
        <v>204.53</v>
      </c>
      <c r="F1208" s="3">
        <v>153.16</v>
      </c>
      <c r="G1208" s="3">
        <v>179.9</v>
      </c>
      <c r="H1208" s="3">
        <v>82.43</v>
      </c>
      <c r="I1208" s="2">
        <v>62.57</v>
      </c>
      <c r="J1208" s="2">
        <v>734.96</v>
      </c>
      <c r="K1208" s="2">
        <v>348.03</v>
      </c>
      <c r="L1208" s="3">
        <v>115.33</v>
      </c>
      <c r="M1208" s="2">
        <v>3.19</v>
      </c>
    </row>
    <row r="1209" spans="1:13">
      <c r="A1209" s="9">
        <v>44201</v>
      </c>
      <c r="B1209" s="1">
        <f t="shared" si="36"/>
        <v>44197</v>
      </c>
      <c r="C1209" s="5" t="str">
        <f t="shared" si="37"/>
        <v>2021-01</v>
      </c>
      <c r="D1209" s="3">
        <v>371.33</v>
      </c>
      <c r="E1209" s="3">
        <v>196.49</v>
      </c>
      <c r="F1209" s="3">
        <v>156.37</v>
      </c>
      <c r="G1209" s="3">
        <v>182.87</v>
      </c>
      <c r="H1209" s="3">
        <v>82.29</v>
      </c>
      <c r="I1209" s="2">
        <v>62.96</v>
      </c>
      <c r="J1209" s="2">
        <v>714.58</v>
      </c>
      <c r="K1209" s="2">
        <v>348.79</v>
      </c>
      <c r="L1209" s="3">
        <v>113.77</v>
      </c>
      <c r="M1209" s="2">
        <v>3.12</v>
      </c>
    </row>
    <row r="1210" spans="1:13">
      <c r="A1210" s="9">
        <v>44200</v>
      </c>
      <c r="B1210" s="1">
        <f t="shared" si="36"/>
        <v>44197</v>
      </c>
      <c r="C1210" s="5" t="str">
        <f t="shared" si="37"/>
        <v>2021-01</v>
      </c>
      <c r="D1210" s="3">
        <v>368.79</v>
      </c>
      <c r="E1210" s="3">
        <v>193.5</v>
      </c>
      <c r="F1210" s="3">
        <v>157.54</v>
      </c>
      <c r="G1210" s="3">
        <v>182.33</v>
      </c>
      <c r="H1210" s="3">
        <v>82.17</v>
      </c>
      <c r="I1210" s="2">
        <v>63.75</v>
      </c>
      <c r="J1210" s="2">
        <v>710.82</v>
      </c>
      <c r="K1210" s="2">
        <v>344.64</v>
      </c>
      <c r="L1210" s="3">
        <v>112.95</v>
      </c>
      <c r="M1210" s="2">
        <v>3.11</v>
      </c>
    </row>
    <row r="1211" spans="1:13">
      <c r="A1211" s="9">
        <v>44196</v>
      </c>
      <c r="B1211" s="1">
        <f t="shared" si="36"/>
        <v>44166</v>
      </c>
      <c r="C1211" s="5" t="str">
        <f t="shared" si="37"/>
        <v>2020-12</v>
      </c>
      <c r="D1211" s="3">
        <v>373.88</v>
      </c>
      <c r="E1211" s="3">
        <v>196.06</v>
      </c>
      <c r="F1211" s="3">
        <v>157.72999999999999</v>
      </c>
      <c r="G1211" s="3">
        <v>178.36</v>
      </c>
      <c r="H1211" s="3">
        <v>84.93</v>
      </c>
      <c r="I1211" s="2">
        <v>64.69</v>
      </c>
      <c r="J1211" s="2">
        <v>721.54</v>
      </c>
      <c r="K1211" s="2">
        <v>354.98</v>
      </c>
      <c r="L1211" s="3">
        <v>113.44</v>
      </c>
      <c r="M1211" s="2">
        <v>3.17</v>
      </c>
    </row>
    <row r="1212" spans="1:13">
      <c r="A1212" s="9">
        <v>44195</v>
      </c>
      <c r="B1212" s="1">
        <f t="shared" si="36"/>
        <v>44166</v>
      </c>
      <c r="C1212" s="5" t="str">
        <f t="shared" si="37"/>
        <v>2020-12</v>
      </c>
      <c r="D1212" s="3">
        <v>371.99</v>
      </c>
      <c r="E1212" s="3">
        <v>196.41</v>
      </c>
      <c r="F1212" s="3">
        <v>157.5</v>
      </c>
      <c r="G1212" s="3">
        <v>177.7</v>
      </c>
      <c r="H1212" s="3">
        <v>84.12</v>
      </c>
      <c r="I1212" s="2">
        <v>64.400000000000006</v>
      </c>
      <c r="J1212" s="2">
        <v>708.94</v>
      </c>
      <c r="K1212" s="2">
        <v>354.16</v>
      </c>
      <c r="L1212" s="3">
        <v>112.26</v>
      </c>
      <c r="M1212" s="2">
        <v>3.05</v>
      </c>
    </row>
    <row r="1213" spans="1:13">
      <c r="A1213" s="9">
        <v>44194</v>
      </c>
      <c r="B1213" s="1">
        <f t="shared" si="36"/>
        <v>44166</v>
      </c>
      <c r="C1213" s="5" t="str">
        <f t="shared" si="37"/>
        <v>2020-12</v>
      </c>
      <c r="D1213" s="3">
        <v>371.46</v>
      </c>
      <c r="E1213" s="3">
        <v>194.43</v>
      </c>
      <c r="F1213" s="3">
        <v>157.16</v>
      </c>
      <c r="G1213" s="3">
        <v>176.35</v>
      </c>
      <c r="H1213" s="3">
        <v>83.66</v>
      </c>
      <c r="I1213" s="2">
        <v>64.459999999999994</v>
      </c>
      <c r="J1213" s="2">
        <v>706.28</v>
      </c>
      <c r="K1213" s="2">
        <v>353.9</v>
      </c>
      <c r="L1213" s="3">
        <v>112.28</v>
      </c>
      <c r="M1213" s="2">
        <v>3.05</v>
      </c>
    </row>
    <row r="1214" spans="1:13">
      <c r="A1214" s="9">
        <v>44193</v>
      </c>
      <c r="B1214" s="1">
        <f t="shared" si="36"/>
        <v>44166</v>
      </c>
      <c r="C1214" s="5" t="str">
        <f t="shared" si="37"/>
        <v>2020-12</v>
      </c>
      <c r="D1214" s="3">
        <v>372.17</v>
      </c>
      <c r="E1214" s="3">
        <v>198.27</v>
      </c>
      <c r="F1214" s="3">
        <v>157.36000000000001</v>
      </c>
      <c r="G1214" s="3">
        <v>175.71</v>
      </c>
      <c r="H1214" s="3">
        <v>84.38</v>
      </c>
      <c r="I1214" s="2">
        <v>64.87</v>
      </c>
      <c r="J1214" s="2">
        <v>710.18</v>
      </c>
      <c r="K1214" s="2">
        <v>354.18</v>
      </c>
      <c r="L1214" s="3">
        <v>111.75</v>
      </c>
      <c r="M1214" s="2">
        <v>3.05</v>
      </c>
    </row>
    <row r="1215" spans="1:13">
      <c r="A1215" s="9">
        <v>44189</v>
      </c>
      <c r="B1215" s="1">
        <f t="shared" si="36"/>
        <v>44166</v>
      </c>
      <c r="C1215" s="5" t="str">
        <f t="shared" si="37"/>
        <v>2020-12</v>
      </c>
      <c r="D1215" s="3">
        <v>369</v>
      </c>
      <c r="E1215" s="3">
        <v>199.01</v>
      </c>
      <c r="F1215" s="3">
        <v>157.29</v>
      </c>
      <c r="G1215" s="3">
        <v>176.35</v>
      </c>
      <c r="H1215" s="3">
        <v>83.88</v>
      </c>
      <c r="I1215" s="2">
        <v>64.959999999999994</v>
      </c>
      <c r="J1215" s="2">
        <v>707.18</v>
      </c>
      <c r="K1215" s="2">
        <v>351.97</v>
      </c>
      <c r="L1215" s="3">
        <v>111.47</v>
      </c>
      <c r="M1215" s="2">
        <v>3.05</v>
      </c>
    </row>
    <row r="1216" spans="1:13">
      <c r="A1216" s="9">
        <v>44188</v>
      </c>
      <c r="B1216" s="1">
        <f t="shared" si="36"/>
        <v>44166</v>
      </c>
      <c r="C1216" s="5" t="str">
        <f t="shared" si="37"/>
        <v>2020-12</v>
      </c>
      <c r="D1216" s="3">
        <v>367.57</v>
      </c>
      <c r="E1216" s="3">
        <v>199.14</v>
      </c>
      <c r="F1216" s="3">
        <v>156.66999999999999</v>
      </c>
      <c r="G1216" s="3">
        <v>175.65</v>
      </c>
      <c r="H1216" s="3">
        <v>84.49</v>
      </c>
      <c r="I1216" s="2">
        <v>65.3</v>
      </c>
      <c r="J1216" s="2">
        <v>703.64</v>
      </c>
      <c r="K1216" s="2">
        <v>351.6</v>
      </c>
      <c r="L1216" s="3">
        <v>111.15</v>
      </c>
      <c r="M1216" s="2">
        <v>3.02</v>
      </c>
    </row>
    <row r="1217" spans="1:13">
      <c r="A1217" s="9">
        <v>44187</v>
      </c>
      <c r="B1217" s="1">
        <f t="shared" si="36"/>
        <v>44166</v>
      </c>
      <c r="C1217" s="5" t="str">
        <f t="shared" si="37"/>
        <v>2020-12</v>
      </c>
      <c r="D1217" s="3">
        <v>367.24</v>
      </c>
      <c r="E1217" s="3">
        <v>197.46</v>
      </c>
      <c r="F1217" s="3">
        <v>157.76</v>
      </c>
      <c r="G1217" s="3">
        <v>174.49</v>
      </c>
      <c r="H1217" s="3">
        <v>85.04</v>
      </c>
      <c r="I1217" s="2">
        <v>65.150000000000006</v>
      </c>
      <c r="J1217" s="2">
        <v>693.52</v>
      </c>
      <c r="K1217" s="2">
        <v>347.92</v>
      </c>
      <c r="L1217" s="3">
        <v>111.07</v>
      </c>
      <c r="M1217" s="2">
        <v>2.98</v>
      </c>
    </row>
    <row r="1218" spans="1:13">
      <c r="A1218" s="9">
        <v>44186</v>
      </c>
      <c r="B1218" s="1">
        <f t="shared" ref="B1218:B1281" si="38">EOMONTH(A1218,-1)+1</f>
        <v>44166</v>
      </c>
      <c r="C1218" s="5" t="str">
        <f t="shared" si="37"/>
        <v>2020-12</v>
      </c>
      <c r="D1218" s="3">
        <v>367.86</v>
      </c>
      <c r="E1218" s="3">
        <v>195.24</v>
      </c>
      <c r="F1218" s="3">
        <v>156.94999999999999</v>
      </c>
      <c r="G1218" s="3">
        <v>175.88</v>
      </c>
      <c r="H1218" s="3">
        <v>84.45</v>
      </c>
      <c r="I1218" s="2">
        <v>64.48</v>
      </c>
      <c r="J1218" s="2">
        <v>698.83</v>
      </c>
      <c r="K1218" s="2">
        <v>349.35</v>
      </c>
      <c r="L1218" s="3">
        <v>111.41</v>
      </c>
      <c r="M1218" s="2">
        <v>3</v>
      </c>
    </row>
    <row r="1219" spans="1:13">
      <c r="A1219" s="9">
        <v>44183</v>
      </c>
      <c r="B1219" s="1">
        <f t="shared" si="38"/>
        <v>44166</v>
      </c>
      <c r="C1219" s="5" t="str">
        <f t="shared" ref="C1219:C1282" si="39">TEXT(A1219, "yyyy-mm")</f>
        <v>2020-12</v>
      </c>
      <c r="D1219" s="3">
        <v>369.18</v>
      </c>
      <c r="E1219" s="3">
        <v>195.34</v>
      </c>
      <c r="F1219" s="3">
        <v>156.33000000000001</v>
      </c>
      <c r="G1219" s="3">
        <v>176.44</v>
      </c>
      <c r="H1219" s="3">
        <v>84.93</v>
      </c>
      <c r="I1219" s="2">
        <v>65.06</v>
      </c>
      <c r="J1219" s="2">
        <v>698.8</v>
      </c>
      <c r="K1219" s="2">
        <v>356.03</v>
      </c>
      <c r="L1219" s="3">
        <v>113</v>
      </c>
      <c r="M1219" s="2">
        <v>3.05</v>
      </c>
    </row>
    <row r="1220" spans="1:13">
      <c r="A1220" s="9">
        <v>44182</v>
      </c>
      <c r="B1220" s="1">
        <f t="shared" si="38"/>
        <v>44166</v>
      </c>
      <c r="C1220" s="5" t="str">
        <f t="shared" si="39"/>
        <v>2020-12</v>
      </c>
      <c r="D1220" s="3">
        <v>372.24</v>
      </c>
      <c r="E1220" s="3">
        <v>196.29</v>
      </c>
      <c r="F1220" s="3">
        <v>156.80000000000001</v>
      </c>
      <c r="G1220" s="3">
        <v>176.74</v>
      </c>
      <c r="H1220" s="3">
        <v>86.67</v>
      </c>
      <c r="I1220" s="2">
        <v>63.61</v>
      </c>
      <c r="J1220" s="2">
        <v>706.01</v>
      </c>
      <c r="K1220" s="2">
        <v>352.6</v>
      </c>
      <c r="L1220" s="3">
        <v>112.91</v>
      </c>
      <c r="M1220" s="2">
        <v>3</v>
      </c>
    </row>
    <row r="1221" spans="1:13">
      <c r="A1221" s="9">
        <v>44181</v>
      </c>
      <c r="B1221" s="1">
        <f t="shared" si="38"/>
        <v>44166</v>
      </c>
      <c r="C1221" s="5" t="str">
        <f t="shared" si="39"/>
        <v>2020-12</v>
      </c>
      <c r="D1221" s="3">
        <v>370.17</v>
      </c>
      <c r="E1221" s="3">
        <v>193.98</v>
      </c>
      <c r="F1221" s="3">
        <v>157.38</v>
      </c>
      <c r="G1221" s="3">
        <v>174.9</v>
      </c>
      <c r="H1221" s="3">
        <v>85.84</v>
      </c>
      <c r="I1221" s="2">
        <v>62.78</v>
      </c>
      <c r="J1221" s="2">
        <v>698.37</v>
      </c>
      <c r="K1221" s="2">
        <v>354.57</v>
      </c>
      <c r="L1221" s="3">
        <v>111.71</v>
      </c>
      <c r="M1221" s="2">
        <v>2.99</v>
      </c>
    </row>
    <row r="1222" spans="1:13">
      <c r="A1222" s="9">
        <v>44180</v>
      </c>
      <c r="B1222" s="1">
        <f t="shared" si="38"/>
        <v>44166</v>
      </c>
      <c r="C1222" s="5" t="str">
        <f t="shared" si="39"/>
        <v>2020-12</v>
      </c>
      <c r="D1222" s="3">
        <v>369.59</v>
      </c>
      <c r="E1222" s="3">
        <v>194.68</v>
      </c>
      <c r="F1222" s="3">
        <v>157.80000000000001</v>
      </c>
      <c r="G1222" s="3">
        <v>173.94</v>
      </c>
      <c r="H1222" s="3">
        <v>85.74</v>
      </c>
      <c r="I1222" s="2">
        <v>61.86</v>
      </c>
      <c r="J1222" s="2">
        <v>698.18</v>
      </c>
      <c r="K1222" s="2">
        <v>357.57</v>
      </c>
      <c r="L1222" s="3">
        <v>112.04</v>
      </c>
      <c r="M1222" s="2">
        <v>2.99</v>
      </c>
    </row>
    <row r="1223" spans="1:13">
      <c r="A1223" s="9">
        <v>44179</v>
      </c>
      <c r="B1223" s="1">
        <f t="shared" si="38"/>
        <v>44166</v>
      </c>
      <c r="C1223" s="5" t="str">
        <f t="shared" si="39"/>
        <v>2020-12</v>
      </c>
      <c r="D1223" s="3">
        <v>364.66</v>
      </c>
      <c r="E1223" s="3">
        <v>189.93</v>
      </c>
      <c r="F1223" s="3">
        <v>158.33000000000001</v>
      </c>
      <c r="G1223" s="3">
        <v>171.54</v>
      </c>
      <c r="H1223" s="3">
        <v>84.02</v>
      </c>
      <c r="I1223" s="2">
        <v>60.76</v>
      </c>
      <c r="J1223" s="2">
        <v>683.92</v>
      </c>
      <c r="K1223" s="2">
        <v>357.66</v>
      </c>
      <c r="L1223" s="3">
        <v>110.84</v>
      </c>
      <c r="M1223" s="2">
        <v>2.92</v>
      </c>
    </row>
    <row r="1224" spans="1:13">
      <c r="A1224" s="9">
        <v>44176</v>
      </c>
      <c r="B1224" s="1">
        <f t="shared" si="38"/>
        <v>44166</v>
      </c>
      <c r="C1224" s="5" t="str">
        <f t="shared" si="39"/>
        <v>2020-12</v>
      </c>
      <c r="D1224" s="3">
        <v>366.3</v>
      </c>
      <c r="E1224" s="3">
        <v>190.3</v>
      </c>
      <c r="F1224" s="3">
        <v>158.77000000000001</v>
      </c>
      <c r="G1224" s="3">
        <v>172.49</v>
      </c>
      <c r="H1224" s="3">
        <v>84.39</v>
      </c>
      <c r="I1224" s="2">
        <v>60.61</v>
      </c>
      <c r="J1224" s="2">
        <v>695.2</v>
      </c>
      <c r="K1224" s="2">
        <v>361.71</v>
      </c>
      <c r="L1224" s="3">
        <v>111.68</v>
      </c>
      <c r="M1224" s="2">
        <v>2.99</v>
      </c>
    </row>
    <row r="1225" spans="1:13">
      <c r="A1225" s="9">
        <v>44175</v>
      </c>
      <c r="B1225" s="1">
        <f t="shared" si="38"/>
        <v>44166</v>
      </c>
      <c r="C1225" s="5" t="str">
        <f t="shared" si="39"/>
        <v>2020-12</v>
      </c>
      <c r="D1225" s="3">
        <v>366.73</v>
      </c>
      <c r="E1225" s="3">
        <v>191.24</v>
      </c>
      <c r="F1225" s="3">
        <v>158.21</v>
      </c>
      <c r="G1225" s="3">
        <v>172.17</v>
      </c>
      <c r="H1225" s="3">
        <v>84.47</v>
      </c>
      <c r="I1225" s="2">
        <v>59.48</v>
      </c>
      <c r="J1225" s="2">
        <v>698.41</v>
      </c>
      <c r="K1225" s="2">
        <v>355.39</v>
      </c>
      <c r="L1225" s="3">
        <v>112.12</v>
      </c>
      <c r="M1225" s="2">
        <v>3.04</v>
      </c>
    </row>
    <row r="1226" spans="1:13">
      <c r="A1226" s="9">
        <v>44174</v>
      </c>
      <c r="B1226" s="1">
        <f t="shared" si="38"/>
        <v>44166</v>
      </c>
      <c r="C1226" s="5" t="str">
        <f t="shared" si="39"/>
        <v>2020-12</v>
      </c>
      <c r="D1226" s="3">
        <v>366.85</v>
      </c>
      <c r="E1226" s="3">
        <v>189.41</v>
      </c>
      <c r="F1226" s="3">
        <v>156.82</v>
      </c>
      <c r="G1226" s="3">
        <v>172.5</v>
      </c>
      <c r="H1226" s="3">
        <v>84.84</v>
      </c>
      <c r="I1226" s="2">
        <v>59.73</v>
      </c>
      <c r="J1226" s="2">
        <v>701.68</v>
      </c>
      <c r="K1226" s="2">
        <v>361.35</v>
      </c>
      <c r="L1226" s="3">
        <v>112.31</v>
      </c>
      <c r="M1226" s="2">
        <v>3.03</v>
      </c>
    </row>
    <row r="1227" spans="1:13">
      <c r="A1227" s="9">
        <v>44173</v>
      </c>
      <c r="B1227" s="1">
        <f t="shared" si="38"/>
        <v>44166</v>
      </c>
      <c r="C1227" s="5" t="str">
        <f t="shared" si="39"/>
        <v>2020-12</v>
      </c>
      <c r="D1227" s="3">
        <v>370.17</v>
      </c>
      <c r="E1227" s="3">
        <v>190.8</v>
      </c>
      <c r="F1227" s="3">
        <v>157.34</v>
      </c>
      <c r="G1227" s="3">
        <v>175.5</v>
      </c>
      <c r="H1227" s="3">
        <v>85.37</v>
      </c>
      <c r="I1227" s="2">
        <v>59.03</v>
      </c>
      <c r="J1227" s="2">
        <v>713.92</v>
      </c>
      <c r="K1227" s="2">
        <v>359.23</v>
      </c>
      <c r="L1227" s="3">
        <v>112.7</v>
      </c>
      <c r="M1227" s="2">
        <v>3.09</v>
      </c>
    </row>
    <row r="1228" spans="1:13">
      <c r="A1228" s="9">
        <v>44172</v>
      </c>
      <c r="B1228" s="1">
        <f t="shared" si="38"/>
        <v>44166</v>
      </c>
      <c r="C1228" s="5" t="str">
        <f t="shared" si="39"/>
        <v>2020-12</v>
      </c>
      <c r="D1228" s="3">
        <v>369.09</v>
      </c>
      <c r="E1228" s="3">
        <v>188.38</v>
      </c>
      <c r="F1228" s="3">
        <v>156.6</v>
      </c>
      <c r="G1228" s="3">
        <v>174.89</v>
      </c>
      <c r="H1228" s="3">
        <v>85.67</v>
      </c>
      <c r="I1228" s="2">
        <v>59.8</v>
      </c>
      <c r="J1228" s="2">
        <v>709.49</v>
      </c>
      <c r="K1228" s="2">
        <v>362.13</v>
      </c>
      <c r="L1228" s="3">
        <v>111.85</v>
      </c>
      <c r="M1228" s="2">
        <v>3.1</v>
      </c>
    </row>
    <row r="1229" spans="1:13">
      <c r="A1229" s="9">
        <v>44169</v>
      </c>
      <c r="B1229" s="1">
        <f t="shared" si="38"/>
        <v>44166</v>
      </c>
      <c r="C1229" s="5" t="str">
        <f t="shared" si="39"/>
        <v>2020-12</v>
      </c>
      <c r="D1229" s="3">
        <v>369.85</v>
      </c>
      <c r="E1229" s="3">
        <v>188.2</v>
      </c>
      <c r="F1229" s="3">
        <v>155.19999999999999</v>
      </c>
      <c r="G1229" s="3">
        <v>172.32</v>
      </c>
      <c r="H1229" s="3">
        <v>86.42</v>
      </c>
      <c r="I1229" s="2">
        <v>59.96</v>
      </c>
      <c r="J1229" s="2">
        <v>703.47</v>
      </c>
      <c r="K1229" s="2">
        <v>366.61</v>
      </c>
      <c r="L1229" s="3">
        <v>112.54</v>
      </c>
      <c r="M1229" s="2">
        <v>3.06</v>
      </c>
    </row>
    <row r="1230" spans="1:13">
      <c r="A1230" s="9">
        <v>44168</v>
      </c>
      <c r="B1230" s="1">
        <f t="shared" si="38"/>
        <v>44166</v>
      </c>
      <c r="C1230" s="5" t="str">
        <f t="shared" si="39"/>
        <v>2020-12</v>
      </c>
      <c r="D1230" s="3">
        <v>366.69</v>
      </c>
      <c r="E1230" s="3">
        <v>183.92</v>
      </c>
      <c r="F1230" s="3">
        <v>157.51</v>
      </c>
      <c r="G1230" s="3">
        <v>172.81</v>
      </c>
      <c r="H1230" s="3">
        <v>85.12</v>
      </c>
      <c r="I1230" s="2">
        <v>59.27</v>
      </c>
      <c r="J1230" s="2">
        <v>715.42</v>
      </c>
      <c r="K1230" s="2">
        <v>362.03</v>
      </c>
      <c r="L1230" s="3">
        <v>111.35</v>
      </c>
      <c r="M1230" s="2">
        <v>2.97</v>
      </c>
    </row>
    <row r="1231" spans="1:13">
      <c r="A1231" s="9">
        <v>44167</v>
      </c>
      <c r="B1231" s="1">
        <f t="shared" si="38"/>
        <v>44166</v>
      </c>
      <c r="C1231" s="5" t="str">
        <f t="shared" si="39"/>
        <v>2020-12</v>
      </c>
      <c r="D1231" s="3">
        <v>366.79</v>
      </c>
      <c r="E1231" s="3">
        <v>182.89</v>
      </c>
      <c r="F1231" s="3">
        <v>156.25</v>
      </c>
      <c r="G1231" s="3">
        <v>171.46</v>
      </c>
      <c r="H1231" s="3">
        <v>84.41</v>
      </c>
      <c r="I1231" s="2">
        <v>59.08</v>
      </c>
      <c r="J1231" s="2">
        <v>718.36</v>
      </c>
      <c r="K1231" s="2">
        <v>361.36</v>
      </c>
      <c r="L1231" s="3">
        <v>111.49</v>
      </c>
      <c r="M1231" s="2">
        <v>2.91</v>
      </c>
    </row>
    <row r="1232" spans="1:13">
      <c r="A1232" s="9">
        <v>44166</v>
      </c>
      <c r="B1232" s="1">
        <f t="shared" si="38"/>
        <v>44166</v>
      </c>
      <c r="C1232" s="5" t="str">
        <f t="shared" si="39"/>
        <v>2020-12</v>
      </c>
      <c r="D1232" s="3">
        <v>366.02</v>
      </c>
      <c r="E1232" s="3">
        <v>182.7</v>
      </c>
      <c r="F1232" s="3">
        <v>157.5</v>
      </c>
      <c r="G1232" s="3">
        <v>170.18</v>
      </c>
      <c r="H1232" s="3">
        <v>85.08</v>
      </c>
      <c r="I1232" s="2">
        <v>58.74</v>
      </c>
      <c r="J1232" s="2">
        <v>715.23</v>
      </c>
      <c r="K1232" s="2">
        <v>364.99</v>
      </c>
      <c r="L1232" s="3">
        <v>110.66</v>
      </c>
      <c r="M1232" s="2">
        <v>2.89</v>
      </c>
    </row>
    <row r="1233" spans="1:13">
      <c r="A1233" s="9">
        <v>44165</v>
      </c>
      <c r="B1233" s="1">
        <f t="shared" si="38"/>
        <v>44136</v>
      </c>
      <c r="C1233" s="5" t="str">
        <f t="shared" si="39"/>
        <v>2020-11</v>
      </c>
      <c r="D1233" s="3">
        <v>362.06</v>
      </c>
      <c r="E1233" s="3">
        <v>181.02</v>
      </c>
      <c r="F1233" s="3">
        <v>160.02000000000001</v>
      </c>
      <c r="G1233" s="3">
        <v>166.67</v>
      </c>
      <c r="H1233" s="3">
        <v>84</v>
      </c>
      <c r="I1233" s="2">
        <v>57.72</v>
      </c>
      <c r="J1233" s="2">
        <v>698.35</v>
      </c>
      <c r="K1233" s="2">
        <v>365</v>
      </c>
      <c r="L1233" s="3">
        <v>109.74</v>
      </c>
      <c r="M1233" s="2">
        <v>2.82</v>
      </c>
    </row>
    <row r="1234" spans="1:13">
      <c r="A1234" s="9">
        <v>44162</v>
      </c>
      <c r="B1234" s="1">
        <f t="shared" si="38"/>
        <v>44136</v>
      </c>
      <c r="C1234" s="5" t="str">
        <f t="shared" si="39"/>
        <v>2020-11</v>
      </c>
      <c r="D1234" s="3">
        <v>363.67</v>
      </c>
      <c r="E1234" s="3">
        <v>184.37</v>
      </c>
      <c r="F1234" s="3">
        <v>160.22</v>
      </c>
      <c r="G1234" s="3">
        <v>167.79</v>
      </c>
      <c r="H1234" s="3">
        <v>84.89</v>
      </c>
      <c r="I1234" s="2">
        <v>57.76</v>
      </c>
      <c r="J1234" s="2">
        <v>715.11</v>
      </c>
      <c r="K1234" s="2">
        <v>374.34</v>
      </c>
      <c r="L1234" s="3">
        <v>109.44</v>
      </c>
      <c r="M1234" s="2">
        <v>2.97</v>
      </c>
    </row>
    <row r="1235" spans="1:13">
      <c r="A1235" s="9">
        <v>44160</v>
      </c>
      <c r="B1235" s="1">
        <f t="shared" si="38"/>
        <v>44136</v>
      </c>
      <c r="C1235" s="5" t="str">
        <f t="shared" si="39"/>
        <v>2020-11</v>
      </c>
      <c r="D1235" s="3">
        <v>362.66</v>
      </c>
      <c r="E1235" s="3">
        <v>183.59</v>
      </c>
      <c r="F1235" s="3">
        <v>158.68</v>
      </c>
      <c r="G1235" s="3">
        <v>169.51</v>
      </c>
      <c r="H1235" s="3">
        <v>85.27</v>
      </c>
      <c r="I1235" s="2">
        <v>57.41</v>
      </c>
      <c r="J1235" s="2">
        <v>703.61</v>
      </c>
      <c r="K1235" s="2">
        <v>378.34</v>
      </c>
      <c r="L1235" s="3">
        <v>108.44</v>
      </c>
      <c r="M1235" s="2">
        <v>2.93</v>
      </c>
    </row>
    <row r="1236" spans="1:13">
      <c r="A1236" s="9">
        <v>44159</v>
      </c>
      <c r="B1236" s="1">
        <f t="shared" si="38"/>
        <v>44136</v>
      </c>
      <c r="C1236" s="5" t="str">
        <f t="shared" si="39"/>
        <v>2020-11</v>
      </c>
      <c r="D1236" s="3">
        <v>363.22</v>
      </c>
      <c r="E1236" s="3">
        <v>184.22</v>
      </c>
      <c r="F1236" s="3">
        <v>159.16999999999999</v>
      </c>
      <c r="G1236" s="3">
        <v>169.59</v>
      </c>
      <c r="H1236" s="3">
        <v>85.22</v>
      </c>
      <c r="I1236" s="2">
        <v>57.57</v>
      </c>
      <c r="J1236" s="2">
        <v>699.3</v>
      </c>
      <c r="K1236" s="2">
        <v>378.48</v>
      </c>
      <c r="L1236" s="3">
        <v>108.84</v>
      </c>
      <c r="M1236" s="2">
        <v>2.91</v>
      </c>
    </row>
    <row r="1237" spans="1:13">
      <c r="A1237" s="9">
        <v>44158</v>
      </c>
      <c r="B1237" s="1">
        <f t="shared" si="38"/>
        <v>44136</v>
      </c>
      <c r="C1237" s="5" t="str">
        <f t="shared" si="39"/>
        <v>2020-11</v>
      </c>
      <c r="D1237" s="3">
        <v>357.46</v>
      </c>
      <c r="E1237" s="3">
        <v>180.82</v>
      </c>
      <c r="F1237" s="3">
        <v>160.77000000000001</v>
      </c>
      <c r="G1237" s="3">
        <v>172.23</v>
      </c>
      <c r="H1237" s="3">
        <v>84.77</v>
      </c>
      <c r="I1237" s="2">
        <v>56.08</v>
      </c>
      <c r="J1237" s="2">
        <v>682.87</v>
      </c>
      <c r="K1237" s="2">
        <v>370.85</v>
      </c>
      <c r="L1237" s="3">
        <v>108.52</v>
      </c>
      <c r="M1237" s="2">
        <v>2.94</v>
      </c>
    </row>
    <row r="1238" spans="1:13">
      <c r="A1238" s="9">
        <v>44155</v>
      </c>
      <c r="B1238" s="1">
        <f t="shared" si="38"/>
        <v>44136</v>
      </c>
      <c r="C1238" s="5" t="str">
        <f t="shared" si="39"/>
        <v>2020-11</v>
      </c>
      <c r="D1238" s="3">
        <v>355.33</v>
      </c>
      <c r="E1238" s="3">
        <v>177.5</v>
      </c>
      <c r="F1238" s="3">
        <v>161.51</v>
      </c>
      <c r="G1238" s="3">
        <v>175.69</v>
      </c>
      <c r="H1238" s="3">
        <v>84.61</v>
      </c>
      <c r="I1238" s="2">
        <v>55.7</v>
      </c>
      <c r="J1238" s="2">
        <v>672.71</v>
      </c>
      <c r="K1238" s="2">
        <v>368.02</v>
      </c>
      <c r="L1238" s="3">
        <v>108.8</v>
      </c>
      <c r="M1238" s="2">
        <v>2.99</v>
      </c>
    </row>
    <row r="1239" spans="1:13">
      <c r="A1239" s="9">
        <v>44154</v>
      </c>
      <c r="B1239" s="1">
        <f t="shared" si="38"/>
        <v>44136</v>
      </c>
      <c r="C1239" s="5" t="str">
        <f t="shared" si="39"/>
        <v>2020-11</v>
      </c>
      <c r="D1239" s="3">
        <v>357.78</v>
      </c>
      <c r="E1239" s="3">
        <v>177.31</v>
      </c>
      <c r="F1239" s="3">
        <v>160.09</v>
      </c>
      <c r="G1239" s="3">
        <v>175.16</v>
      </c>
      <c r="H1239" s="3">
        <v>85.07</v>
      </c>
      <c r="I1239" s="2">
        <v>56.45</v>
      </c>
      <c r="J1239" s="2">
        <v>673.48</v>
      </c>
      <c r="K1239" s="2">
        <v>376.46</v>
      </c>
      <c r="L1239" s="3">
        <v>109.05</v>
      </c>
      <c r="M1239" s="2">
        <v>3</v>
      </c>
    </row>
    <row r="1240" spans="1:13">
      <c r="A1240" s="9">
        <v>44153</v>
      </c>
      <c r="B1240" s="1">
        <f t="shared" si="38"/>
        <v>44136</v>
      </c>
      <c r="C1240" s="5" t="str">
        <f t="shared" si="39"/>
        <v>2020-11</v>
      </c>
      <c r="D1240" s="3">
        <v>356.28</v>
      </c>
      <c r="E1240" s="3">
        <v>175.96</v>
      </c>
      <c r="F1240" s="3">
        <v>159.27000000000001</v>
      </c>
      <c r="G1240" s="3">
        <v>175.49</v>
      </c>
      <c r="H1240" s="3">
        <v>84.74</v>
      </c>
      <c r="I1240" s="2">
        <v>56.25</v>
      </c>
      <c r="J1240" s="2">
        <v>669.89</v>
      </c>
      <c r="K1240" s="2">
        <v>377.56</v>
      </c>
      <c r="L1240" s="3">
        <v>109.13</v>
      </c>
      <c r="M1240" s="2">
        <v>2.96</v>
      </c>
    </row>
    <row r="1241" spans="1:13">
      <c r="A1241" s="9">
        <v>44152</v>
      </c>
      <c r="B1241" s="1">
        <f t="shared" si="38"/>
        <v>44136</v>
      </c>
      <c r="C1241" s="5" t="str">
        <f t="shared" si="39"/>
        <v>2020-11</v>
      </c>
      <c r="D1241" s="3">
        <v>360.62</v>
      </c>
      <c r="E1241" s="3">
        <v>178.46</v>
      </c>
      <c r="F1241" s="3">
        <v>158.81</v>
      </c>
      <c r="G1241" s="3">
        <v>176.5</v>
      </c>
      <c r="H1241" s="3">
        <v>86.42</v>
      </c>
      <c r="I1241" s="2">
        <v>57.12</v>
      </c>
      <c r="J1241" s="2">
        <v>667.49</v>
      </c>
      <c r="K1241" s="2">
        <v>375.9</v>
      </c>
      <c r="L1241" s="3">
        <v>111.2</v>
      </c>
      <c r="M1241" s="2">
        <v>2.95</v>
      </c>
    </row>
    <row r="1242" spans="1:13">
      <c r="A1242" s="9">
        <v>44151</v>
      </c>
      <c r="B1242" s="1">
        <f t="shared" si="38"/>
        <v>44136</v>
      </c>
      <c r="C1242" s="5" t="str">
        <f t="shared" si="39"/>
        <v>2020-11</v>
      </c>
      <c r="D1242" s="3">
        <v>362.57</v>
      </c>
      <c r="E1242" s="3">
        <v>177.63</v>
      </c>
      <c r="F1242" s="3">
        <v>157.78</v>
      </c>
      <c r="G1242" s="3">
        <v>177.15</v>
      </c>
      <c r="H1242" s="3">
        <v>86.34</v>
      </c>
      <c r="I1242" s="2">
        <v>57.15</v>
      </c>
      <c r="J1242" s="2">
        <v>676.43</v>
      </c>
      <c r="K1242" s="2">
        <v>377.13</v>
      </c>
      <c r="L1242" s="3">
        <v>111.93</v>
      </c>
      <c r="M1242" s="2">
        <v>2.95</v>
      </c>
    </row>
    <row r="1243" spans="1:13">
      <c r="A1243" s="9">
        <v>44148</v>
      </c>
      <c r="B1243" s="1">
        <f t="shared" si="38"/>
        <v>44136</v>
      </c>
      <c r="C1243" s="5" t="str">
        <f t="shared" si="39"/>
        <v>2020-11</v>
      </c>
      <c r="D1243" s="3">
        <v>358.1</v>
      </c>
      <c r="E1243" s="3">
        <v>173.5</v>
      </c>
      <c r="F1243" s="3">
        <v>158.16</v>
      </c>
      <c r="G1243" s="3">
        <v>177.16</v>
      </c>
      <c r="H1243" s="3">
        <v>85.38</v>
      </c>
      <c r="I1243" s="2">
        <v>56.91</v>
      </c>
      <c r="J1243" s="2">
        <v>669.77</v>
      </c>
      <c r="K1243" s="2">
        <v>375.14</v>
      </c>
      <c r="L1243" s="3">
        <v>112.12</v>
      </c>
      <c r="M1243" s="2">
        <v>2.95</v>
      </c>
    </row>
    <row r="1244" spans="1:13">
      <c r="A1244" s="9">
        <v>44147</v>
      </c>
      <c r="B1244" s="1">
        <f t="shared" si="38"/>
        <v>44136</v>
      </c>
      <c r="C1244" s="5" t="str">
        <f t="shared" si="39"/>
        <v>2020-11</v>
      </c>
      <c r="D1244" s="3">
        <v>353.21</v>
      </c>
      <c r="E1244" s="3">
        <v>169.98</v>
      </c>
      <c r="F1244" s="3">
        <v>158.37</v>
      </c>
      <c r="G1244" s="3">
        <v>175.96</v>
      </c>
      <c r="H1244" s="3">
        <v>83.16</v>
      </c>
      <c r="I1244" s="2">
        <v>56.45</v>
      </c>
      <c r="J1244" s="2">
        <v>659.79</v>
      </c>
      <c r="K1244" s="2">
        <v>367.89</v>
      </c>
      <c r="L1244" s="3">
        <v>110.72</v>
      </c>
      <c r="M1244" s="2">
        <v>2.86</v>
      </c>
    </row>
    <row r="1245" spans="1:13">
      <c r="A1245" s="9">
        <v>44146</v>
      </c>
      <c r="B1245" s="1">
        <f t="shared" si="38"/>
        <v>44136</v>
      </c>
      <c r="C1245" s="5" t="str">
        <f t="shared" si="39"/>
        <v>2020-11</v>
      </c>
      <c r="D1245" s="3">
        <v>356.67</v>
      </c>
      <c r="E1245" s="3">
        <v>172.63</v>
      </c>
      <c r="F1245" s="3">
        <v>155.72</v>
      </c>
      <c r="G1245" s="3">
        <v>174.9</v>
      </c>
      <c r="H1245" s="3">
        <v>84.26</v>
      </c>
      <c r="I1245" s="2">
        <v>57.2</v>
      </c>
      <c r="J1245" s="2">
        <v>670.62</v>
      </c>
      <c r="K1245" s="2">
        <v>369.28</v>
      </c>
      <c r="L1245" s="3">
        <v>111.13</v>
      </c>
      <c r="M1245" s="2">
        <v>2.85</v>
      </c>
    </row>
    <row r="1246" spans="1:13">
      <c r="A1246" s="9">
        <v>44145</v>
      </c>
      <c r="B1246" s="1">
        <f t="shared" si="38"/>
        <v>44136</v>
      </c>
      <c r="C1246" s="5" t="str">
        <f t="shared" si="39"/>
        <v>2020-11</v>
      </c>
      <c r="D1246" s="3">
        <v>354.04</v>
      </c>
      <c r="E1246" s="3">
        <v>172.7</v>
      </c>
      <c r="F1246" s="3">
        <v>155.16</v>
      </c>
      <c r="G1246" s="3">
        <v>175.66</v>
      </c>
      <c r="H1246" s="3">
        <v>83.94</v>
      </c>
      <c r="I1246" s="2">
        <v>56.67</v>
      </c>
      <c r="J1246" s="2">
        <v>660.6</v>
      </c>
      <c r="K1246" s="2">
        <v>371.28</v>
      </c>
      <c r="L1246" s="3">
        <v>111.27</v>
      </c>
      <c r="M1246" s="2">
        <v>2.78</v>
      </c>
    </row>
    <row r="1247" spans="1:13">
      <c r="A1247" s="9">
        <v>44144</v>
      </c>
      <c r="B1247" s="1">
        <f t="shared" si="38"/>
        <v>44136</v>
      </c>
      <c r="C1247" s="5" t="str">
        <f t="shared" si="39"/>
        <v>2020-11</v>
      </c>
      <c r="D1247" s="3">
        <v>354.56</v>
      </c>
      <c r="E1247" s="3">
        <v>169.55</v>
      </c>
      <c r="F1247" s="3">
        <v>156.06</v>
      </c>
      <c r="G1247" s="3">
        <v>175.08</v>
      </c>
      <c r="H1247" s="3">
        <v>82.73</v>
      </c>
      <c r="I1247" s="2">
        <v>56.84</v>
      </c>
      <c r="J1247" s="2">
        <v>666.02</v>
      </c>
      <c r="K1247" s="2">
        <v>363.95</v>
      </c>
      <c r="L1247" s="3">
        <v>110.95</v>
      </c>
      <c r="M1247" s="2">
        <v>2.77</v>
      </c>
    </row>
    <row r="1248" spans="1:13">
      <c r="A1248" s="9">
        <v>44141</v>
      </c>
      <c r="B1248" s="1">
        <f t="shared" si="38"/>
        <v>44136</v>
      </c>
      <c r="C1248" s="5" t="str">
        <f t="shared" si="39"/>
        <v>2020-11</v>
      </c>
      <c r="D1248" s="3">
        <v>350.16</v>
      </c>
      <c r="E1248" s="3">
        <v>163.62</v>
      </c>
      <c r="F1248" s="3">
        <v>159.41</v>
      </c>
      <c r="G1248" s="3">
        <v>183.19</v>
      </c>
      <c r="H1248" s="3">
        <v>79.900000000000006</v>
      </c>
      <c r="I1248" s="2">
        <v>56.8</v>
      </c>
      <c r="J1248" s="2">
        <v>654.9</v>
      </c>
      <c r="K1248" s="2">
        <v>361.27</v>
      </c>
      <c r="L1248" s="3">
        <v>109.92</v>
      </c>
      <c r="M1248" s="2">
        <v>2.8</v>
      </c>
    </row>
    <row r="1249" spans="1:13">
      <c r="A1249" s="9">
        <v>44140</v>
      </c>
      <c r="B1249" s="1">
        <f t="shared" si="38"/>
        <v>44136</v>
      </c>
      <c r="C1249" s="5" t="str">
        <f t="shared" si="39"/>
        <v>2020-11</v>
      </c>
      <c r="D1249" s="3">
        <v>350.24</v>
      </c>
      <c r="E1249" s="3">
        <v>164.91</v>
      </c>
      <c r="F1249" s="3">
        <v>161.36000000000001</v>
      </c>
      <c r="G1249" s="3">
        <v>182.93</v>
      </c>
      <c r="H1249" s="3">
        <v>80.45</v>
      </c>
      <c r="I1249" s="2">
        <v>56.66</v>
      </c>
      <c r="J1249" s="2">
        <v>668.19</v>
      </c>
      <c r="K1249" s="2">
        <v>364.7</v>
      </c>
      <c r="L1249" s="3">
        <v>109.88</v>
      </c>
      <c r="M1249" s="2">
        <v>2.87</v>
      </c>
    </row>
    <row r="1250" spans="1:13">
      <c r="A1250" s="9">
        <v>44139</v>
      </c>
      <c r="B1250" s="1">
        <f t="shared" si="38"/>
        <v>44136</v>
      </c>
      <c r="C1250" s="5" t="str">
        <f t="shared" si="39"/>
        <v>2020-11</v>
      </c>
      <c r="D1250" s="3">
        <v>343.54</v>
      </c>
      <c r="E1250" s="3">
        <v>160.41999999999999</v>
      </c>
      <c r="F1250" s="3">
        <v>161.08000000000001</v>
      </c>
      <c r="G1250" s="3">
        <v>178.82</v>
      </c>
      <c r="H1250" s="3">
        <v>80.069999999999993</v>
      </c>
      <c r="I1250" s="2">
        <v>56.49</v>
      </c>
      <c r="J1250" s="2">
        <v>651.6</v>
      </c>
      <c r="K1250" s="2">
        <v>372.16</v>
      </c>
      <c r="L1250" s="3">
        <v>109.66</v>
      </c>
      <c r="M1250" s="2">
        <v>2.84</v>
      </c>
    </row>
    <row r="1251" spans="1:13">
      <c r="A1251" s="9">
        <v>44138</v>
      </c>
      <c r="B1251" s="1">
        <f t="shared" si="38"/>
        <v>44136</v>
      </c>
      <c r="C1251" s="5" t="str">
        <f t="shared" si="39"/>
        <v>2020-11</v>
      </c>
      <c r="D1251" s="3">
        <v>336.03</v>
      </c>
      <c r="E1251" s="3">
        <v>160.24</v>
      </c>
      <c r="F1251" s="3">
        <v>157.66</v>
      </c>
      <c r="G1251" s="3">
        <v>178.92</v>
      </c>
      <c r="H1251" s="3">
        <v>79.930000000000007</v>
      </c>
      <c r="I1251" s="2">
        <v>56.8</v>
      </c>
      <c r="J1251" s="2">
        <v>629.26</v>
      </c>
      <c r="K1251" s="2">
        <v>363.44</v>
      </c>
      <c r="L1251" s="3">
        <v>105</v>
      </c>
      <c r="M1251" s="2">
        <v>2.3199999999999998</v>
      </c>
    </row>
    <row r="1252" spans="1:13">
      <c r="A1252" s="9">
        <v>44137</v>
      </c>
      <c r="B1252" s="1">
        <f t="shared" si="38"/>
        <v>44136</v>
      </c>
      <c r="C1252" s="5" t="str">
        <f t="shared" si="39"/>
        <v>2020-11</v>
      </c>
      <c r="D1252" s="3">
        <v>330.2</v>
      </c>
      <c r="E1252" s="3">
        <v>155.82</v>
      </c>
      <c r="F1252" s="3">
        <v>158.58000000000001</v>
      </c>
      <c r="G1252" s="3">
        <v>177.91</v>
      </c>
      <c r="H1252" s="3">
        <v>78.42</v>
      </c>
      <c r="I1252" s="2">
        <v>56.45</v>
      </c>
      <c r="J1252" s="2">
        <v>614.87</v>
      </c>
      <c r="K1252" s="2">
        <v>352.42</v>
      </c>
      <c r="L1252" s="3">
        <v>103.49</v>
      </c>
      <c r="M1252" s="2">
        <v>2.2999999999999998</v>
      </c>
    </row>
    <row r="1253" spans="1:13">
      <c r="A1253" s="9">
        <v>44134</v>
      </c>
      <c r="B1253" s="1">
        <f t="shared" si="38"/>
        <v>44105</v>
      </c>
      <c r="C1253" s="5" t="str">
        <f t="shared" si="39"/>
        <v>2020-10</v>
      </c>
      <c r="D1253" s="3">
        <v>326.54000000000002</v>
      </c>
      <c r="E1253" s="3">
        <v>153.09</v>
      </c>
      <c r="F1253" s="3">
        <v>157.57</v>
      </c>
      <c r="G1253" s="3">
        <v>176.2</v>
      </c>
      <c r="H1253" s="3">
        <v>76.59</v>
      </c>
      <c r="I1253" s="2">
        <v>56.11</v>
      </c>
      <c r="J1253" s="2">
        <v>599.21</v>
      </c>
      <c r="K1253" s="2">
        <v>350.13</v>
      </c>
      <c r="L1253" s="3">
        <v>101.66</v>
      </c>
      <c r="M1253" s="2">
        <v>2.27</v>
      </c>
    </row>
    <row r="1254" spans="1:13">
      <c r="A1254" s="9">
        <v>44133</v>
      </c>
      <c r="B1254" s="1">
        <f t="shared" si="38"/>
        <v>44105</v>
      </c>
      <c r="C1254" s="5" t="str">
        <f t="shared" si="39"/>
        <v>2020-10</v>
      </c>
      <c r="D1254" s="3">
        <v>329.98</v>
      </c>
      <c r="E1254" s="3">
        <v>155.13999999999999</v>
      </c>
      <c r="F1254" s="3">
        <v>159.13999999999999</v>
      </c>
      <c r="G1254" s="3">
        <v>175.4</v>
      </c>
      <c r="H1254" s="3">
        <v>77.099999999999994</v>
      </c>
      <c r="I1254" s="2">
        <v>56.02</v>
      </c>
      <c r="J1254" s="2">
        <v>602.33000000000004</v>
      </c>
      <c r="K1254" s="2">
        <v>352.44</v>
      </c>
      <c r="L1254" s="3">
        <v>101.69</v>
      </c>
      <c r="M1254" s="2">
        <v>2.2999999999999998</v>
      </c>
    </row>
    <row r="1255" spans="1:13">
      <c r="A1255" s="9">
        <v>44132</v>
      </c>
      <c r="B1255" s="1">
        <f t="shared" si="38"/>
        <v>44105</v>
      </c>
      <c r="C1255" s="5" t="str">
        <f t="shared" si="39"/>
        <v>2020-10</v>
      </c>
      <c r="D1255" s="3">
        <v>326.66000000000003</v>
      </c>
      <c r="E1255" s="3">
        <v>153.31</v>
      </c>
      <c r="F1255" s="3">
        <v>160.69999999999999</v>
      </c>
      <c r="G1255" s="3">
        <v>176.13</v>
      </c>
      <c r="H1255" s="3">
        <v>76.08</v>
      </c>
      <c r="I1255" s="2">
        <v>55.59</v>
      </c>
      <c r="J1255" s="2">
        <v>600.71</v>
      </c>
      <c r="K1255" s="2">
        <v>350.86</v>
      </c>
      <c r="L1255" s="3">
        <v>102.53</v>
      </c>
      <c r="M1255" s="2">
        <v>2.23</v>
      </c>
    </row>
    <row r="1256" spans="1:13">
      <c r="A1256" s="9">
        <v>44131</v>
      </c>
      <c r="B1256" s="1">
        <f t="shared" si="38"/>
        <v>44105</v>
      </c>
      <c r="C1256" s="5" t="str">
        <f t="shared" si="39"/>
        <v>2020-10</v>
      </c>
      <c r="D1256" s="3">
        <v>338.22</v>
      </c>
      <c r="E1256" s="3">
        <v>158.18</v>
      </c>
      <c r="F1256" s="3">
        <v>160.55000000000001</v>
      </c>
      <c r="G1256" s="3">
        <v>179.02</v>
      </c>
      <c r="H1256" s="3">
        <v>77.94</v>
      </c>
      <c r="I1256" s="2">
        <v>57.08</v>
      </c>
      <c r="J1256" s="2">
        <v>614.53</v>
      </c>
      <c r="K1256" s="2">
        <v>362.43</v>
      </c>
      <c r="L1256" s="3">
        <v>105.89</v>
      </c>
      <c r="M1256" s="2">
        <v>2.37</v>
      </c>
    </row>
    <row r="1257" spans="1:13">
      <c r="A1257" s="9">
        <v>44130</v>
      </c>
      <c r="B1257" s="1">
        <f t="shared" si="38"/>
        <v>44105</v>
      </c>
      <c r="C1257" s="5" t="str">
        <f t="shared" si="39"/>
        <v>2020-10</v>
      </c>
      <c r="D1257" s="3">
        <v>339.39</v>
      </c>
      <c r="E1257" s="3">
        <v>159.55000000000001</v>
      </c>
      <c r="F1257" s="3">
        <v>159.47999999999999</v>
      </c>
      <c r="G1257" s="3">
        <v>178.55</v>
      </c>
      <c r="H1257" s="3">
        <v>79.209999999999994</v>
      </c>
      <c r="I1257" s="2">
        <v>57.49</v>
      </c>
      <c r="J1257" s="2">
        <v>622.19000000000005</v>
      </c>
      <c r="K1257" s="2">
        <v>368.55</v>
      </c>
      <c r="L1257" s="3">
        <v>106.62</v>
      </c>
      <c r="M1257" s="2">
        <v>2.4300000000000002</v>
      </c>
    </row>
    <row r="1258" spans="1:13">
      <c r="A1258" s="9">
        <v>44127</v>
      </c>
      <c r="B1258" s="1">
        <f t="shared" si="38"/>
        <v>44105</v>
      </c>
      <c r="C1258" s="5" t="str">
        <f t="shared" si="39"/>
        <v>2020-10</v>
      </c>
      <c r="D1258" s="3">
        <v>345.78</v>
      </c>
      <c r="E1258" s="3">
        <v>163.07</v>
      </c>
      <c r="F1258" s="3">
        <v>158.01</v>
      </c>
      <c r="G1258" s="3">
        <v>178.64</v>
      </c>
      <c r="H1258" s="3">
        <v>80.36</v>
      </c>
      <c r="I1258" s="2">
        <v>59.9</v>
      </c>
      <c r="J1258" s="2">
        <v>637.30999999999995</v>
      </c>
      <c r="K1258" s="2">
        <v>374.33</v>
      </c>
      <c r="L1258" s="3">
        <v>107.82</v>
      </c>
      <c r="M1258" s="2">
        <v>2.5499999999999998</v>
      </c>
    </row>
    <row r="1259" spans="1:13">
      <c r="A1259" s="9">
        <v>44126</v>
      </c>
      <c r="B1259" s="1">
        <f t="shared" si="38"/>
        <v>44105</v>
      </c>
      <c r="C1259" s="5" t="str">
        <f t="shared" si="39"/>
        <v>2020-10</v>
      </c>
      <c r="D1259" s="3">
        <v>344.61</v>
      </c>
      <c r="E1259" s="3">
        <v>162.13</v>
      </c>
      <c r="F1259" s="3">
        <v>157.05000000000001</v>
      </c>
      <c r="G1259" s="3">
        <v>178.83</v>
      </c>
      <c r="H1259" s="3">
        <v>79.88</v>
      </c>
      <c r="I1259" s="2">
        <v>59.69</v>
      </c>
      <c r="J1259" s="2">
        <v>635.17999999999995</v>
      </c>
      <c r="K1259" s="2">
        <v>368.96</v>
      </c>
      <c r="L1259" s="3">
        <v>107.42</v>
      </c>
      <c r="M1259" s="2">
        <v>2.68</v>
      </c>
    </row>
    <row r="1260" spans="1:13">
      <c r="A1260" s="9">
        <v>44125</v>
      </c>
      <c r="B1260" s="1">
        <f t="shared" si="38"/>
        <v>44105</v>
      </c>
      <c r="C1260" s="5" t="str">
        <f t="shared" si="39"/>
        <v>2020-10</v>
      </c>
      <c r="D1260" s="3">
        <v>342.73</v>
      </c>
      <c r="E1260" s="3">
        <v>159.38</v>
      </c>
      <c r="F1260" s="3">
        <v>158.69999999999999</v>
      </c>
      <c r="G1260" s="3">
        <v>180.6</v>
      </c>
      <c r="H1260" s="3">
        <v>79.89</v>
      </c>
      <c r="I1260" s="2">
        <v>59.67</v>
      </c>
      <c r="J1260" s="2">
        <v>634.99</v>
      </c>
      <c r="K1260" s="2">
        <v>367.14</v>
      </c>
      <c r="L1260" s="3">
        <v>105.82</v>
      </c>
      <c r="M1260" s="2">
        <v>2.62</v>
      </c>
    </row>
    <row r="1261" spans="1:13">
      <c r="A1261" s="9">
        <v>44124</v>
      </c>
      <c r="B1261" s="1">
        <f t="shared" si="38"/>
        <v>44105</v>
      </c>
      <c r="C1261" s="5" t="str">
        <f t="shared" si="39"/>
        <v>2020-10</v>
      </c>
      <c r="D1261" s="3">
        <v>343.38</v>
      </c>
      <c r="E1261" s="3">
        <v>160.76</v>
      </c>
      <c r="F1261" s="3">
        <v>159.25</v>
      </c>
      <c r="G1261" s="3">
        <v>179.25</v>
      </c>
      <c r="H1261" s="3">
        <v>80.13</v>
      </c>
      <c r="I1261" s="2">
        <v>59.75</v>
      </c>
      <c r="J1261" s="2">
        <v>645.07000000000005</v>
      </c>
      <c r="K1261" s="2">
        <v>372.21</v>
      </c>
      <c r="L1261" s="3">
        <v>106.35</v>
      </c>
      <c r="M1261" s="2">
        <v>2.65</v>
      </c>
    </row>
    <row r="1262" spans="1:13">
      <c r="A1262" s="9">
        <v>44123</v>
      </c>
      <c r="B1262" s="1">
        <f t="shared" si="38"/>
        <v>44105</v>
      </c>
      <c r="C1262" s="5" t="str">
        <f t="shared" si="39"/>
        <v>2020-10</v>
      </c>
      <c r="D1262" s="3">
        <v>342.01</v>
      </c>
      <c r="E1262" s="3">
        <v>160.41</v>
      </c>
      <c r="F1262" s="3">
        <v>160.78</v>
      </c>
      <c r="G1262" s="3">
        <v>178.39</v>
      </c>
      <c r="H1262" s="3">
        <v>79.56</v>
      </c>
      <c r="I1262" s="2">
        <v>59.62</v>
      </c>
      <c r="J1262" s="2">
        <v>634.89</v>
      </c>
      <c r="K1262" s="2">
        <v>383.71</v>
      </c>
      <c r="L1262" s="3">
        <v>106.21</v>
      </c>
      <c r="M1262" s="2">
        <v>2.67</v>
      </c>
    </row>
    <row r="1263" spans="1:13">
      <c r="A1263" s="9">
        <v>44120</v>
      </c>
      <c r="B1263" s="1">
        <f t="shared" si="38"/>
        <v>44105</v>
      </c>
      <c r="C1263" s="5" t="str">
        <f t="shared" si="39"/>
        <v>2020-10</v>
      </c>
      <c r="D1263" s="3">
        <v>347.29</v>
      </c>
      <c r="E1263" s="3">
        <v>162.35</v>
      </c>
      <c r="F1263" s="3">
        <v>161.38999999999999</v>
      </c>
      <c r="G1263" s="3">
        <v>178.3</v>
      </c>
      <c r="H1263" s="3">
        <v>80.819999999999993</v>
      </c>
      <c r="I1263" s="2">
        <v>60.29</v>
      </c>
      <c r="J1263" s="2">
        <v>657.38</v>
      </c>
      <c r="K1263" s="2">
        <v>386.5</v>
      </c>
      <c r="L1263" s="3">
        <v>107.92</v>
      </c>
      <c r="M1263" s="2">
        <v>2.73</v>
      </c>
    </row>
    <row r="1264" spans="1:13">
      <c r="A1264" s="9">
        <v>44119</v>
      </c>
      <c r="B1264" s="1">
        <f t="shared" si="38"/>
        <v>44105</v>
      </c>
      <c r="C1264" s="5" t="str">
        <f t="shared" si="39"/>
        <v>2020-10</v>
      </c>
      <c r="D1264" s="3">
        <v>347.5</v>
      </c>
      <c r="E1264" s="3">
        <v>162.75</v>
      </c>
      <c r="F1264" s="3">
        <v>161.84</v>
      </c>
      <c r="G1264" s="3">
        <v>178.92</v>
      </c>
      <c r="H1264" s="3">
        <v>81.400000000000006</v>
      </c>
      <c r="I1264" s="2">
        <v>60.52</v>
      </c>
      <c r="J1264" s="2">
        <v>646.24</v>
      </c>
      <c r="K1264" s="2">
        <v>386.12</v>
      </c>
      <c r="L1264" s="3">
        <v>106.86</v>
      </c>
      <c r="M1264" s="2">
        <v>2.77</v>
      </c>
    </row>
    <row r="1265" spans="1:13">
      <c r="A1265" s="9">
        <v>44118</v>
      </c>
      <c r="B1265" s="1">
        <f t="shared" si="38"/>
        <v>44105</v>
      </c>
      <c r="C1265" s="5" t="str">
        <f t="shared" si="39"/>
        <v>2020-10</v>
      </c>
      <c r="D1265" s="3">
        <v>347.93</v>
      </c>
      <c r="E1265" s="3">
        <v>161.09</v>
      </c>
      <c r="F1265" s="3">
        <v>162.12</v>
      </c>
      <c r="G1265" s="3">
        <v>178.27</v>
      </c>
      <c r="H1265" s="3">
        <v>80.98</v>
      </c>
      <c r="I1265" s="2">
        <v>60.96</v>
      </c>
      <c r="J1265" s="2">
        <v>639.85</v>
      </c>
      <c r="K1265" s="2">
        <v>390.72</v>
      </c>
      <c r="L1265" s="3">
        <v>107.64</v>
      </c>
      <c r="M1265" s="2">
        <v>2.75</v>
      </c>
    </row>
    <row r="1266" spans="1:13">
      <c r="A1266" s="9">
        <v>44117</v>
      </c>
      <c r="B1266" s="1">
        <f t="shared" si="38"/>
        <v>44105</v>
      </c>
      <c r="C1266" s="5" t="str">
        <f t="shared" si="39"/>
        <v>2020-10</v>
      </c>
      <c r="D1266" s="3">
        <v>350.13</v>
      </c>
      <c r="E1266" s="3">
        <v>162.69999999999999</v>
      </c>
      <c r="F1266" s="3">
        <v>161.75</v>
      </c>
      <c r="G1266" s="3">
        <v>177.72</v>
      </c>
      <c r="H1266" s="3">
        <v>81.98</v>
      </c>
      <c r="I1266" s="2">
        <v>60.97</v>
      </c>
      <c r="J1266" s="2">
        <v>638.96</v>
      </c>
      <c r="K1266" s="2">
        <v>388.95</v>
      </c>
      <c r="L1266" s="3">
        <v>108.27</v>
      </c>
      <c r="M1266" s="2">
        <v>2.79</v>
      </c>
    </row>
    <row r="1267" spans="1:13">
      <c r="A1267" s="9">
        <v>44116</v>
      </c>
      <c r="B1267" s="1">
        <f t="shared" si="38"/>
        <v>44105</v>
      </c>
      <c r="C1267" s="5" t="str">
        <f t="shared" si="39"/>
        <v>2020-10</v>
      </c>
      <c r="D1267" s="3">
        <v>352.43</v>
      </c>
      <c r="E1267" s="3">
        <v>163.79</v>
      </c>
      <c r="F1267" s="3">
        <v>160.6</v>
      </c>
      <c r="G1267" s="3">
        <v>180.56</v>
      </c>
      <c r="H1267" s="3">
        <v>83.41</v>
      </c>
      <c r="I1267" s="2">
        <v>61.46</v>
      </c>
      <c r="J1267" s="2">
        <v>614.89</v>
      </c>
      <c r="K1267" s="2">
        <v>388.92</v>
      </c>
      <c r="L1267" s="3">
        <v>109.1</v>
      </c>
      <c r="M1267" s="2">
        <v>2.79</v>
      </c>
    </row>
    <row r="1268" spans="1:13">
      <c r="A1268" s="9">
        <v>44113</v>
      </c>
      <c r="B1268" s="1">
        <f t="shared" si="38"/>
        <v>44105</v>
      </c>
      <c r="C1268" s="5" t="str">
        <f t="shared" si="39"/>
        <v>2020-10</v>
      </c>
      <c r="D1268" s="3">
        <v>346.85</v>
      </c>
      <c r="E1268" s="3">
        <v>162.69999999999999</v>
      </c>
      <c r="F1268" s="3">
        <v>160.09</v>
      </c>
      <c r="G1268" s="3">
        <v>181.08</v>
      </c>
      <c r="H1268" s="3">
        <v>83.02</v>
      </c>
      <c r="I1268" s="2">
        <v>61.15</v>
      </c>
      <c r="J1268" s="2">
        <v>611.57000000000005</v>
      </c>
      <c r="K1268" s="2">
        <v>385.93</v>
      </c>
      <c r="L1268" s="3">
        <v>108.36</v>
      </c>
      <c r="M1268" s="2">
        <v>2.77</v>
      </c>
    </row>
    <row r="1269" spans="1:13">
      <c r="A1269" s="9">
        <v>44112</v>
      </c>
      <c r="B1269" s="1">
        <f t="shared" si="38"/>
        <v>44105</v>
      </c>
      <c r="C1269" s="5" t="str">
        <f t="shared" si="39"/>
        <v>2020-10</v>
      </c>
      <c r="D1269" s="3">
        <v>343.78</v>
      </c>
      <c r="E1269" s="3">
        <v>161.86000000000001</v>
      </c>
      <c r="F1269" s="3">
        <v>160.12</v>
      </c>
      <c r="G1269" s="3">
        <v>177.85</v>
      </c>
      <c r="H1269" s="3">
        <v>83.35</v>
      </c>
      <c r="I1269" s="2">
        <v>60.89</v>
      </c>
      <c r="J1269" s="2">
        <v>604.44000000000005</v>
      </c>
      <c r="K1269" s="2">
        <v>388.59</v>
      </c>
      <c r="L1269" s="3">
        <v>107.39</v>
      </c>
      <c r="M1269" s="2">
        <v>2.76</v>
      </c>
    </row>
    <row r="1270" spans="1:13">
      <c r="A1270" s="9">
        <v>44111</v>
      </c>
      <c r="B1270" s="1">
        <f t="shared" si="38"/>
        <v>44105</v>
      </c>
      <c r="C1270" s="5" t="str">
        <f t="shared" si="39"/>
        <v>2020-10</v>
      </c>
      <c r="D1270" s="3">
        <v>340.76</v>
      </c>
      <c r="E1270" s="3">
        <v>160.04</v>
      </c>
      <c r="F1270" s="3">
        <v>159.26</v>
      </c>
      <c r="G1270" s="3">
        <v>177.22</v>
      </c>
      <c r="H1270" s="3">
        <v>81.98</v>
      </c>
      <c r="I1270" s="2">
        <v>60.59</v>
      </c>
      <c r="J1270" s="2">
        <v>592.04999999999995</v>
      </c>
      <c r="K1270" s="2">
        <v>382.94</v>
      </c>
      <c r="L1270" s="3">
        <v>106.87</v>
      </c>
      <c r="M1270" s="2">
        <v>2.7</v>
      </c>
    </row>
    <row r="1271" spans="1:13">
      <c r="A1271" s="9">
        <v>44110</v>
      </c>
      <c r="B1271" s="1">
        <f t="shared" si="38"/>
        <v>44105</v>
      </c>
      <c r="C1271" s="5" t="str">
        <f t="shared" si="39"/>
        <v>2020-10</v>
      </c>
      <c r="D1271" s="3">
        <v>334.93</v>
      </c>
      <c r="E1271" s="3">
        <v>156.62</v>
      </c>
      <c r="F1271" s="3">
        <v>160.43</v>
      </c>
      <c r="G1271" s="3">
        <v>177.3</v>
      </c>
      <c r="H1271" s="3">
        <v>81.86</v>
      </c>
      <c r="I1271" s="2">
        <v>59.51</v>
      </c>
      <c r="J1271" s="2">
        <v>580.23</v>
      </c>
      <c r="K1271" s="2">
        <v>376.46</v>
      </c>
      <c r="L1271" s="3">
        <v>104.89</v>
      </c>
      <c r="M1271" s="2">
        <v>2.65</v>
      </c>
    </row>
    <row r="1272" spans="1:13">
      <c r="A1272" s="9">
        <v>44109</v>
      </c>
      <c r="B1272" s="1">
        <f t="shared" si="38"/>
        <v>44105</v>
      </c>
      <c r="C1272" s="5" t="str">
        <f t="shared" si="39"/>
        <v>2020-10</v>
      </c>
      <c r="D1272" s="3">
        <v>339.76</v>
      </c>
      <c r="E1272" s="3">
        <v>157.07</v>
      </c>
      <c r="F1272" s="3">
        <v>159.57</v>
      </c>
      <c r="G1272" s="3">
        <v>179.41</v>
      </c>
      <c r="H1272" s="3">
        <v>82.4</v>
      </c>
      <c r="I1272" s="2">
        <v>59.56</v>
      </c>
      <c r="J1272" s="2">
        <v>580.98</v>
      </c>
      <c r="K1272" s="2">
        <v>383.96</v>
      </c>
      <c r="L1272" s="3">
        <v>106.3</v>
      </c>
      <c r="M1272" s="2">
        <v>2.68</v>
      </c>
    </row>
    <row r="1273" spans="1:13">
      <c r="A1273" s="9">
        <v>44106</v>
      </c>
      <c r="B1273" s="1">
        <f t="shared" si="38"/>
        <v>44105</v>
      </c>
      <c r="C1273" s="5" t="str">
        <f t="shared" si="39"/>
        <v>2020-10</v>
      </c>
      <c r="D1273" s="3">
        <v>333.84</v>
      </c>
      <c r="E1273" s="3">
        <v>152.85</v>
      </c>
      <c r="F1273" s="3">
        <v>162.75</v>
      </c>
      <c r="G1273" s="3">
        <v>178.54</v>
      </c>
      <c r="H1273" s="3">
        <v>81.93</v>
      </c>
      <c r="I1273" s="2">
        <v>58.83</v>
      </c>
      <c r="J1273" s="2">
        <v>570.12</v>
      </c>
      <c r="K1273" s="2">
        <v>380.58</v>
      </c>
      <c r="L1273" s="3">
        <v>104.16</v>
      </c>
      <c r="M1273" s="2">
        <v>2.58</v>
      </c>
    </row>
    <row r="1274" spans="1:13">
      <c r="A1274" s="9">
        <v>44105</v>
      </c>
      <c r="B1274" s="1">
        <f t="shared" si="38"/>
        <v>44105</v>
      </c>
      <c r="C1274" s="5" t="str">
        <f t="shared" si="39"/>
        <v>2020-10</v>
      </c>
      <c r="D1274" s="3">
        <v>337.04</v>
      </c>
      <c r="E1274" s="3">
        <v>152.18</v>
      </c>
      <c r="F1274" s="3">
        <v>163.36000000000001</v>
      </c>
      <c r="G1274" s="3">
        <v>178.7</v>
      </c>
      <c r="H1274" s="3">
        <v>80.540000000000006</v>
      </c>
      <c r="I1274" s="2">
        <v>59.68</v>
      </c>
      <c r="J1274" s="2">
        <v>567.91</v>
      </c>
      <c r="K1274" s="2">
        <v>380.89</v>
      </c>
      <c r="L1274" s="3">
        <v>105.12</v>
      </c>
      <c r="M1274" s="2">
        <v>2.62</v>
      </c>
    </row>
    <row r="1275" spans="1:13">
      <c r="A1275" s="9">
        <v>44104</v>
      </c>
      <c r="B1275" s="1">
        <f t="shared" si="38"/>
        <v>44075</v>
      </c>
      <c r="C1275" s="5" t="str">
        <f t="shared" si="39"/>
        <v>2020-09</v>
      </c>
      <c r="D1275" s="3">
        <v>334.89</v>
      </c>
      <c r="E1275" s="3">
        <v>149.79</v>
      </c>
      <c r="F1275" s="3">
        <v>163.26</v>
      </c>
      <c r="G1275" s="3">
        <v>177.12</v>
      </c>
      <c r="H1275" s="3">
        <v>78.959999999999994</v>
      </c>
      <c r="I1275" s="2">
        <v>59.7</v>
      </c>
      <c r="J1275" s="2">
        <v>563.54999999999995</v>
      </c>
      <c r="K1275" s="2">
        <v>383.28</v>
      </c>
      <c r="L1275" s="3">
        <v>105.48</v>
      </c>
      <c r="M1275" s="2">
        <v>2.64</v>
      </c>
    </row>
    <row r="1276" spans="1:13">
      <c r="A1276" s="9">
        <v>44103</v>
      </c>
      <c r="B1276" s="1">
        <f t="shared" si="38"/>
        <v>44075</v>
      </c>
      <c r="C1276" s="5" t="str">
        <f t="shared" si="39"/>
        <v>2020-09</v>
      </c>
      <c r="D1276" s="3">
        <v>332.37</v>
      </c>
      <c r="E1276" s="3">
        <v>149.34</v>
      </c>
      <c r="F1276" s="3">
        <v>164.84</v>
      </c>
      <c r="G1276" s="3">
        <v>178.19</v>
      </c>
      <c r="H1276" s="3">
        <v>78.72</v>
      </c>
      <c r="I1276" s="2">
        <v>59.47</v>
      </c>
      <c r="J1276" s="2">
        <v>554.79999999999995</v>
      </c>
      <c r="K1276" s="2">
        <v>388.74</v>
      </c>
      <c r="L1276" s="3">
        <v>103.82</v>
      </c>
      <c r="M1276" s="2">
        <v>2.68</v>
      </c>
    </row>
    <row r="1277" spans="1:13">
      <c r="A1277" s="9">
        <v>44102</v>
      </c>
      <c r="B1277" s="1">
        <f t="shared" si="38"/>
        <v>44075</v>
      </c>
      <c r="C1277" s="5" t="str">
        <f t="shared" si="39"/>
        <v>2020-09</v>
      </c>
      <c r="D1277" s="3">
        <v>334.19</v>
      </c>
      <c r="E1277" s="3">
        <v>150.02000000000001</v>
      </c>
      <c r="F1277" s="3">
        <v>164.65</v>
      </c>
      <c r="G1277" s="3">
        <v>176.7</v>
      </c>
      <c r="H1277" s="3">
        <v>79.290000000000006</v>
      </c>
      <c r="I1277" s="2">
        <v>59.58</v>
      </c>
      <c r="J1277" s="2">
        <v>558.65</v>
      </c>
      <c r="K1277" s="2">
        <v>390.51</v>
      </c>
      <c r="L1277" s="3">
        <v>103.95</v>
      </c>
      <c r="M1277" s="2">
        <v>2.65</v>
      </c>
    </row>
    <row r="1278" spans="1:13">
      <c r="A1278" s="9">
        <v>44099</v>
      </c>
      <c r="B1278" s="1">
        <f t="shared" si="38"/>
        <v>44075</v>
      </c>
      <c r="C1278" s="5" t="str">
        <f t="shared" si="39"/>
        <v>2020-09</v>
      </c>
      <c r="D1278" s="3">
        <v>328.73</v>
      </c>
      <c r="E1278" s="3">
        <v>146.41</v>
      </c>
      <c r="F1278" s="3">
        <v>165.12</v>
      </c>
      <c r="G1278" s="3">
        <v>174.94</v>
      </c>
      <c r="H1278" s="3">
        <v>77.7</v>
      </c>
      <c r="I1278" s="2">
        <v>59.8</v>
      </c>
      <c r="J1278" s="2">
        <v>547.80999999999995</v>
      </c>
      <c r="K1278" s="2">
        <v>386.7</v>
      </c>
      <c r="L1278" s="3">
        <v>103.02</v>
      </c>
      <c r="M1278" s="2">
        <v>2.57</v>
      </c>
    </row>
    <row r="1279" spans="1:13">
      <c r="A1279" s="9">
        <v>44098</v>
      </c>
      <c r="B1279" s="1">
        <f t="shared" si="38"/>
        <v>44075</v>
      </c>
      <c r="C1279" s="5" t="str">
        <f t="shared" si="39"/>
        <v>2020-09</v>
      </c>
      <c r="D1279" s="3">
        <v>323.5</v>
      </c>
      <c r="E1279" s="3">
        <v>144.07</v>
      </c>
      <c r="F1279" s="3">
        <v>165.12</v>
      </c>
      <c r="G1279" s="3">
        <v>175.44</v>
      </c>
      <c r="H1279" s="3">
        <v>76.72</v>
      </c>
      <c r="I1279" s="2">
        <v>59.3</v>
      </c>
      <c r="J1279" s="2">
        <v>535.04999999999995</v>
      </c>
      <c r="K1279" s="2">
        <v>378.76</v>
      </c>
      <c r="L1279" s="3">
        <v>101.39</v>
      </c>
      <c r="M1279" s="2">
        <v>2.54</v>
      </c>
    </row>
    <row r="1280" spans="1:13">
      <c r="A1280" s="9">
        <v>44097</v>
      </c>
      <c r="B1280" s="1">
        <f t="shared" si="38"/>
        <v>44075</v>
      </c>
      <c r="C1280" s="5" t="str">
        <f t="shared" si="39"/>
        <v>2020-09</v>
      </c>
      <c r="D1280" s="3">
        <v>322.64</v>
      </c>
      <c r="E1280" s="3">
        <v>144.07</v>
      </c>
      <c r="F1280" s="3">
        <v>164.49</v>
      </c>
      <c r="G1280" s="3">
        <v>174.79</v>
      </c>
      <c r="H1280" s="3">
        <v>76.31</v>
      </c>
      <c r="I1280" s="2">
        <v>58.96</v>
      </c>
      <c r="J1280" s="2">
        <v>538.54</v>
      </c>
      <c r="K1280" s="2">
        <v>383.24</v>
      </c>
      <c r="L1280" s="3">
        <v>101.9</v>
      </c>
      <c r="M1280" s="2">
        <v>2.5099999999999998</v>
      </c>
    </row>
    <row r="1281" spans="1:13">
      <c r="A1281" s="9">
        <v>44096</v>
      </c>
      <c r="B1281" s="1">
        <f t="shared" si="38"/>
        <v>44075</v>
      </c>
      <c r="C1281" s="5" t="str">
        <f t="shared" si="39"/>
        <v>2020-09</v>
      </c>
      <c r="D1281" s="3">
        <v>330.3</v>
      </c>
      <c r="E1281" s="3">
        <v>149.06</v>
      </c>
      <c r="F1281" s="3">
        <v>164.27</v>
      </c>
      <c r="G1281" s="3">
        <v>178.65</v>
      </c>
      <c r="H1281" s="3">
        <v>78.680000000000007</v>
      </c>
      <c r="I1281" s="2">
        <v>60.62</v>
      </c>
      <c r="J1281" s="2">
        <v>550.79999999999995</v>
      </c>
      <c r="K1281" s="2">
        <v>388.42</v>
      </c>
      <c r="L1281" s="3">
        <v>102.96</v>
      </c>
      <c r="M1281" s="2">
        <v>2.6</v>
      </c>
    </row>
    <row r="1282" spans="1:13">
      <c r="A1282" s="9">
        <v>44095</v>
      </c>
      <c r="B1282" s="1">
        <f t="shared" ref="B1282:B1345" si="40">EOMONTH(A1282,-1)+1</f>
        <v>44075</v>
      </c>
      <c r="C1282" s="5" t="str">
        <f t="shared" si="39"/>
        <v>2020-09</v>
      </c>
      <c r="D1282" s="3">
        <v>326.97000000000003</v>
      </c>
      <c r="E1282" s="3">
        <v>147.91999999999999</v>
      </c>
      <c r="F1282" s="3">
        <v>164.4</v>
      </c>
      <c r="G1282" s="3">
        <v>179.52</v>
      </c>
      <c r="H1282" s="3">
        <v>77.75</v>
      </c>
      <c r="I1282" s="2">
        <v>60.82</v>
      </c>
      <c r="J1282" s="2">
        <v>552.59</v>
      </c>
      <c r="K1282" s="2">
        <v>379.61</v>
      </c>
      <c r="L1282" s="3">
        <v>103.18</v>
      </c>
      <c r="M1282" s="2">
        <v>2.59</v>
      </c>
    </row>
    <row r="1283" spans="1:13">
      <c r="A1283" s="9">
        <v>44092</v>
      </c>
      <c r="B1283" s="1">
        <f t="shared" si="40"/>
        <v>44075</v>
      </c>
      <c r="C1283" s="5" t="str">
        <f t="shared" ref="C1283:C1346" si="41">TEXT(A1283, "yyyy-mm")</f>
        <v>2020-09</v>
      </c>
      <c r="D1283" s="3">
        <v>330.65</v>
      </c>
      <c r="E1283" s="3">
        <v>153.29</v>
      </c>
      <c r="F1283" s="3">
        <v>163.57</v>
      </c>
      <c r="G1283" s="3">
        <v>183.2</v>
      </c>
      <c r="H1283" s="3">
        <v>80.16</v>
      </c>
      <c r="I1283" s="2">
        <v>59.75</v>
      </c>
      <c r="J1283" s="2">
        <v>556.91999999999996</v>
      </c>
      <c r="K1283" s="2">
        <v>395.14</v>
      </c>
      <c r="L1283" s="3">
        <v>105.54</v>
      </c>
      <c r="M1283" s="2">
        <v>2.7</v>
      </c>
    </row>
    <row r="1284" spans="1:13">
      <c r="A1284" s="9">
        <v>44091</v>
      </c>
      <c r="B1284" s="1">
        <f t="shared" si="40"/>
        <v>44075</v>
      </c>
      <c r="C1284" s="5" t="str">
        <f t="shared" si="41"/>
        <v>2020-09</v>
      </c>
      <c r="D1284" s="3">
        <v>335.84</v>
      </c>
      <c r="E1284" s="3">
        <v>153.69</v>
      </c>
      <c r="F1284" s="3">
        <v>164.08</v>
      </c>
      <c r="G1284" s="3">
        <v>182.96</v>
      </c>
      <c r="H1284" s="3">
        <v>82.01</v>
      </c>
      <c r="I1284" s="2">
        <v>60.18</v>
      </c>
      <c r="J1284" s="2">
        <v>548.41</v>
      </c>
      <c r="K1284" s="2">
        <v>395.94</v>
      </c>
      <c r="L1284" s="3">
        <v>105.7</v>
      </c>
      <c r="M1284" s="2">
        <v>2.64</v>
      </c>
    </row>
    <row r="1285" spans="1:13">
      <c r="A1285" s="9">
        <v>44090</v>
      </c>
      <c r="B1285" s="1">
        <f t="shared" si="40"/>
        <v>44075</v>
      </c>
      <c r="C1285" s="5" t="str">
        <f t="shared" si="41"/>
        <v>2020-09</v>
      </c>
      <c r="D1285" s="3">
        <v>338.82</v>
      </c>
      <c r="E1285" s="3">
        <v>154.82</v>
      </c>
      <c r="F1285" s="3">
        <v>163.58000000000001</v>
      </c>
      <c r="G1285" s="3">
        <v>183.97</v>
      </c>
      <c r="H1285" s="3">
        <v>83.64</v>
      </c>
      <c r="I1285" s="2">
        <v>60.43</v>
      </c>
      <c r="J1285" s="2">
        <v>561.73</v>
      </c>
      <c r="K1285" s="2">
        <v>395.58</v>
      </c>
      <c r="L1285" s="3">
        <v>106.05</v>
      </c>
      <c r="M1285" s="2">
        <v>2.63</v>
      </c>
    </row>
    <row r="1286" spans="1:13">
      <c r="A1286" s="9">
        <v>44089</v>
      </c>
      <c r="B1286" s="1">
        <f t="shared" si="40"/>
        <v>44075</v>
      </c>
      <c r="C1286" s="5" t="str">
        <f t="shared" si="41"/>
        <v>2020-09</v>
      </c>
      <c r="D1286" s="3">
        <v>340.17</v>
      </c>
      <c r="E1286" s="3">
        <v>153.37</v>
      </c>
      <c r="F1286" s="3">
        <v>164.07</v>
      </c>
      <c r="G1286" s="3">
        <v>183.45</v>
      </c>
      <c r="H1286" s="3">
        <v>83.2</v>
      </c>
      <c r="I1286" s="2">
        <v>60.94</v>
      </c>
      <c r="J1286" s="2">
        <v>548.16</v>
      </c>
      <c r="K1286" s="2">
        <v>392.55</v>
      </c>
      <c r="L1286" s="3">
        <v>106.23</v>
      </c>
      <c r="M1286" s="2">
        <v>2.63</v>
      </c>
    </row>
    <row r="1287" spans="1:13">
      <c r="A1287" s="9">
        <v>44088</v>
      </c>
      <c r="B1287" s="1">
        <f t="shared" si="40"/>
        <v>44075</v>
      </c>
      <c r="C1287" s="5" t="str">
        <f t="shared" si="41"/>
        <v>2020-09</v>
      </c>
      <c r="D1287" s="3">
        <v>338.46</v>
      </c>
      <c r="E1287" s="3">
        <v>153.08000000000001</v>
      </c>
      <c r="F1287" s="3">
        <v>164.47</v>
      </c>
      <c r="G1287" s="3">
        <v>183.89</v>
      </c>
      <c r="H1287" s="3">
        <v>82.21</v>
      </c>
      <c r="I1287" s="2">
        <v>59.46</v>
      </c>
      <c r="J1287" s="2">
        <v>547.38</v>
      </c>
      <c r="K1287" s="2">
        <v>393.75</v>
      </c>
      <c r="L1287" s="3">
        <v>106.09</v>
      </c>
      <c r="M1287" s="2">
        <v>2.63</v>
      </c>
    </row>
    <row r="1288" spans="1:13">
      <c r="A1288" s="9">
        <v>44085</v>
      </c>
      <c r="B1288" s="1">
        <f t="shared" si="40"/>
        <v>44075</v>
      </c>
      <c r="C1288" s="5" t="str">
        <f t="shared" si="41"/>
        <v>2020-09</v>
      </c>
      <c r="D1288" s="3">
        <v>334.06</v>
      </c>
      <c r="E1288" s="3">
        <v>149.15</v>
      </c>
      <c r="F1288" s="3">
        <v>164.48</v>
      </c>
      <c r="G1288" s="3">
        <v>182.45</v>
      </c>
      <c r="H1288" s="3">
        <v>80.25</v>
      </c>
      <c r="I1288" s="2">
        <v>57</v>
      </c>
      <c r="J1288" s="2">
        <v>541.20000000000005</v>
      </c>
      <c r="K1288" s="2">
        <v>389.45</v>
      </c>
      <c r="L1288" s="3">
        <v>104.59</v>
      </c>
      <c r="M1288" s="2">
        <v>2.57</v>
      </c>
    </row>
    <row r="1289" spans="1:13">
      <c r="A1289" s="9">
        <v>44084</v>
      </c>
      <c r="B1289" s="1">
        <f t="shared" si="40"/>
        <v>44075</v>
      </c>
      <c r="C1289" s="5" t="str">
        <f t="shared" si="41"/>
        <v>2020-09</v>
      </c>
      <c r="D1289" s="3">
        <v>333.89</v>
      </c>
      <c r="E1289" s="3">
        <v>150.15</v>
      </c>
      <c r="F1289" s="3">
        <v>164.13</v>
      </c>
      <c r="G1289" s="3">
        <v>182.46</v>
      </c>
      <c r="H1289" s="3">
        <v>80.7</v>
      </c>
      <c r="I1289" s="2">
        <v>57.33</v>
      </c>
      <c r="J1289" s="2">
        <v>543.30999999999995</v>
      </c>
      <c r="K1289" s="2">
        <v>379.11</v>
      </c>
      <c r="L1289" s="3">
        <v>104.18</v>
      </c>
      <c r="M1289" s="2">
        <v>2.54</v>
      </c>
    </row>
    <row r="1290" spans="1:13">
      <c r="A1290" s="9">
        <v>44083</v>
      </c>
      <c r="B1290" s="1">
        <f t="shared" si="40"/>
        <v>44075</v>
      </c>
      <c r="C1290" s="5" t="str">
        <f t="shared" si="41"/>
        <v>2020-09</v>
      </c>
      <c r="D1290" s="3">
        <v>339.79</v>
      </c>
      <c r="E1290" s="3">
        <v>152.13</v>
      </c>
      <c r="F1290" s="3">
        <v>163.30000000000001</v>
      </c>
      <c r="G1290" s="3">
        <v>183.05</v>
      </c>
      <c r="H1290" s="3">
        <v>81.7</v>
      </c>
      <c r="I1290" s="2">
        <v>56.95</v>
      </c>
      <c r="J1290" s="2">
        <v>560.17999999999995</v>
      </c>
      <c r="K1290" s="2">
        <v>385.24</v>
      </c>
      <c r="L1290" s="3">
        <v>105.8</v>
      </c>
      <c r="M1290" s="2">
        <v>2.62</v>
      </c>
    </row>
    <row r="1291" spans="1:13">
      <c r="A1291" s="9">
        <v>44082</v>
      </c>
      <c r="B1291" s="1">
        <f t="shared" si="40"/>
        <v>44075</v>
      </c>
      <c r="C1291" s="5" t="str">
        <f t="shared" si="41"/>
        <v>2020-09</v>
      </c>
      <c r="D1291" s="3">
        <v>333.21</v>
      </c>
      <c r="E1291" s="3">
        <v>149.86000000000001</v>
      </c>
      <c r="F1291" s="3">
        <v>163.74</v>
      </c>
      <c r="G1291" s="3">
        <v>181.29</v>
      </c>
      <c r="H1291" s="3">
        <v>80.900000000000006</v>
      </c>
      <c r="I1291" s="2">
        <v>55.32</v>
      </c>
      <c r="J1291" s="2">
        <v>552.54</v>
      </c>
      <c r="K1291" s="2">
        <v>380.23</v>
      </c>
      <c r="L1291" s="3">
        <v>103.96</v>
      </c>
      <c r="M1291" s="2">
        <v>2.5299999999999998</v>
      </c>
    </row>
    <row r="1292" spans="1:13">
      <c r="A1292" s="9">
        <v>44078</v>
      </c>
      <c r="B1292" s="1">
        <f t="shared" si="40"/>
        <v>44075</v>
      </c>
      <c r="C1292" s="5" t="str">
        <f t="shared" si="41"/>
        <v>2020-09</v>
      </c>
      <c r="D1292" s="3">
        <v>342.57</v>
      </c>
      <c r="E1292" s="3">
        <v>152.80000000000001</v>
      </c>
      <c r="F1292" s="3">
        <v>162.74</v>
      </c>
      <c r="G1292" s="3">
        <v>181.64</v>
      </c>
      <c r="H1292" s="3">
        <v>81.900000000000006</v>
      </c>
      <c r="I1292" s="2">
        <v>55.73</v>
      </c>
      <c r="J1292" s="2">
        <v>564.63</v>
      </c>
      <c r="K1292" s="2">
        <v>385.02</v>
      </c>
      <c r="L1292" s="3">
        <v>105.7</v>
      </c>
      <c r="M1292" s="2">
        <v>2.5499999999999998</v>
      </c>
    </row>
    <row r="1293" spans="1:13">
      <c r="A1293" s="9">
        <v>44077</v>
      </c>
      <c r="B1293" s="1">
        <f t="shared" si="40"/>
        <v>44075</v>
      </c>
      <c r="C1293" s="5" t="str">
        <f t="shared" si="41"/>
        <v>2020-09</v>
      </c>
      <c r="D1293" s="3">
        <v>345.39</v>
      </c>
      <c r="E1293" s="3">
        <v>153.78</v>
      </c>
      <c r="F1293" s="3">
        <v>165.89</v>
      </c>
      <c r="G1293" s="3">
        <v>181.14</v>
      </c>
      <c r="H1293" s="3">
        <v>82.33</v>
      </c>
      <c r="I1293" s="2">
        <v>57.1</v>
      </c>
      <c r="J1293" s="2">
        <v>579.12</v>
      </c>
      <c r="K1293" s="2">
        <v>386.29</v>
      </c>
      <c r="L1293" s="3">
        <v>106.46</v>
      </c>
      <c r="M1293" s="2">
        <v>2.58</v>
      </c>
    </row>
    <row r="1294" spans="1:13">
      <c r="A1294" s="9">
        <v>44076</v>
      </c>
      <c r="B1294" s="1">
        <f t="shared" si="40"/>
        <v>44075</v>
      </c>
      <c r="C1294" s="5" t="str">
        <f t="shared" si="41"/>
        <v>2020-09</v>
      </c>
      <c r="D1294" s="3">
        <v>357.7</v>
      </c>
      <c r="E1294" s="3">
        <v>158.46</v>
      </c>
      <c r="F1294" s="3">
        <v>165.42</v>
      </c>
      <c r="G1294" s="3">
        <v>182.62</v>
      </c>
      <c r="H1294" s="3">
        <v>83.33</v>
      </c>
      <c r="I1294" s="2">
        <v>59.03</v>
      </c>
      <c r="J1294" s="2">
        <v>608</v>
      </c>
      <c r="K1294" s="2">
        <v>398.07</v>
      </c>
      <c r="L1294" s="3">
        <v>109.44</v>
      </c>
      <c r="M1294" s="2">
        <v>2.73</v>
      </c>
    </row>
    <row r="1295" spans="1:13">
      <c r="A1295" s="9">
        <v>44075</v>
      </c>
      <c r="B1295" s="1">
        <f t="shared" si="40"/>
        <v>44075</v>
      </c>
      <c r="C1295" s="5" t="str">
        <f t="shared" si="41"/>
        <v>2020-09</v>
      </c>
      <c r="D1295" s="3">
        <v>352.6</v>
      </c>
      <c r="E1295" s="3">
        <v>157.21</v>
      </c>
      <c r="F1295" s="3">
        <v>163.86</v>
      </c>
      <c r="G1295" s="3">
        <v>185.05</v>
      </c>
      <c r="H1295" s="3">
        <v>81.81</v>
      </c>
      <c r="I1295" s="2">
        <v>57.66</v>
      </c>
      <c r="J1295" s="2">
        <v>596.24</v>
      </c>
      <c r="K1295" s="2">
        <v>386.81</v>
      </c>
      <c r="L1295" s="3">
        <v>107.29</v>
      </c>
      <c r="M1295" s="2">
        <v>2.71</v>
      </c>
    </row>
    <row r="1296" spans="1:13">
      <c r="A1296" s="9">
        <v>44074</v>
      </c>
      <c r="B1296" s="1">
        <f t="shared" si="40"/>
        <v>44044</v>
      </c>
      <c r="C1296" s="5" t="str">
        <f t="shared" si="41"/>
        <v>2020-08</v>
      </c>
      <c r="D1296" s="3">
        <v>349.31</v>
      </c>
      <c r="E1296" s="3">
        <v>155.43</v>
      </c>
      <c r="F1296" s="3">
        <v>162.19</v>
      </c>
      <c r="G1296" s="3">
        <v>184.83</v>
      </c>
      <c r="H1296" s="3">
        <v>81.75</v>
      </c>
      <c r="I1296" s="2">
        <v>57.22</v>
      </c>
      <c r="J1296" s="2">
        <v>594.19000000000005</v>
      </c>
      <c r="K1296" s="2">
        <v>390.26</v>
      </c>
      <c r="L1296" s="3">
        <v>108.26</v>
      </c>
      <c r="M1296" s="2">
        <v>2.74</v>
      </c>
    </row>
    <row r="1297" spans="1:13">
      <c r="A1297" s="9">
        <v>44071</v>
      </c>
      <c r="B1297" s="1">
        <f t="shared" si="40"/>
        <v>44044</v>
      </c>
      <c r="C1297" s="5" t="str">
        <f t="shared" si="41"/>
        <v>2020-08</v>
      </c>
      <c r="D1297" s="3">
        <v>350.58</v>
      </c>
      <c r="E1297" s="3">
        <v>157.12</v>
      </c>
      <c r="F1297" s="3">
        <v>161.12</v>
      </c>
      <c r="G1297" s="3">
        <v>184.39</v>
      </c>
      <c r="H1297" s="3">
        <v>82.59</v>
      </c>
      <c r="I1297" s="2">
        <v>57.88</v>
      </c>
      <c r="J1297" s="2">
        <v>601.05999999999995</v>
      </c>
      <c r="K1297" s="2">
        <v>395.59</v>
      </c>
      <c r="L1297" s="3">
        <v>108</v>
      </c>
      <c r="M1297" s="2">
        <v>2.71</v>
      </c>
    </row>
    <row r="1298" spans="1:13">
      <c r="A1298" s="9">
        <v>44070</v>
      </c>
      <c r="B1298" s="1">
        <f t="shared" si="40"/>
        <v>44044</v>
      </c>
      <c r="C1298" s="5" t="str">
        <f t="shared" si="41"/>
        <v>2020-08</v>
      </c>
      <c r="D1298" s="3">
        <v>348.33</v>
      </c>
      <c r="E1298" s="3">
        <v>155.80000000000001</v>
      </c>
      <c r="F1298" s="3">
        <v>161.24</v>
      </c>
      <c r="G1298" s="3">
        <v>181.24</v>
      </c>
      <c r="H1298" s="3">
        <v>82.05</v>
      </c>
      <c r="I1298" s="2">
        <v>57.18</v>
      </c>
      <c r="J1298" s="2">
        <v>594.98</v>
      </c>
      <c r="K1298" s="2">
        <v>395.02</v>
      </c>
      <c r="L1298" s="3">
        <v>107.76</v>
      </c>
      <c r="M1298" s="2">
        <v>2.62</v>
      </c>
    </row>
    <row r="1299" spans="1:13">
      <c r="A1299" s="9">
        <v>44069</v>
      </c>
      <c r="B1299" s="1">
        <f t="shared" si="40"/>
        <v>44044</v>
      </c>
      <c r="C1299" s="5" t="str">
        <f t="shared" si="41"/>
        <v>2020-08</v>
      </c>
      <c r="D1299" s="3">
        <v>347.57</v>
      </c>
      <c r="E1299" s="3">
        <v>155.41999999999999</v>
      </c>
      <c r="F1299" s="3">
        <v>164.03</v>
      </c>
      <c r="G1299" s="3">
        <v>183.36</v>
      </c>
      <c r="H1299" s="3">
        <v>80.86</v>
      </c>
      <c r="I1299" s="2">
        <v>57.49</v>
      </c>
      <c r="J1299" s="2">
        <v>592.1</v>
      </c>
      <c r="K1299" s="2">
        <v>395.44</v>
      </c>
      <c r="L1299" s="3">
        <v>106.92</v>
      </c>
      <c r="M1299" s="2">
        <v>2.6</v>
      </c>
    </row>
    <row r="1300" spans="1:13">
      <c r="A1300" s="9">
        <v>44068</v>
      </c>
      <c r="B1300" s="1">
        <f t="shared" si="40"/>
        <v>44044</v>
      </c>
      <c r="C1300" s="5" t="str">
        <f t="shared" si="41"/>
        <v>2020-08</v>
      </c>
      <c r="D1300" s="3">
        <v>344.12</v>
      </c>
      <c r="E1300" s="3">
        <v>156.4</v>
      </c>
      <c r="F1300" s="3">
        <v>164.66</v>
      </c>
      <c r="G1300" s="3">
        <v>181.22</v>
      </c>
      <c r="H1300" s="3">
        <v>81.61</v>
      </c>
      <c r="I1300" s="2">
        <v>56.09</v>
      </c>
      <c r="J1300" s="2">
        <v>591.15</v>
      </c>
      <c r="K1300" s="2">
        <v>394.84</v>
      </c>
      <c r="L1300" s="3">
        <v>107.05</v>
      </c>
      <c r="M1300" s="2">
        <v>2.67</v>
      </c>
    </row>
    <row r="1301" spans="1:13">
      <c r="A1301" s="9">
        <v>44067</v>
      </c>
      <c r="B1301" s="1">
        <f t="shared" si="40"/>
        <v>44044</v>
      </c>
      <c r="C1301" s="5" t="str">
        <f t="shared" si="41"/>
        <v>2020-08</v>
      </c>
      <c r="D1301" s="3">
        <v>342.92</v>
      </c>
      <c r="E1301" s="3">
        <v>156.22999999999999</v>
      </c>
      <c r="F1301" s="3">
        <v>165.93</v>
      </c>
      <c r="G1301" s="3">
        <v>181</v>
      </c>
      <c r="H1301" s="3">
        <v>81.400000000000006</v>
      </c>
      <c r="I1301" s="2">
        <v>56.01</v>
      </c>
      <c r="J1301" s="2">
        <v>591.45000000000005</v>
      </c>
      <c r="K1301" s="2">
        <v>395.04</v>
      </c>
      <c r="L1301" s="3">
        <v>106.33</v>
      </c>
      <c r="M1301" s="2">
        <v>2.67</v>
      </c>
    </row>
    <row r="1302" spans="1:13">
      <c r="A1302" s="9">
        <v>44064</v>
      </c>
      <c r="B1302" s="1">
        <f t="shared" si="40"/>
        <v>44044</v>
      </c>
      <c r="C1302" s="5" t="str">
        <f t="shared" si="41"/>
        <v>2020-08</v>
      </c>
      <c r="D1302" s="3">
        <v>339.48</v>
      </c>
      <c r="E1302" s="3">
        <v>154.61000000000001</v>
      </c>
      <c r="F1302" s="3">
        <v>166.2</v>
      </c>
      <c r="G1302" s="3">
        <v>182.03</v>
      </c>
      <c r="H1302" s="3">
        <v>80.88</v>
      </c>
      <c r="I1302" s="2">
        <v>55.19</v>
      </c>
      <c r="J1302" s="2">
        <v>584.04</v>
      </c>
      <c r="K1302" s="2">
        <v>389.57</v>
      </c>
      <c r="L1302" s="3">
        <v>106.82</v>
      </c>
      <c r="M1302" s="2">
        <v>2.65</v>
      </c>
    </row>
    <row r="1303" spans="1:13">
      <c r="A1303" s="9">
        <v>44063</v>
      </c>
      <c r="B1303" s="1">
        <f t="shared" si="40"/>
        <v>44044</v>
      </c>
      <c r="C1303" s="5" t="str">
        <f t="shared" si="41"/>
        <v>2020-08</v>
      </c>
      <c r="D1303" s="3">
        <v>338.28</v>
      </c>
      <c r="E1303" s="3">
        <v>155.76</v>
      </c>
      <c r="F1303" s="3">
        <v>165.21</v>
      </c>
      <c r="G1303" s="3">
        <v>183.5</v>
      </c>
      <c r="H1303" s="3">
        <v>80.75</v>
      </c>
      <c r="I1303" s="2">
        <v>55.26</v>
      </c>
      <c r="J1303" s="2">
        <v>583.36</v>
      </c>
      <c r="K1303" s="2">
        <v>387.88</v>
      </c>
      <c r="L1303" s="3">
        <v>106.71</v>
      </c>
      <c r="M1303" s="2">
        <v>2.62</v>
      </c>
    </row>
    <row r="1304" spans="1:13">
      <c r="A1304" s="9">
        <v>44062</v>
      </c>
      <c r="B1304" s="1">
        <f t="shared" si="40"/>
        <v>44044</v>
      </c>
      <c r="C1304" s="5" t="str">
        <f t="shared" si="41"/>
        <v>2020-08</v>
      </c>
      <c r="D1304" s="3">
        <v>337.23</v>
      </c>
      <c r="E1304" s="3">
        <v>156.4</v>
      </c>
      <c r="F1304" s="3">
        <v>163.72999999999999</v>
      </c>
      <c r="G1304" s="3">
        <v>182.24</v>
      </c>
      <c r="H1304" s="3">
        <v>79.989999999999995</v>
      </c>
      <c r="I1304" s="2">
        <v>56.2</v>
      </c>
      <c r="J1304" s="2">
        <v>589.75</v>
      </c>
      <c r="K1304" s="2">
        <v>390.05</v>
      </c>
      <c r="L1304" s="3">
        <v>107.05</v>
      </c>
      <c r="M1304" s="2">
        <v>2.59</v>
      </c>
    </row>
    <row r="1305" spans="1:13">
      <c r="A1305" s="9">
        <v>44061</v>
      </c>
      <c r="B1305" s="1">
        <f t="shared" si="40"/>
        <v>44044</v>
      </c>
      <c r="C1305" s="5" t="str">
        <f t="shared" si="41"/>
        <v>2020-08</v>
      </c>
      <c r="D1305" s="3">
        <v>338.64</v>
      </c>
      <c r="E1305" s="3">
        <v>156.38999999999999</v>
      </c>
      <c r="F1305" s="3">
        <v>164.76</v>
      </c>
      <c r="G1305" s="3">
        <v>188.18</v>
      </c>
      <c r="H1305" s="3">
        <v>81.42</v>
      </c>
      <c r="I1305" s="2">
        <v>55.18</v>
      </c>
      <c r="J1305" s="2">
        <v>589.21</v>
      </c>
      <c r="K1305" s="2">
        <v>390.26</v>
      </c>
      <c r="L1305" s="3">
        <v>107.4</v>
      </c>
      <c r="M1305" s="2">
        <v>2.59</v>
      </c>
    </row>
    <row r="1306" spans="1:13">
      <c r="A1306" s="9">
        <v>44060</v>
      </c>
      <c r="B1306" s="1">
        <f t="shared" si="40"/>
        <v>44044</v>
      </c>
      <c r="C1306" s="5" t="str">
        <f t="shared" si="41"/>
        <v>2020-08</v>
      </c>
      <c r="D1306" s="3">
        <v>337.91</v>
      </c>
      <c r="E1306" s="3">
        <v>157.9</v>
      </c>
      <c r="F1306" s="3">
        <v>163.59</v>
      </c>
      <c r="G1306" s="3">
        <v>186.5</v>
      </c>
      <c r="H1306" s="3">
        <v>81.81</v>
      </c>
      <c r="I1306" s="2">
        <v>53.99</v>
      </c>
      <c r="J1306" s="2">
        <v>592.03</v>
      </c>
      <c r="K1306" s="2">
        <v>388.96</v>
      </c>
      <c r="L1306" s="3">
        <v>107.43</v>
      </c>
      <c r="M1306" s="2">
        <v>2.57</v>
      </c>
    </row>
    <row r="1307" spans="1:13">
      <c r="A1307" s="9">
        <v>44057</v>
      </c>
      <c r="B1307" s="1">
        <f t="shared" si="40"/>
        <v>44044</v>
      </c>
      <c r="C1307" s="5" t="str">
        <f t="shared" si="41"/>
        <v>2020-08</v>
      </c>
      <c r="D1307" s="3">
        <v>336.84</v>
      </c>
      <c r="E1307" s="3">
        <v>157.09</v>
      </c>
      <c r="F1307" s="3">
        <v>163.18</v>
      </c>
      <c r="G1307" s="3">
        <v>182.54</v>
      </c>
      <c r="H1307" s="3">
        <v>81.150000000000006</v>
      </c>
      <c r="I1307" s="2">
        <v>54.2</v>
      </c>
      <c r="J1307" s="2">
        <v>588.46</v>
      </c>
      <c r="K1307" s="2">
        <v>391.42</v>
      </c>
      <c r="L1307" s="3">
        <v>106.8</v>
      </c>
      <c r="M1307" s="2">
        <v>2.61</v>
      </c>
    </row>
    <row r="1308" spans="1:13">
      <c r="A1308" s="9">
        <v>44056</v>
      </c>
      <c r="B1308" s="1">
        <f t="shared" si="40"/>
        <v>44044</v>
      </c>
      <c r="C1308" s="5" t="str">
        <f t="shared" si="41"/>
        <v>2020-08</v>
      </c>
      <c r="D1308" s="3">
        <v>336.83</v>
      </c>
      <c r="E1308" s="3">
        <v>157.19</v>
      </c>
      <c r="F1308" s="3">
        <v>163.82</v>
      </c>
      <c r="G1308" s="3">
        <v>183.33</v>
      </c>
      <c r="H1308" s="3">
        <v>81.14</v>
      </c>
      <c r="I1308" s="2">
        <v>54.02</v>
      </c>
      <c r="J1308" s="2">
        <v>589.55999999999995</v>
      </c>
      <c r="K1308" s="2">
        <v>389.24</v>
      </c>
      <c r="L1308" s="3">
        <v>107.01</v>
      </c>
      <c r="M1308" s="2">
        <v>2.6</v>
      </c>
    </row>
    <row r="1309" spans="1:13">
      <c r="A1309" s="9">
        <v>44055</v>
      </c>
      <c r="B1309" s="1">
        <f t="shared" si="40"/>
        <v>44044</v>
      </c>
      <c r="C1309" s="5" t="str">
        <f t="shared" si="41"/>
        <v>2020-08</v>
      </c>
      <c r="D1309" s="3">
        <v>337.44</v>
      </c>
      <c r="E1309" s="3">
        <v>157.52000000000001</v>
      </c>
      <c r="F1309" s="3">
        <v>165.59</v>
      </c>
      <c r="G1309" s="3">
        <v>179.1</v>
      </c>
      <c r="H1309" s="3">
        <v>82.15</v>
      </c>
      <c r="I1309" s="2">
        <v>54.17</v>
      </c>
      <c r="J1309" s="2">
        <v>590.24</v>
      </c>
      <c r="K1309" s="2">
        <v>392.44</v>
      </c>
      <c r="L1309" s="3">
        <v>107.15</v>
      </c>
      <c r="M1309" s="2">
        <v>2.6</v>
      </c>
    </row>
    <row r="1310" spans="1:13">
      <c r="A1310" s="9">
        <v>44054</v>
      </c>
      <c r="B1310" s="1">
        <f t="shared" si="40"/>
        <v>44044</v>
      </c>
      <c r="C1310" s="5" t="str">
        <f t="shared" si="41"/>
        <v>2020-08</v>
      </c>
      <c r="D1310" s="3">
        <v>332.8</v>
      </c>
      <c r="E1310" s="3">
        <v>156.88</v>
      </c>
      <c r="F1310" s="3">
        <v>167.10499999999999</v>
      </c>
      <c r="G1310" s="3">
        <v>179.94</v>
      </c>
      <c r="H1310" s="3">
        <v>81.33</v>
      </c>
      <c r="I1310" s="2">
        <v>54.27</v>
      </c>
      <c r="J1310" s="2">
        <v>586.64</v>
      </c>
      <c r="K1310" s="2">
        <v>391.96</v>
      </c>
      <c r="L1310" s="3">
        <v>105.38</v>
      </c>
      <c r="M1310" s="2">
        <v>3.05</v>
      </c>
    </row>
    <row r="1311" spans="1:13">
      <c r="A1311" s="9">
        <v>44053</v>
      </c>
      <c r="B1311" s="1">
        <f t="shared" si="40"/>
        <v>44044</v>
      </c>
      <c r="C1311" s="5" t="str">
        <f t="shared" si="41"/>
        <v>2020-08</v>
      </c>
      <c r="D1311" s="3">
        <v>335.57</v>
      </c>
      <c r="E1311" s="3">
        <v>157.79</v>
      </c>
      <c r="F1311" s="3">
        <v>169.12</v>
      </c>
      <c r="G1311" s="3">
        <v>190.15</v>
      </c>
      <c r="H1311" s="3">
        <v>82.52</v>
      </c>
      <c r="I1311" s="2">
        <v>54.94</v>
      </c>
      <c r="J1311" s="2">
        <v>580.20000000000005</v>
      </c>
      <c r="K1311" s="2">
        <v>389.26</v>
      </c>
      <c r="L1311" s="3">
        <v>106.05</v>
      </c>
      <c r="M1311" s="2">
        <v>3.02</v>
      </c>
    </row>
    <row r="1312" spans="1:13">
      <c r="A1312" s="9">
        <v>44050</v>
      </c>
      <c r="B1312" s="1">
        <f t="shared" si="40"/>
        <v>44044</v>
      </c>
      <c r="C1312" s="5" t="str">
        <f t="shared" si="41"/>
        <v>2020-08</v>
      </c>
      <c r="D1312" s="3">
        <v>334.57</v>
      </c>
      <c r="E1312" s="3">
        <v>156.16999999999999</v>
      </c>
      <c r="F1312" s="3">
        <v>169.88</v>
      </c>
      <c r="G1312" s="3">
        <v>190.81</v>
      </c>
      <c r="H1312" s="3">
        <v>82.39</v>
      </c>
      <c r="I1312" s="2">
        <v>55.23</v>
      </c>
      <c r="J1312" s="2">
        <v>588.19000000000005</v>
      </c>
      <c r="K1312" s="2">
        <v>385.62</v>
      </c>
      <c r="L1312" s="3">
        <v>106.41</v>
      </c>
      <c r="M1312" s="2">
        <v>3.02</v>
      </c>
    </row>
    <row r="1313" spans="1:13">
      <c r="A1313" s="9">
        <v>44049</v>
      </c>
      <c r="B1313" s="1">
        <f t="shared" si="40"/>
        <v>44044</v>
      </c>
      <c r="C1313" s="5" t="str">
        <f t="shared" si="41"/>
        <v>2020-08</v>
      </c>
      <c r="D1313" s="3">
        <v>334.33</v>
      </c>
      <c r="E1313" s="3">
        <v>153.72999999999999</v>
      </c>
      <c r="F1313" s="3">
        <v>171.02</v>
      </c>
      <c r="G1313" s="3">
        <v>193.89</v>
      </c>
      <c r="H1313" s="3">
        <v>81.23</v>
      </c>
      <c r="I1313" s="2">
        <v>55.28</v>
      </c>
      <c r="J1313" s="2">
        <v>582.23</v>
      </c>
      <c r="K1313" s="2">
        <v>379.74</v>
      </c>
      <c r="L1313" s="3">
        <v>106.07</v>
      </c>
      <c r="M1313" s="2">
        <v>3.01</v>
      </c>
    </row>
    <row r="1314" spans="1:13">
      <c r="A1314" s="9">
        <v>44048</v>
      </c>
      <c r="B1314" s="1">
        <f t="shared" si="40"/>
        <v>44044</v>
      </c>
      <c r="C1314" s="5" t="str">
        <f t="shared" si="41"/>
        <v>2020-08</v>
      </c>
      <c r="D1314" s="3">
        <v>332.11</v>
      </c>
      <c r="E1314" s="3">
        <v>153.79</v>
      </c>
      <c r="F1314" s="3">
        <v>170.07</v>
      </c>
      <c r="G1314" s="3">
        <v>191.35</v>
      </c>
      <c r="H1314" s="3">
        <v>81.099999999999994</v>
      </c>
      <c r="I1314" s="2">
        <v>55.5</v>
      </c>
      <c r="J1314" s="2">
        <v>582.15</v>
      </c>
      <c r="K1314" s="2">
        <v>383.5</v>
      </c>
      <c r="L1314" s="3">
        <v>106.64</v>
      </c>
      <c r="M1314" s="2">
        <v>3.08</v>
      </c>
    </row>
    <row r="1315" spans="1:13">
      <c r="A1315" s="9">
        <v>44047</v>
      </c>
      <c r="B1315" s="1">
        <f t="shared" si="40"/>
        <v>44044</v>
      </c>
      <c r="C1315" s="5" t="str">
        <f t="shared" si="41"/>
        <v>2020-08</v>
      </c>
      <c r="D1315" s="3">
        <v>330.06</v>
      </c>
      <c r="E1315" s="3">
        <v>150.79</v>
      </c>
      <c r="F1315" s="3">
        <v>171.57</v>
      </c>
      <c r="G1315" s="3">
        <v>189.59</v>
      </c>
      <c r="H1315" s="3">
        <v>81.510000000000005</v>
      </c>
      <c r="I1315" s="2">
        <v>56</v>
      </c>
      <c r="J1315" s="2">
        <v>571.04</v>
      </c>
      <c r="K1315" s="2">
        <v>377.99</v>
      </c>
      <c r="L1315" s="3">
        <v>106.15</v>
      </c>
      <c r="M1315" s="2">
        <v>3.03</v>
      </c>
    </row>
    <row r="1316" spans="1:13">
      <c r="A1316" s="9">
        <v>44046</v>
      </c>
      <c r="B1316" s="1">
        <f t="shared" si="40"/>
        <v>44044</v>
      </c>
      <c r="C1316" s="5" t="str">
        <f t="shared" si="41"/>
        <v>2020-08</v>
      </c>
      <c r="D1316" s="3">
        <v>328.79</v>
      </c>
      <c r="E1316" s="3">
        <v>149.76</v>
      </c>
      <c r="F1316" s="3">
        <v>169.95</v>
      </c>
      <c r="G1316" s="3">
        <v>185.64</v>
      </c>
      <c r="H1316" s="3">
        <v>80.31</v>
      </c>
      <c r="I1316" s="2">
        <v>55.98</v>
      </c>
      <c r="J1316" s="2">
        <v>579.95000000000005</v>
      </c>
      <c r="K1316" s="2">
        <v>377.1</v>
      </c>
      <c r="L1316" s="3">
        <v>106.62</v>
      </c>
      <c r="M1316" s="2">
        <v>3.03</v>
      </c>
    </row>
    <row r="1317" spans="1:13">
      <c r="A1317" s="9">
        <v>44043</v>
      </c>
      <c r="B1317" s="1">
        <f t="shared" si="40"/>
        <v>44013</v>
      </c>
      <c r="C1317" s="5" t="str">
        <f t="shared" si="41"/>
        <v>2020-07</v>
      </c>
      <c r="D1317" s="3">
        <v>326.52</v>
      </c>
      <c r="E1317" s="3">
        <v>147.36000000000001</v>
      </c>
      <c r="F1317" s="3">
        <v>171</v>
      </c>
      <c r="G1317" s="3">
        <v>185.43</v>
      </c>
      <c r="H1317" s="3">
        <v>81.39</v>
      </c>
      <c r="I1317" s="2">
        <v>55.45</v>
      </c>
      <c r="J1317" s="2">
        <v>575.01</v>
      </c>
      <c r="K1317" s="2">
        <v>378.97</v>
      </c>
      <c r="L1317" s="3">
        <v>105.53</v>
      </c>
      <c r="M1317" s="2">
        <v>3.03</v>
      </c>
    </row>
    <row r="1318" spans="1:13">
      <c r="A1318" s="9">
        <v>44042</v>
      </c>
      <c r="B1318" s="1">
        <f t="shared" si="40"/>
        <v>44013</v>
      </c>
      <c r="C1318" s="5" t="str">
        <f t="shared" si="41"/>
        <v>2020-07</v>
      </c>
      <c r="D1318" s="3">
        <v>323.95999999999998</v>
      </c>
      <c r="E1318" s="3">
        <v>148.76</v>
      </c>
      <c r="F1318" s="3">
        <v>171.11</v>
      </c>
      <c r="G1318" s="3">
        <v>183.76</v>
      </c>
      <c r="H1318" s="3">
        <v>81.540000000000006</v>
      </c>
      <c r="I1318" s="2">
        <v>55.25</v>
      </c>
      <c r="J1318" s="2">
        <v>573.09</v>
      </c>
      <c r="K1318" s="2">
        <v>381.72</v>
      </c>
      <c r="L1318" s="3">
        <v>106.14</v>
      </c>
      <c r="M1318" s="2">
        <v>2.97</v>
      </c>
    </row>
    <row r="1319" spans="1:13">
      <c r="A1319" s="9">
        <v>44041</v>
      </c>
      <c r="B1319" s="1">
        <f t="shared" si="40"/>
        <v>44013</v>
      </c>
      <c r="C1319" s="5" t="str">
        <f t="shared" si="41"/>
        <v>2020-07</v>
      </c>
      <c r="D1319" s="3">
        <v>325.12</v>
      </c>
      <c r="E1319" s="3">
        <v>149.35</v>
      </c>
      <c r="F1319" s="3">
        <v>169.99</v>
      </c>
      <c r="G1319" s="3">
        <v>185.13</v>
      </c>
      <c r="H1319" s="3">
        <v>82.07</v>
      </c>
      <c r="I1319" s="2">
        <v>55.7</v>
      </c>
      <c r="J1319" s="2">
        <v>577.6</v>
      </c>
      <c r="K1319" s="2">
        <v>387.3</v>
      </c>
      <c r="L1319" s="3">
        <v>106.88</v>
      </c>
      <c r="M1319" s="2">
        <v>2.96</v>
      </c>
    </row>
    <row r="1320" spans="1:13">
      <c r="A1320" s="9">
        <v>44040</v>
      </c>
      <c r="B1320" s="1">
        <f t="shared" si="40"/>
        <v>44013</v>
      </c>
      <c r="C1320" s="5" t="str">
        <f t="shared" si="41"/>
        <v>2020-07</v>
      </c>
      <c r="D1320" s="3">
        <v>321.17</v>
      </c>
      <c r="E1320" s="3">
        <v>146.13</v>
      </c>
      <c r="F1320" s="3">
        <v>170.28</v>
      </c>
      <c r="G1320" s="3">
        <v>183.75</v>
      </c>
      <c r="H1320" s="3">
        <v>80.510000000000005</v>
      </c>
      <c r="I1320" s="2">
        <v>55.35</v>
      </c>
      <c r="J1320" s="2">
        <v>570.70000000000005</v>
      </c>
      <c r="K1320" s="2">
        <v>386.66</v>
      </c>
      <c r="L1320" s="3">
        <v>105.77</v>
      </c>
      <c r="M1320" s="2">
        <v>2.81</v>
      </c>
    </row>
    <row r="1321" spans="1:13">
      <c r="A1321" s="9">
        <v>44039</v>
      </c>
      <c r="B1321" s="1">
        <f t="shared" si="40"/>
        <v>44013</v>
      </c>
      <c r="C1321" s="5" t="str">
        <f t="shared" si="41"/>
        <v>2020-07</v>
      </c>
      <c r="D1321" s="3">
        <v>323.22000000000003</v>
      </c>
      <c r="E1321" s="3">
        <v>147.6</v>
      </c>
      <c r="F1321" s="3">
        <v>169.11</v>
      </c>
      <c r="G1321" s="3">
        <v>182.23</v>
      </c>
      <c r="H1321" s="3">
        <v>78.94</v>
      </c>
      <c r="I1321" s="2">
        <v>55.34</v>
      </c>
      <c r="J1321" s="2">
        <v>575.33000000000004</v>
      </c>
      <c r="K1321" s="2">
        <v>382.09</v>
      </c>
      <c r="L1321" s="3">
        <v>105.89</v>
      </c>
      <c r="M1321" s="2">
        <v>2.85</v>
      </c>
    </row>
    <row r="1322" spans="1:13">
      <c r="A1322" s="9">
        <v>44036</v>
      </c>
      <c r="B1322" s="1">
        <f t="shared" si="40"/>
        <v>44013</v>
      </c>
      <c r="C1322" s="5" t="str">
        <f t="shared" si="41"/>
        <v>2020-07</v>
      </c>
      <c r="D1322" s="3">
        <v>320.88</v>
      </c>
      <c r="E1322" s="3">
        <v>146.08000000000001</v>
      </c>
      <c r="F1322" s="3">
        <v>169.74</v>
      </c>
      <c r="G1322" s="3">
        <v>178.7</v>
      </c>
      <c r="H1322" s="3">
        <v>78.2</v>
      </c>
      <c r="I1322" s="2">
        <v>55.65</v>
      </c>
      <c r="J1322" s="2">
        <v>570.62</v>
      </c>
      <c r="K1322" s="2">
        <v>386.21</v>
      </c>
      <c r="L1322" s="3">
        <v>105.1</v>
      </c>
      <c r="M1322" s="2">
        <v>2.72</v>
      </c>
    </row>
    <row r="1323" spans="1:13">
      <c r="A1323" s="9">
        <v>44035</v>
      </c>
      <c r="B1323" s="1">
        <f t="shared" si="40"/>
        <v>44013</v>
      </c>
      <c r="C1323" s="5" t="str">
        <f t="shared" si="41"/>
        <v>2020-07</v>
      </c>
      <c r="D1323" s="3">
        <v>322.95999999999998</v>
      </c>
      <c r="E1323" s="3">
        <v>148.26</v>
      </c>
      <c r="F1323" s="3">
        <v>169.75</v>
      </c>
      <c r="G1323" s="3">
        <v>177.18</v>
      </c>
      <c r="H1323" s="3">
        <v>78.78</v>
      </c>
      <c r="I1323" s="2">
        <v>55.76</v>
      </c>
      <c r="J1323" s="2">
        <v>578.15</v>
      </c>
      <c r="K1323" s="2">
        <v>387.62</v>
      </c>
      <c r="L1323" s="3">
        <v>106.27</v>
      </c>
      <c r="M1323" s="2">
        <v>2.76</v>
      </c>
    </row>
    <row r="1324" spans="1:13">
      <c r="A1324" s="9">
        <v>44034</v>
      </c>
      <c r="B1324" s="1">
        <f t="shared" si="40"/>
        <v>44013</v>
      </c>
      <c r="C1324" s="5" t="str">
        <f t="shared" si="41"/>
        <v>2020-07</v>
      </c>
      <c r="D1324" s="3">
        <v>326.86</v>
      </c>
      <c r="E1324" s="3">
        <v>148.11000000000001</v>
      </c>
      <c r="F1324" s="3">
        <v>167.79</v>
      </c>
      <c r="G1324" s="3">
        <v>175.63</v>
      </c>
      <c r="H1324" s="3">
        <v>79.11</v>
      </c>
      <c r="I1324" s="2">
        <v>56.01</v>
      </c>
      <c r="J1324" s="2">
        <v>582.54</v>
      </c>
      <c r="K1324" s="2">
        <v>394.08</v>
      </c>
      <c r="L1324" s="3">
        <v>106.75</v>
      </c>
      <c r="M1324" s="2">
        <v>2.8</v>
      </c>
    </row>
    <row r="1325" spans="1:13">
      <c r="A1325" s="9">
        <v>44033</v>
      </c>
      <c r="B1325" s="1">
        <f t="shared" si="40"/>
        <v>44013</v>
      </c>
      <c r="C1325" s="5" t="str">
        <f t="shared" si="41"/>
        <v>2020-07</v>
      </c>
      <c r="D1325" s="3">
        <v>325.01</v>
      </c>
      <c r="E1325" s="3">
        <v>148.03</v>
      </c>
      <c r="F1325" s="3">
        <v>167.29</v>
      </c>
      <c r="G1325" s="3">
        <v>173</v>
      </c>
      <c r="H1325" s="3">
        <v>77.92</v>
      </c>
      <c r="I1325" s="2">
        <v>55.91</v>
      </c>
      <c r="J1325" s="2">
        <v>580</v>
      </c>
      <c r="K1325" s="2">
        <v>375.12</v>
      </c>
      <c r="L1325" s="3">
        <v>105.8</v>
      </c>
      <c r="M1325" s="2">
        <v>2.81</v>
      </c>
    </row>
    <row r="1326" spans="1:13">
      <c r="A1326" s="9">
        <v>44032</v>
      </c>
      <c r="B1326" s="1">
        <f t="shared" si="40"/>
        <v>44013</v>
      </c>
      <c r="C1326" s="5" t="str">
        <f t="shared" si="41"/>
        <v>2020-07</v>
      </c>
      <c r="D1326" s="3">
        <v>324.32</v>
      </c>
      <c r="E1326" s="3">
        <v>145.96</v>
      </c>
      <c r="F1326" s="3">
        <v>167.19</v>
      </c>
      <c r="G1326" s="3">
        <v>170.94</v>
      </c>
      <c r="H1326" s="3">
        <v>77.73</v>
      </c>
      <c r="I1326" s="2">
        <v>55.4</v>
      </c>
      <c r="J1326" s="2">
        <v>579.6</v>
      </c>
      <c r="K1326" s="2">
        <v>365.53</v>
      </c>
      <c r="L1326" s="3">
        <v>105.87</v>
      </c>
      <c r="M1326" s="2">
        <v>2.87</v>
      </c>
    </row>
    <row r="1327" spans="1:13">
      <c r="A1327" s="9">
        <v>44029</v>
      </c>
      <c r="B1327" s="1">
        <f t="shared" si="40"/>
        <v>44013</v>
      </c>
      <c r="C1327" s="5" t="str">
        <f t="shared" si="41"/>
        <v>2020-07</v>
      </c>
      <c r="D1327" s="3">
        <v>321.72000000000003</v>
      </c>
      <c r="E1327" s="3">
        <v>146.59</v>
      </c>
      <c r="F1327" s="3">
        <v>166.78</v>
      </c>
      <c r="G1327" s="3">
        <v>170.12</v>
      </c>
      <c r="H1327" s="3">
        <v>78.67</v>
      </c>
      <c r="I1327" s="2">
        <v>54.9</v>
      </c>
      <c r="J1327" s="2">
        <v>587.72</v>
      </c>
      <c r="K1327" s="2">
        <v>368.5</v>
      </c>
      <c r="L1327" s="3">
        <v>105.89</v>
      </c>
      <c r="M1327" s="2">
        <v>2.84</v>
      </c>
    </row>
    <row r="1328" spans="1:13">
      <c r="A1328" s="9">
        <v>44028</v>
      </c>
      <c r="B1328" s="1">
        <f t="shared" si="40"/>
        <v>44013</v>
      </c>
      <c r="C1328" s="5" t="str">
        <f t="shared" si="41"/>
        <v>2020-07</v>
      </c>
      <c r="D1328" s="3">
        <v>320.79000000000002</v>
      </c>
      <c r="E1328" s="3">
        <v>146.16</v>
      </c>
      <c r="F1328" s="3">
        <v>167.13</v>
      </c>
      <c r="G1328" s="3">
        <v>168.73</v>
      </c>
      <c r="H1328" s="3">
        <v>77.66</v>
      </c>
      <c r="I1328" s="2">
        <v>55.82</v>
      </c>
      <c r="J1328" s="2">
        <v>566.96</v>
      </c>
      <c r="K1328" s="2">
        <v>365.88</v>
      </c>
      <c r="L1328" s="3">
        <v>104.46</v>
      </c>
      <c r="M1328" s="2">
        <v>2.81</v>
      </c>
    </row>
    <row r="1329" spans="1:13">
      <c r="A1329" s="9">
        <v>44027</v>
      </c>
      <c r="B1329" s="1">
        <f t="shared" si="40"/>
        <v>44013</v>
      </c>
      <c r="C1329" s="5" t="str">
        <f t="shared" si="41"/>
        <v>2020-07</v>
      </c>
      <c r="D1329" s="3">
        <v>321.85000000000002</v>
      </c>
      <c r="E1329" s="3">
        <v>147.03</v>
      </c>
      <c r="F1329" s="3">
        <v>166.34</v>
      </c>
      <c r="G1329" s="3">
        <v>170.34</v>
      </c>
      <c r="H1329" s="3">
        <v>78.599999999999994</v>
      </c>
      <c r="I1329" s="2">
        <v>56.62</v>
      </c>
      <c r="J1329" s="2">
        <v>568.59</v>
      </c>
      <c r="K1329" s="2">
        <v>364.56</v>
      </c>
      <c r="L1329" s="3">
        <v>104.63</v>
      </c>
      <c r="M1329" s="2">
        <v>2.79</v>
      </c>
    </row>
    <row r="1330" spans="1:13">
      <c r="A1330" s="9">
        <v>44026</v>
      </c>
      <c r="B1330" s="1">
        <f t="shared" si="40"/>
        <v>44013</v>
      </c>
      <c r="C1330" s="5" t="str">
        <f t="shared" si="41"/>
        <v>2020-07</v>
      </c>
      <c r="D1330" s="3">
        <v>318.92</v>
      </c>
      <c r="E1330" s="3">
        <v>141.83000000000001</v>
      </c>
      <c r="F1330" s="3">
        <v>167.12</v>
      </c>
      <c r="G1330" s="3">
        <v>170.19</v>
      </c>
      <c r="H1330" s="3">
        <v>77.84</v>
      </c>
      <c r="I1330" s="2">
        <v>57.2</v>
      </c>
      <c r="J1330" s="2">
        <v>561.33000000000004</v>
      </c>
      <c r="K1330" s="2">
        <v>355.66</v>
      </c>
      <c r="L1330" s="3">
        <v>103.29</v>
      </c>
      <c r="M1330" s="2">
        <v>2.77</v>
      </c>
    </row>
    <row r="1331" spans="1:13">
      <c r="A1331" s="9">
        <v>44025</v>
      </c>
      <c r="B1331" s="1">
        <f t="shared" si="40"/>
        <v>44013</v>
      </c>
      <c r="C1331" s="5" t="str">
        <f t="shared" si="41"/>
        <v>2020-07</v>
      </c>
      <c r="D1331" s="3">
        <v>314.83999999999997</v>
      </c>
      <c r="E1331" s="3">
        <v>139.52000000000001</v>
      </c>
      <c r="F1331" s="3">
        <v>166.88</v>
      </c>
      <c r="G1331" s="3">
        <v>169.4</v>
      </c>
      <c r="H1331" s="3">
        <v>77.19</v>
      </c>
      <c r="I1331" s="2">
        <v>57.01</v>
      </c>
      <c r="J1331" s="2">
        <v>552.55999999999995</v>
      </c>
      <c r="K1331" s="2">
        <v>353.06</v>
      </c>
      <c r="L1331" s="3">
        <v>101.28</v>
      </c>
      <c r="M1331" s="2">
        <v>2.71</v>
      </c>
    </row>
    <row r="1332" spans="1:13">
      <c r="A1332" s="9">
        <v>44022</v>
      </c>
      <c r="B1332" s="1">
        <f t="shared" si="40"/>
        <v>44013</v>
      </c>
      <c r="C1332" s="5" t="str">
        <f t="shared" si="41"/>
        <v>2020-07</v>
      </c>
      <c r="D1332" s="3">
        <v>317.58999999999997</v>
      </c>
      <c r="E1332" s="3">
        <v>141.31</v>
      </c>
      <c r="F1332" s="3">
        <v>166.33</v>
      </c>
      <c r="G1332" s="3">
        <v>169.19</v>
      </c>
      <c r="H1332" s="3">
        <v>78.12</v>
      </c>
      <c r="I1332" s="2">
        <v>57.39</v>
      </c>
      <c r="J1332" s="2">
        <v>554.08000000000004</v>
      </c>
      <c r="K1332" s="2">
        <v>349.25</v>
      </c>
      <c r="L1332" s="3">
        <v>100.71</v>
      </c>
      <c r="M1332" s="2">
        <v>2.76</v>
      </c>
    </row>
    <row r="1333" spans="1:13">
      <c r="A1333" s="9">
        <v>44021</v>
      </c>
      <c r="B1333" s="1">
        <f t="shared" si="40"/>
        <v>44013</v>
      </c>
      <c r="C1333" s="5" t="str">
        <f t="shared" si="41"/>
        <v>2020-07</v>
      </c>
      <c r="D1333" s="3">
        <v>314.38</v>
      </c>
      <c r="E1333" s="3">
        <v>139.07</v>
      </c>
      <c r="F1333" s="3">
        <v>167.17</v>
      </c>
      <c r="G1333" s="3">
        <v>169.63</v>
      </c>
      <c r="H1333" s="3">
        <v>77.88</v>
      </c>
      <c r="I1333" s="2">
        <v>57.53</v>
      </c>
      <c r="J1333" s="2">
        <v>549.44000000000005</v>
      </c>
      <c r="K1333" s="2">
        <v>339.96</v>
      </c>
      <c r="L1333" s="3">
        <v>100.95</v>
      </c>
      <c r="M1333" s="2">
        <v>2.77</v>
      </c>
    </row>
    <row r="1334" spans="1:13">
      <c r="A1334" s="9">
        <v>44020</v>
      </c>
      <c r="B1334" s="1">
        <f t="shared" si="40"/>
        <v>44013</v>
      </c>
      <c r="C1334" s="5" t="str">
        <f t="shared" si="41"/>
        <v>2020-07</v>
      </c>
      <c r="D1334" s="3">
        <v>316.18</v>
      </c>
      <c r="E1334" s="3">
        <v>141.94</v>
      </c>
      <c r="F1334" s="3">
        <v>164.55</v>
      </c>
      <c r="G1334" s="3">
        <v>170.09</v>
      </c>
      <c r="H1334" s="3">
        <v>78.37</v>
      </c>
      <c r="I1334" s="2">
        <v>56.66</v>
      </c>
      <c r="J1334" s="2">
        <v>557.61</v>
      </c>
      <c r="K1334" s="2">
        <v>350.23</v>
      </c>
      <c r="L1334" s="3">
        <v>101.75</v>
      </c>
      <c r="M1334" s="2">
        <v>2.82</v>
      </c>
    </row>
    <row r="1335" spans="1:13">
      <c r="A1335" s="9">
        <v>44019</v>
      </c>
      <c r="B1335" s="1">
        <f t="shared" si="40"/>
        <v>44013</v>
      </c>
      <c r="C1335" s="5" t="str">
        <f t="shared" si="41"/>
        <v>2020-07</v>
      </c>
      <c r="D1335" s="3">
        <v>313.77999999999997</v>
      </c>
      <c r="E1335" s="3">
        <v>140.88999999999999</v>
      </c>
      <c r="F1335" s="3">
        <v>165.21</v>
      </c>
      <c r="G1335" s="3">
        <v>169.04</v>
      </c>
      <c r="H1335" s="3">
        <v>78.48</v>
      </c>
      <c r="I1335" s="2">
        <v>56.31</v>
      </c>
      <c r="J1335" s="2">
        <v>549.23</v>
      </c>
      <c r="K1335" s="2">
        <v>353.27</v>
      </c>
      <c r="L1335" s="3">
        <v>101.74</v>
      </c>
      <c r="M1335" s="2">
        <v>2.75</v>
      </c>
    </row>
    <row r="1336" spans="1:13">
      <c r="A1336" s="9">
        <v>44018</v>
      </c>
      <c r="B1336" s="1">
        <f t="shared" si="40"/>
        <v>44013</v>
      </c>
      <c r="C1336" s="5" t="str">
        <f t="shared" si="41"/>
        <v>2020-07</v>
      </c>
      <c r="D1336" s="3">
        <v>317.05</v>
      </c>
      <c r="E1336" s="3">
        <v>143.43</v>
      </c>
      <c r="F1336" s="3">
        <v>162.91999999999999</v>
      </c>
      <c r="G1336" s="3">
        <v>167.98</v>
      </c>
      <c r="H1336" s="3">
        <v>80.069999999999993</v>
      </c>
      <c r="I1336" s="2">
        <v>56.6</v>
      </c>
      <c r="J1336" s="2">
        <v>557.54999999999995</v>
      </c>
      <c r="K1336" s="2">
        <v>362.59</v>
      </c>
      <c r="L1336" s="3">
        <v>102.63</v>
      </c>
      <c r="M1336" s="2">
        <v>2.8</v>
      </c>
    </row>
    <row r="1337" spans="1:13">
      <c r="A1337" s="9">
        <v>44014</v>
      </c>
      <c r="B1337" s="1">
        <f t="shared" si="40"/>
        <v>44013</v>
      </c>
      <c r="C1337" s="5" t="str">
        <f t="shared" si="41"/>
        <v>2020-07</v>
      </c>
      <c r="D1337" s="3">
        <v>312.23</v>
      </c>
      <c r="E1337" s="3">
        <v>142.4</v>
      </c>
      <c r="F1337" s="3">
        <v>163.59</v>
      </c>
      <c r="G1337" s="3">
        <v>166.98</v>
      </c>
      <c r="H1337" s="3">
        <v>80.11</v>
      </c>
      <c r="I1337" s="2">
        <v>55.94</v>
      </c>
      <c r="J1337" s="2">
        <v>551.77</v>
      </c>
      <c r="K1337" s="2">
        <v>362</v>
      </c>
      <c r="L1337" s="3">
        <v>101.6</v>
      </c>
      <c r="M1337" s="2">
        <v>2.75</v>
      </c>
    </row>
    <row r="1338" spans="1:13">
      <c r="A1338" s="9">
        <v>44013</v>
      </c>
      <c r="B1338" s="1">
        <f t="shared" si="40"/>
        <v>44013</v>
      </c>
      <c r="C1338" s="5" t="str">
        <f t="shared" si="41"/>
        <v>2020-07</v>
      </c>
      <c r="D1338" s="3">
        <v>310.52</v>
      </c>
      <c r="E1338" s="3">
        <v>141.82</v>
      </c>
      <c r="F1338" s="3">
        <v>163.41999999999999</v>
      </c>
      <c r="G1338" s="3">
        <v>166.62</v>
      </c>
      <c r="H1338" s="3">
        <v>80.34</v>
      </c>
      <c r="I1338" s="2">
        <v>55.49</v>
      </c>
      <c r="J1338" s="2">
        <v>544.32000000000005</v>
      </c>
      <c r="K1338" s="2">
        <v>360.42</v>
      </c>
      <c r="L1338" s="3">
        <v>100.84</v>
      </c>
      <c r="M1338" s="2">
        <v>2.79</v>
      </c>
    </row>
    <row r="1339" spans="1:13">
      <c r="A1339" s="9">
        <v>44012</v>
      </c>
      <c r="B1339" s="1">
        <f t="shared" si="40"/>
        <v>43983</v>
      </c>
      <c r="C1339" s="5" t="str">
        <f t="shared" si="41"/>
        <v>2020-06</v>
      </c>
      <c r="D1339" s="3">
        <v>308.36</v>
      </c>
      <c r="E1339" s="3">
        <v>143.18</v>
      </c>
      <c r="F1339" s="3">
        <v>163.93</v>
      </c>
      <c r="G1339" s="3">
        <v>167.37</v>
      </c>
      <c r="H1339" s="3">
        <v>78.53</v>
      </c>
      <c r="I1339" s="2">
        <v>55.27</v>
      </c>
      <c r="J1339" s="2">
        <v>544.09</v>
      </c>
      <c r="K1339" s="2">
        <v>364.92</v>
      </c>
      <c r="L1339" s="3">
        <v>100.07</v>
      </c>
      <c r="M1339" s="2">
        <v>2.84</v>
      </c>
    </row>
    <row r="1340" spans="1:13">
      <c r="A1340" s="9">
        <v>44011</v>
      </c>
      <c r="B1340" s="1">
        <f t="shared" si="40"/>
        <v>43983</v>
      </c>
      <c r="C1340" s="5" t="str">
        <f t="shared" si="41"/>
        <v>2020-06</v>
      </c>
      <c r="D1340" s="3">
        <v>304.45999999999998</v>
      </c>
      <c r="E1340" s="3">
        <v>141.13999999999999</v>
      </c>
      <c r="F1340" s="3">
        <v>164.73</v>
      </c>
      <c r="G1340" s="3">
        <v>166.63</v>
      </c>
      <c r="H1340" s="3">
        <v>77.61</v>
      </c>
      <c r="I1340" s="2">
        <v>54.76</v>
      </c>
      <c r="J1340" s="2">
        <v>532.87</v>
      </c>
      <c r="K1340" s="2">
        <v>367.5</v>
      </c>
      <c r="L1340" s="3">
        <v>98.39</v>
      </c>
      <c r="M1340" s="2">
        <v>2.82</v>
      </c>
    </row>
    <row r="1341" spans="1:13">
      <c r="A1341" s="9">
        <v>44008</v>
      </c>
      <c r="B1341" s="1">
        <f t="shared" si="40"/>
        <v>43983</v>
      </c>
      <c r="C1341" s="5" t="str">
        <f t="shared" si="41"/>
        <v>2020-06</v>
      </c>
      <c r="D1341" s="3">
        <v>300.05</v>
      </c>
      <c r="E1341" s="3">
        <v>136.66999999999999</v>
      </c>
      <c r="F1341" s="3">
        <v>165.25</v>
      </c>
      <c r="G1341" s="3">
        <v>166.54</v>
      </c>
      <c r="H1341" s="3">
        <v>76.14</v>
      </c>
      <c r="I1341" s="2">
        <v>54.18</v>
      </c>
      <c r="J1341" s="2">
        <v>534.85</v>
      </c>
      <c r="K1341" s="2">
        <v>356.76</v>
      </c>
      <c r="L1341" s="3">
        <v>97.51</v>
      </c>
      <c r="M1341" s="2">
        <v>2.81</v>
      </c>
    </row>
    <row r="1342" spans="1:13">
      <c r="A1342" s="9">
        <v>44007</v>
      </c>
      <c r="B1342" s="1">
        <f t="shared" si="40"/>
        <v>43983</v>
      </c>
      <c r="C1342" s="5" t="str">
        <f t="shared" si="41"/>
        <v>2020-06</v>
      </c>
      <c r="D1342" s="3">
        <v>307.35000000000002</v>
      </c>
      <c r="E1342" s="3">
        <v>140.44999999999999</v>
      </c>
      <c r="F1342" s="3">
        <v>163.5</v>
      </c>
      <c r="G1342" s="3">
        <v>165.8</v>
      </c>
      <c r="H1342" s="3">
        <v>77.63</v>
      </c>
      <c r="I1342" s="2">
        <v>54.53</v>
      </c>
      <c r="J1342" s="2">
        <v>546.97</v>
      </c>
      <c r="K1342" s="2">
        <v>362.82</v>
      </c>
      <c r="L1342" s="3">
        <v>98.71</v>
      </c>
      <c r="M1342" s="2">
        <v>3.1</v>
      </c>
    </row>
    <row r="1343" spans="1:13">
      <c r="A1343" s="9">
        <v>44006</v>
      </c>
      <c r="B1343" s="1">
        <f t="shared" si="40"/>
        <v>43983</v>
      </c>
      <c r="C1343" s="5" t="str">
        <f t="shared" si="41"/>
        <v>2020-06</v>
      </c>
      <c r="D1343" s="3">
        <v>304.08999999999997</v>
      </c>
      <c r="E1343" s="3">
        <v>138.36000000000001</v>
      </c>
      <c r="F1343" s="3">
        <v>163.03</v>
      </c>
      <c r="G1343" s="3">
        <v>165.9</v>
      </c>
      <c r="H1343" s="3">
        <v>77.41</v>
      </c>
      <c r="I1343" s="2">
        <v>54.44</v>
      </c>
      <c r="J1343" s="2">
        <v>538.57000000000005</v>
      </c>
      <c r="K1343" s="2">
        <v>359.82</v>
      </c>
      <c r="L1343" s="3">
        <v>97.75</v>
      </c>
      <c r="M1343" s="2">
        <v>3.06</v>
      </c>
    </row>
    <row r="1344" spans="1:13">
      <c r="A1344" s="9">
        <v>44005</v>
      </c>
      <c r="B1344" s="1">
        <f t="shared" si="40"/>
        <v>43983</v>
      </c>
      <c r="C1344" s="5" t="str">
        <f t="shared" si="41"/>
        <v>2020-06</v>
      </c>
      <c r="D1344" s="3">
        <v>312.05</v>
      </c>
      <c r="E1344" s="3">
        <v>143</v>
      </c>
      <c r="F1344" s="3">
        <v>161.30000000000001</v>
      </c>
      <c r="G1344" s="3">
        <v>166.48</v>
      </c>
      <c r="H1344" s="3">
        <v>79.680000000000007</v>
      </c>
      <c r="I1344" s="2">
        <v>55.19</v>
      </c>
      <c r="J1344" s="2">
        <v>554.65</v>
      </c>
      <c r="K1344" s="2">
        <v>371.7</v>
      </c>
      <c r="L1344" s="3">
        <v>100.37</v>
      </c>
      <c r="M1344" s="2">
        <v>3.13</v>
      </c>
    </row>
    <row r="1345" spans="1:13">
      <c r="A1345" s="9">
        <v>44004</v>
      </c>
      <c r="B1345" s="1">
        <f t="shared" si="40"/>
        <v>43983</v>
      </c>
      <c r="C1345" s="5" t="str">
        <f t="shared" si="41"/>
        <v>2020-06</v>
      </c>
      <c r="D1345" s="3">
        <v>310.62</v>
      </c>
      <c r="E1345" s="3">
        <v>142.4</v>
      </c>
      <c r="F1345" s="3">
        <v>162.41</v>
      </c>
      <c r="G1345" s="3">
        <v>165.09</v>
      </c>
      <c r="H1345" s="3">
        <v>80.010000000000005</v>
      </c>
      <c r="I1345" s="2">
        <v>55.12</v>
      </c>
      <c r="J1345" s="2">
        <v>553.21</v>
      </c>
      <c r="K1345" s="2">
        <v>375.96</v>
      </c>
      <c r="L1345" s="3">
        <v>99.94</v>
      </c>
      <c r="M1345" s="2">
        <v>3.1</v>
      </c>
    </row>
    <row r="1346" spans="1:13">
      <c r="A1346" s="9">
        <v>44001</v>
      </c>
      <c r="B1346" s="1">
        <f t="shared" ref="B1346:B1409" si="42">EOMONTH(A1346,-1)+1</f>
        <v>43983</v>
      </c>
      <c r="C1346" s="5" t="str">
        <f t="shared" si="41"/>
        <v>2020-06</v>
      </c>
      <c r="D1346" s="3">
        <v>308.64</v>
      </c>
      <c r="E1346" s="3">
        <v>140.99</v>
      </c>
      <c r="F1346" s="3">
        <v>162.38999999999999</v>
      </c>
      <c r="G1346" s="3">
        <v>164.03</v>
      </c>
      <c r="H1346" s="3">
        <v>80.09</v>
      </c>
      <c r="I1346" s="2">
        <v>54.4</v>
      </c>
      <c r="J1346" s="2">
        <v>555.37</v>
      </c>
      <c r="K1346" s="2">
        <v>372.2</v>
      </c>
      <c r="L1346" s="3">
        <v>100.75</v>
      </c>
      <c r="M1346" s="2">
        <v>3.23</v>
      </c>
    </row>
    <row r="1347" spans="1:13">
      <c r="A1347" s="9">
        <v>44000</v>
      </c>
      <c r="B1347" s="1">
        <f t="shared" si="42"/>
        <v>43983</v>
      </c>
      <c r="C1347" s="5" t="str">
        <f t="shared" ref="C1347:C1410" si="43">TEXT(A1347, "yyyy-mm")</f>
        <v>2020-06</v>
      </c>
      <c r="D1347" s="3">
        <v>311.77999999999997</v>
      </c>
      <c r="E1347" s="3">
        <v>141.72</v>
      </c>
      <c r="F1347" s="3">
        <v>162.26</v>
      </c>
      <c r="G1347" s="3">
        <v>162.24</v>
      </c>
      <c r="H1347" s="3">
        <v>81.27</v>
      </c>
      <c r="I1347" s="2">
        <v>53.69</v>
      </c>
      <c r="J1347" s="2">
        <v>556.77</v>
      </c>
      <c r="K1347" s="2">
        <v>378.39</v>
      </c>
      <c r="L1347" s="3">
        <v>99.79</v>
      </c>
      <c r="M1347" s="2">
        <v>3.14</v>
      </c>
    </row>
    <row r="1348" spans="1:13">
      <c r="A1348" s="9">
        <v>43999</v>
      </c>
      <c r="B1348" s="1">
        <f t="shared" si="42"/>
        <v>43983</v>
      </c>
      <c r="C1348" s="5" t="str">
        <f t="shared" si="43"/>
        <v>2020-06</v>
      </c>
      <c r="D1348" s="3">
        <v>311.66000000000003</v>
      </c>
      <c r="E1348" s="3">
        <v>141.77000000000001</v>
      </c>
      <c r="F1348" s="3">
        <v>160.56</v>
      </c>
      <c r="G1348" s="3">
        <v>162.56</v>
      </c>
      <c r="H1348" s="3">
        <v>82.17</v>
      </c>
      <c r="I1348" s="2">
        <v>51.52</v>
      </c>
      <c r="J1348" s="2">
        <v>555.23</v>
      </c>
      <c r="K1348" s="2">
        <v>382.11</v>
      </c>
      <c r="L1348" s="3">
        <v>100.13</v>
      </c>
      <c r="M1348" s="2">
        <v>3.18</v>
      </c>
    </row>
    <row r="1349" spans="1:13">
      <c r="A1349" s="9">
        <v>43998</v>
      </c>
      <c r="B1349" s="1">
        <f t="shared" si="42"/>
        <v>43983</v>
      </c>
      <c r="C1349" s="5" t="str">
        <f t="shared" si="43"/>
        <v>2020-06</v>
      </c>
      <c r="D1349" s="3">
        <v>312.95999999999998</v>
      </c>
      <c r="E1349" s="3">
        <v>144.38</v>
      </c>
      <c r="F1349" s="3">
        <v>159.9</v>
      </c>
      <c r="G1349" s="3">
        <v>162.25</v>
      </c>
      <c r="H1349" s="3">
        <v>83.38</v>
      </c>
      <c r="I1349" s="2">
        <v>54.59</v>
      </c>
      <c r="J1349" s="2">
        <v>550.4</v>
      </c>
      <c r="K1349" s="2">
        <v>382.77</v>
      </c>
      <c r="L1349" s="3">
        <v>100.23</v>
      </c>
      <c r="M1349" s="2">
        <v>3.12</v>
      </c>
    </row>
    <row r="1350" spans="1:13">
      <c r="A1350" s="9">
        <v>43997</v>
      </c>
      <c r="B1350" s="1">
        <f t="shared" si="42"/>
        <v>43983</v>
      </c>
      <c r="C1350" s="5" t="str">
        <f t="shared" si="43"/>
        <v>2020-06</v>
      </c>
      <c r="D1350" s="3">
        <v>307.05</v>
      </c>
      <c r="E1350" s="3">
        <v>140.99</v>
      </c>
      <c r="F1350" s="3">
        <v>162.38999999999999</v>
      </c>
      <c r="G1350" s="3">
        <v>162.33000000000001</v>
      </c>
      <c r="H1350" s="3">
        <v>81.77</v>
      </c>
      <c r="I1350" s="2">
        <v>53.25</v>
      </c>
      <c r="J1350" s="2">
        <v>543.03</v>
      </c>
      <c r="K1350" s="2">
        <v>373.28</v>
      </c>
      <c r="L1350" s="3">
        <v>97.82</v>
      </c>
      <c r="M1350" s="2">
        <v>3.13</v>
      </c>
    </row>
    <row r="1351" spans="1:13">
      <c r="A1351" s="9">
        <v>43994</v>
      </c>
      <c r="B1351" s="1">
        <f t="shared" si="42"/>
        <v>43983</v>
      </c>
      <c r="C1351" s="5" t="str">
        <f t="shared" si="43"/>
        <v>2020-06</v>
      </c>
      <c r="D1351" s="3">
        <v>304.20999999999998</v>
      </c>
      <c r="E1351" s="3">
        <v>138.27000000000001</v>
      </c>
      <c r="F1351" s="3">
        <v>162.30000000000001</v>
      </c>
      <c r="G1351" s="3">
        <v>162.62</v>
      </c>
      <c r="H1351" s="3">
        <v>80.63</v>
      </c>
      <c r="I1351" s="2">
        <v>51.86</v>
      </c>
      <c r="J1351" s="2">
        <v>527.04</v>
      </c>
      <c r="K1351" s="2">
        <v>381.87</v>
      </c>
      <c r="L1351" s="3">
        <v>97.6</v>
      </c>
      <c r="M1351" s="2">
        <v>2.92</v>
      </c>
    </row>
    <row r="1352" spans="1:13">
      <c r="A1352" s="9">
        <v>43993</v>
      </c>
      <c r="B1352" s="1">
        <f t="shared" si="42"/>
        <v>43983</v>
      </c>
      <c r="C1352" s="5" t="str">
        <f t="shared" si="43"/>
        <v>2020-06</v>
      </c>
      <c r="D1352" s="3">
        <v>300.61</v>
      </c>
      <c r="E1352" s="3">
        <v>135.03</v>
      </c>
      <c r="F1352" s="3">
        <v>163.88</v>
      </c>
      <c r="G1352" s="3">
        <v>162.38999999999999</v>
      </c>
      <c r="H1352" s="3">
        <v>77.84</v>
      </c>
      <c r="I1352" s="2">
        <v>51.31</v>
      </c>
      <c r="J1352" s="2">
        <v>525.21</v>
      </c>
      <c r="K1352" s="2">
        <v>383.88</v>
      </c>
      <c r="L1352" s="3">
        <v>96.97</v>
      </c>
      <c r="M1352" s="2">
        <v>2.8</v>
      </c>
    </row>
    <row r="1353" spans="1:13">
      <c r="A1353" s="9">
        <v>43992</v>
      </c>
      <c r="B1353" s="1">
        <f t="shared" si="42"/>
        <v>43983</v>
      </c>
      <c r="C1353" s="5" t="str">
        <f t="shared" si="43"/>
        <v>2020-06</v>
      </c>
      <c r="D1353" s="3">
        <v>319</v>
      </c>
      <c r="E1353" s="3">
        <v>146.18</v>
      </c>
      <c r="F1353" s="3">
        <v>160.84</v>
      </c>
      <c r="G1353" s="3">
        <v>163.57</v>
      </c>
      <c r="H1353" s="3">
        <v>83.18</v>
      </c>
      <c r="I1353" s="2">
        <v>54.11</v>
      </c>
      <c r="J1353" s="2">
        <v>558.05999999999995</v>
      </c>
      <c r="K1353" s="2">
        <v>403.77</v>
      </c>
      <c r="L1353" s="3">
        <v>102.68</v>
      </c>
      <c r="M1353" s="2">
        <v>2.91</v>
      </c>
    </row>
    <row r="1354" spans="1:13">
      <c r="A1354" s="9">
        <v>43991</v>
      </c>
      <c r="B1354" s="1">
        <f t="shared" si="42"/>
        <v>43983</v>
      </c>
      <c r="C1354" s="5" t="str">
        <f t="shared" si="43"/>
        <v>2020-06</v>
      </c>
      <c r="D1354" s="3">
        <v>320.79000000000002</v>
      </c>
      <c r="E1354" s="3">
        <v>150.26</v>
      </c>
      <c r="F1354" s="3">
        <v>158.49</v>
      </c>
      <c r="G1354" s="3">
        <v>161.26</v>
      </c>
      <c r="H1354" s="3">
        <v>85.35</v>
      </c>
      <c r="I1354" s="2">
        <v>54.18</v>
      </c>
      <c r="J1354" s="2">
        <v>558.05999999999995</v>
      </c>
      <c r="K1354" s="2">
        <v>408.56</v>
      </c>
      <c r="L1354" s="3">
        <v>102.84</v>
      </c>
      <c r="M1354" s="2">
        <v>2.96</v>
      </c>
    </row>
    <row r="1355" spans="1:13">
      <c r="A1355" s="9">
        <v>43990</v>
      </c>
      <c r="B1355" s="1">
        <f t="shared" si="42"/>
        <v>43983</v>
      </c>
      <c r="C1355" s="5" t="str">
        <f t="shared" si="43"/>
        <v>2020-06</v>
      </c>
      <c r="D1355" s="3">
        <v>323.2</v>
      </c>
      <c r="E1355" s="3">
        <v>153.09</v>
      </c>
      <c r="F1355" s="3">
        <v>156.71</v>
      </c>
      <c r="G1355" s="3">
        <v>159.72</v>
      </c>
      <c r="H1355" s="3">
        <v>86.79</v>
      </c>
      <c r="I1355" s="2">
        <v>55.1</v>
      </c>
      <c r="J1355" s="2">
        <v>557.33000000000004</v>
      </c>
      <c r="K1355" s="2">
        <v>414.3</v>
      </c>
      <c r="L1355" s="3">
        <v>103.92</v>
      </c>
      <c r="M1355" s="2">
        <v>2.97</v>
      </c>
    </row>
    <row r="1356" spans="1:13">
      <c r="A1356" s="9">
        <v>43987</v>
      </c>
      <c r="B1356" s="1">
        <f t="shared" si="42"/>
        <v>43983</v>
      </c>
      <c r="C1356" s="5" t="str">
        <f t="shared" si="43"/>
        <v>2020-06</v>
      </c>
      <c r="D1356" s="3">
        <v>319.33999999999997</v>
      </c>
      <c r="E1356" s="3">
        <v>150.18</v>
      </c>
      <c r="F1356" s="3">
        <v>156.11000000000001</v>
      </c>
      <c r="G1356" s="3">
        <v>158.01</v>
      </c>
      <c r="H1356" s="3">
        <v>84.69</v>
      </c>
      <c r="I1356" s="2">
        <v>53.98</v>
      </c>
      <c r="J1356" s="2">
        <v>556.53</v>
      </c>
      <c r="K1356" s="2">
        <v>410.75</v>
      </c>
      <c r="L1356" s="3">
        <v>103.21</v>
      </c>
      <c r="M1356" s="2">
        <v>2.86</v>
      </c>
    </row>
    <row r="1357" spans="1:13">
      <c r="A1357" s="9">
        <v>43986</v>
      </c>
      <c r="B1357" s="1">
        <f t="shared" si="42"/>
        <v>43983</v>
      </c>
      <c r="C1357" s="5" t="str">
        <f t="shared" si="43"/>
        <v>2020-06</v>
      </c>
      <c r="D1357" s="3">
        <v>311.36</v>
      </c>
      <c r="E1357" s="3">
        <v>144.59</v>
      </c>
      <c r="F1357" s="3">
        <v>157.22999999999999</v>
      </c>
      <c r="G1357" s="3">
        <v>161.28</v>
      </c>
      <c r="H1357" s="3">
        <v>81.599999999999994</v>
      </c>
      <c r="I1357" s="2">
        <v>52.85</v>
      </c>
      <c r="J1357" s="2">
        <v>546.19000000000005</v>
      </c>
      <c r="K1357" s="2">
        <v>403.67</v>
      </c>
      <c r="L1357" s="3">
        <v>101.57</v>
      </c>
      <c r="M1357" s="2">
        <v>2.78</v>
      </c>
    </row>
    <row r="1358" spans="1:13">
      <c r="A1358" s="9">
        <v>43985</v>
      </c>
      <c r="B1358" s="1">
        <f t="shared" si="42"/>
        <v>43983</v>
      </c>
      <c r="C1358" s="5" t="str">
        <f t="shared" si="43"/>
        <v>2020-06</v>
      </c>
      <c r="D1358" s="3">
        <v>312.18</v>
      </c>
      <c r="E1358" s="3">
        <v>144.80000000000001</v>
      </c>
      <c r="F1358" s="3">
        <v>159.54</v>
      </c>
      <c r="G1358" s="3">
        <v>159.6</v>
      </c>
      <c r="H1358" s="3">
        <v>82.42</v>
      </c>
      <c r="I1358" s="2">
        <v>53.49</v>
      </c>
      <c r="J1358" s="2">
        <v>547.71</v>
      </c>
      <c r="K1358" s="2">
        <v>402.63</v>
      </c>
      <c r="L1358" s="3">
        <v>102.38</v>
      </c>
      <c r="M1358" s="2">
        <v>2.77</v>
      </c>
    </row>
    <row r="1359" spans="1:13">
      <c r="A1359" s="9">
        <v>43984</v>
      </c>
      <c r="B1359" s="1">
        <f t="shared" si="42"/>
        <v>43983</v>
      </c>
      <c r="C1359" s="5" t="str">
        <f t="shared" si="43"/>
        <v>2020-06</v>
      </c>
      <c r="D1359" s="3">
        <v>308.08</v>
      </c>
      <c r="E1359" s="3">
        <v>141.38999999999999</v>
      </c>
      <c r="F1359" s="3">
        <v>161.69</v>
      </c>
      <c r="G1359" s="3">
        <v>162.6</v>
      </c>
      <c r="H1359" s="3">
        <v>79.86</v>
      </c>
      <c r="I1359" s="2">
        <v>53.28</v>
      </c>
      <c r="J1359" s="2">
        <v>541.34</v>
      </c>
      <c r="K1359" s="2">
        <v>389.77</v>
      </c>
      <c r="L1359" s="3">
        <v>102.58</v>
      </c>
      <c r="M1359" s="2">
        <v>2.75</v>
      </c>
    </row>
    <row r="1360" spans="1:13">
      <c r="A1360" s="9">
        <v>43983</v>
      </c>
      <c r="B1360" s="1">
        <f t="shared" si="42"/>
        <v>43983</v>
      </c>
      <c r="C1360" s="5" t="str">
        <f t="shared" si="43"/>
        <v>2020-06</v>
      </c>
      <c r="D1360" s="3">
        <v>305.55</v>
      </c>
      <c r="E1360" s="3">
        <v>140.22999999999999</v>
      </c>
      <c r="F1360" s="3">
        <v>162.28</v>
      </c>
      <c r="G1360" s="3">
        <v>163.66</v>
      </c>
      <c r="H1360" s="3">
        <v>79.22</v>
      </c>
      <c r="I1360" s="2">
        <v>53.06</v>
      </c>
      <c r="J1360" s="2">
        <v>538.23</v>
      </c>
      <c r="K1360" s="2">
        <v>388.96</v>
      </c>
      <c r="L1360" s="3">
        <v>101.99</v>
      </c>
      <c r="M1360" s="2">
        <v>2.66</v>
      </c>
    </row>
    <row r="1361" spans="1:13">
      <c r="A1361" s="9">
        <v>43980</v>
      </c>
      <c r="B1361" s="1">
        <f t="shared" si="42"/>
        <v>43952</v>
      </c>
      <c r="C1361" s="5" t="str">
        <f t="shared" si="43"/>
        <v>2020-05</v>
      </c>
      <c r="D1361" s="3">
        <v>304.32</v>
      </c>
      <c r="E1361" s="3">
        <v>138.9</v>
      </c>
      <c r="F1361" s="3">
        <v>163.59</v>
      </c>
      <c r="G1361" s="3">
        <v>162.91</v>
      </c>
      <c r="H1361" s="3">
        <v>77.430000000000007</v>
      </c>
      <c r="I1361" s="2">
        <v>53.77</v>
      </c>
      <c r="J1361" s="2">
        <v>528.64</v>
      </c>
      <c r="K1361" s="2">
        <v>388.44</v>
      </c>
      <c r="L1361" s="3">
        <v>103.01</v>
      </c>
      <c r="M1361" s="2">
        <v>2.6</v>
      </c>
    </row>
    <row r="1362" spans="1:13">
      <c r="A1362" s="9">
        <v>43979</v>
      </c>
      <c r="B1362" s="1">
        <f t="shared" si="42"/>
        <v>43952</v>
      </c>
      <c r="C1362" s="5" t="str">
        <f t="shared" si="43"/>
        <v>2020-05</v>
      </c>
      <c r="D1362" s="3">
        <v>302.97000000000003</v>
      </c>
      <c r="E1362" s="3">
        <v>139.69999999999999</v>
      </c>
      <c r="F1362" s="3">
        <v>162.43</v>
      </c>
      <c r="G1362" s="3">
        <v>161.72</v>
      </c>
      <c r="H1362" s="3">
        <v>78.209999999999994</v>
      </c>
      <c r="I1362" s="2">
        <v>53.62</v>
      </c>
      <c r="J1362" s="2">
        <v>536.84</v>
      </c>
      <c r="K1362" s="2">
        <v>398.44</v>
      </c>
      <c r="L1362" s="3">
        <v>101.78</v>
      </c>
      <c r="M1362" s="2">
        <v>2.5299999999999998</v>
      </c>
    </row>
    <row r="1363" spans="1:13">
      <c r="A1363" s="9">
        <v>43978</v>
      </c>
      <c r="B1363" s="1">
        <f t="shared" si="42"/>
        <v>43952</v>
      </c>
      <c r="C1363" s="5" t="str">
        <f t="shared" si="43"/>
        <v>2020-05</v>
      </c>
      <c r="D1363" s="3">
        <v>303.52999999999997</v>
      </c>
      <c r="E1363" s="3">
        <v>143.09</v>
      </c>
      <c r="F1363" s="3">
        <v>163.03</v>
      </c>
      <c r="G1363" s="3">
        <v>161.18</v>
      </c>
      <c r="H1363" s="3">
        <v>77.84</v>
      </c>
      <c r="I1363" s="2">
        <v>53.2</v>
      </c>
      <c r="J1363" s="2">
        <v>536.4</v>
      </c>
      <c r="K1363" s="2">
        <v>397.12</v>
      </c>
      <c r="L1363" s="3">
        <v>100.47</v>
      </c>
      <c r="M1363" s="2">
        <v>2.59</v>
      </c>
    </row>
    <row r="1364" spans="1:13">
      <c r="A1364" s="9">
        <v>43977</v>
      </c>
      <c r="B1364" s="1">
        <f t="shared" si="42"/>
        <v>43952</v>
      </c>
      <c r="C1364" s="5" t="str">
        <f t="shared" si="43"/>
        <v>2020-05</v>
      </c>
      <c r="D1364" s="3">
        <v>299.08</v>
      </c>
      <c r="E1364" s="3">
        <v>138.78</v>
      </c>
      <c r="F1364" s="3">
        <v>163.33000000000001</v>
      </c>
      <c r="G1364" s="3">
        <v>160.88999999999999</v>
      </c>
      <c r="H1364" s="3">
        <v>76.319999999999993</v>
      </c>
      <c r="I1364" s="2">
        <v>52.78</v>
      </c>
      <c r="J1364" s="2">
        <v>523.63</v>
      </c>
      <c r="K1364" s="2">
        <v>372.2</v>
      </c>
      <c r="L1364" s="3">
        <v>99.44</v>
      </c>
      <c r="M1364" s="2">
        <v>2.5299999999999998</v>
      </c>
    </row>
    <row r="1365" spans="1:13">
      <c r="A1365" s="9">
        <v>43973</v>
      </c>
      <c r="B1365" s="1">
        <f t="shared" si="42"/>
        <v>43952</v>
      </c>
      <c r="C1365" s="5" t="str">
        <f t="shared" si="43"/>
        <v>2020-05</v>
      </c>
      <c r="D1365" s="3">
        <v>295.44</v>
      </c>
      <c r="E1365" s="3">
        <v>134.88999999999999</v>
      </c>
      <c r="F1365" s="3">
        <v>165.55</v>
      </c>
      <c r="G1365" s="3">
        <v>163.21</v>
      </c>
      <c r="H1365" s="3">
        <v>73.569999999999993</v>
      </c>
      <c r="I1365" s="2">
        <v>52.62</v>
      </c>
      <c r="J1365" s="2">
        <v>513.29999999999995</v>
      </c>
      <c r="K1365" s="2">
        <v>369</v>
      </c>
      <c r="L1365" s="3">
        <v>99.62</v>
      </c>
      <c r="M1365" s="2">
        <v>2.4700000000000002</v>
      </c>
    </row>
    <row r="1366" spans="1:13">
      <c r="A1366" s="9">
        <v>43972</v>
      </c>
      <c r="B1366" s="1">
        <f t="shared" si="42"/>
        <v>43952</v>
      </c>
      <c r="C1366" s="5" t="str">
        <f t="shared" si="43"/>
        <v>2020-05</v>
      </c>
      <c r="D1366" s="3">
        <v>294.88</v>
      </c>
      <c r="E1366" s="3">
        <v>134.24</v>
      </c>
      <c r="F1366" s="3">
        <v>164.56</v>
      </c>
      <c r="G1366" s="3">
        <v>162.25</v>
      </c>
      <c r="H1366" s="3">
        <v>72.59</v>
      </c>
      <c r="I1366" s="2">
        <v>52.22</v>
      </c>
      <c r="J1366" s="2">
        <v>508.51</v>
      </c>
      <c r="K1366" s="2">
        <v>368.82</v>
      </c>
      <c r="L1366" s="3">
        <v>99.41</v>
      </c>
      <c r="M1366" s="2">
        <v>2.52</v>
      </c>
    </row>
    <row r="1367" spans="1:13">
      <c r="A1367" s="9">
        <v>43971</v>
      </c>
      <c r="B1367" s="1">
        <f t="shared" si="42"/>
        <v>43952</v>
      </c>
      <c r="C1367" s="5" t="str">
        <f t="shared" si="43"/>
        <v>2020-05</v>
      </c>
      <c r="D1367" s="3">
        <v>296.93</v>
      </c>
      <c r="E1367" s="3">
        <v>134</v>
      </c>
      <c r="F1367" s="3">
        <v>164.15</v>
      </c>
      <c r="G1367" s="3">
        <v>164.65</v>
      </c>
      <c r="H1367" s="3">
        <v>72.53</v>
      </c>
      <c r="I1367" s="2">
        <v>52.9</v>
      </c>
      <c r="J1367" s="2">
        <v>508.74</v>
      </c>
      <c r="K1367" s="2">
        <v>362.51</v>
      </c>
      <c r="L1367" s="3">
        <v>100.15</v>
      </c>
      <c r="M1367" s="2">
        <v>2.56</v>
      </c>
    </row>
    <row r="1368" spans="1:13">
      <c r="A1368" s="9">
        <v>43970</v>
      </c>
      <c r="B1368" s="1">
        <f t="shared" si="42"/>
        <v>43952</v>
      </c>
      <c r="C1368" s="5" t="str">
        <f t="shared" si="43"/>
        <v>2020-05</v>
      </c>
      <c r="D1368" s="3">
        <v>291.97000000000003</v>
      </c>
      <c r="E1368" s="3">
        <v>130.06</v>
      </c>
      <c r="F1368" s="3">
        <v>163.66</v>
      </c>
      <c r="G1368" s="3">
        <v>164.26</v>
      </c>
      <c r="H1368" s="3">
        <v>71.89</v>
      </c>
      <c r="I1368" s="2">
        <v>52.34</v>
      </c>
      <c r="J1368" s="2">
        <v>501.2</v>
      </c>
      <c r="K1368" s="2">
        <v>371.48</v>
      </c>
      <c r="L1368" s="3">
        <v>100.03</v>
      </c>
      <c r="M1368" s="2">
        <v>2.48</v>
      </c>
    </row>
    <row r="1369" spans="1:13">
      <c r="A1369" s="9">
        <v>43969</v>
      </c>
      <c r="B1369" s="1">
        <f t="shared" si="42"/>
        <v>43952</v>
      </c>
      <c r="C1369" s="5" t="str">
        <f t="shared" si="43"/>
        <v>2020-05</v>
      </c>
      <c r="D1369" s="3">
        <v>295</v>
      </c>
      <c r="E1369" s="3">
        <v>132.68</v>
      </c>
      <c r="F1369" s="3">
        <v>163.05000000000001</v>
      </c>
      <c r="G1369" s="3">
        <v>162.69</v>
      </c>
      <c r="H1369" s="3">
        <v>72.87</v>
      </c>
      <c r="I1369" s="2">
        <v>53.15</v>
      </c>
      <c r="J1369" s="2">
        <v>516.42999999999995</v>
      </c>
      <c r="K1369" s="2">
        <v>377.54</v>
      </c>
      <c r="L1369" s="3">
        <v>101.25</v>
      </c>
      <c r="M1369" s="2">
        <v>2.44</v>
      </c>
    </row>
    <row r="1370" spans="1:13">
      <c r="A1370" s="9">
        <v>43966</v>
      </c>
      <c r="B1370" s="1">
        <f t="shared" si="42"/>
        <v>43952</v>
      </c>
      <c r="C1370" s="5" t="str">
        <f t="shared" si="43"/>
        <v>2020-05</v>
      </c>
      <c r="D1370" s="3">
        <v>286.27999999999997</v>
      </c>
      <c r="E1370" s="3">
        <v>125.08</v>
      </c>
      <c r="F1370" s="3">
        <v>166.71</v>
      </c>
      <c r="G1370" s="3">
        <v>163.93</v>
      </c>
      <c r="H1370" s="3">
        <v>68.8</v>
      </c>
      <c r="I1370" s="2">
        <v>52.92</v>
      </c>
      <c r="J1370" s="2">
        <v>513.73</v>
      </c>
      <c r="K1370" s="2">
        <v>360.4</v>
      </c>
      <c r="L1370" s="3">
        <v>100.42</v>
      </c>
      <c r="M1370" s="2">
        <v>2.33</v>
      </c>
    </row>
    <row r="1371" spans="1:13">
      <c r="A1371" s="9">
        <v>43965</v>
      </c>
      <c r="B1371" s="1">
        <f t="shared" si="42"/>
        <v>43952</v>
      </c>
      <c r="C1371" s="5" t="str">
        <f t="shared" si="43"/>
        <v>2020-05</v>
      </c>
      <c r="D1371" s="3">
        <v>284.97000000000003</v>
      </c>
      <c r="E1371" s="3">
        <v>123.12</v>
      </c>
      <c r="F1371" s="3">
        <v>167.14</v>
      </c>
      <c r="G1371" s="3">
        <v>163.01</v>
      </c>
      <c r="H1371" s="3">
        <v>69.069999999999993</v>
      </c>
      <c r="I1371" s="2">
        <v>52.91</v>
      </c>
      <c r="J1371" s="2">
        <v>498.2</v>
      </c>
      <c r="K1371" s="2">
        <v>356.28</v>
      </c>
      <c r="L1371" s="3">
        <v>99.58</v>
      </c>
      <c r="M1371" s="2">
        <v>2.34</v>
      </c>
    </row>
    <row r="1372" spans="1:13">
      <c r="A1372" s="9">
        <v>43964</v>
      </c>
      <c r="B1372" s="1">
        <f t="shared" si="42"/>
        <v>43952</v>
      </c>
      <c r="C1372" s="5" t="str">
        <f t="shared" si="43"/>
        <v>2020-05</v>
      </c>
      <c r="D1372" s="3">
        <v>281.60000000000002</v>
      </c>
      <c r="E1372" s="3">
        <v>122.72</v>
      </c>
      <c r="F1372" s="3">
        <v>165.52</v>
      </c>
      <c r="G1372" s="3">
        <v>161.58000000000001</v>
      </c>
      <c r="H1372" s="3">
        <v>68.83</v>
      </c>
      <c r="I1372" s="2">
        <v>51.65</v>
      </c>
      <c r="J1372" s="2">
        <v>485.8</v>
      </c>
      <c r="K1372" s="2">
        <v>364.18</v>
      </c>
      <c r="L1372" s="3">
        <v>98.5</v>
      </c>
      <c r="M1372" s="2">
        <v>2.33</v>
      </c>
    </row>
    <row r="1373" spans="1:13">
      <c r="A1373" s="9">
        <v>43963</v>
      </c>
      <c r="B1373" s="1">
        <f t="shared" si="42"/>
        <v>43952</v>
      </c>
      <c r="C1373" s="5" t="str">
        <f t="shared" si="43"/>
        <v>2020-05</v>
      </c>
      <c r="D1373" s="3">
        <v>286.67</v>
      </c>
      <c r="E1373" s="3">
        <v>126.97</v>
      </c>
      <c r="F1373" s="3">
        <v>164.37</v>
      </c>
      <c r="G1373" s="3">
        <v>160.04</v>
      </c>
      <c r="H1373" s="3">
        <v>70.540000000000006</v>
      </c>
      <c r="I1373" s="2">
        <v>52.27</v>
      </c>
      <c r="J1373" s="2">
        <v>454.44</v>
      </c>
      <c r="K1373" s="2">
        <v>371.11</v>
      </c>
      <c r="L1373" s="3">
        <v>99.58</v>
      </c>
      <c r="M1373" s="2">
        <v>2.4</v>
      </c>
    </row>
    <row r="1374" spans="1:13">
      <c r="A1374" s="9">
        <v>43962</v>
      </c>
      <c r="B1374" s="1">
        <f t="shared" si="42"/>
        <v>43952</v>
      </c>
      <c r="C1374" s="5" t="str">
        <f t="shared" si="43"/>
        <v>2020-05</v>
      </c>
      <c r="D1374" s="3">
        <v>292.5</v>
      </c>
      <c r="E1374" s="3">
        <v>131.69999999999999</v>
      </c>
      <c r="F1374" s="3">
        <v>162.69999999999999</v>
      </c>
      <c r="G1374" s="3">
        <v>159.41999999999999</v>
      </c>
      <c r="H1374" s="3">
        <v>73.900000000000006</v>
      </c>
      <c r="I1374" s="2">
        <v>53.53</v>
      </c>
      <c r="J1374" s="2">
        <v>493.11</v>
      </c>
      <c r="K1374" s="2">
        <v>376.56</v>
      </c>
      <c r="L1374" s="3">
        <v>101.12</v>
      </c>
      <c r="M1374" s="2">
        <v>2.57</v>
      </c>
    </row>
    <row r="1375" spans="1:13">
      <c r="A1375" s="9">
        <v>43959</v>
      </c>
      <c r="B1375" s="1">
        <f t="shared" si="42"/>
        <v>43952</v>
      </c>
      <c r="C1375" s="5" t="str">
        <f t="shared" si="43"/>
        <v>2020-05</v>
      </c>
      <c r="D1375" s="3">
        <v>292.44</v>
      </c>
      <c r="E1375" s="3">
        <v>132.36000000000001</v>
      </c>
      <c r="F1375" s="3">
        <v>163.98</v>
      </c>
      <c r="G1375" s="3">
        <v>160.41999999999999</v>
      </c>
      <c r="H1375" s="3">
        <v>74.989999999999995</v>
      </c>
      <c r="I1375" s="2">
        <v>53.57</v>
      </c>
      <c r="J1375" s="2">
        <v>498.78</v>
      </c>
      <c r="K1375" s="2">
        <v>378.4</v>
      </c>
      <c r="L1375" s="3">
        <v>99.41</v>
      </c>
      <c r="M1375" s="2">
        <v>2.54</v>
      </c>
    </row>
    <row r="1376" spans="1:13">
      <c r="A1376" s="9">
        <v>43958</v>
      </c>
      <c r="B1376" s="1">
        <f t="shared" si="42"/>
        <v>43952</v>
      </c>
      <c r="C1376" s="5" t="str">
        <f t="shared" si="43"/>
        <v>2020-05</v>
      </c>
      <c r="D1376" s="3">
        <v>287.68</v>
      </c>
      <c r="E1376" s="3">
        <v>127.44</v>
      </c>
      <c r="F1376" s="3">
        <v>166.14</v>
      </c>
      <c r="G1376" s="3">
        <v>161.38999999999999</v>
      </c>
      <c r="H1376" s="3">
        <v>73.25</v>
      </c>
      <c r="I1376" s="2">
        <v>52.6</v>
      </c>
      <c r="J1376" s="2">
        <v>497.39</v>
      </c>
      <c r="K1376" s="2">
        <v>376.54</v>
      </c>
      <c r="L1376" s="3">
        <v>98.9</v>
      </c>
      <c r="M1376" s="2">
        <v>2.2400000000000002</v>
      </c>
    </row>
    <row r="1377" spans="1:13">
      <c r="A1377" s="9">
        <v>43957</v>
      </c>
      <c r="B1377" s="1">
        <f t="shared" si="42"/>
        <v>43952</v>
      </c>
      <c r="C1377" s="5" t="str">
        <f t="shared" si="43"/>
        <v>2020-05</v>
      </c>
      <c r="D1377" s="3">
        <v>284.25</v>
      </c>
      <c r="E1377" s="3">
        <v>125.72</v>
      </c>
      <c r="F1377" s="3">
        <v>163.41</v>
      </c>
      <c r="G1377" s="3">
        <v>158.94999999999999</v>
      </c>
      <c r="H1377" s="3">
        <v>72.22</v>
      </c>
      <c r="I1377" s="2">
        <v>51.86</v>
      </c>
      <c r="J1377" s="2">
        <v>483.4</v>
      </c>
      <c r="K1377" s="2">
        <v>378.58</v>
      </c>
      <c r="L1377" s="3">
        <v>98.91</v>
      </c>
      <c r="M1377" s="2">
        <v>2.2000000000000002</v>
      </c>
    </row>
    <row r="1378" spans="1:13">
      <c r="A1378" s="9">
        <v>43956</v>
      </c>
      <c r="B1378" s="1">
        <f t="shared" si="42"/>
        <v>43952</v>
      </c>
      <c r="C1378" s="5" t="str">
        <f t="shared" si="43"/>
        <v>2020-05</v>
      </c>
      <c r="D1378" s="3">
        <v>286.19</v>
      </c>
      <c r="E1378" s="3">
        <v>126.65</v>
      </c>
      <c r="F1378" s="3">
        <v>166.09</v>
      </c>
      <c r="G1378" s="3">
        <v>161.02000000000001</v>
      </c>
      <c r="H1378" s="3">
        <v>73.540000000000006</v>
      </c>
      <c r="I1378" s="2">
        <v>52.05</v>
      </c>
      <c r="J1378" s="2">
        <v>485.49</v>
      </c>
      <c r="K1378" s="2">
        <v>390.3</v>
      </c>
      <c r="L1378" s="3">
        <v>99.9</v>
      </c>
      <c r="M1378" s="2">
        <v>2.25</v>
      </c>
    </row>
    <row r="1379" spans="1:13">
      <c r="A1379" s="9">
        <v>43955</v>
      </c>
      <c r="B1379" s="1">
        <f t="shared" si="42"/>
        <v>43952</v>
      </c>
      <c r="C1379" s="5" t="str">
        <f t="shared" si="43"/>
        <v>2020-05</v>
      </c>
      <c r="D1379" s="3">
        <v>283.57</v>
      </c>
      <c r="E1379" s="3">
        <v>125.68</v>
      </c>
      <c r="F1379" s="3">
        <v>167.16</v>
      </c>
      <c r="G1379" s="3">
        <v>160.34</v>
      </c>
      <c r="H1379" s="3">
        <v>73.180000000000007</v>
      </c>
      <c r="I1379" s="2">
        <v>51.75</v>
      </c>
      <c r="J1379" s="2">
        <v>481.51</v>
      </c>
      <c r="K1379" s="2">
        <v>380.16</v>
      </c>
      <c r="L1379" s="3">
        <v>97.78</v>
      </c>
      <c r="M1379" s="2">
        <v>2.23</v>
      </c>
    </row>
    <row r="1380" spans="1:13">
      <c r="A1380" s="9">
        <v>43952</v>
      </c>
      <c r="B1380" s="1">
        <f t="shared" si="42"/>
        <v>43952</v>
      </c>
      <c r="C1380" s="5" t="str">
        <f t="shared" si="43"/>
        <v>2020-05</v>
      </c>
      <c r="D1380" s="3">
        <v>282.79000000000002</v>
      </c>
      <c r="E1380" s="3">
        <v>125.14</v>
      </c>
      <c r="F1380" s="3">
        <v>167.95</v>
      </c>
      <c r="G1380" s="3">
        <v>159.78</v>
      </c>
      <c r="H1380" s="3">
        <v>73.540000000000006</v>
      </c>
      <c r="I1380" s="2">
        <v>51.79</v>
      </c>
      <c r="J1380" s="2">
        <v>484.16</v>
      </c>
      <c r="K1380" s="2">
        <v>383.47</v>
      </c>
      <c r="L1380" s="3">
        <v>97.83</v>
      </c>
      <c r="M1380" s="2">
        <v>2.2200000000000002</v>
      </c>
    </row>
    <row r="1381" spans="1:13">
      <c r="A1381" s="9">
        <v>43951</v>
      </c>
      <c r="B1381" s="1">
        <f t="shared" si="42"/>
        <v>43922</v>
      </c>
      <c r="C1381" s="5" t="str">
        <f t="shared" si="43"/>
        <v>2020-04</v>
      </c>
      <c r="D1381" s="3">
        <v>290.48</v>
      </c>
      <c r="E1381" s="3">
        <v>130.31</v>
      </c>
      <c r="F1381" s="3">
        <v>166.74</v>
      </c>
      <c r="G1381" s="3">
        <v>158.80000000000001</v>
      </c>
      <c r="H1381" s="3">
        <v>76.11</v>
      </c>
      <c r="I1381" s="2">
        <v>52.97</v>
      </c>
      <c r="J1381" s="2">
        <v>502.04</v>
      </c>
      <c r="K1381" s="2">
        <v>389.06</v>
      </c>
      <c r="L1381" s="3">
        <v>99.73</v>
      </c>
      <c r="M1381" s="2">
        <v>2.29</v>
      </c>
    </row>
    <row r="1382" spans="1:13">
      <c r="A1382" s="9">
        <v>43950</v>
      </c>
      <c r="B1382" s="1">
        <f t="shared" si="42"/>
        <v>43922</v>
      </c>
      <c r="C1382" s="5" t="str">
        <f t="shared" si="43"/>
        <v>2020-04</v>
      </c>
      <c r="D1382" s="3">
        <v>293.20999999999998</v>
      </c>
      <c r="E1382" s="3">
        <v>135.46</v>
      </c>
      <c r="F1382" s="3">
        <v>168.71</v>
      </c>
      <c r="G1382" s="3">
        <v>161.72999999999999</v>
      </c>
      <c r="H1382" s="3">
        <v>77</v>
      </c>
      <c r="I1382" s="2">
        <v>53.88</v>
      </c>
      <c r="J1382" s="2">
        <v>511.39</v>
      </c>
      <c r="K1382" s="2">
        <v>387.91</v>
      </c>
      <c r="L1382" s="3">
        <v>100.19</v>
      </c>
      <c r="M1382" s="2">
        <v>2.35</v>
      </c>
    </row>
    <row r="1383" spans="1:13">
      <c r="A1383" s="9">
        <v>43949</v>
      </c>
      <c r="B1383" s="1">
        <f t="shared" si="42"/>
        <v>43922</v>
      </c>
      <c r="C1383" s="5" t="str">
        <f t="shared" si="43"/>
        <v>2020-04</v>
      </c>
      <c r="D1383" s="3">
        <v>285.73</v>
      </c>
      <c r="E1383" s="3">
        <v>129.11000000000001</v>
      </c>
      <c r="F1383" s="3">
        <v>169.59</v>
      </c>
      <c r="G1383" s="3">
        <v>160.84</v>
      </c>
      <c r="H1383" s="3">
        <v>75.86</v>
      </c>
      <c r="I1383" s="2">
        <v>53.2</v>
      </c>
      <c r="J1383" s="2">
        <v>497.77</v>
      </c>
      <c r="K1383" s="2">
        <v>384.73</v>
      </c>
      <c r="L1383" s="3">
        <v>99.53</v>
      </c>
      <c r="M1383" s="2">
        <v>2.2799999999999998</v>
      </c>
    </row>
    <row r="1384" spans="1:13">
      <c r="A1384" s="9">
        <v>43948</v>
      </c>
      <c r="B1384" s="1">
        <f t="shared" si="42"/>
        <v>43922</v>
      </c>
      <c r="C1384" s="5" t="str">
        <f t="shared" si="43"/>
        <v>2020-04</v>
      </c>
      <c r="D1384" s="3">
        <v>287.05</v>
      </c>
      <c r="E1384" s="3">
        <v>127.26</v>
      </c>
      <c r="F1384" s="3">
        <v>167.66</v>
      </c>
      <c r="G1384" s="3">
        <v>161.56</v>
      </c>
      <c r="H1384" s="3">
        <v>75.239999999999995</v>
      </c>
      <c r="I1384" s="2">
        <v>53.37</v>
      </c>
      <c r="J1384" s="2">
        <v>496.65</v>
      </c>
      <c r="K1384" s="2">
        <v>378.57</v>
      </c>
      <c r="L1384" s="3">
        <v>101.58</v>
      </c>
      <c r="M1384" s="2">
        <v>2.2200000000000002</v>
      </c>
    </row>
    <row r="1385" spans="1:13">
      <c r="A1385" s="9">
        <v>43945</v>
      </c>
      <c r="B1385" s="1">
        <f t="shared" si="42"/>
        <v>43922</v>
      </c>
      <c r="C1385" s="5" t="str">
        <f t="shared" si="43"/>
        <v>2020-04</v>
      </c>
      <c r="D1385" s="3">
        <v>282.97000000000003</v>
      </c>
      <c r="E1385" s="3">
        <v>122.41</v>
      </c>
      <c r="F1385" s="3">
        <v>170.84</v>
      </c>
      <c r="G1385" s="3">
        <v>162.63999999999999</v>
      </c>
      <c r="H1385" s="3">
        <v>72.75</v>
      </c>
      <c r="I1385" s="2">
        <v>53.01</v>
      </c>
      <c r="J1385" s="2">
        <v>475.14</v>
      </c>
      <c r="K1385" s="2">
        <v>381.77</v>
      </c>
      <c r="L1385" s="3">
        <v>100.29</v>
      </c>
      <c r="M1385" s="2">
        <v>2.17</v>
      </c>
    </row>
    <row r="1386" spans="1:13">
      <c r="A1386" s="9">
        <v>43944</v>
      </c>
      <c r="B1386" s="1">
        <f t="shared" si="42"/>
        <v>43922</v>
      </c>
      <c r="C1386" s="5" t="str">
        <f t="shared" si="43"/>
        <v>2020-04</v>
      </c>
      <c r="D1386" s="3">
        <v>279.08</v>
      </c>
      <c r="E1386" s="3">
        <v>120.34</v>
      </c>
      <c r="F1386" s="3">
        <v>170.44</v>
      </c>
      <c r="G1386" s="3">
        <v>163.34</v>
      </c>
      <c r="H1386" s="3">
        <v>72.44</v>
      </c>
      <c r="I1386" s="2">
        <v>51.97</v>
      </c>
      <c r="J1386" s="2">
        <v>471.2</v>
      </c>
      <c r="K1386" s="2">
        <v>376.73</v>
      </c>
      <c r="L1386" s="3">
        <v>98.96</v>
      </c>
      <c r="M1386" s="2">
        <v>2.16</v>
      </c>
    </row>
    <row r="1387" spans="1:13">
      <c r="A1387" s="9">
        <v>43943</v>
      </c>
      <c r="B1387" s="1">
        <f t="shared" si="42"/>
        <v>43922</v>
      </c>
      <c r="C1387" s="5" t="str">
        <f t="shared" si="43"/>
        <v>2020-04</v>
      </c>
      <c r="D1387" s="3">
        <v>279.10000000000002</v>
      </c>
      <c r="E1387" s="3">
        <v>119.17</v>
      </c>
      <c r="F1387" s="3">
        <v>169.54</v>
      </c>
      <c r="G1387" s="3">
        <v>161.72999999999999</v>
      </c>
      <c r="H1387" s="3">
        <v>73.05</v>
      </c>
      <c r="I1387" s="2">
        <v>52.27</v>
      </c>
      <c r="J1387" s="2">
        <v>481</v>
      </c>
      <c r="K1387" s="2">
        <v>380.4</v>
      </c>
      <c r="L1387" s="3">
        <v>98.42</v>
      </c>
      <c r="M1387" s="2">
        <v>2.15</v>
      </c>
    </row>
    <row r="1388" spans="1:13">
      <c r="A1388" s="9">
        <v>43942</v>
      </c>
      <c r="B1388" s="1">
        <f t="shared" si="42"/>
        <v>43922</v>
      </c>
      <c r="C1388" s="5" t="str">
        <f t="shared" si="43"/>
        <v>2020-04</v>
      </c>
      <c r="D1388" s="3">
        <v>273.04000000000002</v>
      </c>
      <c r="E1388" s="3">
        <v>117.74</v>
      </c>
      <c r="F1388" s="3">
        <v>171.29</v>
      </c>
      <c r="G1388" s="3">
        <v>158.61000000000001</v>
      </c>
      <c r="H1388" s="3">
        <v>71.95</v>
      </c>
      <c r="I1388" s="2">
        <v>51.31</v>
      </c>
      <c r="J1388" s="2">
        <v>474.37</v>
      </c>
      <c r="K1388" s="2">
        <v>373.44</v>
      </c>
      <c r="L1388" s="3">
        <v>96.94</v>
      </c>
      <c r="M1388" s="2">
        <v>2.1</v>
      </c>
    </row>
    <row r="1389" spans="1:13">
      <c r="A1389" s="9">
        <v>43941</v>
      </c>
      <c r="B1389" s="1">
        <f t="shared" si="42"/>
        <v>43922</v>
      </c>
      <c r="C1389" s="5" t="str">
        <f t="shared" si="43"/>
        <v>2020-04</v>
      </c>
      <c r="D1389" s="3">
        <v>281.58999999999997</v>
      </c>
      <c r="E1389" s="3">
        <v>120.62</v>
      </c>
      <c r="F1389" s="3">
        <v>169.16</v>
      </c>
      <c r="G1389" s="3">
        <v>159.69999999999999</v>
      </c>
      <c r="H1389" s="3">
        <v>73.28</v>
      </c>
      <c r="I1389" s="2">
        <v>53.91</v>
      </c>
      <c r="J1389" s="2">
        <v>470.8</v>
      </c>
      <c r="K1389" s="2">
        <v>383.21</v>
      </c>
      <c r="L1389" s="3">
        <v>99.98</v>
      </c>
      <c r="M1389" s="2">
        <v>2.17</v>
      </c>
    </row>
    <row r="1390" spans="1:13">
      <c r="A1390" s="9">
        <v>43938</v>
      </c>
      <c r="B1390" s="1">
        <f t="shared" si="42"/>
        <v>43922</v>
      </c>
      <c r="C1390" s="5" t="str">
        <f t="shared" si="43"/>
        <v>2020-04</v>
      </c>
      <c r="D1390" s="3">
        <v>286.64</v>
      </c>
      <c r="E1390" s="3">
        <v>122.06</v>
      </c>
      <c r="F1390" s="3">
        <v>167.81</v>
      </c>
      <c r="G1390" s="3">
        <v>158.57</v>
      </c>
      <c r="H1390" s="3">
        <v>76.11</v>
      </c>
      <c r="I1390" s="2">
        <v>54.62</v>
      </c>
      <c r="J1390" s="2">
        <v>476.87</v>
      </c>
      <c r="K1390" s="2">
        <v>401.51</v>
      </c>
      <c r="L1390" s="3">
        <v>100.78</v>
      </c>
      <c r="M1390" s="2">
        <v>2.1800000000000002</v>
      </c>
    </row>
    <row r="1391" spans="1:13">
      <c r="A1391" s="9">
        <v>43937</v>
      </c>
      <c r="B1391" s="1">
        <f t="shared" si="42"/>
        <v>43922</v>
      </c>
      <c r="C1391" s="5" t="str">
        <f t="shared" si="43"/>
        <v>2020-04</v>
      </c>
      <c r="D1391" s="3">
        <v>279.10000000000002</v>
      </c>
      <c r="E1391" s="3">
        <v>116.91</v>
      </c>
      <c r="F1391" s="3">
        <v>170.09</v>
      </c>
      <c r="G1391" s="3">
        <v>161.71</v>
      </c>
      <c r="H1391" s="3">
        <v>73.78</v>
      </c>
      <c r="I1391" s="2">
        <v>53.7</v>
      </c>
      <c r="J1391" s="2">
        <v>458.99</v>
      </c>
      <c r="K1391" s="2">
        <v>377.88</v>
      </c>
      <c r="L1391" s="3">
        <v>98.73</v>
      </c>
      <c r="M1391" s="2">
        <v>2.16</v>
      </c>
    </row>
    <row r="1392" spans="1:13">
      <c r="A1392" s="9">
        <v>43936</v>
      </c>
      <c r="B1392" s="1">
        <f t="shared" si="42"/>
        <v>43922</v>
      </c>
      <c r="C1392" s="5" t="str">
        <f t="shared" si="43"/>
        <v>2020-04</v>
      </c>
      <c r="D1392" s="3">
        <v>277.76</v>
      </c>
      <c r="E1392" s="3">
        <v>117.8</v>
      </c>
      <c r="F1392" s="3">
        <v>168.18</v>
      </c>
      <c r="G1392" s="3">
        <v>161.85</v>
      </c>
      <c r="H1392" s="3">
        <v>74.63</v>
      </c>
      <c r="I1392" s="2">
        <v>53.16</v>
      </c>
      <c r="J1392" s="2">
        <v>443.07</v>
      </c>
      <c r="K1392" s="2">
        <v>374.38</v>
      </c>
      <c r="L1392" s="3">
        <v>96.62</v>
      </c>
      <c r="M1392" s="2">
        <v>2.16</v>
      </c>
    </row>
    <row r="1393" spans="1:13">
      <c r="A1393" s="9">
        <v>43935</v>
      </c>
      <c r="B1393" s="1">
        <f t="shared" si="42"/>
        <v>43922</v>
      </c>
      <c r="C1393" s="5" t="str">
        <f t="shared" si="43"/>
        <v>2020-04</v>
      </c>
      <c r="D1393" s="3">
        <v>283.79000000000002</v>
      </c>
      <c r="E1393" s="3">
        <v>122.81</v>
      </c>
      <c r="F1393" s="3">
        <v>163.84</v>
      </c>
      <c r="G1393" s="3">
        <v>162.68</v>
      </c>
      <c r="H1393" s="3">
        <v>77.709999999999994</v>
      </c>
      <c r="I1393" s="2">
        <v>54</v>
      </c>
      <c r="J1393" s="2">
        <v>458.03</v>
      </c>
      <c r="K1393" s="2">
        <v>380.03</v>
      </c>
      <c r="L1393" s="3">
        <v>97.12</v>
      </c>
      <c r="M1393" s="2">
        <v>2.19</v>
      </c>
    </row>
    <row r="1394" spans="1:13">
      <c r="A1394" s="9">
        <v>43934</v>
      </c>
      <c r="B1394" s="1">
        <f t="shared" si="42"/>
        <v>43922</v>
      </c>
      <c r="C1394" s="5" t="str">
        <f t="shared" si="43"/>
        <v>2020-04</v>
      </c>
      <c r="D1394" s="3">
        <v>275.66000000000003</v>
      </c>
      <c r="E1394" s="3">
        <v>120.37</v>
      </c>
      <c r="F1394" s="3">
        <v>163.88</v>
      </c>
      <c r="G1394" s="3">
        <v>161.41</v>
      </c>
      <c r="H1394" s="3">
        <v>75.59</v>
      </c>
      <c r="I1394" s="2">
        <v>52.97</v>
      </c>
      <c r="J1394" s="2">
        <v>452.39</v>
      </c>
      <c r="K1394" s="2">
        <v>369.94</v>
      </c>
      <c r="L1394" s="3">
        <v>94</v>
      </c>
      <c r="M1394" s="2">
        <v>2.13</v>
      </c>
    </row>
    <row r="1395" spans="1:13">
      <c r="A1395" s="9">
        <v>43930</v>
      </c>
      <c r="B1395" s="1">
        <f t="shared" si="42"/>
        <v>43922</v>
      </c>
      <c r="C1395" s="5" t="str">
        <f t="shared" si="43"/>
        <v>2020-04</v>
      </c>
      <c r="D1395" s="3">
        <v>278.2</v>
      </c>
      <c r="E1395" s="3">
        <v>123.72</v>
      </c>
      <c r="F1395" s="3">
        <v>165.39</v>
      </c>
      <c r="G1395" s="3">
        <v>158.69</v>
      </c>
      <c r="H1395" s="3">
        <v>78.91</v>
      </c>
      <c r="I1395" s="2">
        <v>53.18</v>
      </c>
      <c r="J1395" s="2">
        <v>471.42</v>
      </c>
      <c r="K1395" s="2">
        <v>371</v>
      </c>
      <c r="L1395" s="3">
        <v>94.83</v>
      </c>
      <c r="M1395" s="2">
        <v>2.15</v>
      </c>
    </row>
    <row r="1396" spans="1:13">
      <c r="A1396" s="9">
        <v>43929</v>
      </c>
      <c r="B1396" s="1">
        <f t="shared" si="42"/>
        <v>43922</v>
      </c>
      <c r="C1396" s="5" t="str">
        <f t="shared" si="43"/>
        <v>2020-04</v>
      </c>
      <c r="D1396" s="3">
        <v>274.02999999999997</v>
      </c>
      <c r="E1396" s="3">
        <v>118.07</v>
      </c>
      <c r="F1396" s="3">
        <v>165.09</v>
      </c>
      <c r="G1396" s="3">
        <v>154.65</v>
      </c>
      <c r="H1396" s="3">
        <v>74.72</v>
      </c>
      <c r="I1396" s="2">
        <v>52.13</v>
      </c>
      <c r="J1396" s="2">
        <v>450.97</v>
      </c>
      <c r="K1396" s="2">
        <v>361.41</v>
      </c>
      <c r="L1396" s="3">
        <v>94.31</v>
      </c>
      <c r="M1396" s="2">
        <v>2.09</v>
      </c>
    </row>
    <row r="1397" spans="1:13">
      <c r="A1397" s="9">
        <v>43928</v>
      </c>
      <c r="B1397" s="1">
        <f t="shared" si="42"/>
        <v>43922</v>
      </c>
      <c r="C1397" s="5" t="str">
        <f t="shared" si="43"/>
        <v>2020-04</v>
      </c>
      <c r="D1397" s="3">
        <v>265.13</v>
      </c>
      <c r="E1397" s="3">
        <v>112.92</v>
      </c>
      <c r="F1397" s="3">
        <v>166.3</v>
      </c>
      <c r="G1397" s="3">
        <v>156.04</v>
      </c>
      <c r="H1397" s="3">
        <v>69.95</v>
      </c>
      <c r="I1397" s="2">
        <v>50.76</v>
      </c>
      <c r="J1397" s="2">
        <v>443.12</v>
      </c>
      <c r="K1397" s="2">
        <v>355.28</v>
      </c>
      <c r="L1397" s="3">
        <v>90.58</v>
      </c>
      <c r="M1397" s="2">
        <v>2.0299999999999998</v>
      </c>
    </row>
    <row r="1398" spans="1:13">
      <c r="A1398" s="9">
        <v>43927</v>
      </c>
      <c r="B1398" s="1">
        <f t="shared" si="42"/>
        <v>43922</v>
      </c>
      <c r="C1398" s="5" t="str">
        <f t="shared" si="43"/>
        <v>2020-04</v>
      </c>
      <c r="D1398" s="3">
        <v>264.86</v>
      </c>
      <c r="E1398" s="3">
        <v>112.63</v>
      </c>
      <c r="F1398" s="3">
        <v>168.06</v>
      </c>
      <c r="G1398" s="3">
        <v>156.88</v>
      </c>
      <c r="H1398" s="3">
        <v>69.31</v>
      </c>
      <c r="I1398" s="2">
        <v>51.49</v>
      </c>
      <c r="J1398" s="2">
        <v>449.52</v>
      </c>
      <c r="K1398" s="2">
        <v>367.95</v>
      </c>
      <c r="L1398" s="3">
        <v>91.33</v>
      </c>
      <c r="M1398" s="2">
        <v>2.02</v>
      </c>
    </row>
    <row r="1399" spans="1:13">
      <c r="A1399" s="9">
        <v>43924</v>
      </c>
      <c r="B1399" s="1">
        <f t="shared" si="42"/>
        <v>43922</v>
      </c>
      <c r="C1399" s="5" t="str">
        <f t="shared" si="43"/>
        <v>2020-04</v>
      </c>
      <c r="D1399" s="3">
        <v>248.19</v>
      </c>
      <c r="E1399" s="3">
        <v>104.62</v>
      </c>
      <c r="F1399" s="3">
        <v>168.5</v>
      </c>
      <c r="G1399" s="3">
        <v>152.65</v>
      </c>
      <c r="H1399" s="3">
        <v>64.53</v>
      </c>
      <c r="I1399" s="2">
        <v>49.4</v>
      </c>
      <c r="J1399" s="2">
        <v>418.07</v>
      </c>
      <c r="K1399" s="2">
        <v>350.5</v>
      </c>
      <c r="L1399" s="3">
        <v>86.78</v>
      </c>
      <c r="M1399" s="2">
        <v>2.02</v>
      </c>
    </row>
    <row r="1400" spans="1:13">
      <c r="A1400" s="9">
        <v>43923</v>
      </c>
      <c r="B1400" s="1">
        <f t="shared" si="42"/>
        <v>43922</v>
      </c>
      <c r="C1400" s="5" t="str">
        <f t="shared" si="43"/>
        <v>2020-04</v>
      </c>
      <c r="D1400" s="3">
        <v>251.83</v>
      </c>
      <c r="E1400" s="3">
        <v>107.67</v>
      </c>
      <c r="F1400" s="3">
        <v>168.1</v>
      </c>
      <c r="G1400" s="3">
        <v>151.9</v>
      </c>
      <c r="H1400" s="3">
        <v>65.48</v>
      </c>
      <c r="I1400" s="2">
        <v>49.8</v>
      </c>
      <c r="J1400" s="2">
        <v>426.53</v>
      </c>
      <c r="K1400" s="2">
        <v>353.96</v>
      </c>
      <c r="L1400" s="3">
        <v>87.57</v>
      </c>
      <c r="M1400" s="2">
        <v>2.09</v>
      </c>
    </row>
    <row r="1401" spans="1:13">
      <c r="A1401" s="9">
        <v>43922</v>
      </c>
      <c r="B1401" s="1">
        <f t="shared" si="42"/>
        <v>43922</v>
      </c>
      <c r="C1401" s="5" t="str">
        <f t="shared" si="43"/>
        <v>2020-04</v>
      </c>
      <c r="D1401" s="3">
        <v>246.15</v>
      </c>
      <c r="E1401" s="3">
        <v>106.66</v>
      </c>
      <c r="F1401" s="3">
        <v>167.04</v>
      </c>
      <c r="G1401" s="3">
        <v>149.44999999999999</v>
      </c>
      <c r="H1401" s="3">
        <v>65.260000000000005</v>
      </c>
      <c r="I1401" s="2">
        <v>48.71</v>
      </c>
      <c r="J1401" s="2">
        <v>409.54</v>
      </c>
      <c r="K1401" s="2">
        <v>338.52</v>
      </c>
      <c r="L1401" s="3">
        <v>85.21</v>
      </c>
      <c r="M1401" s="2">
        <v>2.0499999999999998</v>
      </c>
    </row>
    <row r="1402" spans="1:13">
      <c r="A1402" s="9">
        <v>43921</v>
      </c>
      <c r="B1402" s="1">
        <f t="shared" si="42"/>
        <v>43891</v>
      </c>
      <c r="C1402" s="5" t="str">
        <f t="shared" si="43"/>
        <v>2020-03</v>
      </c>
      <c r="D1402" s="3">
        <v>257.75</v>
      </c>
      <c r="E1402" s="3">
        <v>114.46</v>
      </c>
      <c r="F1402" s="3">
        <v>164.97</v>
      </c>
      <c r="G1402" s="3">
        <v>148.05000000000001</v>
      </c>
      <c r="H1402" s="3">
        <v>69.849999999999994</v>
      </c>
      <c r="I1402" s="2">
        <v>48.33</v>
      </c>
      <c r="J1402" s="2">
        <v>439.97</v>
      </c>
      <c r="K1402" s="2">
        <v>338.95</v>
      </c>
      <c r="L1402" s="3">
        <v>88.58</v>
      </c>
      <c r="M1402" s="2">
        <v>2.13</v>
      </c>
    </row>
    <row r="1403" spans="1:13">
      <c r="A1403" s="9">
        <v>43920</v>
      </c>
      <c r="B1403" s="1">
        <f t="shared" si="42"/>
        <v>43891</v>
      </c>
      <c r="C1403" s="5" t="str">
        <f t="shared" si="43"/>
        <v>2020-03</v>
      </c>
      <c r="D1403" s="3">
        <v>261.64999999999998</v>
      </c>
      <c r="E1403" s="3">
        <v>115.04</v>
      </c>
      <c r="F1403" s="3">
        <v>166.32</v>
      </c>
      <c r="G1403" s="3">
        <v>152.91999999999999</v>
      </c>
      <c r="H1403" s="3">
        <v>71.58</v>
      </c>
      <c r="I1403" s="2">
        <v>50.36</v>
      </c>
      <c r="J1403" s="2">
        <v>455.35</v>
      </c>
      <c r="K1403" s="2">
        <v>348.85</v>
      </c>
      <c r="L1403" s="3">
        <v>88.97</v>
      </c>
      <c r="M1403" s="2">
        <v>2.09</v>
      </c>
    </row>
    <row r="1404" spans="1:13">
      <c r="A1404" s="9">
        <v>43917</v>
      </c>
      <c r="B1404" s="1">
        <f t="shared" si="42"/>
        <v>43891</v>
      </c>
      <c r="C1404" s="5" t="str">
        <f t="shared" si="43"/>
        <v>2020-03</v>
      </c>
      <c r="D1404" s="3">
        <v>253.42</v>
      </c>
      <c r="E1404" s="3">
        <v>112.56</v>
      </c>
      <c r="F1404" s="3">
        <v>167.7</v>
      </c>
      <c r="G1404" s="3">
        <v>152.25</v>
      </c>
      <c r="H1404" s="3">
        <v>70.05</v>
      </c>
      <c r="I1404" s="2">
        <v>49.83</v>
      </c>
      <c r="J1404" s="2">
        <v>434.34</v>
      </c>
      <c r="K1404" s="2">
        <v>348.38</v>
      </c>
      <c r="L1404" s="3">
        <v>84.99</v>
      </c>
      <c r="M1404" s="2">
        <v>2.04</v>
      </c>
    </row>
    <row r="1405" spans="1:13">
      <c r="A1405" s="9">
        <v>43916</v>
      </c>
      <c r="B1405" s="1">
        <f t="shared" si="42"/>
        <v>43891</v>
      </c>
      <c r="C1405" s="5" t="str">
        <f t="shared" si="43"/>
        <v>2020-03</v>
      </c>
      <c r="D1405" s="3">
        <v>261.2</v>
      </c>
      <c r="E1405" s="3">
        <v>116.81</v>
      </c>
      <c r="F1405" s="3">
        <v>163.34</v>
      </c>
      <c r="G1405" s="3">
        <v>153.24</v>
      </c>
      <c r="H1405" s="3">
        <v>69.98</v>
      </c>
      <c r="I1405" s="2">
        <v>50.48</v>
      </c>
      <c r="J1405" s="2">
        <v>451.9</v>
      </c>
      <c r="K1405" s="2">
        <v>350.33</v>
      </c>
      <c r="L1405" s="3">
        <v>86.85</v>
      </c>
      <c r="M1405" s="2">
        <v>2.17</v>
      </c>
    </row>
    <row r="1406" spans="1:13">
      <c r="A1406" s="9">
        <v>43915</v>
      </c>
      <c r="B1406" s="1">
        <f t="shared" si="42"/>
        <v>43891</v>
      </c>
      <c r="C1406" s="5" t="str">
        <f t="shared" si="43"/>
        <v>2020-03</v>
      </c>
      <c r="D1406" s="3">
        <v>246.79</v>
      </c>
      <c r="E1406" s="3">
        <v>109.97</v>
      </c>
      <c r="F1406" s="3">
        <v>162.54</v>
      </c>
      <c r="G1406" s="3">
        <v>151.30000000000001</v>
      </c>
      <c r="H1406" s="3">
        <v>65.37</v>
      </c>
      <c r="I1406" s="2">
        <v>45.94</v>
      </c>
      <c r="J1406" s="2">
        <v>401.38</v>
      </c>
      <c r="K1406" s="2">
        <v>319.67</v>
      </c>
      <c r="L1406" s="3">
        <v>81.44</v>
      </c>
      <c r="M1406" s="2">
        <v>2.0699999999999998</v>
      </c>
    </row>
    <row r="1407" spans="1:13">
      <c r="A1407" s="9">
        <v>43914</v>
      </c>
      <c r="B1407" s="1">
        <f t="shared" si="42"/>
        <v>43891</v>
      </c>
      <c r="C1407" s="5" t="str">
        <f t="shared" si="43"/>
        <v>2020-03</v>
      </c>
      <c r="D1407" s="3">
        <v>243.15</v>
      </c>
      <c r="E1407" s="3">
        <v>109.04</v>
      </c>
      <c r="F1407" s="3">
        <v>162.91</v>
      </c>
      <c r="G1407" s="3">
        <v>153.4</v>
      </c>
      <c r="H1407" s="3">
        <v>62.03</v>
      </c>
      <c r="I1407" s="2">
        <v>47.84</v>
      </c>
      <c r="J1407" s="2">
        <v>371.7</v>
      </c>
      <c r="K1407" s="2">
        <v>288.91000000000003</v>
      </c>
      <c r="L1407" s="3">
        <v>80.37</v>
      </c>
      <c r="M1407" s="2">
        <v>1.88</v>
      </c>
    </row>
    <row r="1408" spans="1:13">
      <c r="A1408" s="9">
        <v>43913</v>
      </c>
      <c r="B1408" s="1">
        <f t="shared" si="42"/>
        <v>43891</v>
      </c>
      <c r="C1408" s="5" t="str">
        <f t="shared" si="43"/>
        <v>2020-03</v>
      </c>
      <c r="D1408" s="3">
        <v>222.95</v>
      </c>
      <c r="E1408" s="3">
        <v>99.9</v>
      </c>
      <c r="F1408" s="3">
        <v>166</v>
      </c>
      <c r="G1408" s="3">
        <v>146.30000000000001</v>
      </c>
      <c r="H1408" s="3">
        <v>56.91</v>
      </c>
      <c r="I1408" s="2">
        <v>44.19</v>
      </c>
      <c r="J1408" s="2">
        <v>327.42</v>
      </c>
      <c r="K1408" s="2">
        <v>276.8</v>
      </c>
      <c r="L1408" s="3">
        <v>74.62</v>
      </c>
      <c r="M1408" s="2">
        <v>1.68</v>
      </c>
    </row>
    <row r="1409" spans="1:13">
      <c r="A1409" s="9">
        <v>43910</v>
      </c>
      <c r="B1409" s="1">
        <f t="shared" si="42"/>
        <v>43891</v>
      </c>
      <c r="C1409" s="5" t="str">
        <f t="shared" si="43"/>
        <v>2020-03</v>
      </c>
      <c r="D1409" s="3">
        <v>228.8</v>
      </c>
      <c r="E1409" s="3">
        <v>101.4</v>
      </c>
      <c r="F1409" s="3">
        <v>159.43</v>
      </c>
      <c r="G1409" s="3">
        <v>140.11000000000001</v>
      </c>
      <c r="H1409" s="3">
        <v>59.68</v>
      </c>
      <c r="I1409" s="2">
        <v>45.65</v>
      </c>
      <c r="J1409" s="2">
        <v>354.72</v>
      </c>
      <c r="K1409" s="2">
        <v>291.22000000000003</v>
      </c>
      <c r="L1409" s="3">
        <v>79.09</v>
      </c>
      <c r="M1409" s="2">
        <v>1.69</v>
      </c>
    </row>
    <row r="1410" spans="1:13">
      <c r="A1410" s="9">
        <v>43909</v>
      </c>
      <c r="B1410" s="1">
        <f t="shared" ref="B1410:B1473" si="44">EOMONTH(A1410,-1)+1</f>
        <v>43891</v>
      </c>
      <c r="C1410" s="5" t="str">
        <f t="shared" si="43"/>
        <v>2020-03</v>
      </c>
      <c r="D1410" s="3">
        <v>240.51</v>
      </c>
      <c r="E1410" s="3">
        <v>103.87</v>
      </c>
      <c r="F1410" s="3">
        <v>148.28</v>
      </c>
      <c r="G1410" s="3">
        <v>138.04</v>
      </c>
      <c r="H1410" s="3">
        <v>62.81</v>
      </c>
      <c r="I1410" s="2">
        <v>45.07</v>
      </c>
      <c r="J1410" s="2">
        <v>397.36</v>
      </c>
      <c r="K1410" s="2">
        <v>314.2</v>
      </c>
      <c r="L1410" s="3">
        <v>82.25</v>
      </c>
      <c r="M1410" s="2">
        <v>1.61</v>
      </c>
    </row>
    <row r="1411" spans="1:13">
      <c r="A1411" s="9">
        <v>43908</v>
      </c>
      <c r="B1411" s="1">
        <f t="shared" si="44"/>
        <v>43891</v>
      </c>
      <c r="C1411" s="5" t="str">
        <f t="shared" ref="C1411:C1474" si="45">TEXT(A1411, "yyyy-mm")</f>
        <v>2020-03</v>
      </c>
      <c r="D1411" s="3">
        <v>240</v>
      </c>
      <c r="E1411" s="3">
        <v>99.97</v>
      </c>
      <c r="F1411" s="3">
        <v>144.35</v>
      </c>
      <c r="G1411" s="3">
        <v>140.69999999999999</v>
      </c>
      <c r="H1411" s="3">
        <v>62.59</v>
      </c>
      <c r="I1411" s="2">
        <v>47.27</v>
      </c>
      <c r="J1411" s="2">
        <v>373.36</v>
      </c>
      <c r="K1411" s="2">
        <v>333.41</v>
      </c>
      <c r="L1411" s="3">
        <v>83.97</v>
      </c>
      <c r="M1411" s="2">
        <v>1.6</v>
      </c>
    </row>
    <row r="1412" spans="1:13">
      <c r="A1412" s="9">
        <v>43907</v>
      </c>
      <c r="B1412" s="1">
        <f t="shared" si="44"/>
        <v>43891</v>
      </c>
      <c r="C1412" s="5" t="str">
        <f t="shared" si="45"/>
        <v>2020-03</v>
      </c>
      <c r="D1412" s="3">
        <v>252.8</v>
      </c>
      <c r="E1412" s="3">
        <v>108.37</v>
      </c>
      <c r="F1412" s="3">
        <v>152.97999999999999</v>
      </c>
      <c r="G1412" s="3">
        <v>143.56</v>
      </c>
      <c r="H1412" s="3">
        <v>69.17</v>
      </c>
      <c r="I1412" s="2">
        <v>46.86</v>
      </c>
      <c r="J1412" s="2">
        <v>386.76</v>
      </c>
      <c r="K1412" s="2">
        <v>318.83</v>
      </c>
      <c r="L1412" s="3">
        <v>86.85</v>
      </c>
      <c r="M1412" s="2">
        <v>1.91</v>
      </c>
    </row>
    <row r="1413" spans="1:13">
      <c r="A1413" s="9">
        <v>43906</v>
      </c>
      <c r="B1413" s="1">
        <f t="shared" si="44"/>
        <v>43891</v>
      </c>
      <c r="C1413" s="5" t="str">
        <f t="shared" si="45"/>
        <v>2020-03</v>
      </c>
      <c r="D1413" s="3">
        <v>239.85</v>
      </c>
      <c r="E1413" s="3">
        <v>103.62</v>
      </c>
      <c r="F1413" s="3">
        <v>163.91</v>
      </c>
      <c r="G1413" s="3">
        <v>141.63999999999999</v>
      </c>
      <c r="H1413" s="3">
        <v>65.39</v>
      </c>
      <c r="I1413" s="2">
        <v>42.72</v>
      </c>
      <c r="J1413" s="2">
        <v>357.28</v>
      </c>
      <c r="K1413" s="2">
        <v>287.94</v>
      </c>
      <c r="L1413" s="3">
        <v>81.72</v>
      </c>
      <c r="M1413" s="2">
        <v>1.74</v>
      </c>
    </row>
    <row r="1414" spans="1:13">
      <c r="A1414" s="9">
        <v>43903</v>
      </c>
      <c r="B1414" s="1">
        <f t="shared" si="44"/>
        <v>43891</v>
      </c>
      <c r="C1414" s="5" t="str">
        <f t="shared" si="45"/>
        <v>2020-03</v>
      </c>
      <c r="D1414" s="3">
        <v>269.32</v>
      </c>
      <c r="E1414" s="3">
        <v>119.47</v>
      </c>
      <c r="F1414" s="3">
        <v>153.94</v>
      </c>
      <c r="G1414" s="3">
        <v>143.28</v>
      </c>
      <c r="H1414" s="3">
        <v>79.48</v>
      </c>
      <c r="I1414" s="2">
        <v>47.93</v>
      </c>
      <c r="J1414" s="2">
        <v>413.78</v>
      </c>
      <c r="K1414" s="2">
        <v>328.59</v>
      </c>
      <c r="L1414" s="3">
        <v>90.66</v>
      </c>
      <c r="M1414" s="2">
        <v>2.29</v>
      </c>
    </row>
    <row r="1415" spans="1:13">
      <c r="A1415" s="9">
        <v>43902</v>
      </c>
      <c r="B1415" s="1">
        <f t="shared" si="44"/>
        <v>43891</v>
      </c>
      <c r="C1415" s="5" t="str">
        <f t="shared" si="45"/>
        <v>2020-03</v>
      </c>
      <c r="D1415" s="3">
        <v>248.11</v>
      </c>
      <c r="E1415" s="3">
        <v>111.97</v>
      </c>
      <c r="F1415" s="3">
        <v>157.5</v>
      </c>
      <c r="G1415" s="3">
        <v>147.79</v>
      </c>
      <c r="H1415" s="3">
        <v>73.099999999999994</v>
      </c>
      <c r="I1415" s="2">
        <v>39.799999999999997</v>
      </c>
      <c r="J1415" s="2">
        <v>386.22</v>
      </c>
      <c r="K1415" s="2">
        <v>311.38</v>
      </c>
      <c r="L1415" s="3">
        <v>84.78</v>
      </c>
      <c r="M1415" s="2">
        <v>2.2200000000000002</v>
      </c>
    </row>
    <row r="1416" spans="1:13">
      <c r="A1416" s="9">
        <v>43901</v>
      </c>
      <c r="B1416" s="1">
        <f t="shared" si="44"/>
        <v>43891</v>
      </c>
      <c r="C1416" s="5" t="str">
        <f t="shared" si="45"/>
        <v>2020-03</v>
      </c>
      <c r="D1416" s="3">
        <v>274.36</v>
      </c>
      <c r="E1416" s="3">
        <v>125.88</v>
      </c>
      <c r="F1416" s="3">
        <v>156.53</v>
      </c>
      <c r="G1416" s="3">
        <v>153.93</v>
      </c>
      <c r="H1416" s="3">
        <v>81.34</v>
      </c>
      <c r="I1416" s="2">
        <v>44.72</v>
      </c>
      <c r="J1416" s="2">
        <v>430.97</v>
      </c>
      <c r="K1416" s="2">
        <v>356.93</v>
      </c>
      <c r="L1416" s="3">
        <v>91.62</v>
      </c>
      <c r="M1416" s="2">
        <v>2.42</v>
      </c>
    </row>
    <row r="1417" spans="1:13">
      <c r="A1417" s="9">
        <v>43900</v>
      </c>
      <c r="B1417" s="1">
        <f t="shared" si="44"/>
        <v>43891</v>
      </c>
      <c r="C1417" s="5" t="str">
        <f t="shared" si="45"/>
        <v>2020-03</v>
      </c>
      <c r="D1417" s="3">
        <v>288.42</v>
      </c>
      <c r="E1417" s="3">
        <v>134.43</v>
      </c>
      <c r="F1417" s="3">
        <v>162.51</v>
      </c>
      <c r="G1417" s="3">
        <v>154.47999999999999</v>
      </c>
      <c r="H1417" s="3">
        <v>86.54</v>
      </c>
      <c r="I1417" s="2">
        <v>48.58</v>
      </c>
      <c r="J1417" s="2">
        <v>459</v>
      </c>
      <c r="K1417" s="2">
        <v>367.17</v>
      </c>
      <c r="L1417" s="3">
        <v>95.26</v>
      </c>
      <c r="M1417" s="2">
        <v>2.44</v>
      </c>
    </row>
    <row r="1418" spans="1:13">
      <c r="A1418" s="9">
        <v>43899</v>
      </c>
      <c r="B1418" s="1">
        <f t="shared" si="44"/>
        <v>43891</v>
      </c>
      <c r="C1418" s="5" t="str">
        <f t="shared" si="45"/>
        <v>2020-03</v>
      </c>
      <c r="D1418" s="3">
        <v>274.23</v>
      </c>
      <c r="E1418" s="3">
        <v>130.36000000000001</v>
      </c>
      <c r="F1418" s="3">
        <v>171.29</v>
      </c>
      <c r="G1418" s="3">
        <v>157.81</v>
      </c>
      <c r="H1418" s="3">
        <v>83.68</v>
      </c>
      <c r="I1418" s="2">
        <v>46.01</v>
      </c>
      <c r="J1418" s="2">
        <v>419.01</v>
      </c>
      <c r="K1418" s="2">
        <v>352.03</v>
      </c>
      <c r="L1418" s="3">
        <v>92.1</v>
      </c>
      <c r="M1418" s="2">
        <v>2.2999999999999998</v>
      </c>
    </row>
    <row r="1419" spans="1:13">
      <c r="A1419" s="9">
        <v>43896</v>
      </c>
      <c r="B1419" s="1">
        <f t="shared" si="44"/>
        <v>43891</v>
      </c>
      <c r="C1419" s="5" t="str">
        <f t="shared" si="45"/>
        <v>2020-03</v>
      </c>
      <c r="D1419" s="3">
        <v>297.45999999999998</v>
      </c>
      <c r="E1419" s="3">
        <v>144.4</v>
      </c>
      <c r="F1419" s="3">
        <v>166.77</v>
      </c>
      <c r="G1419" s="3">
        <v>157.55000000000001</v>
      </c>
      <c r="H1419" s="3">
        <v>90.67</v>
      </c>
      <c r="I1419" s="2">
        <v>47.37</v>
      </c>
      <c r="J1419" s="2">
        <v>450.41</v>
      </c>
      <c r="K1419" s="2">
        <v>382.47</v>
      </c>
      <c r="L1419" s="3">
        <v>97.15</v>
      </c>
      <c r="M1419" s="2">
        <v>2.5299999999999998</v>
      </c>
    </row>
    <row r="1420" spans="1:13">
      <c r="A1420" s="9">
        <v>43895</v>
      </c>
      <c r="B1420" s="1">
        <f t="shared" si="44"/>
        <v>43891</v>
      </c>
      <c r="C1420" s="5" t="str">
        <f t="shared" si="45"/>
        <v>2020-03</v>
      </c>
      <c r="D1420" s="3">
        <v>302.45999999999998</v>
      </c>
      <c r="E1420" s="3">
        <v>147.32</v>
      </c>
      <c r="F1420" s="3">
        <v>158.52000000000001</v>
      </c>
      <c r="G1420" s="3">
        <v>157.49</v>
      </c>
      <c r="H1420" s="3">
        <v>92.26</v>
      </c>
      <c r="I1420" s="2">
        <v>48</v>
      </c>
      <c r="J1420" s="2">
        <v>472.47</v>
      </c>
      <c r="K1420" s="2">
        <v>384.7</v>
      </c>
      <c r="L1420" s="3">
        <v>97.67</v>
      </c>
      <c r="M1420" s="2">
        <v>2.59</v>
      </c>
    </row>
    <row r="1421" spans="1:13">
      <c r="A1421" s="9">
        <v>43894</v>
      </c>
      <c r="B1421" s="1">
        <f t="shared" si="44"/>
        <v>43891</v>
      </c>
      <c r="C1421" s="5" t="str">
        <f t="shared" si="45"/>
        <v>2020-03</v>
      </c>
      <c r="D1421" s="3">
        <v>312.86</v>
      </c>
      <c r="E1421" s="3">
        <v>152.16</v>
      </c>
      <c r="F1421" s="3">
        <v>154.66999999999999</v>
      </c>
      <c r="G1421" s="3">
        <v>154.16</v>
      </c>
      <c r="H1421" s="3">
        <v>94.28</v>
      </c>
      <c r="I1421" s="2">
        <v>50.54</v>
      </c>
      <c r="J1421" s="2">
        <v>495.31</v>
      </c>
      <c r="K1421" s="2">
        <v>402.03</v>
      </c>
      <c r="L1421" s="3">
        <v>99.99</v>
      </c>
      <c r="M1421" s="2">
        <v>2.67</v>
      </c>
    </row>
    <row r="1422" spans="1:13">
      <c r="A1422" s="9">
        <v>43893</v>
      </c>
      <c r="B1422" s="1">
        <f t="shared" si="44"/>
        <v>43891</v>
      </c>
      <c r="C1422" s="5" t="str">
        <f t="shared" si="45"/>
        <v>2020-03</v>
      </c>
      <c r="D1422" s="3">
        <v>300.24</v>
      </c>
      <c r="E1422" s="3">
        <v>147.94999999999999</v>
      </c>
      <c r="F1422" s="3">
        <v>156.33000000000001</v>
      </c>
      <c r="G1422" s="3">
        <v>153.88999999999999</v>
      </c>
      <c r="H1422" s="3">
        <v>90.85</v>
      </c>
      <c r="I1422" s="2">
        <v>48.85</v>
      </c>
      <c r="J1422" s="2">
        <v>482.07</v>
      </c>
      <c r="K1422" s="2">
        <v>377.4</v>
      </c>
      <c r="L1422" s="3">
        <v>94.54</v>
      </c>
      <c r="M1422" s="2">
        <v>2.61</v>
      </c>
    </row>
    <row r="1423" spans="1:13">
      <c r="A1423" s="9">
        <v>43892</v>
      </c>
      <c r="B1423" s="1">
        <f t="shared" si="44"/>
        <v>43891</v>
      </c>
      <c r="C1423" s="5" t="str">
        <f t="shared" si="45"/>
        <v>2020-03</v>
      </c>
      <c r="D1423" s="3">
        <v>309.08999999999997</v>
      </c>
      <c r="E1423" s="3">
        <v>151.03</v>
      </c>
      <c r="F1423" s="3">
        <v>153.94</v>
      </c>
      <c r="G1423" s="3">
        <v>149.19999999999999</v>
      </c>
      <c r="H1423" s="3">
        <v>91.06</v>
      </c>
      <c r="I1423" s="2">
        <v>50.9</v>
      </c>
      <c r="J1423" s="2">
        <v>487.94</v>
      </c>
      <c r="K1423" s="2">
        <v>381.35</v>
      </c>
      <c r="L1423" s="3">
        <v>96.95</v>
      </c>
      <c r="M1423" s="2">
        <v>2.62</v>
      </c>
    </row>
    <row r="1424" spans="1:13">
      <c r="A1424" s="9">
        <v>43889</v>
      </c>
      <c r="B1424" s="1">
        <f t="shared" si="44"/>
        <v>43862</v>
      </c>
      <c r="C1424" s="5" t="str">
        <f t="shared" si="45"/>
        <v>2020-02</v>
      </c>
      <c r="D1424" s="3">
        <v>296.26</v>
      </c>
      <c r="E1424" s="3">
        <v>146.33000000000001</v>
      </c>
      <c r="F1424" s="3">
        <v>155.31</v>
      </c>
      <c r="G1424" s="3">
        <v>148.38</v>
      </c>
      <c r="H1424" s="3">
        <v>87.33</v>
      </c>
      <c r="I1424" s="2">
        <v>49.46</v>
      </c>
      <c r="J1424" s="2">
        <v>463.01</v>
      </c>
      <c r="K1424" s="2">
        <v>369.87</v>
      </c>
      <c r="L1424" s="3">
        <v>92.61</v>
      </c>
      <c r="M1424" s="2">
        <v>2.54</v>
      </c>
    </row>
    <row r="1425" spans="1:13">
      <c r="A1425" s="9">
        <v>43888</v>
      </c>
      <c r="B1425" s="1">
        <f t="shared" si="44"/>
        <v>43862</v>
      </c>
      <c r="C1425" s="5" t="str">
        <f t="shared" si="45"/>
        <v>2020-02</v>
      </c>
      <c r="D1425" s="3">
        <v>297.51</v>
      </c>
      <c r="E1425" s="3">
        <v>149.06</v>
      </c>
      <c r="F1425" s="3">
        <v>151.88</v>
      </c>
      <c r="G1425" s="3">
        <v>154</v>
      </c>
      <c r="H1425" s="3">
        <v>89.49</v>
      </c>
      <c r="I1425" s="2">
        <v>50.78</v>
      </c>
      <c r="J1425" s="2">
        <v>475.82</v>
      </c>
      <c r="K1425" s="2">
        <v>384.6</v>
      </c>
      <c r="L1425" s="3">
        <v>93.82</v>
      </c>
      <c r="M1425" s="2">
        <v>2.58</v>
      </c>
    </row>
    <row r="1426" spans="1:13">
      <c r="A1426" s="9">
        <v>43887</v>
      </c>
      <c r="B1426" s="1">
        <f t="shared" si="44"/>
        <v>43862</v>
      </c>
      <c r="C1426" s="5" t="str">
        <f t="shared" si="45"/>
        <v>2020-02</v>
      </c>
      <c r="D1426" s="3">
        <v>311.5</v>
      </c>
      <c r="E1426" s="3">
        <v>154.5</v>
      </c>
      <c r="F1426" s="3">
        <v>150.25</v>
      </c>
      <c r="G1426" s="3">
        <v>153.97</v>
      </c>
      <c r="H1426" s="3">
        <v>94.52</v>
      </c>
      <c r="I1426" s="2">
        <v>52.05</v>
      </c>
      <c r="J1426" s="2">
        <v>508.47</v>
      </c>
      <c r="K1426" s="2">
        <v>400.9</v>
      </c>
      <c r="L1426" s="3">
        <v>97.12</v>
      </c>
      <c r="M1426" s="2">
        <v>2.65</v>
      </c>
    </row>
    <row r="1427" spans="1:13">
      <c r="A1427" s="9">
        <v>43886</v>
      </c>
      <c r="B1427" s="1">
        <f t="shared" si="44"/>
        <v>43862</v>
      </c>
      <c r="C1427" s="5" t="str">
        <f t="shared" si="45"/>
        <v>2020-02</v>
      </c>
      <c r="D1427" s="3">
        <v>312.64999999999998</v>
      </c>
      <c r="E1427" s="3">
        <v>156.31</v>
      </c>
      <c r="F1427" s="3">
        <v>151.05000000000001</v>
      </c>
      <c r="G1427" s="3">
        <v>153.30000000000001</v>
      </c>
      <c r="H1427" s="3">
        <v>95.55</v>
      </c>
      <c r="I1427" s="2">
        <v>50.96</v>
      </c>
      <c r="J1427" s="2">
        <v>506</v>
      </c>
      <c r="K1427" s="2">
        <v>400.36</v>
      </c>
      <c r="L1427" s="3">
        <v>97.13</v>
      </c>
      <c r="M1427" s="2">
        <v>2.64</v>
      </c>
    </row>
    <row r="1428" spans="1:13">
      <c r="A1428" s="9">
        <v>43885</v>
      </c>
      <c r="B1428" s="1">
        <f t="shared" si="44"/>
        <v>43862</v>
      </c>
      <c r="C1428" s="5" t="str">
        <f t="shared" si="45"/>
        <v>2020-02</v>
      </c>
      <c r="D1428" s="3">
        <v>322.42</v>
      </c>
      <c r="E1428" s="3">
        <v>162.07</v>
      </c>
      <c r="F1428" s="3">
        <v>150.25</v>
      </c>
      <c r="G1428" s="3">
        <v>156.09</v>
      </c>
      <c r="H1428" s="3">
        <v>98.21</v>
      </c>
      <c r="I1428" s="2">
        <v>52.65</v>
      </c>
      <c r="J1428" s="2">
        <v>528</v>
      </c>
      <c r="K1428" s="2">
        <v>419.35</v>
      </c>
      <c r="L1428" s="3">
        <v>100.17</v>
      </c>
      <c r="M1428" s="2">
        <v>2.7</v>
      </c>
    </row>
    <row r="1429" spans="1:13">
      <c r="A1429" s="9">
        <v>43882</v>
      </c>
      <c r="B1429" s="1">
        <f t="shared" si="44"/>
        <v>43862</v>
      </c>
      <c r="C1429" s="5" t="str">
        <f t="shared" si="45"/>
        <v>2020-02</v>
      </c>
      <c r="D1429" s="3">
        <v>333.48</v>
      </c>
      <c r="E1429" s="3">
        <v>167.1</v>
      </c>
      <c r="F1429" s="3">
        <v>148.04</v>
      </c>
      <c r="G1429" s="3">
        <v>154.69999999999999</v>
      </c>
      <c r="H1429" s="3">
        <v>99.57</v>
      </c>
      <c r="I1429" s="2">
        <v>54.68</v>
      </c>
      <c r="J1429" s="2">
        <v>557</v>
      </c>
      <c r="K1429" s="2">
        <v>427.8</v>
      </c>
      <c r="L1429" s="3">
        <v>103.43</v>
      </c>
      <c r="M1429" s="2">
        <v>2.77</v>
      </c>
    </row>
    <row r="1430" spans="1:13">
      <c r="A1430" s="9">
        <v>43881</v>
      </c>
      <c r="B1430" s="1">
        <f t="shared" si="44"/>
        <v>43862</v>
      </c>
      <c r="C1430" s="5" t="str">
        <f t="shared" si="45"/>
        <v>2020-02</v>
      </c>
      <c r="D1430" s="3">
        <v>336.95</v>
      </c>
      <c r="E1430" s="3">
        <v>168.81</v>
      </c>
      <c r="F1430" s="3">
        <v>146.66999999999999</v>
      </c>
      <c r="G1430" s="3">
        <v>152.41</v>
      </c>
      <c r="H1430" s="3">
        <v>99.28</v>
      </c>
      <c r="I1430" s="2">
        <v>55.51</v>
      </c>
      <c r="J1430" s="2">
        <v>566.91999999999996</v>
      </c>
      <c r="K1430" s="2">
        <v>425.97</v>
      </c>
      <c r="L1430" s="3">
        <v>103.37</v>
      </c>
      <c r="M1430" s="2">
        <v>2.79</v>
      </c>
    </row>
    <row r="1431" spans="1:13">
      <c r="A1431" s="9">
        <v>43880</v>
      </c>
      <c r="B1431" s="1">
        <f t="shared" si="44"/>
        <v>43862</v>
      </c>
      <c r="C1431" s="5" t="str">
        <f t="shared" si="45"/>
        <v>2020-02</v>
      </c>
      <c r="D1431" s="3">
        <v>338.34</v>
      </c>
      <c r="E1431" s="3">
        <v>168.4</v>
      </c>
      <c r="F1431" s="3">
        <v>145.53</v>
      </c>
      <c r="G1431" s="3">
        <v>151.79</v>
      </c>
      <c r="H1431" s="3">
        <v>98.11</v>
      </c>
      <c r="I1431" s="2">
        <v>55.44</v>
      </c>
      <c r="J1431" s="2">
        <v>572.07000000000005</v>
      </c>
      <c r="K1431" s="2">
        <v>434.48</v>
      </c>
      <c r="L1431" s="3">
        <v>104.04</v>
      </c>
      <c r="M1431" s="2">
        <v>2.76</v>
      </c>
    </row>
    <row r="1432" spans="1:13">
      <c r="A1432" s="9">
        <v>43879</v>
      </c>
      <c r="B1432" s="1">
        <f t="shared" si="44"/>
        <v>43862</v>
      </c>
      <c r="C1432" s="5" t="str">
        <f t="shared" si="45"/>
        <v>2020-02</v>
      </c>
      <c r="D1432" s="3">
        <v>336.73</v>
      </c>
      <c r="E1432" s="3">
        <v>167.54</v>
      </c>
      <c r="F1432" s="3">
        <v>145.54</v>
      </c>
      <c r="G1432" s="3">
        <v>150.91</v>
      </c>
      <c r="H1432" s="3">
        <v>99.45</v>
      </c>
      <c r="I1432" s="2">
        <v>55.45</v>
      </c>
      <c r="J1432" s="2">
        <v>564.80999999999995</v>
      </c>
      <c r="K1432" s="2">
        <v>435.55</v>
      </c>
      <c r="L1432" s="3">
        <v>103.56</v>
      </c>
      <c r="M1432" s="2">
        <v>2.75</v>
      </c>
    </row>
    <row r="1433" spans="1:13">
      <c r="A1433" s="9">
        <v>43875</v>
      </c>
      <c r="B1433" s="1">
        <f t="shared" si="44"/>
        <v>43862</v>
      </c>
      <c r="C1433" s="5" t="str">
        <f t="shared" si="45"/>
        <v>2020-02</v>
      </c>
      <c r="D1433" s="3">
        <v>337.6</v>
      </c>
      <c r="E1433" s="3">
        <v>167.9</v>
      </c>
      <c r="F1433" s="3">
        <v>144.55000000000001</v>
      </c>
      <c r="G1433" s="3">
        <v>149</v>
      </c>
      <c r="H1433" s="3">
        <v>99.56</v>
      </c>
      <c r="I1433" s="2">
        <v>55.47</v>
      </c>
      <c r="J1433" s="2">
        <v>565.94000000000005</v>
      </c>
      <c r="K1433" s="2">
        <v>437.85</v>
      </c>
      <c r="L1433" s="3">
        <v>103.93</v>
      </c>
      <c r="M1433" s="2">
        <v>2.8</v>
      </c>
    </row>
    <row r="1434" spans="1:13">
      <c r="A1434" s="9">
        <v>43874</v>
      </c>
      <c r="B1434" s="1">
        <f t="shared" si="44"/>
        <v>43862</v>
      </c>
      <c r="C1434" s="5" t="str">
        <f t="shared" si="45"/>
        <v>2020-02</v>
      </c>
      <c r="D1434" s="3">
        <v>337.06</v>
      </c>
      <c r="E1434" s="3">
        <v>168.55</v>
      </c>
      <c r="F1434" s="3">
        <v>143.91999999999999</v>
      </c>
      <c r="G1434" s="3">
        <v>148.38</v>
      </c>
      <c r="H1434" s="3">
        <v>98.54</v>
      </c>
      <c r="I1434" s="2">
        <v>55.31</v>
      </c>
      <c r="J1434" s="2">
        <v>568.54999999999995</v>
      </c>
      <c r="K1434" s="2">
        <v>434.7</v>
      </c>
      <c r="L1434" s="3">
        <v>103.85</v>
      </c>
      <c r="M1434" s="2">
        <v>2.87</v>
      </c>
    </row>
    <row r="1435" spans="1:13">
      <c r="A1435" s="9">
        <v>43873</v>
      </c>
      <c r="B1435" s="1">
        <f t="shared" si="44"/>
        <v>43862</v>
      </c>
      <c r="C1435" s="5" t="str">
        <f t="shared" si="45"/>
        <v>2020-02</v>
      </c>
      <c r="D1435" s="3">
        <v>337.42</v>
      </c>
      <c r="E1435" s="3">
        <v>168.11</v>
      </c>
      <c r="F1435" s="3">
        <v>143.37</v>
      </c>
      <c r="G1435" s="3">
        <v>147.54</v>
      </c>
      <c r="H1435" s="3">
        <v>97.95</v>
      </c>
      <c r="I1435" s="2">
        <v>55.73</v>
      </c>
      <c r="J1435" s="2">
        <v>572.48</v>
      </c>
      <c r="K1435" s="2">
        <v>436.6</v>
      </c>
      <c r="L1435" s="3">
        <v>104.34</v>
      </c>
      <c r="M1435" s="2">
        <v>2.9</v>
      </c>
    </row>
    <row r="1436" spans="1:13">
      <c r="A1436" s="9">
        <v>43872</v>
      </c>
      <c r="B1436" s="1">
        <f t="shared" si="44"/>
        <v>43862</v>
      </c>
      <c r="C1436" s="5" t="str">
        <f t="shared" si="45"/>
        <v>2020-02</v>
      </c>
      <c r="D1436" s="3">
        <v>335.26</v>
      </c>
      <c r="E1436" s="3">
        <v>166.96</v>
      </c>
      <c r="F1436" s="3">
        <v>144.1</v>
      </c>
      <c r="G1436" s="3">
        <v>147.66</v>
      </c>
      <c r="H1436" s="3">
        <v>97.37</v>
      </c>
      <c r="I1436" s="2">
        <v>55.15</v>
      </c>
      <c r="J1436" s="2">
        <v>570.44000000000005</v>
      </c>
      <c r="K1436" s="2">
        <v>439.85</v>
      </c>
      <c r="L1436" s="3">
        <v>104.21</v>
      </c>
      <c r="M1436" s="2">
        <v>2.9</v>
      </c>
    </row>
    <row r="1437" spans="1:13">
      <c r="A1437" s="9">
        <v>43871</v>
      </c>
      <c r="B1437" s="1">
        <f t="shared" si="44"/>
        <v>43862</v>
      </c>
      <c r="C1437" s="5" t="str">
        <f t="shared" si="45"/>
        <v>2020-02</v>
      </c>
      <c r="D1437" s="3">
        <v>334.68</v>
      </c>
      <c r="E1437" s="3">
        <v>165.81</v>
      </c>
      <c r="F1437" s="3">
        <v>144.83000000000001</v>
      </c>
      <c r="G1437" s="3">
        <v>148.16999999999999</v>
      </c>
      <c r="H1437" s="3">
        <v>96.64</v>
      </c>
      <c r="I1437" s="2">
        <v>54.99</v>
      </c>
      <c r="J1437" s="2">
        <v>561.1</v>
      </c>
      <c r="K1437" s="2">
        <v>439.76</v>
      </c>
      <c r="L1437" s="3">
        <v>103.59</v>
      </c>
      <c r="M1437" s="2">
        <v>2.91</v>
      </c>
    </row>
    <row r="1438" spans="1:13">
      <c r="A1438" s="9">
        <v>43868</v>
      </c>
      <c r="B1438" s="1">
        <f t="shared" si="44"/>
        <v>43862</v>
      </c>
      <c r="C1438" s="5" t="str">
        <f t="shared" si="45"/>
        <v>2020-02</v>
      </c>
      <c r="D1438" s="3">
        <v>332.2</v>
      </c>
      <c r="E1438" s="3">
        <v>164.88</v>
      </c>
      <c r="F1438" s="3">
        <v>144.43</v>
      </c>
      <c r="G1438" s="3">
        <v>147.79</v>
      </c>
      <c r="H1438" s="3">
        <v>95.57</v>
      </c>
      <c r="I1438" s="2">
        <v>54.72</v>
      </c>
      <c r="J1438" s="2">
        <v>555.74</v>
      </c>
      <c r="K1438" s="2">
        <v>439.17</v>
      </c>
      <c r="L1438" s="3">
        <v>103.04</v>
      </c>
      <c r="M1438" s="2">
        <v>2.76</v>
      </c>
    </row>
    <row r="1439" spans="1:13">
      <c r="A1439" s="9">
        <v>43867</v>
      </c>
      <c r="B1439" s="1">
        <f t="shared" si="44"/>
        <v>43862</v>
      </c>
      <c r="C1439" s="5" t="str">
        <f t="shared" si="45"/>
        <v>2020-02</v>
      </c>
      <c r="D1439" s="3">
        <v>333.98</v>
      </c>
      <c r="E1439" s="3">
        <v>166.93</v>
      </c>
      <c r="F1439" s="3">
        <v>142.65</v>
      </c>
      <c r="G1439" s="3">
        <v>147.4</v>
      </c>
      <c r="H1439" s="3">
        <v>95.59</v>
      </c>
      <c r="I1439" s="2">
        <v>54.71</v>
      </c>
      <c r="J1439" s="2">
        <v>554.66999999999996</v>
      </c>
      <c r="K1439" s="2">
        <v>438.97</v>
      </c>
      <c r="L1439" s="3">
        <v>103.85</v>
      </c>
      <c r="M1439" s="2">
        <v>2.83</v>
      </c>
    </row>
    <row r="1440" spans="1:13">
      <c r="A1440" s="9">
        <v>43866</v>
      </c>
      <c r="B1440" s="1">
        <f t="shared" si="44"/>
        <v>43862</v>
      </c>
      <c r="C1440" s="5" t="str">
        <f t="shared" si="45"/>
        <v>2020-02</v>
      </c>
      <c r="D1440" s="3">
        <v>332.86</v>
      </c>
      <c r="E1440" s="3">
        <v>167.31</v>
      </c>
      <c r="F1440" s="3">
        <v>142.01</v>
      </c>
      <c r="G1440" s="3">
        <v>146.61000000000001</v>
      </c>
      <c r="H1440" s="3">
        <v>95.27</v>
      </c>
      <c r="I1440" s="2">
        <v>54.74</v>
      </c>
      <c r="J1440" s="2">
        <v>543.48</v>
      </c>
      <c r="K1440" s="2">
        <v>435.19</v>
      </c>
      <c r="L1440" s="3">
        <v>103.76</v>
      </c>
      <c r="M1440" s="2">
        <v>2.95</v>
      </c>
    </row>
    <row r="1441" spans="1:13">
      <c r="A1441" s="9">
        <v>43865</v>
      </c>
      <c r="B1441" s="1">
        <f t="shared" si="44"/>
        <v>43862</v>
      </c>
      <c r="C1441" s="5" t="str">
        <f t="shared" si="45"/>
        <v>2020-02</v>
      </c>
      <c r="D1441" s="3">
        <v>329.06</v>
      </c>
      <c r="E1441" s="3">
        <v>164.77</v>
      </c>
      <c r="F1441" s="3">
        <v>143.58000000000001</v>
      </c>
      <c r="G1441" s="3">
        <v>146.43</v>
      </c>
      <c r="H1441" s="3">
        <v>95.21</v>
      </c>
      <c r="I1441" s="2">
        <v>54.04</v>
      </c>
      <c r="J1441" s="2">
        <v>535.24</v>
      </c>
      <c r="K1441" s="2">
        <v>430.78</v>
      </c>
      <c r="L1441" s="3">
        <v>101.8</v>
      </c>
      <c r="M1441" s="2">
        <v>2.92</v>
      </c>
    </row>
    <row r="1442" spans="1:13">
      <c r="A1442" s="9">
        <v>43864</v>
      </c>
      <c r="B1442" s="1">
        <f t="shared" si="44"/>
        <v>43862</v>
      </c>
      <c r="C1442" s="5" t="str">
        <f t="shared" si="45"/>
        <v>2020-02</v>
      </c>
      <c r="D1442" s="3">
        <v>324.12</v>
      </c>
      <c r="E1442" s="3">
        <v>162.32</v>
      </c>
      <c r="F1442" s="3">
        <v>145.54</v>
      </c>
      <c r="G1442" s="3">
        <v>148.36000000000001</v>
      </c>
      <c r="H1442" s="3">
        <v>94.24</v>
      </c>
      <c r="I1442" s="2">
        <v>53.09</v>
      </c>
      <c r="J1442" s="2">
        <v>530.08000000000004</v>
      </c>
      <c r="K1442" s="2">
        <v>423.86</v>
      </c>
      <c r="L1442" s="3">
        <v>100.04</v>
      </c>
      <c r="M1442" s="2">
        <v>2.87</v>
      </c>
    </row>
    <row r="1443" spans="1:13">
      <c r="A1443" s="9">
        <v>43861</v>
      </c>
      <c r="B1443" s="1">
        <f t="shared" si="44"/>
        <v>43831</v>
      </c>
      <c r="C1443" s="5" t="str">
        <f t="shared" si="45"/>
        <v>2020-01</v>
      </c>
      <c r="D1443" s="3">
        <v>321.73</v>
      </c>
      <c r="E1443" s="3">
        <v>160.53</v>
      </c>
      <c r="F1443" s="3">
        <v>145.9</v>
      </c>
      <c r="G1443" s="3">
        <v>149.33000000000001</v>
      </c>
      <c r="H1443" s="3">
        <v>93.93</v>
      </c>
      <c r="I1443" s="2">
        <v>52.45</v>
      </c>
      <c r="J1443" s="2">
        <v>527.35</v>
      </c>
      <c r="K1443" s="2">
        <v>428.12</v>
      </c>
      <c r="L1443" s="3">
        <v>99.14</v>
      </c>
      <c r="M1443" s="2">
        <v>2.8</v>
      </c>
    </row>
    <row r="1444" spans="1:13">
      <c r="A1444" s="9">
        <v>43860</v>
      </c>
      <c r="B1444" s="1">
        <f t="shared" si="44"/>
        <v>43831</v>
      </c>
      <c r="C1444" s="5" t="str">
        <f t="shared" si="45"/>
        <v>2020-01</v>
      </c>
      <c r="D1444" s="3">
        <v>327.68</v>
      </c>
      <c r="E1444" s="3">
        <v>163.93</v>
      </c>
      <c r="F1444" s="3">
        <v>144.58000000000001</v>
      </c>
      <c r="G1444" s="3">
        <v>148.47</v>
      </c>
      <c r="H1444" s="3">
        <v>95.09</v>
      </c>
      <c r="I1444" s="2">
        <v>53.31</v>
      </c>
      <c r="J1444" s="2">
        <v>539.69000000000005</v>
      </c>
      <c r="K1444" s="2">
        <v>435.9</v>
      </c>
      <c r="L1444" s="3">
        <v>101.16</v>
      </c>
      <c r="M1444" s="2">
        <v>2.88</v>
      </c>
    </row>
    <row r="1445" spans="1:13">
      <c r="A1445" s="9">
        <v>43859</v>
      </c>
      <c r="B1445" s="1">
        <f t="shared" si="44"/>
        <v>43831</v>
      </c>
      <c r="C1445" s="5" t="str">
        <f t="shared" si="45"/>
        <v>2020-01</v>
      </c>
      <c r="D1445" s="3">
        <v>326.62</v>
      </c>
      <c r="E1445" s="3">
        <v>163.93</v>
      </c>
      <c r="F1445" s="3">
        <v>144.56</v>
      </c>
      <c r="G1445" s="3">
        <v>148.46</v>
      </c>
      <c r="H1445" s="3">
        <v>95.02</v>
      </c>
      <c r="I1445" s="2">
        <v>53.2</v>
      </c>
      <c r="J1445" s="2">
        <v>536.49</v>
      </c>
      <c r="K1445" s="2">
        <v>433.84</v>
      </c>
      <c r="L1445" s="3">
        <v>101.9</v>
      </c>
      <c r="M1445" s="2">
        <v>2.88</v>
      </c>
    </row>
    <row r="1446" spans="1:13">
      <c r="A1446" s="9">
        <v>43858</v>
      </c>
      <c r="B1446" s="1">
        <f t="shared" si="44"/>
        <v>43831</v>
      </c>
      <c r="C1446" s="5" t="str">
        <f t="shared" si="45"/>
        <v>2020-01</v>
      </c>
      <c r="D1446" s="3">
        <v>326.89</v>
      </c>
      <c r="E1446" s="3">
        <v>164.87</v>
      </c>
      <c r="F1446" s="3">
        <v>143.16</v>
      </c>
      <c r="G1446" s="3">
        <v>147.66</v>
      </c>
      <c r="H1446" s="3">
        <v>95.37</v>
      </c>
      <c r="I1446" s="2">
        <v>53.46</v>
      </c>
      <c r="J1446" s="2">
        <v>529.97</v>
      </c>
      <c r="K1446" s="2">
        <v>437.17</v>
      </c>
      <c r="L1446" s="3">
        <v>102.18</v>
      </c>
      <c r="M1446" s="2">
        <v>2.88</v>
      </c>
    </row>
    <row r="1447" spans="1:13">
      <c r="A1447" s="9">
        <v>43857</v>
      </c>
      <c r="B1447" s="1">
        <f t="shared" si="44"/>
        <v>43831</v>
      </c>
      <c r="C1447" s="5" t="str">
        <f t="shared" si="45"/>
        <v>2020-01</v>
      </c>
      <c r="D1447" s="3">
        <v>323.5</v>
      </c>
      <c r="E1447" s="3">
        <v>163.51</v>
      </c>
      <c r="F1447" s="3">
        <v>144.29</v>
      </c>
      <c r="G1447" s="3">
        <v>148.99</v>
      </c>
      <c r="H1447" s="3">
        <v>94.99</v>
      </c>
      <c r="I1447" s="2">
        <v>52.69</v>
      </c>
      <c r="J1447" s="2">
        <v>523.80999999999995</v>
      </c>
      <c r="K1447" s="2">
        <v>432.38</v>
      </c>
      <c r="L1447" s="3">
        <v>101.68</v>
      </c>
      <c r="M1447" s="2">
        <v>2.87</v>
      </c>
    </row>
    <row r="1448" spans="1:13">
      <c r="A1448" s="9">
        <v>43854</v>
      </c>
      <c r="B1448" s="1">
        <f t="shared" si="44"/>
        <v>43831</v>
      </c>
      <c r="C1448" s="5" t="str">
        <f t="shared" si="45"/>
        <v>2020-01</v>
      </c>
      <c r="D1448" s="3">
        <v>328.77</v>
      </c>
      <c r="E1448" s="3">
        <v>165.39</v>
      </c>
      <c r="F1448" s="3">
        <v>142.08000000000001</v>
      </c>
      <c r="G1448" s="3">
        <v>147.97999999999999</v>
      </c>
      <c r="H1448" s="3">
        <v>95.45</v>
      </c>
      <c r="I1448" s="2">
        <v>54.07</v>
      </c>
      <c r="J1448" s="2">
        <v>536.84</v>
      </c>
      <c r="K1448" s="2">
        <v>432.5</v>
      </c>
      <c r="L1448" s="3">
        <v>102.46</v>
      </c>
      <c r="M1448" s="2">
        <v>2.89</v>
      </c>
    </row>
    <row r="1449" spans="1:13">
      <c r="A1449" s="9">
        <v>43853</v>
      </c>
      <c r="B1449" s="1">
        <f t="shared" si="44"/>
        <v>43831</v>
      </c>
      <c r="C1449" s="5" t="str">
        <f t="shared" si="45"/>
        <v>2020-01</v>
      </c>
      <c r="D1449" s="3">
        <v>331.72</v>
      </c>
      <c r="E1449" s="3">
        <v>167.45</v>
      </c>
      <c r="F1449" s="3">
        <v>140.94</v>
      </c>
      <c r="G1449" s="3">
        <v>147.12</v>
      </c>
      <c r="H1449" s="3">
        <v>95.78</v>
      </c>
      <c r="I1449" s="2">
        <v>54.98</v>
      </c>
      <c r="J1449" s="2">
        <v>541.94000000000005</v>
      </c>
      <c r="K1449" s="2">
        <v>428.78</v>
      </c>
      <c r="L1449" s="3">
        <v>104.2</v>
      </c>
      <c r="M1449" s="2">
        <v>2.88</v>
      </c>
    </row>
    <row r="1450" spans="1:13">
      <c r="A1450" s="9">
        <v>43852</v>
      </c>
      <c r="B1450" s="1">
        <f t="shared" si="44"/>
        <v>43831</v>
      </c>
      <c r="C1450" s="5" t="str">
        <f t="shared" si="45"/>
        <v>2020-01</v>
      </c>
      <c r="D1450" s="3">
        <v>331.34</v>
      </c>
      <c r="E1450" s="3">
        <v>167.56</v>
      </c>
      <c r="F1450" s="3">
        <v>139.96</v>
      </c>
      <c r="G1450" s="3">
        <v>146.79</v>
      </c>
      <c r="H1450" s="3">
        <v>94.98</v>
      </c>
      <c r="I1450" s="2">
        <v>54.72</v>
      </c>
      <c r="J1450" s="2">
        <v>536.86</v>
      </c>
      <c r="K1450" s="2">
        <v>424.42</v>
      </c>
      <c r="L1450" s="3">
        <v>104.73</v>
      </c>
      <c r="M1450" s="2">
        <v>2.91</v>
      </c>
    </row>
    <row r="1451" spans="1:13">
      <c r="A1451" s="9">
        <v>43851</v>
      </c>
      <c r="B1451" s="1">
        <f t="shared" si="44"/>
        <v>43831</v>
      </c>
      <c r="C1451" s="5" t="str">
        <f t="shared" si="45"/>
        <v>2020-01</v>
      </c>
      <c r="D1451" s="3">
        <v>331.3</v>
      </c>
      <c r="E1451" s="3">
        <v>167.67</v>
      </c>
      <c r="F1451" s="3">
        <v>139.47</v>
      </c>
      <c r="G1451" s="3">
        <v>146.74</v>
      </c>
      <c r="H1451" s="3">
        <v>95.62</v>
      </c>
      <c r="I1451" s="2">
        <v>55.22</v>
      </c>
      <c r="J1451" s="2">
        <v>529.14</v>
      </c>
      <c r="K1451" s="2">
        <v>426.15</v>
      </c>
      <c r="L1451" s="3">
        <v>104.6</v>
      </c>
      <c r="M1451" s="2">
        <v>2.86</v>
      </c>
    </row>
    <row r="1452" spans="1:13">
      <c r="A1452" s="9">
        <v>43847</v>
      </c>
      <c r="B1452" s="1">
        <f t="shared" si="44"/>
        <v>43831</v>
      </c>
      <c r="C1452" s="5" t="str">
        <f t="shared" si="45"/>
        <v>2020-01</v>
      </c>
      <c r="D1452" s="3">
        <v>331.95</v>
      </c>
      <c r="E1452" s="3">
        <v>169.07</v>
      </c>
      <c r="F1452" s="3">
        <v>138.02000000000001</v>
      </c>
      <c r="G1452" s="3">
        <v>146.58000000000001</v>
      </c>
      <c r="H1452" s="3">
        <v>94.72</v>
      </c>
      <c r="I1452" s="2">
        <v>55.13</v>
      </c>
      <c r="J1452" s="2">
        <v>535.24</v>
      </c>
      <c r="K1452" s="2">
        <v>425.66</v>
      </c>
      <c r="L1452" s="3">
        <v>104.49</v>
      </c>
      <c r="M1452" s="2">
        <v>2.87</v>
      </c>
    </row>
    <row r="1453" spans="1:13">
      <c r="A1453" s="9">
        <v>43846</v>
      </c>
      <c r="B1453" s="1">
        <f t="shared" si="44"/>
        <v>43831</v>
      </c>
      <c r="C1453" s="5" t="str">
        <f t="shared" si="45"/>
        <v>2020-01</v>
      </c>
      <c r="D1453" s="3">
        <v>330.92</v>
      </c>
      <c r="E1453" s="3">
        <v>169.53</v>
      </c>
      <c r="F1453" s="3">
        <v>139.21</v>
      </c>
      <c r="G1453" s="3">
        <v>146.31</v>
      </c>
      <c r="H1453" s="3">
        <v>94.63</v>
      </c>
      <c r="I1453" s="2">
        <v>55.43</v>
      </c>
      <c r="J1453" s="2">
        <v>535</v>
      </c>
      <c r="K1453" s="2">
        <v>425.7</v>
      </c>
      <c r="L1453" s="3">
        <v>104.49</v>
      </c>
      <c r="M1453" s="2">
        <v>2.86</v>
      </c>
    </row>
    <row r="1454" spans="1:13">
      <c r="A1454" s="9">
        <v>43845</v>
      </c>
      <c r="B1454" s="1">
        <f t="shared" si="44"/>
        <v>43831</v>
      </c>
      <c r="C1454" s="5" t="str">
        <f t="shared" si="45"/>
        <v>2020-01</v>
      </c>
      <c r="D1454" s="3">
        <v>328.19</v>
      </c>
      <c r="E1454" s="3">
        <v>167.37</v>
      </c>
      <c r="F1454" s="3">
        <v>139.65</v>
      </c>
      <c r="G1454" s="3">
        <v>146.54</v>
      </c>
      <c r="H1454" s="3">
        <v>93.88</v>
      </c>
      <c r="I1454" s="2">
        <v>54.76</v>
      </c>
      <c r="J1454" s="2">
        <v>530.26</v>
      </c>
      <c r="K1454" s="2">
        <v>420.95</v>
      </c>
      <c r="L1454" s="3">
        <v>103.95</v>
      </c>
      <c r="M1454" s="2">
        <v>2.77</v>
      </c>
    </row>
    <row r="1455" spans="1:13">
      <c r="A1455" s="9">
        <v>43844</v>
      </c>
      <c r="B1455" s="1">
        <f t="shared" si="44"/>
        <v>43831</v>
      </c>
      <c r="C1455" s="5" t="str">
        <f t="shared" si="45"/>
        <v>2020-01</v>
      </c>
      <c r="D1455" s="3">
        <v>327.45</v>
      </c>
      <c r="E1455" s="3">
        <v>166.57</v>
      </c>
      <c r="F1455" s="3">
        <v>138.72999999999999</v>
      </c>
      <c r="G1455" s="3">
        <v>145.69</v>
      </c>
      <c r="H1455" s="3">
        <v>93.04</v>
      </c>
      <c r="I1455" s="2">
        <v>54.88</v>
      </c>
      <c r="J1455" s="2">
        <v>518.32000000000005</v>
      </c>
      <c r="K1455" s="2">
        <v>416.14</v>
      </c>
      <c r="L1455" s="3">
        <v>103.06</v>
      </c>
      <c r="M1455" s="2">
        <v>2.7</v>
      </c>
    </row>
    <row r="1456" spans="1:13">
      <c r="A1456" s="9">
        <v>43843</v>
      </c>
      <c r="B1456" s="1">
        <f t="shared" si="44"/>
        <v>43831</v>
      </c>
      <c r="C1456" s="5" t="str">
        <f t="shared" si="45"/>
        <v>2020-01</v>
      </c>
      <c r="D1456" s="3">
        <v>327.95</v>
      </c>
      <c r="E1456" s="3">
        <v>165.96</v>
      </c>
      <c r="F1456" s="3">
        <v>138.02000000000001</v>
      </c>
      <c r="G1456" s="3">
        <v>145.82</v>
      </c>
      <c r="H1456" s="3">
        <v>93.39</v>
      </c>
      <c r="I1456" s="2">
        <v>54.58</v>
      </c>
      <c r="J1456" s="2">
        <v>523.11</v>
      </c>
      <c r="K1456" s="2">
        <v>419.02</v>
      </c>
      <c r="L1456" s="3">
        <v>102.44</v>
      </c>
      <c r="M1456" s="2">
        <v>2.85</v>
      </c>
    </row>
    <row r="1457" spans="1:13">
      <c r="A1457" s="9">
        <v>43840</v>
      </c>
      <c r="B1457" s="1">
        <f t="shared" si="44"/>
        <v>43831</v>
      </c>
      <c r="C1457" s="5" t="str">
        <f t="shared" si="45"/>
        <v>2020-01</v>
      </c>
      <c r="D1457" s="3">
        <v>325.70999999999998</v>
      </c>
      <c r="E1457" s="3">
        <v>164.89</v>
      </c>
      <c r="F1457" s="3">
        <v>138.44</v>
      </c>
      <c r="G1457" s="3">
        <v>146.91</v>
      </c>
      <c r="H1457" s="3">
        <v>92.28</v>
      </c>
      <c r="I1457" s="2">
        <v>54.45</v>
      </c>
      <c r="J1457" s="2">
        <v>512.17999999999995</v>
      </c>
      <c r="K1457" s="2">
        <v>413.83</v>
      </c>
      <c r="L1457" s="3">
        <v>102.8</v>
      </c>
      <c r="M1457" s="2">
        <v>2.61</v>
      </c>
    </row>
    <row r="1458" spans="1:13">
      <c r="A1458" s="9">
        <v>43839</v>
      </c>
      <c r="B1458" s="1">
        <f t="shared" si="44"/>
        <v>43831</v>
      </c>
      <c r="C1458" s="5" t="str">
        <f t="shared" si="45"/>
        <v>2020-01</v>
      </c>
      <c r="D1458" s="3">
        <v>326.64999999999998</v>
      </c>
      <c r="E1458" s="3">
        <v>165.51</v>
      </c>
      <c r="F1458" s="3">
        <v>137.22</v>
      </c>
      <c r="G1458" s="3">
        <v>146.03</v>
      </c>
      <c r="H1458" s="3">
        <v>91.58</v>
      </c>
      <c r="I1458" s="2">
        <v>54.38</v>
      </c>
      <c r="J1458" s="2">
        <v>513.1</v>
      </c>
      <c r="K1458" s="2">
        <v>414.93</v>
      </c>
      <c r="L1458" s="3">
        <v>102.77</v>
      </c>
      <c r="M1458" s="2">
        <v>2.3199999999999998</v>
      </c>
    </row>
    <row r="1459" spans="1:13">
      <c r="A1459" s="9">
        <v>43838</v>
      </c>
      <c r="B1459" s="1">
        <f t="shared" si="44"/>
        <v>43831</v>
      </c>
      <c r="C1459" s="5" t="str">
        <f t="shared" si="45"/>
        <v>2020-01</v>
      </c>
      <c r="D1459" s="3">
        <v>324.45</v>
      </c>
      <c r="E1459" s="3">
        <v>165.31</v>
      </c>
      <c r="F1459" s="3">
        <v>136.74</v>
      </c>
      <c r="G1459" s="3">
        <v>146.86000000000001</v>
      </c>
      <c r="H1459" s="3">
        <v>91.63</v>
      </c>
      <c r="I1459" s="2">
        <v>54.13</v>
      </c>
      <c r="J1459" s="2">
        <v>507.1</v>
      </c>
      <c r="K1459" s="2">
        <v>411.03</v>
      </c>
      <c r="L1459" s="3">
        <v>102.33</v>
      </c>
      <c r="M1459" s="2">
        <v>2.31</v>
      </c>
    </row>
    <row r="1460" spans="1:13">
      <c r="A1460" s="9">
        <v>43837</v>
      </c>
      <c r="B1460" s="1">
        <f t="shared" si="44"/>
        <v>43831</v>
      </c>
      <c r="C1460" s="5" t="str">
        <f t="shared" si="45"/>
        <v>2020-01</v>
      </c>
      <c r="D1460" s="3">
        <v>322.73</v>
      </c>
      <c r="E1460" s="3">
        <v>164.8</v>
      </c>
      <c r="F1460" s="3">
        <v>137.64500000000001</v>
      </c>
      <c r="G1460" s="3">
        <v>147.97</v>
      </c>
      <c r="H1460" s="3">
        <v>91.35</v>
      </c>
      <c r="I1460" s="2">
        <v>54.16</v>
      </c>
      <c r="J1460" s="2">
        <v>507.22</v>
      </c>
      <c r="K1460" s="2">
        <v>414.5</v>
      </c>
      <c r="L1460" s="3">
        <v>101.67</v>
      </c>
      <c r="M1460" s="2">
        <v>2.31</v>
      </c>
    </row>
    <row r="1461" spans="1:13">
      <c r="A1461" s="9">
        <v>43836</v>
      </c>
      <c r="B1461" s="1">
        <f t="shared" si="44"/>
        <v>43831</v>
      </c>
      <c r="C1461" s="5" t="str">
        <f t="shared" si="45"/>
        <v>2020-01</v>
      </c>
      <c r="D1461" s="3">
        <v>323.64</v>
      </c>
      <c r="E1461" s="3">
        <v>165.35</v>
      </c>
      <c r="F1461" s="3">
        <v>138.33000000000001</v>
      </c>
      <c r="G1461" s="3">
        <v>147.38999999999999</v>
      </c>
      <c r="H1461" s="3">
        <v>92.38</v>
      </c>
      <c r="I1461" s="2">
        <v>54.04</v>
      </c>
      <c r="J1461" s="2">
        <v>504</v>
      </c>
      <c r="K1461" s="2">
        <v>413.11</v>
      </c>
      <c r="L1461" s="3">
        <v>101.87</v>
      </c>
      <c r="M1461" s="2">
        <v>2.33</v>
      </c>
    </row>
    <row r="1462" spans="1:13">
      <c r="A1462" s="9">
        <v>43833</v>
      </c>
      <c r="B1462" s="1">
        <f t="shared" si="44"/>
        <v>43831</v>
      </c>
      <c r="C1462" s="5" t="str">
        <f t="shared" si="45"/>
        <v>2020-01</v>
      </c>
      <c r="D1462" s="3">
        <v>322.41000000000003</v>
      </c>
      <c r="E1462" s="3">
        <v>165.13</v>
      </c>
      <c r="F1462" s="3">
        <v>139.12</v>
      </c>
      <c r="G1462" s="3">
        <v>145.86000000000001</v>
      </c>
      <c r="H1462" s="3">
        <v>92.27</v>
      </c>
      <c r="I1462" s="2">
        <v>53.76</v>
      </c>
      <c r="J1462" s="2">
        <v>503.57</v>
      </c>
      <c r="K1462" s="2">
        <v>413.74</v>
      </c>
      <c r="L1462" s="3">
        <v>101.24</v>
      </c>
      <c r="M1462" s="2">
        <v>2.34</v>
      </c>
    </row>
    <row r="1463" spans="1:13">
      <c r="A1463" s="9">
        <v>43832</v>
      </c>
      <c r="B1463" s="1">
        <f t="shared" si="44"/>
        <v>43831</v>
      </c>
      <c r="C1463" s="5" t="str">
        <f t="shared" si="45"/>
        <v>2020-01</v>
      </c>
      <c r="D1463" s="3">
        <v>324.87</v>
      </c>
      <c r="E1463" s="3">
        <v>165.78</v>
      </c>
      <c r="F1463" s="3">
        <v>137.01499999999999</v>
      </c>
      <c r="G1463" s="3">
        <v>143.94999999999999</v>
      </c>
      <c r="H1463" s="3">
        <v>91.7</v>
      </c>
      <c r="I1463" s="2">
        <v>53.95</v>
      </c>
      <c r="J1463" s="2">
        <v>508.98</v>
      </c>
      <c r="K1463" s="2">
        <v>399.37</v>
      </c>
      <c r="L1463" s="3">
        <v>102.13</v>
      </c>
      <c r="M1463" s="2">
        <v>2.36</v>
      </c>
    </row>
    <row r="1464" spans="1:13">
      <c r="A1464" s="9">
        <v>43830</v>
      </c>
      <c r="B1464" s="1">
        <f t="shared" si="44"/>
        <v>43800</v>
      </c>
      <c r="C1464" s="5" t="str">
        <f t="shared" si="45"/>
        <v>2019-12</v>
      </c>
      <c r="D1464" s="3">
        <v>321.86</v>
      </c>
      <c r="E1464" s="3">
        <v>165.67</v>
      </c>
      <c r="F1464" s="3">
        <v>135.47999999999999</v>
      </c>
      <c r="G1464" s="3">
        <v>142.9</v>
      </c>
      <c r="H1464" s="3">
        <v>92.79</v>
      </c>
      <c r="I1464" s="2">
        <v>52.98</v>
      </c>
      <c r="J1464" s="2">
        <v>502.7</v>
      </c>
      <c r="K1464" s="2">
        <v>389.38</v>
      </c>
      <c r="L1464" s="3">
        <v>101.86</v>
      </c>
      <c r="M1464" s="2">
        <v>2.4</v>
      </c>
    </row>
    <row r="1465" spans="1:13">
      <c r="A1465" s="9">
        <v>43829</v>
      </c>
      <c r="B1465" s="1">
        <f t="shared" si="44"/>
        <v>43800</v>
      </c>
      <c r="C1465" s="5" t="str">
        <f t="shared" si="45"/>
        <v>2019-12</v>
      </c>
      <c r="D1465" s="3">
        <v>321.08</v>
      </c>
      <c r="E1465" s="3">
        <v>165.44</v>
      </c>
      <c r="F1465" s="3">
        <v>136.82</v>
      </c>
      <c r="G1465" s="3">
        <v>142.63</v>
      </c>
      <c r="H1465" s="3">
        <v>92.13</v>
      </c>
      <c r="I1465" s="2">
        <v>52.7</v>
      </c>
      <c r="J1465" s="2">
        <v>500.84</v>
      </c>
      <c r="K1465" s="2">
        <v>391.9</v>
      </c>
      <c r="L1465" s="3">
        <v>101.66</v>
      </c>
      <c r="M1465" s="2">
        <v>2.4</v>
      </c>
    </row>
    <row r="1466" spans="1:13">
      <c r="A1466" s="9">
        <v>43826</v>
      </c>
      <c r="B1466" s="1">
        <f t="shared" si="44"/>
        <v>43800</v>
      </c>
      <c r="C1466" s="5" t="str">
        <f t="shared" si="45"/>
        <v>2019-12</v>
      </c>
      <c r="D1466" s="3">
        <v>322.86</v>
      </c>
      <c r="E1466" s="3">
        <v>165.86</v>
      </c>
      <c r="F1466" s="3">
        <v>137.32</v>
      </c>
      <c r="G1466" s="3">
        <v>142.33000000000001</v>
      </c>
      <c r="H1466" s="3">
        <v>92.04</v>
      </c>
      <c r="I1466" s="2">
        <v>53.46</v>
      </c>
      <c r="J1466" s="2">
        <v>503.01</v>
      </c>
      <c r="K1466" s="2">
        <v>393.6</v>
      </c>
      <c r="L1466" s="3">
        <v>102.94</v>
      </c>
      <c r="M1466" s="2">
        <v>2.41</v>
      </c>
    </row>
    <row r="1467" spans="1:13">
      <c r="A1467" s="9">
        <v>43825</v>
      </c>
      <c r="B1467" s="1">
        <f t="shared" si="44"/>
        <v>43800</v>
      </c>
      <c r="C1467" s="5" t="str">
        <f t="shared" si="45"/>
        <v>2019-12</v>
      </c>
      <c r="D1467" s="3">
        <v>322.94</v>
      </c>
      <c r="E1467" s="3">
        <v>166.68</v>
      </c>
      <c r="F1467" s="3">
        <v>137.16999999999999</v>
      </c>
      <c r="G1467" s="3">
        <v>142.38</v>
      </c>
      <c r="H1467" s="3">
        <v>91.75</v>
      </c>
      <c r="I1467" s="2">
        <v>53.57</v>
      </c>
      <c r="J1467" s="2">
        <v>503.24</v>
      </c>
      <c r="K1467" s="2">
        <v>392.3</v>
      </c>
      <c r="L1467" s="3">
        <v>102.91</v>
      </c>
      <c r="M1467" s="2">
        <v>2.38</v>
      </c>
    </row>
    <row r="1468" spans="1:13">
      <c r="A1468" s="9">
        <v>43823</v>
      </c>
      <c r="B1468" s="1">
        <f t="shared" si="44"/>
        <v>43800</v>
      </c>
      <c r="C1468" s="5" t="str">
        <f t="shared" si="45"/>
        <v>2019-12</v>
      </c>
      <c r="D1468" s="3">
        <v>321.23</v>
      </c>
      <c r="E1468" s="3">
        <v>166.68</v>
      </c>
      <c r="F1468" s="3">
        <v>136.84</v>
      </c>
      <c r="G1468" s="3">
        <v>141.27000000000001</v>
      </c>
      <c r="H1468" s="3">
        <v>91.35</v>
      </c>
      <c r="I1468" s="2">
        <v>53.44</v>
      </c>
      <c r="J1468" s="2">
        <v>499.64</v>
      </c>
      <c r="K1468" s="2">
        <v>390.17</v>
      </c>
      <c r="L1468" s="3">
        <v>102.98</v>
      </c>
      <c r="M1468" s="2">
        <v>2.39</v>
      </c>
    </row>
    <row r="1469" spans="1:13">
      <c r="A1469" s="9">
        <v>43822</v>
      </c>
      <c r="B1469" s="1">
        <f t="shared" si="44"/>
        <v>43800</v>
      </c>
      <c r="C1469" s="5" t="str">
        <f t="shared" si="45"/>
        <v>2019-12</v>
      </c>
      <c r="D1469" s="3">
        <v>321.22000000000003</v>
      </c>
      <c r="E1469" s="3">
        <v>166.3</v>
      </c>
      <c r="F1469" s="3">
        <v>136.44999999999999</v>
      </c>
      <c r="G1469" s="3">
        <v>139.94999999999999</v>
      </c>
      <c r="H1469" s="3">
        <v>91.11</v>
      </c>
      <c r="I1469" s="2">
        <v>53.71</v>
      </c>
      <c r="J1469" s="2">
        <v>499.66</v>
      </c>
      <c r="K1469" s="2">
        <v>391.9</v>
      </c>
      <c r="L1469" s="3">
        <v>103.11</v>
      </c>
      <c r="M1469" s="2">
        <v>2.42</v>
      </c>
    </row>
    <row r="1470" spans="1:13">
      <c r="A1470" s="9">
        <v>43819</v>
      </c>
      <c r="B1470" s="1">
        <f t="shared" si="44"/>
        <v>43800</v>
      </c>
      <c r="C1470" s="5" t="str">
        <f t="shared" si="45"/>
        <v>2019-12</v>
      </c>
      <c r="D1470" s="3">
        <v>320.73</v>
      </c>
      <c r="E1470" s="3">
        <v>165.97</v>
      </c>
      <c r="F1470" s="3">
        <v>136.65</v>
      </c>
      <c r="G1470" s="3">
        <v>139.52000000000001</v>
      </c>
      <c r="H1470" s="3">
        <v>91.57</v>
      </c>
      <c r="I1470" s="2">
        <v>53.6</v>
      </c>
      <c r="J1470" s="2">
        <v>499.59</v>
      </c>
      <c r="K1470" s="2">
        <v>386.47</v>
      </c>
      <c r="L1470" s="3">
        <v>102.7</v>
      </c>
      <c r="M1470" s="2">
        <v>2.4700000000000002</v>
      </c>
    </row>
    <row r="1471" spans="1:13">
      <c r="A1471" s="9">
        <v>43818</v>
      </c>
      <c r="B1471" s="1">
        <f t="shared" si="44"/>
        <v>43800</v>
      </c>
      <c r="C1471" s="5" t="str">
        <f t="shared" si="45"/>
        <v>2019-12</v>
      </c>
      <c r="D1471" s="3">
        <v>320.89999999999998</v>
      </c>
      <c r="E1471" s="3">
        <v>165.73</v>
      </c>
      <c r="F1471" s="3">
        <v>136.47</v>
      </c>
      <c r="G1471" s="3">
        <v>139.38</v>
      </c>
      <c r="H1471" s="3">
        <v>91.07</v>
      </c>
      <c r="I1471" s="2">
        <v>53.24</v>
      </c>
      <c r="J1471" s="2">
        <v>502.34</v>
      </c>
      <c r="K1471" s="2">
        <v>383.15</v>
      </c>
      <c r="L1471" s="3">
        <v>102.4</v>
      </c>
      <c r="M1471" s="2">
        <v>2.27</v>
      </c>
    </row>
    <row r="1472" spans="1:13">
      <c r="A1472" s="9">
        <v>43817</v>
      </c>
      <c r="B1472" s="1">
        <f t="shared" si="44"/>
        <v>43800</v>
      </c>
      <c r="C1472" s="5" t="str">
        <f t="shared" si="45"/>
        <v>2019-12</v>
      </c>
      <c r="D1472" s="3">
        <v>319.58999999999997</v>
      </c>
      <c r="E1472" s="3">
        <v>165.02</v>
      </c>
      <c r="F1472" s="3">
        <v>136.47</v>
      </c>
      <c r="G1472" s="3">
        <v>139.02000000000001</v>
      </c>
      <c r="H1472" s="3">
        <v>90.27</v>
      </c>
      <c r="I1472" s="2">
        <v>53.39</v>
      </c>
      <c r="J1472" s="2">
        <v>499.49</v>
      </c>
      <c r="K1472" s="2">
        <v>380.57</v>
      </c>
      <c r="L1472" s="3">
        <v>102</v>
      </c>
      <c r="M1472" s="2">
        <v>2.25</v>
      </c>
    </row>
    <row r="1473" spans="1:13">
      <c r="A1473" s="9">
        <v>43816</v>
      </c>
      <c r="B1473" s="1">
        <f t="shared" si="44"/>
        <v>43800</v>
      </c>
      <c r="C1473" s="5" t="str">
        <f t="shared" si="45"/>
        <v>2019-12</v>
      </c>
      <c r="D1473" s="3">
        <v>319.57</v>
      </c>
      <c r="E1473" s="3">
        <v>164.7</v>
      </c>
      <c r="F1473" s="3">
        <v>137.6</v>
      </c>
      <c r="G1473" s="3">
        <v>139.01</v>
      </c>
      <c r="H1473" s="3">
        <v>90.14</v>
      </c>
      <c r="I1473" s="2">
        <v>52.84</v>
      </c>
      <c r="J1473" s="2">
        <v>502.29</v>
      </c>
      <c r="K1473" s="2">
        <v>386.89</v>
      </c>
      <c r="L1473" s="3">
        <v>101.86</v>
      </c>
      <c r="M1473" s="2">
        <v>2.25</v>
      </c>
    </row>
    <row r="1474" spans="1:13">
      <c r="A1474" s="9">
        <v>43815</v>
      </c>
      <c r="B1474" s="1">
        <f t="shared" ref="B1474:B1537" si="46">EOMONTH(A1474,-1)+1</f>
        <v>43800</v>
      </c>
      <c r="C1474" s="5" t="str">
        <f t="shared" si="45"/>
        <v>2019-12</v>
      </c>
      <c r="D1474" s="3">
        <v>319.5</v>
      </c>
      <c r="E1474" s="3">
        <v>163.88</v>
      </c>
      <c r="F1474" s="3">
        <v>137.79</v>
      </c>
      <c r="G1474" s="3">
        <v>139.04</v>
      </c>
      <c r="H1474" s="3">
        <v>91</v>
      </c>
      <c r="I1474" s="2">
        <v>53.99</v>
      </c>
      <c r="J1474" s="2">
        <v>502.05</v>
      </c>
      <c r="K1474" s="2">
        <v>385.95</v>
      </c>
      <c r="L1474" s="3">
        <v>101.97</v>
      </c>
      <c r="M1474" s="2">
        <v>2.25</v>
      </c>
    </row>
    <row r="1475" spans="1:13">
      <c r="A1475" s="9">
        <v>43812</v>
      </c>
      <c r="B1475" s="1">
        <f t="shared" si="46"/>
        <v>43800</v>
      </c>
      <c r="C1475" s="5" t="str">
        <f t="shared" ref="C1475:C1538" si="47">TEXT(A1475, "yyyy-mm")</f>
        <v>2019-12</v>
      </c>
      <c r="D1475" s="3">
        <v>317.32</v>
      </c>
      <c r="E1475" s="3">
        <v>163.33000000000001</v>
      </c>
      <c r="F1475" s="3">
        <v>139.04</v>
      </c>
      <c r="G1475" s="3">
        <v>139.05000000000001</v>
      </c>
      <c r="H1475" s="3">
        <v>90.35</v>
      </c>
      <c r="I1475" s="2">
        <v>54.51</v>
      </c>
      <c r="J1475" s="2">
        <v>498.61</v>
      </c>
      <c r="K1475" s="2">
        <v>386.47</v>
      </c>
      <c r="L1475" s="3">
        <v>100.88</v>
      </c>
      <c r="M1475" s="2">
        <v>2.21</v>
      </c>
    </row>
    <row r="1476" spans="1:13">
      <c r="A1476" s="9">
        <v>43811</v>
      </c>
      <c r="B1476" s="1">
        <f t="shared" si="46"/>
        <v>43800</v>
      </c>
      <c r="C1476" s="5" t="str">
        <f t="shared" si="47"/>
        <v>2019-12</v>
      </c>
      <c r="D1476" s="3">
        <v>317.13</v>
      </c>
      <c r="E1476" s="3">
        <v>163.96</v>
      </c>
      <c r="F1476" s="3">
        <v>137.44999999999999</v>
      </c>
      <c r="G1476" s="3">
        <v>138.43</v>
      </c>
      <c r="H1476" s="3">
        <v>90.33</v>
      </c>
      <c r="I1476" s="2">
        <v>56.47</v>
      </c>
      <c r="J1476" s="2">
        <v>502.12</v>
      </c>
      <c r="K1476" s="2">
        <v>384.05</v>
      </c>
      <c r="L1476" s="3">
        <v>100.95</v>
      </c>
      <c r="M1476" s="2">
        <v>2.2000000000000002</v>
      </c>
    </row>
    <row r="1477" spans="1:13">
      <c r="A1477" s="9">
        <v>43810</v>
      </c>
      <c r="B1477" s="1">
        <f t="shared" si="46"/>
        <v>43800</v>
      </c>
      <c r="C1477" s="5" t="str">
        <f t="shared" si="47"/>
        <v>2019-12</v>
      </c>
      <c r="D1477" s="3">
        <v>314.42</v>
      </c>
      <c r="E1477" s="3">
        <v>162.56</v>
      </c>
      <c r="F1477" s="3">
        <v>139.75</v>
      </c>
      <c r="G1477" s="3">
        <v>138.91999999999999</v>
      </c>
      <c r="H1477" s="3">
        <v>91.57</v>
      </c>
      <c r="I1477" s="2">
        <v>56.31</v>
      </c>
      <c r="J1477" s="2">
        <v>493.91</v>
      </c>
      <c r="K1477" s="2">
        <v>386.24</v>
      </c>
      <c r="L1477" s="3">
        <v>100.02</v>
      </c>
      <c r="M1477" s="2">
        <v>2.17</v>
      </c>
    </row>
    <row r="1478" spans="1:13">
      <c r="A1478" s="9">
        <v>43809</v>
      </c>
      <c r="B1478" s="1">
        <f t="shared" si="46"/>
        <v>43800</v>
      </c>
      <c r="C1478" s="5" t="str">
        <f t="shared" si="47"/>
        <v>2019-12</v>
      </c>
      <c r="D1478" s="3">
        <v>313.52999999999997</v>
      </c>
      <c r="E1478" s="3">
        <v>162.61000000000001</v>
      </c>
      <c r="F1478" s="3">
        <v>138.66</v>
      </c>
      <c r="G1478" s="3">
        <v>137.97</v>
      </c>
      <c r="H1478" s="3">
        <v>92.51</v>
      </c>
      <c r="I1478" s="2">
        <v>55.82</v>
      </c>
      <c r="J1478" s="2">
        <v>494.03</v>
      </c>
      <c r="K1478" s="2">
        <v>384.44</v>
      </c>
      <c r="L1478" s="3">
        <v>99.93</v>
      </c>
      <c r="M1478" s="2">
        <v>2.2000000000000002</v>
      </c>
    </row>
    <row r="1479" spans="1:13">
      <c r="A1479" s="9">
        <v>43808</v>
      </c>
      <c r="B1479" s="1">
        <f t="shared" si="46"/>
        <v>43800</v>
      </c>
      <c r="C1479" s="5" t="str">
        <f t="shared" si="47"/>
        <v>2019-12</v>
      </c>
      <c r="D1479" s="3">
        <v>313.88</v>
      </c>
      <c r="E1479" s="3">
        <v>162.51</v>
      </c>
      <c r="F1479" s="3">
        <v>138.65</v>
      </c>
      <c r="G1479" s="3">
        <v>137.58000000000001</v>
      </c>
      <c r="H1479" s="3">
        <v>93.05</v>
      </c>
      <c r="I1479" s="2">
        <v>55.31</v>
      </c>
      <c r="J1479" s="2">
        <v>497.07</v>
      </c>
      <c r="K1479" s="2">
        <v>383.34</v>
      </c>
      <c r="L1479" s="3">
        <v>99.71</v>
      </c>
      <c r="M1479" s="2">
        <v>2.2000000000000002</v>
      </c>
    </row>
    <row r="1480" spans="1:13">
      <c r="A1480" s="9">
        <v>43805</v>
      </c>
      <c r="B1480" s="1">
        <f t="shared" si="46"/>
        <v>43800</v>
      </c>
      <c r="C1480" s="5" t="str">
        <f t="shared" si="47"/>
        <v>2019-12</v>
      </c>
      <c r="D1480" s="3">
        <v>314.87</v>
      </c>
      <c r="E1480" s="3">
        <v>162.82</v>
      </c>
      <c r="F1480" s="3">
        <v>138.35</v>
      </c>
      <c r="G1480" s="3">
        <v>137.62</v>
      </c>
      <c r="H1480" s="3">
        <v>92.87</v>
      </c>
      <c r="I1480" s="2">
        <v>54.83</v>
      </c>
      <c r="J1480" s="2">
        <v>495.76</v>
      </c>
      <c r="K1480" s="2">
        <v>386.86</v>
      </c>
      <c r="L1480" s="3">
        <v>100.41</v>
      </c>
      <c r="M1480" s="2">
        <v>2.16</v>
      </c>
    </row>
    <row r="1481" spans="1:13">
      <c r="A1481" s="9">
        <v>43804</v>
      </c>
      <c r="B1481" s="1">
        <f t="shared" si="46"/>
        <v>43800</v>
      </c>
      <c r="C1481" s="5" t="str">
        <f t="shared" si="47"/>
        <v>2019-12</v>
      </c>
      <c r="D1481" s="3">
        <v>312.02</v>
      </c>
      <c r="E1481" s="3">
        <v>160.94</v>
      </c>
      <c r="F1481" s="3">
        <v>139.12</v>
      </c>
      <c r="G1481" s="3">
        <v>139</v>
      </c>
      <c r="H1481" s="3">
        <v>92.68</v>
      </c>
      <c r="I1481" s="2">
        <v>54.68</v>
      </c>
      <c r="J1481" s="2">
        <v>490.3</v>
      </c>
      <c r="K1481" s="2">
        <v>385.94</v>
      </c>
      <c r="L1481" s="3">
        <v>99.75</v>
      </c>
      <c r="M1481" s="2">
        <v>2.15</v>
      </c>
    </row>
    <row r="1482" spans="1:13">
      <c r="A1482" s="9">
        <v>43803</v>
      </c>
      <c r="B1482" s="1">
        <f t="shared" si="46"/>
        <v>43800</v>
      </c>
      <c r="C1482" s="5" t="str">
        <f t="shared" si="47"/>
        <v>2019-12</v>
      </c>
      <c r="D1482" s="3">
        <v>311.45999999999998</v>
      </c>
      <c r="E1482" s="3">
        <v>160.78</v>
      </c>
      <c r="F1482" s="3">
        <v>139.80000000000001</v>
      </c>
      <c r="G1482" s="3">
        <v>138.91999999999999</v>
      </c>
      <c r="H1482" s="3">
        <v>92.63</v>
      </c>
      <c r="I1482" s="2">
        <v>54.41</v>
      </c>
      <c r="J1482" s="2">
        <v>486.69</v>
      </c>
      <c r="K1482" s="2">
        <v>384.58</v>
      </c>
      <c r="L1482" s="3">
        <v>99.75</v>
      </c>
      <c r="M1482" s="2">
        <v>2.16</v>
      </c>
    </row>
    <row r="1483" spans="1:13">
      <c r="A1483" s="9">
        <v>43802</v>
      </c>
      <c r="B1483" s="1">
        <f t="shared" si="46"/>
        <v>43800</v>
      </c>
      <c r="C1483" s="5" t="str">
        <f t="shared" si="47"/>
        <v>2019-12</v>
      </c>
      <c r="D1483" s="3">
        <v>309.55</v>
      </c>
      <c r="E1483" s="3">
        <v>159.68</v>
      </c>
      <c r="F1483" s="3">
        <v>141.21</v>
      </c>
      <c r="G1483" s="3">
        <v>139.11000000000001</v>
      </c>
      <c r="H1483" s="3">
        <v>92.25</v>
      </c>
      <c r="I1483" s="2">
        <v>54.59</v>
      </c>
      <c r="J1483" s="2">
        <v>485.76</v>
      </c>
      <c r="K1483" s="2">
        <v>381.62</v>
      </c>
      <c r="L1483" s="3">
        <v>98.83</v>
      </c>
      <c r="M1483" s="2">
        <v>2.16</v>
      </c>
    </row>
    <row r="1484" spans="1:13">
      <c r="A1484" s="9">
        <v>43801</v>
      </c>
      <c r="B1484" s="1">
        <f t="shared" si="46"/>
        <v>43800</v>
      </c>
      <c r="C1484" s="5" t="str">
        <f t="shared" si="47"/>
        <v>2019-12</v>
      </c>
      <c r="D1484" s="3">
        <v>311.64</v>
      </c>
      <c r="E1484" s="3">
        <v>160.19</v>
      </c>
      <c r="F1484" s="3">
        <v>138.31</v>
      </c>
      <c r="G1484" s="3">
        <v>137.79</v>
      </c>
      <c r="H1484" s="3">
        <v>91.66</v>
      </c>
      <c r="I1484" s="2">
        <v>55.43</v>
      </c>
      <c r="J1484" s="2">
        <v>489.7</v>
      </c>
      <c r="K1484" s="2">
        <v>383.62</v>
      </c>
      <c r="L1484" s="3">
        <v>99.05</v>
      </c>
      <c r="M1484" s="2">
        <v>2.15</v>
      </c>
    </row>
    <row r="1485" spans="1:13">
      <c r="A1485" s="9">
        <v>43798</v>
      </c>
      <c r="B1485" s="1">
        <f t="shared" si="46"/>
        <v>43770</v>
      </c>
      <c r="C1485" s="5" t="str">
        <f t="shared" si="47"/>
        <v>2019-11</v>
      </c>
      <c r="D1485" s="3">
        <v>314.31</v>
      </c>
      <c r="E1485" s="3">
        <v>161.77000000000001</v>
      </c>
      <c r="F1485" s="3">
        <v>140.41999999999999</v>
      </c>
      <c r="G1485" s="3">
        <v>137.86000000000001</v>
      </c>
      <c r="H1485" s="3">
        <v>93.07</v>
      </c>
      <c r="I1485" s="2">
        <v>56.14</v>
      </c>
      <c r="J1485" s="2">
        <v>494.91</v>
      </c>
      <c r="K1485" s="2">
        <v>391.03</v>
      </c>
      <c r="L1485" s="3">
        <v>99.49</v>
      </c>
      <c r="M1485" s="2">
        <v>2.13</v>
      </c>
    </row>
    <row r="1486" spans="1:13">
      <c r="A1486" s="9">
        <v>43796</v>
      </c>
      <c r="B1486" s="1">
        <f t="shared" si="46"/>
        <v>43770</v>
      </c>
      <c r="C1486" s="5" t="str">
        <f t="shared" si="47"/>
        <v>2019-11</v>
      </c>
      <c r="D1486" s="3">
        <v>315.48</v>
      </c>
      <c r="E1486" s="3">
        <v>162.83000000000001</v>
      </c>
      <c r="F1486" s="3">
        <v>140.72</v>
      </c>
      <c r="G1486" s="3">
        <v>137.01</v>
      </c>
      <c r="H1486" s="3">
        <v>93.5</v>
      </c>
      <c r="I1486" s="2">
        <v>56.61</v>
      </c>
      <c r="J1486" s="2">
        <v>494.21</v>
      </c>
      <c r="K1486" s="2">
        <v>394.24</v>
      </c>
      <c r="L1486" s="3">
        <v>99.84</v>
      </c>
      <c r="M1486" s="2">
        <v>2.15</v>
      </c>
    </row>
    <row r="1487" spans="1:13">
      <c r="A1487" s="9">
        <v>43795</v>
      </c>
      <c r="B1487" s="1">
        <f t="shared" si="46"/>
        <v>43770</v>
      </c>
      <c r="C1487" s="5" t="str">
        <f t="shared" si="47"/>
        <v>2019-11</v>
      </c>
      <c r="D1487" s="3">
        <v>314.08</v>
      </c>
      <c r="E1487" s="3">
        <v>161.69</v>
      </c>
      <c r="F1487" s="3">
        <v>141.13</v>
      </c>
      <c r="G1487" s="3">
        <v>137.74</v>
      </c>
      <c r="H1487" s="3">
        <v>93.06</v>
      </c>
      <c r="I1487" s="2">
        <v>56.51</v>
      </c>
      <c r="J1487" s="2">
        <v>490.89</v>
      </c>
      <c r="K1487" s="2">
        <v>392.5</v>
      </c>
      <c r="L1487" s="3">
        <v>99.33</v>
      </c>
      <c r="M1487" s="2">
        <v>2.15</v>
      </c>
    </row>
    <row r="1488" spans="1:13">
      <c r="A1488" s="9">
        <v>43794</v>
      </c>
      <c r="B1488" s="1">
        <f t="shared" si="46"/>
        <v>43770</v>
      </c>
      <c r="C1488" s="5" t="str">
        <f t="shared" si="47"/>
        <v>2019-11</v>
      </c>
      <c r="D1488" s="3">
        <v>313.37</v>
      </c>
      <c r="E1488" s="3">
        <v>161.58000000000001</v>
      </c>
      <c r="F1488" s="3">
        <v>140.31</v>
      </c>
      <c r="G1488" s="3">
        <v>137.08000000000001</v>
      </c>
      <c r="H1488" s="3">
        <v>91.84</v>
      </c>
      <c r="I1488" s="2">
        <v>56.56</v>
      </c>
      <c r="J1488" s="2">
        <v>491.86</v>
      </c>
      <c r="K1488" s="2">
        <v>389.98</v>
      </c>
      <c r="L1488" s="3">
        <v>99.41</v>
      </c>
      <c r="M1488" s="2">
        <v>2.13</v>
      </c>
    </row>
    <row r="1489" spans="1:13">
      <c r="A1489" s="9">
        <v>43791</v>
      </c>
      <c r="B1489" s="1">
        <f t="shared" si="46"/>
        <v>43770</v>
      </c>
      <c r="C1489" s="5" t="str">
        <f t="shared" si="47"/>
        <v>2019-11</v>
      </c>
      <c r="D1489" s="3">
        <v>310.95999999999998</v>
      </c>
      <c r="E1489" s="3">
        <v>158.22</v>
      </c>
      <c r="F1489" s="3">
        <v>139.9</v>
      </c>
      <c r="G1489" s="3">
        <v>137.74</v>
      </c>
      <c r="H1489" s="3">
        <v>91.55</v>
      </c>
      <c r="I1489" s="2">
        <v>56.39</v>
      </c>
      <c r="J1489" s="2">
        <v>485</v>
      </c>
      <c r="K1489" s="2">
        <v>390.74</v>
      </c>
      <c r="L1489" s="3">
        <v>98.26</v>
      </c>
      <c r="M1489" s="2">
        <v>2.1</v>
      </c>
    </row>
    <row r="1490" spans="1:13">
      <c r="A1490" s="9">
        <v>43790</v>
      </c>
      <c r="B1490" s="1">
        <f t="shared" si="46"/>
        <v>43770</v>
      </c>
      <c r="C1490" s="5" t="str">
        <f t="shared" si="47"/>
        <v>2019-11</v>
      </c>
      <c r="D1490" s="3">
        <v>310.27</v>
      </c>
      <c r="E1490" s="3">
        <v>157.72999999999999</v>
      </c>
      <c r="F1490" s="3">
        <v>139.72</v>
      </c>
      <c r="G1490" s="3">
        <v>138</v>
      </c>
      <c r="H1490" s="3">
        <v>91.89</v>
      </c>
      <c r="I1490" s="2">
        <v>56.23</v>
      </c>
      <c r="J1490" s="2">
        <v>484.98</v>
      </c>
      <c r="K1490" s="2">
        <v>390.26</v>
      </c>
      <c r="L1490" s="3">
        <v>97.91</v>
      </c>
      <c r="M1490" s="2">
        <v>2.1</v>
      </c>
    </row>
    <row r="1491" spans="1:13">
      <c r="A1491" s="9">
        <v>43789</v>
      </c>
      <c r="B1491" s="1">
        <f t="shared" si="46"/>
        <v>43770</v>
      </c>
      <c r="C1491" s="5" t="str">
        <f t="shared" si="47"/>
        <v>2019-11</v>
      </c>
      <c r="D1491" s="3">
        <v>310.77</v>
      </c>
      <c r="E1491" s="3">
        <v>158.51</v>
      </c>
      <c r="F1491" s="3">
        <v>140.6</v>
      </c>
      <c r="G1491" s="3">
        <v>138.76</v>
      </c>
      <c r="H1491" s="3">
        <v>93.2</v>
      </c>
      <c r="I1491" s="2">
        <v>56.24</v>
      </c>
      <c r="J1491" s="2">
        <v>488.81</v>
      </c>
      <c r="K1491" s="2">
        <v>392.7</v>
      </c>
      <c r="L1491" s="3">
        <v>97.66</v>
      </c>
      <c r="M1491" s="2">
        <v>2.11</v>
      </c>
    </row>
    <row r="1492" spans="1:13">
      <c r="A1492" s="9">
        <v>43788</v>
      </c>
      <c r="B1492" s="1">
        <f t="shared" si="46"/>
        <v>43770</v>
      </c>
      <c r="C1492" s="5" t="str">
        <f t="shared" si="47"/>
        <v>2019-11</v>
      </c>
      <c r="D1492" s="3">
        <v>311.93</v>
      </c>
      <c r="E1492" s="3">
        <v>159.11000000000001</v>
      </c>
      <c r="F1492" s="3">
        <v>139.16</v>
      </c>
      <c r="G1492" s="3">
        <v>138.69</v>
      </c>
      <c r="H1492" s="3">
        <v>93.25</v>
      </c>
      <c r="I1492" s="2">
        <v>56.27</v>
      </c>
      <c r="J1492" s="2">
        <v>492.8</v>
      </c>
      <c r="K1492" s="2">
        <v>390.81</v>
      </c>
      <c r="L1492" s="3">
        <v>97.79</v>
      </c>
      <c r="M1492" s="2">
        <v>2.15</v>
      </c>
    </row>
    <row r="1493" spans="1:13">
      <c r="A1493" s="9">
        <v>43787</v>
      </c>
      <c r="B1493" s="1">
        <f t="shared" si="46"/>
        <v>43770</v>
      </c>
      <c r="C1493" s="5" t="str">
        <f t="shared" si="47"/>
        <v>2019-11</v>
      </c>
      <c r="D1493" s="3">
        <v>312.02</v>
      </c>
      <c r="E1493" s="3">
        <v>158.52000000000001</v>
      </c>
      <c r="F1493" s="3">
        <v>138.01</v>
      </c>
      <c r="G1493" s="3">
        <v>138.62</v>
      </c>
      <c r="H1493" s="3">
        <v>93.09</v>
      </c>
      <c r="I1493" s="2">
        <v>56.19</v>
      </c>
      <c r="J1493" s="2">
        <v>491.74</v>
      </c>
      <c r="K1493" s="2">
        <v>392.76</v>
      </c>
      <c r="L1493" s="3">
        <v>97.13</v>
      </c>
      <c r="M1493" s="2">
        <v>2.19</v>
      </c>
    </row>
    <row r="1494" spans="1:13">
      <c r="A1494" s="9">
        <v>43784</v>
      </c>
      <c r="B1494" s="1">
        <f t="shared" si="46"/>
        <v>43770</v>
      </c>
      <c r="C1494" s="5" t="str">
        <f t="shared" si="47"/>
        <v>2019-11</v>
      </c>
      <c r="D1494" s="3">
        <v>311.79000000000002</v>
      </c>
      <c r="E1494" s="3">
        <v>158.91999999999999</v>
      </c>
      <c r="F1494" s="3">
        <v>137.76</v>
      </c>
      <c r="G1494" s="3">
        <v>138.21</v>
      </c>
      <c r="H1494" s="3">
        <v>92.64</v>
      </c>
      <c r="I1494" s="2">
        <v>56.42</v>
      </c>
      <c r="J1494" s="2">
        <v>490.96</v>
      </c>
      <c r="K1494" s="2">
        <v>393.55</v>
      </c>
      <c r="L1494" s="3">
        <v>97.46</v>
      </c>
      <c r="M1494" s="2">
        <v>2.2200000000000002</v>
      </c>
    </row>
    <row r="1495" spans="1:13">
      <c r="A1495" s="9">
        <v>43783</v>
      </c>
      <c r="B1495" s="1">
        <f t="shared" si="46"/>
        <v>43770</v>
      </c>
      <c r="C1495" s="5" t="str">
        <f t="shared" si="47"/>
        <v>2019-11</v>
      </c>
      <c r="D1495" s="3">
        <v>309.55</v>
      </c>
      <c r="E1495" s="3">
        <v>158.1</v>
      </c>
      <c r="F1495" s="3">
        <v>137.91</v>
      </c>
      <c r="G1495" s="3">
        <v>138.56</v>
      </c>
      <c r="H1495" s="3">
        <v>92.14</v>
      </c>
      <c r="I1495" s="2">
        <v>56.09</v>
      </c>
      <c r="J1495" s="2">
        <v>484.59</v>
      </c>
      <c r="K1495" s="2">
        <v>390.16</v>
      </c>
      <c r="L1495" s="3">
        <v>95.43</v>
      </c>
      <c r="M1495" s="2">
        <v>2.16</v>
      </c>
    </row>
    <row r="1496" spans="1:13">
      <c r="A1496" s="9">
        <v>43782</v>
      </c>
      <c r="B1496" s="1">
        <f t="shared" si="46"/>
        <v>43770</v>
      </c>
      <c r="C1496" s="5" t="str">
        <f t="shared" si="47"/>
        <v>2019-11</v>
      </c>
      <c r="D1496" s="3">
        <v>309.10000000000002</v>
      </c>
      <c r="E1496" s="3">
        <v>158.15</v>
      </c>
      <c r="F1496" s="3">
        <v>136.5</v>
      </c>
      <c r="G1496" s="3">
        <v>137.97999999999999</v>
      </c>
      <c r="H1496" s="3">
        <v>91.43</v>
      </c>
      <c r="I1496" s="2">
        <v>56.21</v>
      </c>
      <c r="J1496" s="2">
        <v>485.57</v>
      </c>
      <c r="K1496" s="2">
        <v>387.69</v>
      </c>
      <c r="L1496" s="3">
        <v>95.42</v>
      </c>
      <c r="M1496" s="2">
        <v>2.15</v>
      </c>
    </row>
    <row r="1497" spans="1:13">
      <c r="A1497" s="9">
        <v>43781</v>
      </c>
      <c r="B1497" s="1">
        <f t="shared" si="46"/>
        <v>43770</v>
      </c>
      <c r="C1497" s="5" t="str">
        <f t="shared" si="47"/>
        <v>2019-11</v>
      </c>
      <c r="D1497" s="3">
        <v>309</v>
      </c>
      <c r="E1497" s="3">
        <v>158.83000000000001</v>
      </c>
      <c r="F1497" s="3">
        <v>135.62</v>
      </c>
      <c r="G1497" s="3">
        <v>137.43</v>
      </c>
      <c r="H1497" s="3">
        <v>90.6</v>
      </c>
      <c r="I1497" s="2">
        <v>56.59</v>
      </c>
      <c r="J1497" s="2">
        <v>486.79</v>
      </c>
      <c r="K1497" s="2">
        <v>386.3</v>
      </c>
      <c r="L1497" s="3">
        <v>95.31</v>
      </c>
      <c r="M1497" s="2">
        <v>2.15</v>
      </c>
    </row>
    <row r="1498" spans="1:13">
      <c r="A1498" s="9">
        <v>43780</v>
      </c>
      <c r="B1498" s="1">
        <f t="shared" si="46"/>
        <v>43770</v>
      </c>
      <c r="C1498" s="5" t="str">
        <f t="shared" si="47"/>
        <v>2019-11</v>
      </c>
      <c r="D1498" s="3">
        <v>308.35000000000002</v>
      </c>
      <c r="E1498" s="3">
        <v>158.78</v>
      </c>
      <c r="F1498" s="3">
        <v>135</v>
      </c>
      <c r="G1498" s="3">
        <v>137.06</v>
      </c>
      <c r="H1498" s="3">
        <v>91.29</v>
      </c>
      <c r="I1498" s="2">
        <v>56.43</v>
      </c>
      <c r="J1498" s="2">
        <v>486.79</v>
      </c>
      <c r="K1498" s="2">
        <v>381.38</v>
      </c>
      <c r="L1498" s="3">
        <v>94.74</v>
      </c>
      <c r="M1498" s="2">
        <v>2.14</v>
      </c>
    </row>
    <row r="1499" spans="1:13">
      <c r="A1499" s="9">
        <v>43777</v>
      </c>
      <c r="B1499" s="1">
        <f t="shared" si="46"/>
        <v>43770</v>
      </c>
      <c r="C1499" s="5" t="str">
        <f t="shared" si="47"/>
        <v>2019-11</v>
      </c>
      <c r="D1499" s="3">
        <v>308.94</v>
      </c>
      <c r="E1499" s="3">
        <v>159.08000000000001</v>
      </c>
      <c r="F1499" s="3">
        <v>134.91</v>
      </c>
      <c r="G1499" s="3">
        <v>137.38999999999999</v>
      </c>
      <c r="H1499" s="3">
        <v>91.09</v>
      </c>
      <c r="I1499" s="2">
        <v>56.49</v>
      </c>
      <c r="J1499" s="2">
        <v>490.21</v>
      </c>
      <c r="K1499" s="2">
        <v>381.86</v>
      </c>
      <c r="L1499" s="3">
        <v>95.13</v>
      </c>
      <c r="M1499" s="2">
        <v>2.13</v>
      </c>
    </row>
    <row r="1500" spans="1:13">
      <c r="A1500" s="9">
        <v>43776</v>
      </c>
      <c r="B1500" s="1">
        <f t="shared" si="46"/>
        <v>43770</v>
      </c>
      <c r="C1500" s="5" t="str">
        <f t="shared" si="47"/>
        <v>2019-11</v>
      </c>
      <c r="D1500" s="3">
        <v>308.18</v>
      </c>
      <c r="E1500" s="3">
        <v>158.65</v>
      </c>
      <c r="F1500" s="3">
        <v>135.47999999999999</v>
      </c>
      <c r="G1500" s="3">
        <v>138.27000000000001</v>
      </c>
      <c r="H1500" s="3">
        <v>91.31</v>
      </c>
      <c r="I1500" s="2">
        <v>55.98</v>
      </c>
      <c r="J1500" s="2">
        <v>490.16</v>
      </c>
      <c r="K1500" s="2">
        <v>378.75</v>
      </c>
      <c r="L1500" s="3">
        <v>94.44</v>
      </c>
      <c r="M1500" s="2">
        <v>2.09</v>
      </c>
    </row>
    <row r="1501" spans="1:13">
      <c r="A1501" s="9">
        <v>43775</v>
      </c>
      <c r="B1501" s="1">
        <f t="shared" si="46"/>
        <v>43770</v>
      </c>
      <c r="C1501" s="5" t="str">
        <f t="shared" si="47"/>
        <v>2019-11</v>
      </c>
      <c r="D1501" s="3">
        <v>307.10000000000002</v>
      </c>
      <c r="E1501" s="3">
        <v>158.22999999999999</v>
      </c>
      <c r="F1501" s="3">
        <v>137.97999999999999</v>
      </c>
      <c r="G1501" s="3">
        <v>140.44999999999999</v>
      </c>
      <c r="H1501" s="3">
        <v>92.23</v>
      </c>
      <c r="I1501" s="2">
        <v>55.7</v>
      </c>
      <c r="J1501" s="2">
        <v>489.54</v>
      </c>
      <c r="K1501" s="2">
        <v>379.79</v>
      </c>
      <c r="L1501" s="3">
        <v>94.23</v>
      </c>
      <c r="M1501" s="2">
        <v>2.0699999999999998</v>
      </c>
    </row>
    <row r="1502" spans="1:13">
      <c r="A1502" s="9">
        <v>43774</v>
      </c>
      <c r="B1502" s="1">
        <f t="shared" si="46"/>
        <v>43770</v>
      </c>
      <c r="C1502" s="5" t="str">
        <f t="shared" si="47"/>
        <v>2019-11</v>
      </c>
      <c r="D1502" s="3">
        <v>307.02999999999997</v>
      </c>
      <c r="E1502" s="3">
        <v>159.15</v>
      </c>
      <c r="F1502" s="3">
        <v>137.15</v>
      </c>
      <c r="G1502" s="3">
        <v>139.85</v>
      </c>
      <c r="H1502" s="3">
        <v>92.03</v>
      </c>
      <c r="I1502" s="2">
        <v>55.67</v>
      </c>
      <c r="J1502" s="2">
        <v>482.44</v>
      </c>
      <c r="K1502" s="2">
        <v>373.63</v>
      </c>
      <c r="L1502" s="3">
        <v>93.91</v>
      </c>
      <c r="M1502" s="2">
        <v>2.08</v>
      </c>
    </row>
    <row r="1503" spans="1:13">
      <c r="A1503" s="9">
        <v>43773</v>
      </c>
      <c r="B1503" s="1">
        <f t="shared" si="46"/>
        <v>43770</v>
      </c>
      <c r="C1503" s="5" t="str">
        <f t="shared" si="47"/>
        <v>2019-11</v>
      </c>
      <c r="D1503" s="3">
        <v>307.37</v>
      </c>
      <c r="E1503" s="3">
        <v>158.94999999999999</v>
      </c>
      <c r="F1503" s="3">
        <v>138.71</v>
      </c>
      <c r="G1503" s="3">
        <v>142.15</v>
      </c>
      <c r="H1503" s="3">
        <v>93.62</v>
      </c>
      <c r="I1503" s="2">
        <v>55.45</v>
      </c>
      <c r="J1503" s="2">
        <v>476.53</v>
      </c>
      <c r="K1503" s="2">
        <v>374.48</v>
      </c>
      <c r="L1503" s="3">
        <v>94.58</v>
      </c>
      <c r="M1503" s="2">
        <v>2.0499999999999998</v>
      </c>
    </row>
    <row r="1504" spans="1:13">
      <c r="A1504" s="9">
        <v>43770</v>
      </c>
      <c r="B1504" s="1">
        <f t="shared" si="46"/>
        <v>43770</v>
      </c>
      <c r="C1504" s="5" t="str">
        <f t="shared" si="47"/>
        <v>2019-11</v>
      </c>
      <c r="D1504" s="3">
        <v>306.14</v>
      </c>
      <c r="E1504" s="3">
        <v>158.1</v>
      </c>
      <c r="F1504" s="3">
        <v>140.56</v>
      </c>
      <c r="G1504" s="3">
        <v>142.56</v>
      </c>
      <c r="H1504" s="3">
        <v>94.28</v>
      </c>
      <c r="I1504" s="2">
        <v>55</v>
      </c>
      <c r="J1504" s="2">
        <v>469.17</v>
      </c>
      <c r="K1504" s="2">
        <v>379.17</v>
      </c>
      <c r="L1504" s="3">
        <v>94.87</v>
      </c>
      <c r="M1504" s="2">
        <v>2.0499999999999998</v>
      </c>
    </row>
    <row r="1505" spans="1:13">
      <c r="A1505" s="9">
        <v>43769</v>
      </c>
      <c r="B1505" s="1">
        <f t="shared" si="46"/>
        <v>43739</v>
      </c>
      <c r="C1505" s="5" t="str">
        <f t="shared" si="47"/>
        <v>2019-10</v>
      </c>
      <c r="D1505" s="3">
        <v>303.33</v>
      </c>
      <c r="E1505" s="3">
        <v>155.44999999999999</v>
      </c>
      <c r="F1505" s="3">
        <v>141.24</v>
      </c>
      <c r="G1505" s="3">
        <v>142.43</v>
      </c>
      <c r="H1505" s="3">
        <v>94.3</v>
      </c>
      <c r="I1505" s="2">
        <v>54.49</v>
      </c>
      <c r="J1505" s="2">
        <v>461.7</v>
      </c>
      <c r="K1505" s="2">
        <v>376.68</v>
      </c>
      <c r="L1505" s="3">
        <v>94.75</v>
      </c>
      <c r="M1505" s="2">
        <v>2.0699999999999998</v>
      </c>
    </row>
    <row r="1506" spans="1:13">
      <c r="A1506" s="9">
        <v>43768</v>
      </c>
      <c r="B1506" s="1">
        <f t="shared" si="46"/>
        <v>43739</v>
      </c>
      <c r="C1506" s="5" t="str">
        <f t="shared" si="47"/>
        <v>2019-10</v>
      </c>
      <c r="D1506" s="3">
        <v>304.14</v>
      </c>
      <c r="E1506" s="3">
        <v>156.33000000000001</v>
      </c>
      <c r="F1506" s="3">
        <v>139.36000000000001</v>
      </c>
      <c r="G1506" s="3">
        <v>141.02000000000001</v>
      </c>
      <c r="H1506" s="3">
        <v>94.47</v>
      </c>
      <c r="I1506" s="2">
        <v>54.85</v>
      </c>
      <c r="J1506" s="2">
        <v>466.94</v>
      </c>
      <c r="K1506" s="2">
        <v>378.64</v>
      </c>
      <c r="L1506" s="3">
        <v>94.86</v>
      </c>
      <c r="M1506" s="2">
        <v>2.04</v>
      </c>
    </row>
    <row r="1507" spans="1:13">
      <c r="A1507" s="9">
        <v>43767</v>
      </c>
      <c r="B1507" s="1">
        <f t="shared" si="46"/>
        <v>43739</v>
      </c>
      <c r="C1507" s="5" t="str">
        <f t="shared" si="47"/>
        <v>2019-10</v>
      </c>
      <c r="D1507" s="3">
        <v>303.20999999999998</v>
      </c>
      <c r="E1507" s="3">
        <v>156.85</v>
      </c>
      <c r="F1507" s="3">
        <v>137.35</v>
      </c>
      <c r="G1507" s="3">
        <v>140.25</v>
      </c>
      <c r="H1507" s="3">
        <v>94.13</v>
      </c>
      <c r="I1507" s="2">
        <v>54.8</v>
      </c>
      <c r="J1507" s="2">
        <v>466.16</v>
      </c>
      <c r="K1507" s="2">
        <v>371.1</v>
      </c>
      <c r="L1507" s="3">
        <v>94.33</v>
      </c>
      <c r="M1507" s="2">
        <v>2.1</v>
      </c>
    </row>
    <row r="1508" spans="1:13">
      <c r="A1508" s="9">
        <v>43766</v>
      </c>
      <c r="B1508" s="1">
        <f t="shared" si="46"/>
        <v>43739</v>
      </c>
      <c r="C1508" s="5" t="str">
        <f t="shared" si="47"/>
        <v>2019-10</v>
      </c>
      <c r="D1508" s="3">
        <v>303.3</v>
      </c>
      <c r="E1508" s="3">
        <v>156.34</v>
      </c>
      <c r="F1508" s="3">
        <v>137.26</v>
      </c>
      <c r="G1508" s="3">
        <v>140.63999999999999</v>
      </c>
      <c r="H1508" s="3">
        <v>93.56</v>
      </c>
      <c r="I1508" s="2">
        <v>54.64</v>
      </c>
      <c r="J1508" s="2">
        <v>466.56</v>
      </c>
      <c r="K1508" s="2">
        <v>371.84</v>
      </c>
      <c r="L1508" s="3">
        <v>93.01</v>
      </c>
      <c r="M1508" s="2">
        <v>2.12</v>
      </c>
    </row>
    <row r="1509" spans="1:13">
      <c r="A1509" s="9">
        <v>43763</v>
      </c>
      <c r="B1509" s="1">
        <f t="shared" si="46"/>
        <v>43739</v>
      </c>
      <c r="C1509" s="5" t="str">
        <f t="shared" si="47"/>
        <v>2019-10</v>
      </c>
      <c r="D1509" s="3">
        <v>301.60000000000002</v>
      </c>
      <c r="E1509" s="3">
        <v>155</v>
      </c>
      <c r="F1509" s="3">
        <v>138.52000000000001</v>
      </c>
      <c r="G1509" s="3">
        <v>141.86000000000001</v>
      </c>
      <c r="H1509" s="3">
        <v>94.13</v>
      </c>
      <c r="I1509" s="2">
        <v>54.17</v>
      </c>
      <c r="J1509" s="2">
        <v>459.8</v>
      </c>
      <c r="K1509" s="2">
        <v>370.73</v>
      </c>
      <c r="L1509" s="3">
        <v>92.06</v>
      </c>
      <c r="M1509" s="2">
        <v>2.09</v>
      </c>
    </row>
    <row r="1510" spans="1:13">
      <c r="A1510" s="9">
        <v>43762</v>
      </c>
      <c r="B1510" s="1">
        <f t="shared" si="46"/>
        <v>43739</v>
      </c>
      <c r="C1510" s="5" t="str">
        <f t="shared" si="47"/>
        <v>2019-10</v>
      </c>
      <c r="D1510" s="3">
        <v>300.37</v>
      </c>
      <c r="E1510" s="3">
        <v>154.18</v>
      </c>
      <c r="F1510" s="3">
        <v>139.19999999999999</v>
      </c>
      <c r="G1510" s="3">
        <v>141.53</v>
      </c>
      <c r="H1510" s="3">
        <v>94.94</v>
      </c>
      <c r="I1510" s="2">
        <v>54.26</v>
      </c>
      <c r="J1510" s="2">
        <v>454.66</v>
      </c>
      <c r="K1510" s="2">
        <v>374.74</v>
      </c>
      <c r="L1510" s="3">
        <v>91.96</v>
      </c>
      <c r="M1510" s="2">
        <v>2.06</v>
      </c>
    </row>
    <row r="1511" spans="1:13">
      <c r="A1511" s="9">
        <v>43761</v>
      </c>
      <c r="B1511" s="1">
        <f t="shared" si="46"/>
        <v>43739</v>
      </c>
      <c r="C1511" s="5" t="str">
        <f t="shared" si="47"/>
        <v>2019-10</v>
      </c>
      <c r="D1511" s="3">
        <v>299.88</v>
      </c>
      <c r="E1511" s="3">
        <v>154.4</v>
      </c>
      <c r="F1511" s="3">
        <v>139.47999999999999</v>
      </c>
      <c r="G1511" s="3">
        <v>140.53</v>
      </c>
      <c r="H1511" s="3">
        <v>95.18</v>
      </c>
      <c r="I1511" s="2">
        <v>54.13</v>
      </c>
      <c r="J1511" s="2">
        <v>457.06</v>
      </c>
      <c r="K1511" s="2">
        <v>373.09</v>
      </c>
      <c r="L1511" s="3">
        <v>92.43</v>
      </c>
      <c r="M1511" s="2">
        <v>2</v>
      </c>
    </row>
    <row r="1512" spans="1:13">
      <c r="A1512" s="9">
        <v>43760</v>
      </c>
      <c r="B1512" s="1">
        <f t="shared" si="46"/>
        <v>43739</v>
      </c>
      <c r="C1512" s="5" t="str">
        <f t="shared" si="47"/>
        <v>2019-10</v>
      </c>
      <c r="D1512" s="3">
        <v>299.01</v>
      </c>
      <c r="E1512" s="3">
        <v>154.21</v>
      </c>
      <c r="F1512" s="3">
        <v>139.34</v>
      </c>
      <c r="G1512" s="3">
        <v>140.19999999999999</v>
      </c>
      <c r="H1512" s="3">
        <v>94.97</v>
      </c>
      <c r="I1512" s="2">
        <v>54.11</v>
      </c>
      <c r="J1512" s="2">
        <v>450.32</v>
      </c>
      <c r="K1512" s="2">
        <v>373.68</v>
      </c>
      <c r="L1512" s="3">
        <v>91.86</v>
      </c>
      <c r="M1512" s="2">
        <v>1.99</v>
      </c>
    </row>
    <row r="1513" spans="1:13">
      <c r="A1513" s="9">
        <v>43759</v>
      </c>
      <c r="B1513" s="1">
        <f t="shared" si="46"/>
        <v>43739</v>
      </c>
      <c r="C1513" s="5" t="str">
        <f t="shared" si="47"/>
        <v>2019-10</v>
      </c>
      <c r="D1513" s="3">
        <v>299.99</v>
      </c>
      <c r="E1513" s="3">
        <v>154.04</v>
      </c>
      <c r="F1513" s="3">
        <v>138.53</v>
      </c>
      <c r="G1513" s="3">
        <v>139.79</v>
      </c>
      <c r="H1513" s="3">
        <v>95.25</v>
      </c>
      <c r="I1513" s="2">
        <v>55.13</v>
      </c>
      <c r="J1513" s="2">
        <v>453.65</v>
      </c>
      <c r="K1513" s="2">
        <v>374.05</v>
      </c>
      <c r="L1513" s="3">
        <v>91.66</v>
      </c>
      <c r="M1513" s="2">
        <v>1.97</v>
      </c>
    </row>
    <row r="1514" spans="1:13">
      <c r="A1514" s="9">
        <v>43756</v>
      </c>
      <c r="B1514" s="1">
        <f t="shared" si="46"/>
        <v>43739</v>
      </c>
      <c r="C1514" s="5" t="str">
        <f t="shared" si="47"/>
        <v>2019-10</v>
      </c>
      <c r="D1514" s="3">
        <v>297.97000000000003</v>
      </c>
      <c r="E1514" s="3">
        <v>152.61000000000001</v>
      </c>
      <c r="F1514" s="3">
        <v>139.58000000000001</v>
      </c>
      <c r="G1514" s="3">
        <v>140.46</v>
      </c>
      <c r="H1514" s="3">
        <v>94.53</v>
      </c>
      <c r="I1514" s="2">
        <v>54.55</v>
      </c>
      <c r="J1514" s="2">
        <v>445.04</v>
      </c>
      <c r="K1514" s="2">
        <v>372.48</v>
      </c>
      <c r="L1514" s="3">
        <v>91.76</v>
      </c>
      <c r="M1514" s="2">
        <v>1.92</v>
      </c>
    </row>
    <row r="1515" spans="1:13">
      <c r="A1515" s="9">
        <v>43755</v>
      </c>
      <c r="B1515" s="1">
        <f t="shared" si="46"/>
        <v>43739</v>
      </c>
      <c r="C1515" s="5" t="str">
        <f t="shared" si="47"/>
        <v>2019-10</v>
      </c>
      <c r="D1515" s="3">
        <v>299.27999999999997</v>
      </c>
      <c r="E1515" s="3">
        <v>153.34</v>
      </c>
      <c r="F1515" s="3">
        <v>139.58000000000001</v>
      </c>
      <c r="G1515" s="3">
        <v>140.61000000000001</v>
      </c>
      <c r="H1515" s="3">
        <v>93.81</v>
      </c>
      <c r="I1515" s="2">
        <v>55.06</v>
      </c>
      <c r="J1515" s="2">
        <v>450.67</v>
      </c>
      <c r="K1515" s="2">
        <v>377.06</v>
      </c>
      <c r="L1515" s="3">
        <v>92.1</v>
      </c>
      <c r="M1515" s="2">
        <v>1.96</v>
      </c>
    </row>
    <row r="1516" spans="1:13">
      <c r="A1516" s="9">
        <v>43754</v>
      </c>
      <c r="B1516" s="1">
        <f t="shared" si="46"/>
        <v>43739</v>
      </c>
      <c r="C1516" s="5" t="str">
        <f t="shared" si="47"/>
        <v>2019-10</v>
      </c>
      <c r="D1516" s="3">
        <v>298.39999999999998</v>
      </c>
      <c r="E1516" s="3">
        <v>151.55000000000001</v>
      </c>
      <c r="F1516" s="3">
        <v>139.91999999999999</v>
      </c>
      <c r="G1516" s="3">
        <v>140.41</v>
      </c>
      <c r="H1516" s="3">
        <v>93.2</v>
      </c>
      <c r="I1516" s="2">
        <v>55.88</v>
      </c>
      <c r="J1516" s="2">
        <v>446.4</v>
      </c>
      <c r="K1516" s="2">
        <v>382.84</v>
      </c>
      <c r="L1516" s="3">
        <v>91.42</v>
      </c>
      <c r="M1516" s="2">
        <v>1.94</v>
      </c>
    </row>
    <row r="1517" spans="1:13">
      <c r="A1517" s="9">
        <v>43753</v>
      </c>
      <c r="B1517" s="1">
        <f t="shared" si="46"/>
        <v>43739</v>
      </c>
      <c r="C1517" s="5" t="str">
        <f t="shared" si="47"/>
        <v>2019-10</v>
      </c>
      <c r="D1517" s="3">
        <v>298.88</v>
      </c>
      <c r="E1517" s="3">
        <v>151.38999999999999</v>
      </c>
      <c r="F1517" s="3">
        <v>139.75</v>
      </c>
      <c r="G1517" s="3">
        <v>139.61000000000001</v>
      </c>
      <c r="H1517" s="3">
        <v>93.19</v>
      </c>
      <c r="I1517" s="2">
        <v>56.35</v>
      </c>
      <c r="J1517" s="2">
        <v>444.45</v>
      </c>
      <c r="K1517" s="2">
        <v>382.75</v>
      </c>
      <c r="L1517" s="3">
        <v>91.54</v>
      </c>
      <c r="M1517" s="2">
        <v>1.88</v>
      </c>
    </row>
    <row r="1518" spans="1:13">
      <c r="A1518" s="9">
        <v>43752</v>
      </c>
      <c r="B1518" s="1">
        <f t="shared" si="46"/>
        <v>43739</v>
      </c>
      <c r="C1518" s="5" t="str">
        <f t="shared" si="47"/>
        <v>2019-10</v>
      </c>
      <c r="D1518" s="3">
        <v>295.95</v>
      </c>
      <c r="E1518" s="3">
        <v>149.66999999999999</v>
      </c>
      <c r="F1518" s="3">
        <v>141.46</v>
      </c>
      <c r="G1518" s="3">
        <v>140.59</v>
      </c>
      <c r="H1518" s="3">
        <v>93.07</v>
      </c>
      <c r="I1518" s="2">
        <v>56.46</v>
      </c>
      <c r="J1518" s="2">
        <v>434.21</v>
      </c>
      <c r="K1518" s="2">
        <v>382.61</v>
      </c>
      <c r="L1518" s="3">
        <v>89.9</v>
      </c>
      <c r="M1518" s="2">
        <v>1.88</v>
      </c>
    </row>
    <row r="1519" spans="1:13">
      <c r="A1519" s="9">
        <v>43749</v>
      </c>
      <c r="B1519" s="1">
        <f t="shared" si="46"/>
        <v>43739</v>
      </c>
      <c r="C1519" s="5" t="str">
        <f t="shared" si="47"/>
        <v>2019-10</v>
      </c>
      <c r="D1519" s="3">
        <v>296.27999999999997</v>
      </c>
      <c r="E1519" s="3">
        <v>150.22</v>
      </c>
      <c r="F1519" s="3">
        <v>140.44</v>
      </c>
      <c r="G1519" s="3">
        <v>140.03</v>
      </c>
      <c r="H1519" s="3">
        <v>93.03</v>
      </c>
      <c r="I1519" s="2">
        <v>56.89</v>
      </c>
      <c r="J1519" s="2">
        <v>434</v>
      </c>
      <c r="K1519" s="2">
        <v>381.47</v>
      </c>
      <c r="L1519" s="3">
        <v>89.94</v>
      </c>
      <c r="M1519" s="2">
        <v>1.88</v>
      </c>
    </row>
    <row r="1520" spans="1:13">
      <c r="A1520" s="9">
        <v>43748</v>
      </c>
      <c r="B1520" s="1">
        <f t="shared" si="46"/>
        <v>43739</v>
      </c>
      <c r="C1520" s="5" t="str">
        <f t="shared" si="47"/>
        <v>2019-10</v>
      </c>
      <c r="D1520" s="3">
        <v>293.24</v>
      </c>
      <c r="E1520" s="3">
        <v>147.72</v>
      </c>
      <c r="F1520" s="3">
        <v>142.19999999999999</v>
      </c>
      <c r="G1520" s="3">
        <v>140.81</v>
      </c>
      <c r="H1520" s="3">
        <v>93.07</v>
      </c>
      <c r="I1520" s="2">
        <v>55.49</v>
      </c>
      <c r="J1520" s="2">
        <v>420.38</v>
      </c>
      <c r="K1520" s="2">
        <v>386.88</v>
      </c>
      <c r="L1520" s="3">
        <v>89.2</v>
      </c>
      <c r="M1520" s="2">
        <v>1.9</v>
      </c>
    </row>
    <row r="1521" spans="1:13">
      <c r="A1521" s="9">
        <v>43747</v>
      </c>
      <c r="B1521" s="1">
        <f t="shared" si="46"/>
        <v>43739</v>
      </c>
      <c r="C1521" s="5" t="str">
        <f t="shared" si="47"/>
        <v>2019-10</v>
      </c>
      <c r="D1521" s="3">
        <v>291.27</v>
      </c>
      <c r="E1521" s="3">
        <v>147.13</v>
      </c>
      <c r="F1521" s="3">
        <v>144.35</v>
      </c>
      <c r="G1521" s="3">
        <v>142.05000000000001</v>
      </c>
      <c r="H1521" s="3">
        <v>92.92</v>
      </c>
      <c r="I1521" s="2">
        <v>54.53</v>
      </c>
      <c r="J1521" s="2">
        <v>417.17</v>
      </c>
      <c r="K1521" s="2">
        <v>384.61</v>
      </c>
      <c r="L1521" s="3">
        <v>88.76</v>
      </c>
      <c r="M1521" s="2">
        <v>1.9</v>
      </c>
    </row>
    <row r="1522" spans="1:13">
      <c r="A1522" s="9">
        <v>43746</v>
      </c>
      <c r="B1522" s="1">
        <f t="shared" si="46"/>
        <v>43739</v>
      </c>
      <c r="C1522" s="5" t="str">
        <f t="shared" si="47"/>
        <v>2019-10</v>
      </c>
      <c r="D1522" s="3">
        <v>288.52999999999997</v>
      </c>
      <c r="E1522" s="3">
        <v>146.46</v>
      </c>
      <c r="F1522" s="3">
        <v>145.16999999999999</v>
      </c>
      <c r="G1522" s="3">
        <v>141.91999999999999</v>
      </c>
      <c r="H1522" s="3">
        <v>92.74</v>
      </c>
      <c r="I1522" s="2">
        <v>54.05</v>
      </c>
      <c r="J1522" s="2">
        <v>413.16</v>
      </c>
      <c r="K1522" s="2">
        <v>382.12</v>
      </c>
      <c r="L1522" s="3">
        <v>88.12</v>
      </c>
      <c r="M1522" s="2">
        <v>1.9</v>
      </c>
    </row>
    <row r="1523" spans="1:13">
      <c r="A1523" s="9">
        <v>43745</v>
      </c>
      <c r="B1523" s="1">
        <f t="shared" si="46"/>
        <v>43739</v>
      </c>
      <c r="C1523" s="5" t="str">
        <f t="shared" si="47"/>
        <v>2019-10</v>
      </c>
      <c r="D1523" s="3">
        <v>293.08</v>
      </c>
      <c r="E1523" s="3">
        <v>148.88</v>
      </c>
      <c r="F1523" s="3">
        <v>144.78</v>
      </c>
      <c r="G1523" s="3">
        <v>140.69</v>
      </c>
      <c r="H1523" s="3">
        <v>93.23</v>
      </c>
      <c r="I1523" s="2">
        <v>54.8</v>
      </c>
      <c r="J1523" s="2">
        <v>423.17</v>
      </c>
      <c r="K1523" s="2">
        <v>383.78</v>
      </c>
      <c r="L1523" s="3">
        <v>89.83</v>
      </c>
      <c r="M1523" s="2">
        <v>1.94</v>
      </c>
    </row>
    <row r="1524" spans="1:13">
      <c r="A1524" s="9">
        <v>43742</v>
      </c>
      <c r="B1524" s="1">
        <f t="shared" si="46"/>
        <v>43739</v>
      </c>
      <c r="C1524" s="5" t="str">
        <f t="shared" si="47"/>
        <v>2019-10</v>
      </c>
      <c r="D1524" s="3">
        <v>294.35000000000002</v>
      </c>
      <c r="E1524" s="3">
        <v>149.13999999999999</v>
      </c>
      <c r="F1524" s="3">
        <v>145.99</v>
      </c>
      <c r="G1524" s="3">
        <v>141.9</v>
      </c>
      <c r="H1524" s="3">
        <v>93.43</v>
      </c>
      <c r="I1524" s="2">
        <v>55.14</v>
      </c>
      <c r="J1524" s="2">
        <v>427.44</v>
      </c>
      <c r="K1524" s="2">
        <v>384.95</v>
      </c>
      <c r="L1524" s="3">
        <v>90.13</v>
      </c>
      <c r="M1524" s="2">
        <v>1.94</v>
      </c>
    </row>
    <row r="1525" spans="1:13">
      <c r="A1525" s="9">
        <v>43741</v>
      </c>
      <c r="B1525" s="1">
        <f t="shared" si="46"/>
        <v>43739</v>
      </c>
      <c r="C1525" s="5" t="str">
        <f t="shared" si="47"/>
        <v>2019-10</v>
      </c>
      <c r="D1525" s="3">
        <v>290.42</v>
      </c>
      <c r="E1525" s="3">
        <v>147.74</v>
      </c>
      <c r="F1525" s="3">
        <v>144.91999999999999</v>
      </c>
      <c r="G1525" s="3">
        <v>141.9</v>
      </c>
      <c r="H1525" s="3">
        <v>92.87</v>
      </c>
      <c r="I1525" s="2">
        <v>53.86</v>
      </c>
      <c r="J1525" s="2">
        <v>419.61</v>
      </c>
      <c r="K1525" s="2">
        <v>380.06</v>
      </c>
      <c r="L1525" s="3">
        <v>88.74</v>
      </c>
      <c r="M1525" s="2">
        <v>1.92</v>
      </c>
    </row>
    <row r="1526" spans="1:13">
      <c r="A1526" s="9">
        <v>43740</v>
      </c>
      <c r="B1526" s="1">
        <f t="shared" si="46"/>
        <v>43739</v>
      </c>
      <c r="C1526" s="5" t="str">
        <f t="shared" si="47"/>
        <v>2019-10</v>
      </c>
      <c r="D1526" s="3">
        <v>288.06</v>
      </c>
      <c r="E1526" s="3">
        <v>147.25</v>
      </c>
      <c r="F1526" s="3">
        <v>143.61000000000001</v>
      </c>
      <c r="G1526" s="3">
        <v>141.26</v>
      </c>
      <c r="H1526" s="3">
        <v>91.98</v>
      </c>
      <c r="I1526" s="2">
        <v>53.15</v>
      </c>
      <c r="J1526" s="2">
        <v>420.36</v>
      </c>
      <c r="K1526" s="2">
        <v>378.16</v>
      </c>
      <c r="L1526" s="3">
        <v>87.95</v>
      </c>
      <c r="M1526" s="2">
        <v>1.93</v>
      </c>
    </row>
    <row r="1527" spans="1:13">
      <c r="A1527" s="9">
        <v>43739</v>
      </c>
      <c r="B1527" s="1">
        <f t="shared" si="46"/>
        <v>43739</v>
      </c>
      <c r="C1527" s="5" t="str">
        <f t="shared" si="47"/>
        <v>2019-10</v>
      </c>
      <c r="D1527" s="3">
        <v>293.24</v>
      </c>
      <c r="E1527" s="3">
        <v>148.37</v>
      </c>
      <c r="F1527" s="3">
        <v>143.26</v>
      </c>
      <c r="G1527" s="3">
        <v>139.63</v>
      </c>
      <c r="H1527" s="3">
        <v>92.37</v>
      </c>
      <c r="I1527" s="2">
        <v>53.8</v>
      </c>
      <c r="J1527" s="2">
        <v>433.69</v>
      </c>
      <c r="K1527" s="2">
        <v>384.19</v>
      </c>
      <c r="L1527" s="3">
        <v>89.25</v>
      </c>
      <c r="M1527" s="2">
        <v>1.94</v>
      </c>
    </row>
    <row r="1528" spans="1:13">
      <c r="A1528" s="9">
        <v>43738</v>
      </c>
      <c r="B1528" s="1">
        <f t="shared" si="46"/>
        <v>43709</v>
      </c>
      <c r="C1528" s="5" t="str">
        <f t="shared" si="47"/>
        <v>2019-09</v>
      </c>
      <c r="D1528" s="3">
        <v>296.77</v>
      </c>
      <c r="E1528" s="3">
        <v>151.34</v>
      </c>
      <c r="F1528" s="3">
        <v>143.08000000000001</v>
      </c>
      <c r="G1528" s="3">
        <v>138.87</v>
      </c>
      <c r="H1528" s="3">
        <v>93.25</v>
      </c>
      <c r="I1528" s="2">
        <v>55.03</v>
      </c>
      <c r="J1528" s="2">
        <v>445.64</v>
      </c>
      <c r="K1528" s="2">
        <v>390.06</v>
      </c>
      <c r="L1528" s="3">
        <v>90.13</v>
      </c>
      <c r="M1528" s="2">
        <v>1.92</v>
      </c>
    </row>
    <row r="1529" spans="1:13">
      <c r="A1529" s="9">
        <v>43735</v>
      </c>
      <c r="B1529" s="1">
        <f t="shared" si="46"/>
        <v>43709</v>
      </c>
      <c r="C1529" s="5" t="str">
        <f t="shared" si="47"/>
        <v>2019-09</v>
      </c>
      <c r="D1529" s="3">
        <v>295.39999999999998</v>
      </c>
      <c r="E1529" s="3">
        <v>151.16</v>
      </c>
      <c r="F1529" s="3">
        <v>142.72999999999999</v>
      </c>
      <c r="G1529" s="3">
        <v>141.06</v>
      </c>
      <c r="H1529" s="3">
        <v>93.09</v>
      </c>
      <c r="I1529" s="2">
        <v>54.09</v>
      </c>
      <c r="J1529" s="2">
        <v>446.13</v>
      </c>
      <c r="K1529" s="2">
        <v>387.87</v>
      </c>
      <c r="L1529" s="3">
        <v>89.33</v>
      </c>
      <c r="M1529" s="2">
        <v>1.91</v>
      </c>
    </row>
    <row r="1530" spans="1:13">
      <c r="A1530" s="9">
        <v>43734</v>
      </c>
      <c r="B1530" s="1">
        <f t="shared" si="46"/>
        <v>43709</v>
      </c>
      <c r="C1530" s="5" t="str">
        <f t="shared" si="47"/>
        <v>2019-09</v>
      </c>
      <c r="D1530" s="3">
        <v>297</v>
      </c>
      <c r="E1530" s="3">
        <v>152.38</v>
      </c>
      <c r="F1530" s="3">
        <v>142.38</v>
      </c>
      <c r="G1530" s="3">
        <v>141.79</v>
      </c>
      <c r="H1530" s="3">
        <v>93.61</v>
      </c>
      <c r="I1530" s="2">
        <v>53.96</v>
      </c>
      <c r="J1530" s="2">
        <v>446</v>
      </c>
      <c r="K1530" s="2">
        <v>392.92</v>
      </c>
      <c r="L1530" s="3">
        <v>89.73</v>
      </c>
      <c r="M1530" s="2">
        <v>1.88</v>
      </c>
    </row>
    <row r="1531" spans="1:13">
      <c r="A1531" s="9">
        <v>43733</v>
      </c>
      <c r="B1531" s="1">
        <f t="shared" si="46"/>
        <v>43709</v>
      </c>
      <c r="C1531" s="5" t="str">
        <f t="shared" si="47"/>
        <v>2019-09</v>
      </c>
      <c r="D1531" s="3">
        <v>297.62</v>
      </c>
      <c r="E1531" s="3">
        <v>154.1</v>
      </c>
      <c r="F1531" s="3">
        <v>141.47</v>
      </c>
      <c r="G1531" s="3">
        <v>141.83000000000001</v>
      </c>
      <c r="H1531" s="3">
        <v>92.83</v>
      </c>
      <c r="I1531" s="2">
        <v>53.84</v>
      </c>
      <c r="J1531" s="2">
        <v>445.19</v>
      </c>
      <c r="K1531" s="2">
        <v>390.43</v>
      </c>
      <c r="L1531" s="3">
        <v>90.23</v>
      </c>
      <c r="M1531" s="2">
        <v>1.93</v>
      </c>
    </row>
    <row r="1532" spans="1:13">
      <c r="A1532" s="9">
        <v>43732</v>
      </c>
      <c r="B1532" s="1">
        <f t="shared" si="46"/>
        <v>43709</v>
      </c>
      <c r="C1532" s="5" t="str">
        <f t="shared" si="47"/>
        <v>2019-09</v>
      </c>
      <c r="D1532" s="3">
        <v>295.87</v>
      </c>
      <c r="E1532" s="3">
        <v>152.43</v>
      </c>
      <c r="F1532" s="3">
        <v>143.57</v>
      </c>
      <c r="G1532" s="3">
        <v>144.51</v>
      </c>
      <c r="H1532" s="3">
        <v>92.65</v>
      </c>
      <c r="I1532" s="2">
        <v>53.35</v>
      </c>
      <c r="J1532" s="2">
        <v>442.12</v>
      </c>
      <c r="K1532" s="2">
        <v>389.17</v>
      </c>
      <c r="L1532" s="3">
        <v>90.67</v>
      </c>
      <c r="M1532" s="2">
        <v>1.96</v>
      </c>
    </row>
    <row r="1533" spans="1:13">
      <c r="A1533" s="9">
        <v>43731</v>
      </c>
      <c r="B1533" s="1">
        <f t="shared" si="46"/>
        <v>43709</v>
      </c>
      <c r="C1533" s="5" t="str">
        <f t="shared" si="47"/>
        <v>2019-09</v>
      </c>
      <c r="D1533" s="3">
        <v>298.20999999999998</v>
      </c>
      <c r="E1533" s="3">
        <v>155.31</v>
      </c>
      <c r="F1533" s="3">
        <v>141.86000000000001</v>
      </c>
      <c r="G1533" s="3">
        <v>143.75</v>
      </c>
      <c r="H1533" s="3">
        <v>93.6</v>
      </c>
      <c r="I1533" s="2">
        <v>54.02</v>
      </c>
      <c r="J1533" s="2">
        <v>446.2</v>
      </c>
      <c r="K1533" s="2">
        <v>387.67</v>
      </c>
      <c r="L1533" s="3">
        <v>91.51</v>
      </c>
      <c r="M1533" s="2">
        <v>1.96</v>
      </c>
    </row>
    <row r="1534" spans="1:13">
      <c r="A1534" s="9">
        <v>43728</v>
      </c>
      <c r="B1534" s="1">
        <f t="shared" si="46"/>
        <v>43709</v>
      </c>
      <c r="C1534" s="5" t="str">
        <f t="shared" si="47"/>
        <v>2019-09</v>
      </c>
      <c r="D1534" s="3">
        <v>298.27999999999997</v>
      </c>
      <c r="E1534" s="3">
        <v>155.43</v>
      </c>
      <c r="F1534" s="3">
        <v>141.88999999999999</v>
      </c>
      <c r="G1534" s="3">
        <v>142.94999999999999</v>
      </c>
      <c r="H1534" s="3">
        <v>93.45</v>
      </c>
      <c r="I1534" s="2">
        <v>53.47</v>
      </c>
      <c r="J1534" s="2">
        <v>444.39</v>
      </c>
      <c r="K1534" s="2">
        <v>388.25</v>
      </c>
      <c r="L1534" s="3">
        <v>92</v>
      </c>
      <c r="M1534" s="2">
        <v>1.98</v>
      </c>
    </row>
    <row r="1535" spans="1:13">
      <c r="A1535" s="9">
        <v>43727</v>
      </c>
      <c r="B1535" s="1">
        <f t="shared" si="46"/>
        <v>43709</v>
      </c>
      <c r="C1535" s="5" t="str">
        <f t="shared" si="47"/>
        <v>2019-09</v>
      </c>
      <c r="D1535" s="3">
        <v>301.08</v>
      </c>
      <c r="E1535" s="3">
        <v>155.76</v>
      </c>
      <c r="F1535" s="3">
        <v>140.04</v>
      </c>
      <c r="G1535" s="3">
        <v>141.28</v>
      </c>
      <c r="H1535" s="3">
        <v>93.45</v>
      </c>
      <c r="I1535" s="2">
        <v>53.37</v>
      </c>
      <c r="J1535" s="2">
        <v>443.98</v>
      </c>
      <c r="K1535" s="2">
        <v>393.43</v>
      </c>
      <c r="L1535" s="3">
        <v>91.87</v>
      </c>
      <c r="M1535" s="2">
        <v>1.96</v>
      </c>
    </row>
    <row r="1536" spans="1:13">
      <c r="A1536" s="9">
        <v>43726</v>
      </c>
      <c r="B1536" s="1">
        <f t="shared" si="46"/>
        <v>43709</v>
      </c>
      <c r="C1536" s="5" t="str">
        <f t="shared" si="47"/>
        <v>2019-09</v>
      </c>
      <c r="D1536" s="3">
        <v>301.10000000000002</v>
      </c>
      <c r="E1536" s="3">
        <v>156.52000000000001</v>
      </c>
      <c r="F1536" s="3">
        <v>139.62</v>
      </c>
      <c r="G1536" s="3">
        <v>140.71</v>
      </c>
      <c r="H1536" s="3">
        <v>93.12</v>
      </c>
      <c r="I1536" s="2">
        <v>52.56</v>
      </c>
      <c r="J1536" s="2">
        <v>443.16</v>
      </c>
      <c r="K1536" s="2">
        <v>397.04</v>
      </c>
      <c r="L1536" s="3">
        <v>91.44</v>
      </c>
      <c r="M1536" s="2">
        <v>1.97</v>
      </c>
    </row>
    <row r="1537" spans="1:13">
      <c r="A1537" s="9">
        <v>43725</v>
      </c>
      <c r="B1537" s="1">
        <f t="shared" si="46"/>
        <v>43709</v>
      </c>
      <c r="C1537" s="5" t="str">
        <f t="shared" si="47"/>
        <v>2019-09</v>
      </c>
      <c r="D1537" s="3">
        <v>300.92</v>
      </c>
      <c r="E1537" s="3">
        <v>157.49</v>
      </c>
      <c r="F1537" s="3">
        <v>139.03</v>
      </c>
      <c r="G1537" s="3">
        <v>141.6</v>
      </c>
      <c r="H1537" s="3">
        <v>93.44</v>
      </c>
      <c r="I1537" s="2">
        <v>52.87</v>
      </c>
      <c r="J1537" s="2">
        <v>439.18</v>
      </c>
      <c r="K1537" s="2">
        <v>393.98</v>
      </c>
      <c r="L1537" s="3">
        <v>91.45</v>
      </c>
      <c r="M1537" s="2">
        <v>1.95</v>
      </c>
    </row>
    <row r="1538" spans="1:13">
      <c r="A1538" s="9">
        <v>43724</v>
      </c>
      <c r="B1538" s="1">
        <f t="shared" ref="B1538:B1601" si="48">EOMONTH(A1538,-1)+1</f>
        <v>43709</v>
      </c>
      <c r="C1538" s="5" t="str">
        <f t="shared" si="47"/>
        <v>2019-09</v>
      </c>
      <c r="D1538" s="3">
        <v>300.16000000000003</v>
      </c>
      <c r="E1538" s="3">
        <v>157.9</v>
      </c>
      <c r="F1538" s="3">
        <v>138.28</v>
      </c>
      <c r="G1538" s="3">
        <v>141.32</v>
      </c>
      <c r="H1538" s="3">
        <v>92.44</v>
      </c>
      <c r="I1538" s="2">
        <v>53.14</v>
      </c>
      <c r="J1538" s="2">
        <v>435.71</v>
      </c>
      <c r="K1538" s="2">
        <v>392.66</v>
      </c>
      <c r="L1538" s="3">
        <v>91.31</v>
      </c>
      <c r="M1538" s="2">
        <v>1.93</v>
      </c>
    </row>
    <row r="1539" spans="1:13">
      <c r="A1539" s="9">
        <v>43721</v>
      </c>
      <c r="B1539" s="1">
        <f t="shared" si="48"/>
        <v>43709</v>
      </c>
      <c r="C1539" s="5" t="str">
        <f t="shared" ref="C1539:C1602" si="49">TEXT(A1539, "yyyy-mm")</f>
        <v>2019-09</v>
      </c>
      <c r="D1539" s="3">
        <v>301.08999999999997</v>
      </c>
      <c r="E1539" s="3">
        <v>157.31</v>
      </c>
      <c r="F1539" s="3">
        <v>136.54</v>
      </c>
      <c r="G1539" s="3">
        <v>140.15</v>
      </c>
      <c r="H1539" s="3">
        <v>91.64</v>
      </c>
      <c r="I1539" s="2">
        <v>53.75</v>
      </c>
      <c r="J1539" s="2">
        <v>442.96</v>
      </c>
      <c r="K1539" s="2">
        <v>384.86</v>
      </c>
      <c r="L1539" s="3">
        <v>91.51</v>
      </c>
      <c r="M1539" s="2">
        <v>1.91</v>
      </c>
    </row>
    <row r="1540" spans="1:13">
      <c r="A1540" s="9">
        <v>43720</v>
      </c>
      <c r="B1540" s="1">
        <f t="shared" si="48"/>
        <v>43709</v>
      </c>
      <c r="C1540" s="5" t="str">
        <f t="shared" si="49"/>
        <v>2019-09</v>
      </c>
      <c r="D1540" s="3">
        <v>301.29000000000002</v>
      </c>
      <c r="E1540" s="3">
        <v>157.04</v>
      </c>
      <c r="F1540" s="3">
        <v>139.52000000000001</v>
      </c>
      <c r="G1540" s="3">
        <v>141.32</v>
      </c>
      <c r="H1540" s="3">
        <v>92.63</v>
      </c>
      <c r="I1540" s="2">
        <v>53.89</v>
      </c>
      <c r="J1540" s="2">
        <v>434.75</v>
      </c>
      <c r="K1540" s="2">
        <v>386.63</v>
      </c>
      <c r="L1540" s="3">
        <v>91.56</v>
      </c>
      <c r="M1540" s="2">
        <v>1.9</v>
      </c>
    </row>
    <row r="1541" spans="1:13">
      <c r="A1541" s="9">
        <v>43719</v>
      </c>
      <c r="B1541" s="1">
        <f t="shared" si="48"/>
        <v>43709</v>
      </c>
      <c r="C1541" s="5" t="str">
        <f t="shared" si="49"/>
        <v>2019-09</v>
      </c>
      <c r="D1541" s="3">
        <v>300.25</v>
      </c>
      <c r="E1541" s="3">
        <v>157</v>
      </c>
      <c r="F1541" s="3">
        <v>140.44</v>
      </c>
      <c r="G1541" s="3">
        <v>141.03</v>
      </c>
      <c r="H1541" s="3">
        <v>92.14</v>
      </c>
      <c r="I1541" s="2">
        <v>56.29</v>
      </c>
      <c r="J1541" s="2">
        <v>432.83</v>
      </c>
      <c r="K1541" s="2">
        <v>381.55</v>
      </c>
      <c r="L1541" s="3">
        <v>91.59</v>
      </c>
      <c r="M1541" s="2">
        <v>1.91</v>
      </c>
    </row>
    <row r="1542" spans="1:13">
      <c r="A1542" s="9">
        <v>43718</v>
      </c>
      <c r="B1542" s="1">
        <f t="shared" si="48"/>
        <v>43709</v>
      </c>
      <c r="C1542" s="5" t="str">
        <f t="shared" si="49"/>
        <v>2019-09</v>
      </c>
      <c r="D1542" s="3">
        <v>298.13</v>
      </c>
      <c r="E1542" s="3">
        <v>153.85</v>
      </c>
      <c r="F1542" s="3">
        <v>140.69</v>
      </c>
      <c r="G1542" s="3">
        <v>140.18</v>
      </c>
      <c r="H1542" s="3">
        <v>92.04</v>
      </c>
      <c r="I1542" s="2">
        <v>55.47</v>
      </c>
      <c r="J1542" s="2">
        <v>428.34</v>
      </c>
      <c r="K1542" s="2">
        <v>381.32</v>
      </c>
      <c r="L1542" s="3">
        <v>90.69</v>
      </c>
      <c r="M1542" s="2">
        <v>1.93</v>
      </c>
    </row>
    <row r="1543" spans="1:13">
      <c r="A1543" s="9">
        <v>43717</v>
      </c>
      <c r="B1543" s="1">
        <f t="shared" si="48"/>
        <v>43709</v>
      </c>
      <c r="C1543" s="5" t="str">
        <f t="shared" si="49"/>
        <v>2019-09</v>
      </c>
      <c r="D1543" s="3">
        <v>298.2</v>
      </c>
      <c r="E1543" s="3">
        <v>151.91</v>
      </c>
      <c r="F1543" s="3">
        <v>143.19999999999999</v>
      </c>
      <c r="G1543" s="3">
        <v>141.38999999999999</v>
      </c>
      <c r="H1543" s="3">
        <v>93</v>
      </c>
      <c r="I1543" s="2">
        <v>54.54</v>
      </c>
      <c r="J1543" s="2">
        <v>430.85</v>
      </c>
      <c r="K1543" s="2">
        <v>380.21</v>
      </c>
      <c r="L1543" s="3">
        <v>90.43</v>
      </c>
      <c r="M1543" s="2">
        <v>1.94</v>
      </c>
    </row>
    <row r="1544" spans="1:13">
      <c r="A1544" s="9">
        <v>43714</v>
      </c>
      <c r="B1544" s="1">
        <f t="shared" si="48"/>
        <v>43709</v>
      </c>
      <c r="C1544" s="5" t="str">
        <f t="shared" si="49"/>
        <v>2019-09</v>
      </c>
      <c r="D1544" s="3">
        <v>298.05</v>
      </c>
      <c r="E1544" s="3">
        <v>149.9</v>
      </c>
      <c r="F1544" s="3">
        <v>145.79</v>
      </c>
      <c r="G1544" s="3">
        <v>141.91999999999999</v>
      </c>
      <c r="H1544" s="3">
        <v>93.45</v>
      </c>
      <c r="I1544" s="2">
        <v>53.16</v>
      </c>
      <c r="J1544" s="2">
        <v>423.83</v>
      </c>
      <c r="K1544" s="2">
        <v>386.56</v>
      </c>
      <c r="L1544" s="3">
        <v>91.27</v>
      </c>
      <c r="M1544" s="2">
        <v>1.92</v>
      </c>
    </row>
    <row r="1545" spans="1:13">
      <c r="A1545" s="9">
        <v>43713</v>
      </c>
      <c r="B1545" s="1">
        <f t="shared" si="48"/>
        <v>43709</v>
      </c>
      <c r="C1545" s="5" t="str">
        <f t="shared" si="49"/>
        <v>2019-09</v>
      </c>
      <c r="D1545" s="3">
        <v>297.82</v>
      </c>
      <c r="E1545" s="3">
        <v>150.59</v>
      </c>
      <c r="F1545" s="3">
        <v>144.76</v>
      </c>
      <c r="G1545" s="3">
        <v>143.13999999999999</v>
      </c>
      <c r="H1545" s="3">
        <v>93.24</v>
      </c>
      <c r="I1545" s="2">
        <v>53.84</v>
      </c>
      <c r="J1545" s="2">
        <v>424.72</v>
      </c>
      <c r="K1545" s="2">
        <v>385.15</v>
      </c>
      <c r="L1545" s="3">
        <v>91.02</v>
      </c>
      <c r="M1545" s="2">
        <v>1.89</v>
      </c>
    </row>
    <row r="1546" spans="1:13">
      <c r="A1546" s="9">
        <v>43712</v>
      </c>
      <c r="B1546" s="1">
        <f t="shared" si="48"/>
        <v>43709</v>
      </c>
      <c r="C1546" s="5" t="str">
        <f t="shared" si="49"/>
        <v>2019-09</v>
      </c>
      <c r="D1546" s="3">
        <v>294.04000000000002</v>
      </c>
      <c r="E1546" s="3">
        <v>147.84</v>
      </c>
      <c r="F1546" s="3">
        <v>147.43</v>
      </c>
      <c r="G1546" s="3">
        <v>146.66</v>
      </c>
      <c r="H1546" s="3">
        <v>93.92</v>
      </c>
      <c r="I1546" s="2">
        <v>52.97</v>
      </c>
      <c r="J1546" s="2">
        <v>415.64</v>
      </c>
      <c r="K1546" s="2">
        <v>389.08</v>
      </c>
      <c r="L1546" s="3">
        <v>90.13</v>
      </c>
      <c r="M1546" s="2">
        <v>1.86</v>
      </c>
    </row>
    <row r="1547" spans="1:13">
      <c r="A1547" s="9">
        <v>43711</v>
      </c>
      <c r="B1547" s="1">
        <f t="shared" si="48"/>
        <v>43709</v>
      </c>
      <c r="C1547" s="5" t="str">
        <f t="shared" si="49"/>
        <v>2019-09</v>
      </c>
      <c r="D1547" s="3">
        <v>290.74</v>
      </c>
      <c r="E1547" s="3">
        <v>146.66</v>
      </c>
      <c r="F1547" s="3">
        <v>147.21</v>
      </c>
      <c r="G1547" s="3">
        <v>145.75</v>
      </c>
      <c r="H1547" s="3">
        <v>93.14</v>
      </c>
      <c r="I1547" s="2">
        <v>51.89</v>
      </c>
      <c r="J1547" s="2">
        <v>415.82</v>
      </c>
      <c r="K1547" s="2">
        <v>384.69</v>
      </c>
      <c r="L1547" s="3">
        <v>90.07</v>
      </c>
      <c r="M1547" s="2">
        <v>1.84</v>
      </c>
    </row>
    <row r="1548" spans="1:13">
      <c r="A1548" s="9">
        <v>43707</v>
      </c>
      <c r="B1548" s="1">
        <f t="shared" si="48"/>
        <v>43678</v>
      </c>
      <c r="C1548" s="5" t="str">
        <f t="shared" si="49"/>
        <v>2019-08</v>
      </c>
      <c r="D1548" s="3">
        <v>292.45</v>
      </c>
      <c r="E1548" s="3">
        <v>148.84</v>
      </c>
      <c r="F1548" s="3">
        <v>147.28</v>
      </c>
      <c r="G1548" s="3">
        <v>143.75</v>
      </c>
      <c r="H1548" s="3">
        <v>92.22</v>
      </c>
      <c r="I1548" s="2">
        <v>52.06</v>
      </c>
      <c r="J1548" s="2">
        <v>422.56</v>
      </c>
      <c r="K1548" s="2">
        <v>384.11</v>
      </c>
      <c r="L1548" s="3">
        <v>90.6</v>
      </c>
      <c r="M1548" s="2">
        <v>1.89</v>
      </c>
    </row>
    <row r="1549" spans="1:13">
      <c r="A1549" s="9">
        <v>43706</v>
      </c>
      <c r="B1549" s="1">
        <f t="shared" si="48"/>
        <v>43678</v>
      </c>
      <c r="C1549" s="5" t="str">
        <f t="shared" si="49"/>
        <v>2019-08</v>
      </c>
      <c r="D1549" s="3">
        <v>292.58</v>
      </c>
      <c r="E1549" s="3">
        <v>149.11000000000001</v>
      </c>
      <c r="F1549" s="3">
        <v>147.24</v>
      </c>
      <c r="G1549" s="3">
        <v>144.12</v>
      </c>
      <c r="H1549" s="3">
        <v>92.15</v>
      </c>
      <c r="I1549" s="2">
        <v>52.16</v>
      </c>
      <c r="J1549" s="2">
        <v>422.04</v>
      </c>
      <c r="K1549" s="2">
        <v>384.43</v>
      </c>
      <c r="L1549" s="3">
        <v>90.49</v>
      </c>
      <c r="M1549" s="2">
        <v>1.96</v>
      </c>
    </row>
    <row r="1550" spans="1:13">
      <c r="A1550" s="9">
        <v>43705</v>
      </c>
      <c r="B1550" s="1">
        <f t="shared" si="48"/>
        <v>43678</v>
      </c>
      <c r="C1550" s="5" t="str">
        <f t="shared" si="49"/>
        <v>2019-08</v>
      </c>
      <c r="D1550" s="3">
        <v>288.89</v>
      </c>
      <c r="E1550" s="3">
        <v>146.54</v>
      </c>
      <c r="F1550" s="3">
        <v>147.80000000000001</v>
      </c>
      <c r="G1550" s="3">
        <v>145.16</v>
      </c>
      <c r="H1550" s="3">
        <v>91.44</v>
      </c>
      <c r="I1550" s="2">
        <v>51.95</v>
      </c>
      <c r="J1550" s="2">
        <v>413.84</v>
      </c>
      <c r="K1550" s="2">
        <v>380.97</v>
      </c>
      <c r="L1550" s="3">
        <v>89.81</v>
      </c>
      <c r="M1550" s="2">
        <v>1.94</v>
      </c>
    </row>
    <row r="1551" spans="1:13">
      <c r="A1551" s="9">
        <v>43704</v>
      </c>
      <c r="B1551" s="1">
        <f t="shared" si="48"/>
        <v>43678</v>
      </c>
      <c r="C1551" s="5" t="str">
        <f t="shared" si="49"/>
        <v>2019-08</v>
      </c>
      <c r="D1551" s="3">
        <v>286.87</v>
      </c>
      <c r="E1551" s="3">
        <v>144.85</v>
      </c>
      <c r="F1551" s="3">
        <v>147.61000000000001</v>
      </c>
      <c r="G1551" s="3">
        <v>145.57</v>
      </c>
      <c r="H1551" s="3">
        <v>91.14</v>
      </c>
      <c r="I1551" s="2">
        <v>52.39</v>
      </c>
      <c r="J1551" s="2">
        <v>410.51</v>
      </c>
      <c r="K1551" s="2">
        <v>379.99</v>
      </c>
      <c r="L1551" s="3">
        <v>89.16</v>
      </c>
      <c r="M1551" s="2">
        <v>1.91</v>
      </c>
    </row>
    <row r="1552" spans="1:13">
      <c r="A1552" s="9">
        <v>43703</v>
      </c>
      <c r="B1552" s="1">
        <f t="shared" si="48"/>
        <v>43678</v>
      </c>
      <c r="C1552" s="5" t="str">
        <f t="shared" si="49"/>
        <v>2019-08</v>
      </c>
      <c r="D1552" s="3">
        <v>288</v>
      </c>
      <c r="E1552" s="3">
        <v>147.03</v>
      </c>
      <c r="F1552" s="3">
        <v>145.37</v>
      </c>
      <c r="G1552" s="3">
        <v>144.19</v>
      </c>
      <c r="H1552" s="3">
        <v>91.4</v>
      </c>
      <c r="I1552" s="2">
        <v>52.13</v>
      </c>
      <c r="J1552" s="2">
        <v>405.47</v>
      </c>
      <c r="K1552" s="2">
        <v>380.32</v>
      </c>
      <c r="L1552" s="3">
        <v>89.69</v>
      </c>
      <c r="M1552" s="2">
        <v>1.93</v>
      </c>
    </row>
    <row r="1553" spans="1:13">
      <c r="A1553" s="9">
        <v>43700</v>
      </c>
      <c r="B1553" s="1">
        <f t="shared" si="48"/>
        <v>43678</v>
      </c>
      <c r="C1553" s="5" t="str">
        <f t="shared" si="49"/>
        <v>2019-08</v>
      </c>
      <c r="D1553" s="3">
        <v>284.85000000000002</v>
      </c>
      <c r="E1553" s="3">
        <v>145.43</v>
      </c>
      <c r="F1553" s="3">
        <v>145.96</v>
      </c>
      <c r="G1553" s="3">
        <v>144.16999999999999</v>
      </c>
      <c r="H1553" s="3">
        <v>90.7</v>
      </c>
      <c r="I1553" s="2">
        <v>51.58</v>
      </c>
      <c r="J1553" s="2">
        <v>407.25</v>
      </c>
      <c r="K1553" s="2">
        <v>376.89</v>
      </c>
      <c r="L1553" s="3">
        <v>88.76</v>
      </c>
      <c r="M1553" s="2">
        <v>1.94</v>
      </c>
    </row>
    <row r="1554" spans="1:13">
      <c r="A1554" s="9">
        <v>43699</v>
      </c>
      <c r="B1554" s="1">
        <f t="shared" si="48"/>
        <v>43678</v>
      </c>
      <c r="C1554" s="5" t="str">
        <f t="shared" si="49"/>
        <v>2019-08</v>
      </c>
      <c r="D1554" s="3">
        <v>292.36</v>
      </c>
      <c r="E1554" s="3">
        <v>150.03</v>
      </c>
      <c r="F1554" s="3">
        <v>143.6</v>
      </c>
      <c r="G1554" s="3">
        <v>141.4</v>
      </c>
      <c r="H1554" s="3">
        <v>91.99</v>
      </c>
      <c r="I1554" s="2">
        <v>53.19</v>
      </c>
      <c r="J1554" s="2">
        <v>419</v>
      </c>
      <c r="K1554" s="2">
        <v>385.88</v>
      </c>
      <c r="L1554" s="3">
        <v>90.86</v>
      </c>
      <c r="M1554" s="2">
        <v>2</v>
      </c>
    </row>
    <row r="1555" spans="1:13">
      <c r="A1555" s="9">
        <v>43698</v>
      </c>
      <c r="B1555" s="1">
        <f t="shared" si="48"/>
        <v>43678</v>
      </c>
      <c r="C1555" s="5" t="str">
        <f t="shared" si="49"/>
        <v>2019-08</v>
      </c>
      <c r="D1555" s="3">
        <v>292.45</v>
      </c>
      <c r="E1555" s="3">
        <v>150.38</v>
      </c>
      <c r="F1555" s="3">
        <v>144.56</v>
      </c>
      <c r="G1555" s="3">
        <v>141.76</v>
      </c>
      <c r="H1555" s="3">
        <v>91.57</v>
      </c>
      <c r="I1555" s="2">
        <v>53.24</v>
      </c>
      <c r="J1555" s="2">
        <v>420.93</v>
      </c>
      <c r="K1555" s="2">
        <v>383</v>
      </c>
      <c r="L1555" s="3">
        <v>91.31</v>
      </c>
      <c r="M1555" s="2">
        <v>2</v>
      </c>
    </row>
    <row r="1556" spans="1:13">
      <c r="A1556" s="9">
        <v>43697</v>
      </c>
      <c r="B1556" s="1">
        <f t="shared" si="48"/>
        <v>43678</v>
      </c>
      <c r="C1556" s="5" t="str">
        <f t="shared" si="49"/>
        <v>2019-08</v>
      </c>
      <c r="D1556" s="3">
        <v>290.08999999999997</v>
      </c>
      <c r="E1556" s="3">
        <v>149.15</v>
      </c>
      <c r="F1556" s="3">
        <v>145.53</v>
      </c>
      <c r="G1556" s="3">
        <v>142.21</v>
      </c>
      <c r="H1556" s="3">
        <v>91.19</v>
      </c>
      <c r="I1556" s="2">
        <v>52.98</v>
      </c>
      <c r="J1556" s="2">
        <v>418.29</v>
      </c>
      <c r="K1556" s="2">
        <v>381.75</v>
      </c>
      <c r="L1556" s="3">
        <v>90.64</v>
      </c>
      <c r="M1556" s="2">
        <v>1.99</v>
      </c>
    </row>
    <row r="1557" spans="1:13">
      <c r="A1557" s="9">
        <v>43696</v>
      </c>
      <c r="B1557" s="1">
        <f t="shared" si="48"/>
        <v>43678</v>
      </c>
      <c r="C1557" s="5" t="str">
        <f t="shared" si="49"/>
        <v>2019-08</v>
      </c>
      <c r="D1557" s="3">
        <v>292.33</v>
      </c>
      <c r="E1557" s="3">
        <v>150.13</v>
      </c>
      <c r="F1557" s="3">
        <v>144.04</v>
      </c>
      <c r="G1557" s="3">
        <v>141.11000000000001</v>
      </c>
      <c r="H1557" s="3">
        <v>91.84</v>
      </c>
      <c r="I1557" s="2">
        <v>53.87</v>
      </c>
      <c r="J1557" s="2">
        <v>425.56</v>
      </c>
      <c r="K1557" s="2">
        <v>380.47</v>
      </c>
      <c r="L1557" s="3">
        <v>91.42</v>
      </c>
      <c r="M1557" s="2">
        <v>1.96</v>
      </c>
    </row>
    <row r="1558" spans="1:13">
      <c r="A1558" s="9">
        <v>43693</v>
      </c>
      <c r="B1558" s="1">
        <f t="shared" si="48"/>
        <v>43678</v>
      </c>
      <c r="C1558" s="5" t="str">
        <f t="shared" si="49"/>
        <v>2019-08</v>
      </c>
      <c r="D1558" s="3">
        <v>288.85000000000002</v>
      </c>
      <c r="E1558" s="3">
        <v>148.63</v>
      </c>
      <c r="F1558" s="3">
        <v>146.13</v>
      </c>
      <c r="G1558" s="3">
        <v>142.78</v>
      </c>
      <c r="H1558" s="3">
        <v>91.18</v>
      </c>
      <c r="I1558" s="2">
        <v>53.59</v>
      </c>
      <c r="J1558" s="2">
        <v>419.46</v>
      </c>
      <c r="K1558" s="2">
        <v>377</v>
      </c>
      <c r="L1558" s="3">
        <v>90.55</v>
      </c>
      <c r="M1558" s="2">
        <v>1.93</v>
      </c>
    </row>
    <row r="1559" spans="1:13">
      <c r="A1559" s="9">
        <v>43692</v>
      </c>
      <c r="B1559" s="1">
        <f t="shared" si="48"/>
        <v>43678</v>
      </c>
      <c r="C1559" s="5" t="str">
        <f t="shared" si="49"/>
        <v>2019-08</v>
      </c>
      <c r="D1559" s="3">
        <v>284.64999999999998</v>
      </c>
      <c r="E1559" s="3">
        <v>145.49</v>
      </c>
      <c r="F1559" s="3">
        <v>147.31</v>
      </c>
      <c r="G1559" s="3">
        <v>143.69999999999999</v>
      </c>
      <c r="H1559" s="3">
        <v>90.25</v>
      </c>
      <c r="I1559" s="2">
        <v>52.59</v>
      </c>
      <c r="J1559" s="2">
        <v>409.3</v>
      </c>
      <c r="K1559" s="2">
        <v>373.46</v>
      </c>
      <c r="L1559" s="3">
        <v>89.45</v>
      </c>
      <c r="M1559" s="2">
        <v>1.63</v>
      </c>
    </row>
    <row r="1560" spans="1:13">
      <c r="A1560" s="9">
        <v>43691</v>
      </c>
      <c r="B1560" s="1">
        <f t="shared" si="48"/>
        <v>43678</v>
      </c>
      <c r="C1560" s="5" t="str">
        <f t="shared" si="49"/>
        <v>2019-08</v>
      </c>
      <c r="D1560" s="3">
        <v>283.89999999999998</v>
      </c>
      <c r="E1560" s="3">
        <v>146.07</v>
      </c>
      <c r="F1560" s="3">
        <v>145.69</v>
      </c>
      <c r="G1560" s="3">
        <v>142.75</v>
      </c>
      <c r="H1560" s="3">
        <v>89.36</v>
      </c>
      <c r="I1560" s="2">
        <v>52.32</v>
      </c>
      <c r="J1560" s="2">
        <v>411.37</v>
      </c>
      <c r="K1560" s="2">
        <v>368.94</v>
      </c>
      <c r="L1560" s="3">
        <v>89.14</v>
      </c>
      <c r="M1560" s="2">
        <v>1.68</v>
      </c>
    </row>
    <row r="1561" spans="1:13">
      <c r="A1561" s="9">
        <v>43690</v>
      </c>
      <c r="B1561" s="1">
        <f t="shared" si="48"/>
        <v>43678</v>
      </c>
      <c r="C1561" s="5" t="str">
        <f t="shared" si="49"/>
        <v>2019-08</v>
      </c>
      <c r="D1561" s="3">
        <v>292.55</v>
      </c>
      <c r="E1561" s="3">
        <v>150.27000000000001</v>
      </c>
      <c r="F1561" s="3">
        <v>142.47999999999999</v>
      </c>
      <c r="G1561" s="3">
        <v>141.78</v>
      </c>
      <c r="H1561" s="3">
        <v>90.74</v>
      </c>
      <c r="I1561" s="2">
        <v>53.97</v>
      </c>
      <c r="J1561" s="2">
        <v>425.33</v>
      </c>
      <c r="K1561" s="2">
        <v>377.22</v>
      </c>
      <c r="L1561" s="3">
        <v>91.69</v>
      </c>
      <c r="M1561" s="2">
        <v>1.7</v>
      </c>
    </row>
    <row r="1562" spans="1:13">
      <c r="A1562" s="9">
        <v>43689</v>
      </c>
      <c r="B1562" s="1">
        <f t="shared" si="48"/>
        <v>43678</v>
      </c>
      <c r="C1562" s="5" t="str">
        <f t="shared" si="49"/>
        <v>2019-08</v>
      </c>
      <c r="D1562" s="3">
        <v>288.07</v>
      </c>
      <c r="E1562" s="3">
        <v>148.66999999999999</v>
      </c>
      <c r="F1562" s="3">
        <v>142.97</v>
      </c>
      <c r="G1562" s="3">
        <v>142.63</v>
      </c>
      <c r="H1562" s="3">
        <v>90.61</v>
      </c>
      <c r="I1562" s="2">
        <v>53.25</v>
      </c>
      <c r="J1562" s="2">
        <v>416.44</v>
      </c>
      <c r="K1562" s="2">
        <v>377</v>
      </c>
      <c r="L1562" s="3">
        <v>90.51</v>
      </c>
      <c r="M1562" s="2">
        <v>1.7</v>
      </c>
    </row>
    <row r="1563" spans="1:13">
      <c r="A1563" s="9">
        <v>43686</v>
      </c>
      <c r="B1563" s="1">
        <f t="shared" si="48"/>
        <v>43678</v>
      </c>
      <c r="C1563" s="5" t="str">
        <f t="shared" si="49"/>
        <v>2019-08</v>
      </c>
      <c r="D1563" s="3">
        <v>291.62</v>
      </c>
      <c r="E1563" s="3">
        <v>150.62</v>
      </c>
      <c r="F1563" s="3">
        <v>140.05000000000001</v>
      </c>
      <c r="G1563" s="3">
        <v>141.26</v>
      </c>
      <c r="H1563" s="3">
        <v>90.85</v>
      </c>
      <c r="I1563" s="2">
        <v>53.9</v>
      </c>
      <c r="J1563" s="2">
        <v>426.33</v>
      </c>
      <c r="K1563" s="2">
        <v>377.01</v>
      </c>
      <c r="L1563" s="3">
        <v>91.4</v>
      </c>
      <c r="M1563" s="2">
        <v>1.71</v>
      </c>
    </row>
    <row r="1564" spans="1:13">
      <c r="A1564" s="9">
        <v>43685</v>
      </c>
      <c r="B1564" s="1">
        <f t="shared" si="48"/>
        <v>43678</v>
      </c>
      <c r="C1564" s="5" t="str">
        <f t="shared" si="49"/>
        <v>2019-08</v>
      </c>
      <c r="D1564" s="3">
        <v>293.62</v>
      </c>
      <c r="E1564" s="3">
        <v>152.54</v>
      </c>
      <c r="F1564" s="3">
        <v>140.33000000000001</v>
      </c>
      <c r="G1564" s="3">
        <v>141.72999999999999</v>
      </c>
      <c r="H1564" s="3">
        <v>90.96</v>
      </c>
      <c r="I1564" s="2">
        <v>54.65</v>
      </c>
      <c r="J1564" s="2">
        <v>437.62</v>
      </c>
      <c r="K1564" s="2">
        <v>377.17</v>
      </c>
      <c r="L1564" s="3">
        <v>91.29</v>
      </c>
      <c r="M1564" s="2">
        <v>1.8</v>
      </c>
    </row>
    <row r="1565" spans="1:13">
      <c r="A1565" s="9">
        <v>43684</v>
      </c>
      <c r="B1565" s="1">
        <f t="shared" si="48"/>
        <v>43678</v>
      </c>
      <c r="C1565" s="5" t="str">
        <f t="shared" si="49"/>
        <v>2019-08</v>
      </c>
      <c r="D1565" s="3">
        <v>287.97000000000003</v>
      </c>
      <c r="E1565" s="3">
        <v>149.32</v>
      </c>
      <c r="F1565" s="3">
        <v>140.03</v>
      </c>
      <c r="G1565" s="3">
        <v>141.02000000000001</v>
      </c>
      <c r="H1565" s="3">
        <v>89.39</v>
      </c>
      <c r="I1565" s="2">
        <v>53.34</v>
      </c>
      <c r="J1565" s="2">
        <v>430.39</v>
      </c>
      <c r="K1565" s="2">
        <v>369.3</v>
      </c>
      <c r="L1565" s="3">
        <v>90.09</v>
      </c>
      <c r="M1565" s="2">
        <v>1.79</v>
      </c>
    </row>
    <row r="1566" spans="1:13">
      <c r="A1566" s="9">
        <v>43683</v>
      </c>
      <c r="B1566" s="1">
        <f t="shared" si="48"/>
        <v>43678</v>
      </c>
      <c r="C1566" s="5" t="str">
        <f t="shared" si="49"/>
        <v>2019-08</v>
      </c>
      <c r="D1566" s="3">
        <v>287.8</v>
      </c>
      <c r="E1566" s="3">
        <v>149.36000000000001</v>
      </c>
      <c r="F1566" s="3">
        <v>139.97999999999999</v>
      </c>
      <c r="G1566" s="3">
        <v>138.91</v>
      </c>
      <c r="H1566" s="3">
        <v>88.53</v>
      </c>
      <c r="I1566" s="2">
        <v>53.96</v>
      </c>
      <c r="J1566" s="2">
        <v>435.71</v>
      </c>
      <c r="K1566" s="2">
        <v>366.78</v>
      </c>
      <c r="L1566" s="3">
        <v>90.06</v>
      </c>
      <c r="M1566" s="2">
        <v>1.76</v>
      </c>
    </row>
    <row r="1567" spans="1:13">
      <c r="A1567" s="9">
        <v>43682</v>
      </c>
      <c r="B1567" s="1">
        <f t="shared" si="48"/>
        <v>43678</v>
      </c>
      <c r="C1567" s="5" t="str">
        <f t="shared" si="49"/>
        <v>2019-08</v>
      </c>
      <c r="D1567" s="3">
        <v>283.82</v>
      </c>
      <c r="E1567" s="3">
        <v>148</v>
      </c>
      <c r="F1567" s="3">
        <v>138.87</v>
      </c>
      <c r="G1567" s="3">
        <v>137.79</v>
      </c>
      <c r="H1567" s="3">
        <v>87.56</v>
      </c>
      <c r="I1567" s="2">
        <v>53.76</v>
      </c>
      <c r="J1567" s="2">
        <v>431.32</v>
      </c>
      <c r="K1567" s="2">
        <v>358.43</v>
      </c>
      <c r="L1567" s="3">
        <v>88.91</v>
      </c>
      <c r="M1567" s="2">
        <v>1.63</v>
      </c>
    </row>
    <row r="1568" spans="1:13">
      <c r="A1568" s="9">
        <v>43679</v>
      </c>
      <c r="B1568" s="1">
        <f t="shared" si="48"/>
        <v>43678</v>
      </c>
      <c r="C1568" s="5" t="str">
        <f t="shared" si="49"/>
        <v>2019-08</v>
      </c>
      <c r="D1568" s="3">
        <v>292.62</v>
      </c>
      <c r="E1568" s="3">
        <v>152.58000000000001</v>
      </c>
      <c r="F1568" s="3">
        <v>136.51</v>
      </c>
      <c r="G1568" s="3">
        <v>135.88999999999999</v>
      </c>
      <c r="H1568" s="3">
        <v>89.32</v>
      </c>
      <c r="I1568" s="2">
        <v>55.84</v>
      </c>
      <c r="J1568" s="2">
        <v>448.22</v>
      </c>
      <c r="K1568" s="2">
        <v>361.91</v>
      </c>
      <c r="L1568" s="3">
        <v>91.05</v>
      </c>
      <c r="M1568" s="2">
        <v>1.7</v>
      </c>
    </row>
    <row r="1569" spans="1:13">
      <c r="A1569" s="9">
        <v>43678</v>
      </c>
      <c r="B1569" s="1">
        <f t="shared" si="48"/>
        <v>43678</v>
      </c>
      <c r="C1569" s="5" t="str">
        <f t="shared" si="49"/>
        <v>2019-08</v>
      </c>
      <c r="D1569" s="3">
        <v>294.83999999999997</v>
      </c>
      <c r="E1569" s="3">
        <v>154.29</v>
      </c>
      <c r="F1569" s="3">
        <v>135.26</v>
      </c>
      <c r="G1569" s="3">
        <v>136.41</v>
      </c>
      <c r="H1569" s="3">
        <v>88.89</v>
      </c>
      <c r="I1569" s="2">
        <v>55.88</v>
      </c>
      <c r="J1569" s="2">
        <v>451.95</v>
      </c>
      <c r="K1569" s="2">
        <v>363.09</v>
      </c>
      <c r="L1569" s="3">
        <v>91.26</v>
      </c>
      <c r="M1569" s="2">
        <v>1.81</v>
      </c>
    </row>
    <row r="1570" spans="1:13">
      <c r="A1570" s="9">
        <v>43677</v>
      </c>
      <c r="B1570" s="1">
        <f t="shared" si="48"/>
        <v>43647</v>
      </c>
      <c r="C1570" s="5" t="str">
        <f t="shared" si="49"/>
        <v>2019-07</v>
      </c>
      <c r="D1570" s="3">
        <v>297.43</v>
      </c>
      <c r="E1570" s="3">
        <v>156.56</v>
      </c>
      <c r="F1570" s="3">
        <v>132.88999999999999</v>
      </c>
      <c r="G1570" s="3">
        <v>133.21</v>
      </c>
      <c r="H1570" s="3">
        <v>88.89</v>
      </c>
      <c r="I1570" s="2">
        <v>56.3</v>
      </c>
      <c r="J1570" s="2">
        <v>467.68</v>
      </c>
      <c r="K1570" s="2">
        <v>362.17</v>
      </c>
      <c r="L1570" s="3">
        <v>91.14</v>
      </c>
      <c r="M1570" s="2">
        <v>1.83</v>
      </c>
    </row>
    <row r="1571" spans="1:13">
      <c r="A1571" s="9">
        <v>43676</v>
      </c>
      <c r="B1571" s="1">
        <f t="shared" si="48"/>
        <v>43647</v>
      </c>
      <c r="C1571" s="5" t="str">
        <f t="shared" si="49"/>
        <v>2019-07</v>
      </c>
      <c r="D1571" s="3">
        <v>300.72000000000003</v>
      </c>
      <c r="E1571" s="3">
        <v>157.84</v>
      </c>
      <c r="F1571" s="3">
        <v>131.83000000000001</v>
      </c>
      <c r="G1571" s="3">
        <v>134.97999999999999</v>
      </c>
      <c r="H1571" s="3">
        <v>89.24</v>
      </c>
      <c r="I1571" s="2">
        <v>57.49</v>
      </c>
      <c r="J1571" s="2">
        <v>478.41</v>
      </c>
      <c r="K1571" s="2">
        <v>365.99</v>
      </c>
      <c r="L1571" s="3">
        <v>92.05</v>
      </c>
      <c r="M1571" s="2">
        <v>1.85</v>
      </c>
    </row>
    <row r="1572" spans="1:13">
      <c r="A1572" s="9">
        <v>43675</v>
      </c>
      <c r="B1572" s="1">
        <f t="shared" si="48"/>
        <v>43647</v>
      </c>
      <c r="C1572" s="5" t="str">
        <f t="shared" si="49"/>
        <v>2019-07</v>
      </c>
      <c r="D1572" s="3">
        <v>301.45999999999998</v>
      </c>
      <c r="E1572" s="3">
        <v>156.15</v>
      </c>
      <c r="F1572" s="3">
        <v>131.51</v>
      </c>
      <c r="G1572" s="3">
        <v>134.53</v>
      </c>
      <c r="H1572" s="3">
        <v>88.53</v>
      </c>
      <c r="I1572" s="2">
        <v>58.06</v>
      </c>
      <c r="J1572" s="2">
        <v>478.31</v>
      </c>
      <c r="K1572" s="2">
        <v>369.62</v>
      </c>
      <c r="L1572" s="3">
        <v>92.45</v>
      </c>
      <c r="M1572" s="2">
        <v>1.87</v>
      </c>
    </row>
    <row r="1573" spans="1:13">
      <c r="A1573" s="9">
        <v>43672</v>
      </c>
      <c r="B1573" s="1">
        <f t="shared" si="48"/>
        <v>43647</v>
      </c>
      <c r="C1573" s="5" t="str">
        <f t="shared" si="49"/>
        <v>2019-07</v>
      </c>
      <c r="D1573" s="3">
        <v>302.01</v>
      </c>
      <c r="E1573" s="3">
        <v>157.19999999999999</v>
      </c>
      <c r="F1573" s="3">
        <v>131.47</v>
      </c>
      <c r="G1573" s="3">
        <v>133.63999999999999</v>
      </c>
      <c r="H1573" s="3">
        <v>88.29</v>
      </c>
      <c r="I1573" s="2">
        <v>58.5</v>
      </c>
      <c r="J1573" s="2">
        <v>478.17</v>
      </c>
      <c r="K1573" s="2">
        <v>369.46</v>
      </c>
      <c r="L1573" s="3">
        <v>92.07</v>
      </c>
      <c r="M1573" s="2">
        <v>1.87</v>
      </c>
    </row>
    <row r="1574" spans="1:13">
      <c r="A1574" s="9">
        <v>43671</v>
      </c>
      <c r="B1574" s="1">
        <f t="shared" si="48"/>
        <v>43647</v>
      </c>
      <c r="C1574" s="5" t="str">
        <f t="shared" si="49"/>
        <v>2019-07</v>
      </c>
      <c r="D1574" s="3">
        <v>300</v>
      </c>
      <c r="E1574" s="3">
        <v>155.36000000000001</v>
      </c>
      <c r="F1574" s="3">
        <v>131.16</v>
      </c>
      <c r="G1574" s="3">
        <v>133.41999999999999</v>
      </c>
      <c r="H1574" s="3">
        <v>87.89</v>
      </c>
      <c r="I1574" s="2">
        <v>58.29</v>
      </c>
      <c r="J1574" s="2">
        <v>473.87</v>
      </c>
      <c r="K1574" s="2">
        <v>370.32</v>
      </c>
      <c r="L1574" s="3">
        <v>91.74</v>
      </c>
      <c r="M1574" s="2">
        <v>1.89</v>
      </c>
    </row>
    <row r="1575" spans="1:13">
      <c r="A1575" s="9">
        <v>43670</v>
      </c>
      <c r="B1575" s="1">
        <f t="shared" si="48"/>
        <v>43647</v>
      </c>
      <c r="C1575" s="5" t="str">
        <f t="shared" si="49"/>
        <v>2019-07</v>
      </c>
      <c r="D1575" s="3">
        <v>301.44</v>
      </c>
      <c r="E1575" s="3">
        <v>157.26</v>
      </c>
      <c r="F1575" s="3">
        <v>131.79</v>
      </c>
      <c r="G1575" s="3">
        <v>134.37</v>
      </c>
      <c r="H1575" s="3">
        <v>88.41</v>
      </c>
      <c r="I1575" s="2">
        <v>58.11</v>
      </c>
      <c r="J1575" s="2">
        <v>477.15</v>
      </c>
      <c r="K1575" s="2">
        <v>368.9</v>
      </c>
      <c r="L1575" s="3">
        <v>92.19</v>
      </c>
      <c r="M1575" s="2">
        <v>1.93</v>
      </c>
    </row>
    <row r="1576" spans="1:13">
      <c r="A1576" s="9">
        <v>43669</v>
      </c>
      <c r="B1576" s="1">
        <f t="shared" si="48"/>
        <v>43647</v>
      </c>
      <c r="C1576" s="5" t="str">
        <f t="shared" si="49"/>
        <v>2019-07</v>
      </c>
      <c r="D1576" s="3">
        <v>300.02999999999997</v>
      </c>
      <c r="E1576" s="3">
        <v>154.69999999999999</v>
      </c>
      <c r="F1576" s="3">
        <v>131.22</v>
      </c>
      <c r="G1576" s="3">
        <v>133.69</v>
      </c>
      <c r="H1576" s="3">
        <v>88.34</v>
      </c>
      <c r="I1576" s="2">
        <v>57.45</v>
      </c>
      <c r="J1576" s="2">
        <v>477.46</v>
      </c>
      <c r="K1576" s="2">
        <v>357.8</v>
      </c>
      <c r="L1576" s="3">
        <v>92.14</v>
      </c>
      <c r="M1576" s="2">
        <v>1.91</v>
      </c>
    </row>
    <row r="1577" spans="1:13">
      <c r="A1577" s="9">
        <v>43668</v>
      </c>
      <c r="B1577" s="1">
        <f t="shared" si="48"/>
        <v>43647</v>
      </c>
      <c r="C1577" s="5" t="str">
        <f t="shared" si="49"/>
        <v>2019-07</v>
      </c>
      <c r="D1577" s="3">
        <v>297.89999999999998</v>
      </c>
      <c r="E1577" s="3">
        <v>153.68</v>
      </c>
      <c r="F1577" s="3">
        <v>131.94</v>
      </c>
      <c r="G1577" s="3">
        <v>134.44999999999999</v>
      </c>
      <c r="H1577" s="3">
        <v>87.35</v>
      </c>
      <c r="I1577" s="2">
        <v>57.6</v>
      </c>
      <c r="J1577" s="2">
        <v>473.55</v>
      </c>
      <c r="K1577" s="2">
        <v>357.63</v>
      </c>
      <c r="L1577" s="3">
        <v>91.57</v>
      </c>
      <c r="M1577" s="2">
        <v>1.95</v>
      </c>
    </row>
    <row r="1578" spans="1:13">
      <c r="A1578" s="9">
        <v>43665</v>
      </c>
      <c r="B1578" s="1">
        <f t="shared" si="48"/>
        <v>43647</v>
      </c>
      <c r="C1578" s="5" t="str">
        <f t="shared" si="49"/>
        <v>2019-07</v>
      </c>
      <c r="D1578" s="3">
        <v>297.17</v>
      </c>
      <c r="E1578" s="3">
        <v>153.82</v>
      </c>
      <c r="F1578" s="3">
        <v>131.69</v>
      </c>
      <c r="G1578" s="3">
        <v>134.47</v>
      </c>
      <c r="H1578" s="3">
        <v>87.43</v>
      </c>
      <c r="I1578" s="2">
        <v>57.54</v>
      </c>
      <c r="J1578" s="2">
        <v>473.24</v>
      </c>
      <c r="K1578" s="2">
        <v>356.96</v>
      </c>
      <c r="L1578" s="3">
        <v>91.76</v>
      </c>
      <c r="M1578" s="2">
        <v>1.9</v>
      </c>
    </row>
    <row r="1579" spans="1:13">
      <c r="A1579" s="9">
        <v>43664</v>
      </c>
      <c r="B1579" s="1">
        <f t="shared" si="48"/>
        <v>43647</v>
      </c>
      <c r="C1579" s="5" t="str">
        <f t="shared" si="49"/>
        <v>2019-07</v>
      </c>
      <c r="D1579" s="3">
        <v>298.83</v>
      </c>
      <c r="E1579" s="3">
        <v>154.71</v>
      </c>
      <c r="F1579" s="3">
        <v>132</v>
      </c>
      <c r="G1579" s="3">
        <v>136.47999999999999</v>
      </c>
      <c r="H1579" s="3">
        <v>88.88</v>
      </c>
      <c r="I1579" s="2">
        <v>58.12</v>
      </c>
      <c r="J1579" s="2">
        <v>475.14</v>
      </c>
      <c r="K1579" s="2">
        <v>356.21</v>
      </c>
      <c r="L1579" s="3">
        <v>92.72</v>
      </c>
      <c r="M1579" s="2">
        <v>1.86</v>
      </c>
    </row>
    <row r="1580" spans="1:13">
      <c r="A1580" s="9">
        <v>43663</v>
      </c>
      <c r="B1580" s="1">
        <f t="shared" si="48"/>
        <v>43647</v>
      </c>
      <c r="C1580" s="5" t="str">
        <f t="shared" si="49"/>
        <v>2019-07</v>
      </c>
      <c r="D1580" s="3">
        <v>297.74</v>
      </c>
      <c r="E1580" s="3">
        <v>154.13</v>
      </c>
      <c r="F1580" s="3">
        <v>131.99</v>
      </c>
      <c r="G1580" s="3">
        <v>134.58000000000001</v>
      </c>
      <c r="H1580" s="3">
        <v>88.88</v>
      </c>
      <c r="I1580" s="2">
        <v>57.99</v>
      </c>
      <c r="J1580" s="2">
        <v>471</v>
      </c>
      <c r="K1580" s="2">
        <v>358.47</v>
      </c>
      <c r="L1580" s="3">
        <v>92.2</v>
      </c>
      <c r="M1580" s="2">
        <v>1.88</v>
      </c>
    </row>
    <row r="1581" spans="1:13">
      <c r="A1581" s="9">
        <v>43662</v>
      </c>
      <c r="B1581" s="1">
        <f t="shared" si="48"/>
        <v>43647</v>
      </c>
      <c r="C1581" s="5" t="str">
        <f t="shared" si="49"/>
        <v>2019-07</v>
      </c>
      <c r="D1581" s="3">
        <v>299.70999999999998</v>
      </c>
      <c r="E1581" s="3">
        <v>155.24</v>
      </c>
      <c r="F1581" s="3">
        <v>130.58000000000001</v>
      </c>
      <c r="G1581" s="3">
        <v>132.4</v>
      </c>
      <c r="H1581" s="3">
        <v>89.18</v>
      </c>
      <c r="I1581" s="2">
        <v>58.61</v>
      </c>
      <c r="J1581" s="2">
        <v>477.17</v>
      </c>
      <c r="K1581" s="2">
        <v>365.35</v>
      </c>
      <c r="L1581" s="3">
        <v>92.18</v>
      </c>
      <c r="M1581" s="2">
        <v>1.92</v>
      </c>
    </row>
    <row r="1582" spans="1:13">
      <c r="A1582" s="9">
        <v>43661</v>
      </c>
      <c r="B1582" s="1">
        <f t="shared" si="48"/>
        <v>43647</v>
      </c>
      <c r="C1582" s="5" t="str">
        <f t="shared" si="49"/>
        <v>2019-07</v>
      </c>
      <c r="D1582" s="3">
        <v>300.75</v>
      </c>
      <c r="E1582" s="3">
        <v>155.29</v>
      </c>
      <c r="F1582" s="3">
        <v>130.97</v>
      </c>
      <c r="G1582" s="3">
        <v>133.53</v>
      </c>
      <c r="H1582" s="3">
        <v>89.39</v>
      </c>
      <c r="I1582" s="2">
        <v>59.53</v>
      </c>
      <c r="J1582" s="2">
        <v>481.7</v>
      </c>
      <c r="K1582" s="2">
        <v>367.69</v>
      </c>
      <c r="L1582" s="3">
        <v>92.64</v>
      </c>
      <c r="M1582" s="2">
        <v>1.87</v>
      </c>
    </row>
    <row r="1583" spans="1:13">
      <c r="A1583" s="9">
        <v>43658</v>
      </c>
      <c r="B1583" s="1">
        <f t="shared" si="48"/>
        <v>43647</v>
      </c>
      <c r="C1583" s="5" t="str">
        <f t="shared" si="49"/>
        <v>2019-07</v>
      </c>
      <c r="D1583" s="3">
        <v>300.64999999999998</v>
      </c>
      <c r="E1583" s="3">
        <v>156.11000000000001</v>
      </c>
      <c r="F1583" s="3">
        <v>130.22</v>
      </c>
      <c r="G1583" s="3">
        <v>133.53</v>
      </c>
      <c r="H1583" s="3">
        <v>89.46</v>
      </c>
      <c r="I1583" s="2">
        <v>59.81</v>
      </c>
      <c r="J1583" s="2">
        <v>482.46</v>
      </c>
      <c r="K1583" s="2">
        <v>369.45</v>
      </c>
      <c r="L1583" s="3">
        <v>92.44</v>
      </c>
      <c r="M1583" s="2">
        <v>1.86</v>
      </c>
    </row>
    <row r="1584" spans="1:13">
      <c r="A1584" s="9">
        <v>43657</v>
      </c>
      <c r="B1584" s="1">
        <f t="shared" si="48"/>
        <v>43647</v>
      </c>
      <c r="C1584" s="5" t="str">
        <f t="shared" si="49"/>
        <v>2019-07</v>
      </c>
      <c r="D1584" s="3">
        <v>299.31</v>
      </c>
      <c r="E1584" s="3">
        <v>154.91</v>
      </c>
      <c r="F1584" s="3">
        <v>130.07</v>
      </c>
      <c r="G1584" s="3">
        <v>132.69999999999999</v>
      </c>
      <c r="H1584" s="3">
        <v>89.58</v>
      </c>
      <c r="I1584" s="2">
        <v>59.99</v>
      </c>
      <c r="J1584" s="2">
        <v>480.07</v>
      </c>
      <c r="K1584" s="2">
        <v>368.23</v>
      </c>
      <c r="L1584" s="3">
        <v>93.48</v>
      </c>
      <c r="M1584" s="2">
        <v>1.89</v>
      </c>
    </row>
    <row r="1585" spans="1:13">
      <c r="A1585" s="9">
        <v>43656</v>
      </c>
      <c r="B1585" s="1">
        <f t="shared" si="48"/>
        <v>43647</v>
      </c>
      <c r="C1585" s="5" t="str">
        <f t="shared" si="49"/>
        <v>2019-07</v>
      </c>
      <c r="D1585" s="3">
        <v>298.61</v>
      </c>
      <c r="E1585" s="3">
        <v>155.66999999999999</v>
      </c>
      <c r="F1585" s="3">
        <v>131.83000000000001</v>
      </c>
      <c r="G1585" s="3">
        <v>133.83000000000001</v>
      </c>
      <c r="H1585" s="3">
        <v>90.76</v>
      </c>
      <c r="I1585" s="2">
        <v>60.15</v>
      </c>
      <c r="J1585" s="2">
        <v>475.54</v>
      </c>
      <c r="K1585" s="2">
        <v>368.16</v>
      </c>
      <c r="L1585" s="3">
        <v>93.46</v>
      </c>
      <c r="M1585" s="2">
        <v>1.92</v>
      </c>
    </row>
    <row r="1586" spans="1:13">
      <c r="A1586" s="9">
        <v>43655</v>
      </c>
      <c r="B1586" s="1">
        <f t="shared" si="48"/>
        <v>43647</v>
      </c>
      <c r="C1586" s="5" t="str">
        <f t="shared" si="49"/>
        <v>2019-07</v>
      </c>
      <c r="D1586" s="3">
        <v>297.19</v>
      </c>
      <c r="E1586" s="3">
        <v>155.4</v>
      </c>
      <c r="F1586" s="3">
        <v>132.56</v>
      </c>
      <c r="G1586" s="3">
        <v>131.75</v>
      </c>
      <c r="H1586" s="3">
        <v>90.24</v>
      </c>
      <c r="I1586" s="2">
        <v>59.6</v>
      </c>
      <c r="J1586" s="2">
        <v>473.82</v>
      </c>
      <c r="K1586" s="2">
        <v>369.73</v>
      </c>
      <c r="L1586" s="3">
        <v>93.14</v>
      </c>
      <c r="M1586" s="2">
        <v>1.87</v>
      </c>
    </row>
    <row r="1587" spans="1:13">
      <c r="A1587" s="9">
        <v>43654</v>
      </c>
      <c r="B1587" s="1">
        <f t="shared" si="48"/>
        <v>43647</v>
      </c>
      <c r="C1587" s="5" t="str">
        <f t="shared" si="49"/>
        <v>2019-07</v>
      </c>
      <c r="D1587" s="3">
        <v>296.82</v>
      </c>
      <c r="E1587" s="3">
        <v>155.19</v>
      </c>
      <c r="F1587" s="3">
        <v>132.61000000000001</v>
      </c>
      <c r="G1587" s="3">
        <v>131.29</v>
      </c>
      <c r="H1587" s="3">
        <v>89.94</v>
      </c>
      <c r="I1587" s="2">
        <v>59.53</v>
      </c>
      <c r="J1587" s="2">
        <v>472.44</v>
      </c>
      <c r="K1587" s="2">
        <v>369.18</v>
      </c>
      <c r="L1587" s="3">
        <v>93.05</v>
      </c>
      <c r="M1587" s="2">
        <v>1.86</v>
      </c>
    </row>
    <row r="1588" spans="1:13">
      <c r="A1588" s="9">
        <v>43651</v>
      </c>
      <c r="B1588" s="1">
        <f t="shared" si="48"/>
        <v>43647</v>
      </c>
      <c r="C1588" s="5" t="str">
        <f t="shared" si="49"/>
        <v>2019-07</v>
      </c>
      <c r="D1588" s="3">
        <v>298.45999999999998</v>
      </c>
      <c r="E1588" s="3">
        <v>156.68</v>
      </c>
      <c r="F1588" s="3">
        <v>132.43</v>
      </c>
      <c r="G1588" s="3">
        <v>132.13999999999999</v>
      </c>
      <c r="H1588" s="3">
        <v>89.62</v>
      </c>
      <c r="I1588" s="2">
        <v>59.28</v>
      </c>
      <c r="J1588" s="2">
        <v>478.69</v>
      </c>
      <c r="K1588" s="2">
        <v>369.92</v>
      </c>
      <c r="L1588" s="3">
        <v>93.75</v>
      </c>
      <c r="M1588" s="2">
        <v>1.86</v>
      </c>
    </row>
    <row r="1589" spans="1:13">
      <c r="A1589" s="9">
        <v>43649</v>
      </c>
      <c r="B1589" s="1">
        <f t="shared" si="48"/>
        <v>43647</v>
      </c>
      <c r="C1589" s="5" t="str">
        <f t="shared" si="49"/>
        <v>2019-07</v>
      </c>
      <c r="D1589" s="3">
        <v>298.8</v>
      </c>
      <c r="E1589" s="3">
        <v>156.26</v>
      </c>
      <c r="F1589" s="3">
        <v>134.21</v>
      </c>
      <c r="G1589" s="3">
        <v>133.63</v>
      </c>
      <c r="H1589" s="3">
        <v>89.94</v>
      </c>
      <c r="I1589" s="2">
        <v>58.86</v>
      </c>
      <c r="J1589" s="2">
        <v>475.35</v>
      </c>
      <c r="K1589" s="2">
        <v>370.38</v>
      </c>
      <c r="L1589" s="3">
        <v>94.4</v>
      </c>
      <c r="M1589" s="2">
        <v>1.89</v>
      </c>
    </row>
    <row r="1590" spans="1:13">
      <c r="A1590" s="9">
        <v>43648</v>
      </c>
      <c r="B1590" s="1">
        <f t="shared" si="48"/>
        <v>43647</v>
      </c>
      <c r="C1590" s="5" t="str">
        <f t="shared" si="49"/>
        <v>2019-07</v>
      </c>
      <c r="D1590" s="3">
        <v>296.43</v>
      </c>
      <c r="E1590" s="3">
        <v>155.15</v>
      </c>
      <c r="F1590" s="3">
        <v>133.26</v>
      </c>
      <c r="G1590" s="3">
        <v>133.41</v>
      </c>
      <c r="H1590" s="3">
        <v>88.88</v>
      </c>
      <c r="I1590" s="2">
        <v>58.46</v>
      </c>
      <c r="J1590" s="2">
        <v>469.87</v>
      </c>
      <c r="K1590" s="2">
        <v>367.57</v>
      </c>
      <c r="L1590" s="3">
        <v>93.6</v>
      </c>
      <c r="M1590" s="2">
        <v>1.91</v>
      </c>
    </row>
    <row r="1591" spans="1:13">
      <c r="A1591" s="9">
        <v>43647</v>
      </c>
      <c r="B1591" s="1">
        <f t="shared" si="48"/>
        <v>43647</v>
      </c>
      <c r="C1591" s="5" t="str">
        <f t="shared" si="49"/>
        <v>2019-07</v>
      </c>
      <c r="D1591" s="3">
        <v>295.66000000000003</v>
      </c>
      <c r="E1591" s="3">
        <v>156.1</v>
      </c>
      <c r="F1591" s="3">
        <v>132.24</v>
      </c>
      <c r="G1591" s="3">
        <v>130.62</v>
      </c>
      <c r="H1591" s="3">
        <v>87.36</v>
      </c>
      <c r="I1591" s="2">
        <v>58.01</v>
      </c>
      <c r="J1591" s="2">
        <v>472.93</v>
      </c>
      <c r="K1591" s="2">
        <v>361.47</v>
      </c>
      <c r="L1591" s="3">
        <v>93.1</v>
      </c>
      <c r="M1591" s="2">
        <v>1.93</v>
      </c>
    </row>
    <row r="1592" spans="1:13">
      <c r="A1592" s="9">
        <v>43644</v>
      </c>
      <c r="B1592" s="1">
        <f t="shared" si="48"/>
        <v>43617</v>
      </c>
      <c r="C1592" s="5" t="str">
        <f t="shared" si="49"/>
        <v>2019-06</v>
      </c>
      <c r="D1592" s="3">
        <v>293</v>
      </c>
      <c r="E1592" s="3">
        <v>155.5</v>
      </c>
      <c r="F1592" s="3">
        <v>132.81</v>
      </c>
      <c r="G1592" s="3">
        <v>133.19999999999999</v>
      </c>
      <c r="H1592" s="3">
        <v>87.4</v>
      </c>
      <c r="I1592" s="2">
        <v>56.97</v>
      </c>
      <c r="J1592" s="2">
        <v>469.3</v>
      </c>
      <c r="K1592" s="2">
        <v>363.54</v>
      </c>
      <c r="L1592" s="3">
        <v>92.64</v>
      </c>
      <c r="M1592" s="2">
        <v>1.94</v>
      </c>
    </row>
    <row r="1593" spans="1:13">
      <c r="A1593" s="9">
        <v>43643</v>
      </c>
      <c r="B1593" s="1">
        <f t="shared" si="48"/>
        <v>43617</v>
      </c>
      <c r="C1593" s="5" t="str">
        <f t="shared" si="49"/>
        <v>2019-06</v>
      </c>
      <c r="D1593" s="3">
        <v>291.5</v>
      </c>
      <c r="E1593" s="3">
        <v>153.63</v>
      </c>
      <c r="F1593" s="3">
        <v>132.9</v>
      </c>
      <c r="G1593" s="3">
        <v>132.84</v>
      </c>
      <c r="H1593" s="3">
        <v>87.1</v>
      </c>
      <c r="I1593" s="2">
        <v>56.77</v>
      </c>
      <c r="J1593" s="2">
        <v>464.48</v>
      </c>
      <c r="K1593" s="2">
        <v>359.09</v>
      </c>
      <c r="L1593" s="3">
        <v>92.33</v>
      </c>
      <c r="M1593" s="2">
        <v>1.92</v>
      </c>
    </row>
    <row r="1594" spans="1:13">
      <c r="A1594" s="9">
        <v>43642</v>
      </c>
      <c r="B1594" s="1">
        <f t="shared" si="48"/>
        <v>43617</v>
      </c>
      <c r="C1594" s="5" t="str">
        <f t="shared" si="49"/>
        <v>2019-06</v>
      </c>
      <c r="D1594" s="3">
        <v>290.47000000000003</v>
      </c>
      <c r="E1594" s="3">
        <v>150.80000000000001</v>
      </c>
      <c r="F1594" s="3">
        <v>131.97</v>
      </c>
      <c r="G1594" s="3">
        <v>132.97</v>
      </c>
      <c r="H1594" s="3">
        <v>86.82</v>
      </c>
      <c r="I1594" s="2">
        <v>56.66</v>
      </c>
      <c r="J1594" s="2">
        <v>460.96</v>
      </c>
      <c r="K1594" s="2">
        <v>359.5</v>
      </c>
      <c r="L1594" s="3">
        <v>91.69</v>
      </c>
      <c r="M1594" s="2">
        <v>1.92</v>
      </c>
    </row>
    <row r="1595" spans="1:13">
      <c r="A1595" s="9">
        <v>43641</v>
      </c>
      <c r="B1595" s="1">
        <f t="shared" si="48"/>
        <v>43617</v>
      </c>
      <c r="C1595" s="5" t="str">
        <f t="shared" si="49"/>
        <v>2019-06</v>
      </c>
      <c r="D1595" s="3">
        <v>290.76</v>
      </c>
      <c r="E1595" s="3">
        <v>151.15</v>
      </c>
      <c r="F1595" s="3">
        <v>132.82</v>
      </c>
      <c r="G1595" s="3">
        <v>134.19999999999999</v>
      </c>
      <c r="H1595" s="3">
        <v>88.59</v>
      </c>
      <c r="I1595" s="2">
        <v>56.07</v>
      </c>
      <c r="J1595" s="2">
        <v>458.36</v>
      </c>
      <c r="K1595" s="2">
        <v>360.56</v>
      </c>
      <c r="L1595" s="3">
        <v>92.86</v>
      </c>
      <c r="M1595" s="2">
        <v>1.91</v>
      </c>
    </row>
    <row r="1596" spans="1:13">
      <c r="A1596" s="9">
        <v>43640</v>
      </c>
      <c r="B1596" s="1">
        <f t="shared" si="48"/>
        <v>43617</v>
      </c>
      <c r="C1596" s="5" t="str">
        <f t="shared" si="49"/>
        <v>2019-06</v>
      </c>
      <c r="D1596" s="3">
        <v>293.64</v>
      </c>
      <c r="E1596" s="3">
        <v>152.08000000000001</v>
      </c>
      <c r="F1596" s="3">
        <v>132.41</v>
      </c>
      <c r="G1596" s="3">
        <v>133.94</v>
      </c>
      <c r="H1596" s="3">
        <v>89.92</v>
      </c>
      <c r="I1596" s="2">
        <v>56.74</v>
      </c>
      <c r="J1596" s="2">
        <v>463.4</v>
      </c>
      <c r="K1596" s="2">
        <v>359.98</v>
      </c>
      <c r="L1596" s="3">
        <v>93.24</v>
      </c>
      <c r="M1596" s="2">
        <v>1.94</v>
      </c>
    </row>
    <row r="1597" spans="1:13">
      <c r="A1597" s="9">
        <v>43637</v>
      </c>
      <c r="B1597" s="1">
        <f t="shared" si="48"/>
        <v>43617</v>
      </c>
      <c r="C1597" s="5" t="str">
        <f t="shared" si="49"/>
        <v>2019-06</v>
      </c>
      <c r="D1597" s="3">
        <v>294</v>
      </c>
      <c r="E1597" s="3">
        <v>153.94999999999999</v>
      </c>
      <c r="F1597" s="3">
        <v>131.43</v>
      </c>
      <c r="G1597" s="3">
        <v>131.97999999999999</v>
      </c>
      <c r="H1597" s="3">
        <v>90.23</v>
      </c>
      <c r="I1597" s="2">
        <v>56.12</v>
      </c>
      <c r="J1597" s="2">
        <v>468.24</v>
      </c>
      <c r="K1597" s="2">
        <v>359.36</v>
      </c>
      <c r="L1597" s="3">
        <v>93.73</v>
      </c>
      <c r="M1597" s="2">
        <v>1.91</v>
      </c>
    </row>
    <row r="1598" spans="1:13">
      <c r="A1598" s="9">
        <v>43636</v>
      </c>
      <c r="B1598" s="1">
        <f t="shared" si="48"/>
        <v>43617</v>
      </c>
      <c r="C1598" s="5" t="str">
        <f t="shared" si="49"/>
        <v>2019-06</v>
      </c>
      <c r="D1598" s="3">
        <v>295.86</v>
      </c>
      <c r="E1598" s="3">
        <v>155.29</v>
      </c>
      <c r="F1598" s="3">
        <v>132.88999999999999</v>
      </c>
      <c r="G1598" s="3">
        <v>131.11000000000001</v>
      </c>
      <c r="H1598" s="3">
        <v>91.52</v>
      </c>
      <c r="I1598" s="2">
        <v>56.99</v>
      </c>
      <c r="J1598" s="2">
        <v>465.58</v>
      </c>
      <c r="K1598" s="2">
        <v>362.8</v>
      </c>
      <c r="L1598" s="3">
        <v>93.68</v>
      </c>
      <c r="M1598" s="2">
        <v>1.9</v>
      </c>
    </row>
    <row r="1599" spans="1:13">
      <c r="A1599" s="9">
        <v>43635</v>
      </c>
      <c r="B1599" s="1">
        <f t="shared" si="48"/>
        <v>43617</v>
      </c>
      <c r="C1599" s="5" t="str">
        <f t="shared" si="49"/>
        <v>2019-06</v>
      </c>
      <c r="D1599" s="3">
        <v>293.06</v>
      </c>
      <c r="E1599" s="3">
        <v>154.56</v>
      </c>
      <c r="F1599" s="3">
        <v>132.54</v>
      </c>
      <c r="G1599" s="3">
        <v>127.89</v>
      </c>
      <c r="H1599" s="3">
        <v>91.06</v>
      </c>
      <c r="I1599" s="2">
        <v>52.68</v>
      </c>
      <c r="J1599" s="2">
        <v>454.95</v>
      </c>
      <c r="K1599" s="2">
        <v>355.73</v>
      </c>
      <c r="L1599" s="3">
        <v>93.27</v>
      </c>
      <c r="M1599" s="2">
        <v>1.87</v>
      </c>
    </row>
    <row r="1600" spans="1:13">
      <c r="A1600" s="9">
        <v>43634</v>
      </c>
      <c r="B1600" s="1">
        <f t="shared" si="48"/>
        <v>43617</v>
      </c>
      <c r="C1600" s="5" t="str">
        <f t="shared" si="49"/>
        <v>2019-06</v>
      </c>
      <c r="D1600" s="3">
        <v>292.39999999999998</v>
      </c>
      <c r="E1600" s="3">
        <v>154.01</v>
      </c>
      <c r="F1600" s="3">
        <v>132.35</v>
      </c>
      <c r="G1600" s="3">
        <v>127.12</v>
      </c>
      <c r="H1600" s="3">
        <v>90.57</v>
      </c>
      <c r="I1600" s="2">
        <v>52.9</v>
      </c>
      <c r="J1600" s="2">
        <v>449.31</v>
      </c>
      <c r="K1600" s="2">
        <v>353.52</v>
      </c>
      <c r="L1600" s="3">
        <v>92.44</v>
      </c>
      <c r="M1600" s="2">
        <v>1.84</v>
      </c>
    </row>
    <row r="1601" spans="1:13">
      <c r="A1601" s="9">
        <v>43633</v>
      </c>
      <c r="B1601" s="1">
        <f t="shared" si="48"/>
        <v>43617</v>
      </c>
      <c r="C1601" s="5" t="str">
        <f t="shared" si="49"/>
        <v>2019-06</v>
      </c>
      <c r="D1601" s="3">
        <v>289.37</v>
      </c>
      <c r="E1601" s="3">
        <v>152.24</v>
      </c>
      <c r="F1601" s="3">
        <v>131.69</v>
      </c>
      <c r="G1601" s="3">
        <v>126.48</v>
      </c>
      <c r="H1601" s="3">
        <v>90.66</v>
      </c>
      <c r="I1601" s="2">
        <v>53.13</v>
      </c>
      <c r="J1601" s="2">
        <v>440.12</v>
      </c>
      <c r="K1601" s="2">
        <v>348.69</v>
      </c>
      <c r="L1601" s="3">
        <v>91.66</v>
      </c>
      <c r="M1601" s="2">
        <v>1.8</v>
      </c>
    </row>
    <row r="1602" spans="1:13">
      <c r="A1602" s="9">
        <v>43630</v>
      </c>
      <c r="B1602" s="1">
        <f t="shared" ref="B1602:B1665" si="50">EOMONTH(A1602,-1)+1</f>
        <v>43617</v>
      </c>
      <c r="C1602" s="5" t="str">
        <f t="shared" si="49"/>
        <v>2019-06</v>
      </c>
      <c r="D1602" s="3">
        <v>289.26</v>
      </c>
      <c r="E1602" s="3">
        <v>151.72999999999999</v>
      </c>
      <c r="F1602" s="3">
        <v>131.46</v>
      </c>
      <c r="G1602" s="3">
        <v>126.56</v>
      </c>
      <c r="H1602" s="3">
        <v>89.7</v>
      </c>
      <c r="I1602" s="2">
        <v>53.28</v>
      </c>
      <c r="J1602" s="2">
        <v>446.97</v>
      </c>
      <c r="K1602" s="2">
        <v>350.14</v>
      </c>
      <c r="L1602" s="3">
        <v>91.25</v>
      </c>
      <c r="M1602" s="2">
        <v>1.75</v>
      </c>
    </row>
    <row r="1603" spans="1:13">
      <c r="A1603" s="9">
        <v>43629</v>
      </c>
      <c r="B1603" s="1">
        <f t="shared" si="50"/>
        <v>43617</v>
      </c>
      <c r="C1603" s="5" t="str">
        <f t="shared" ref="C1603:C1666" si="51">TEXT(A1603, "yyyy-mm")</f>
        <v>2019-06</v>
      </c>
      <c r="D1603" s="3">
        <v>289.58</v>
      </c>
      <c r="E1603" s="3">
        <v>153.07</v>
      </c>
      <c r="F1603" s="3">
        <v>131.13</v>
      </c>
      <c r="G1603" s="3">
        <v>126.6</v>
      </c>
      <c r="H1603" s="3">
        <v>89.65</v>
      </c>
      <c r="I1603" s="2">
        <v>53.84</v>
      </c>
      <c r="J1603" s="2">
        <v>448.28</v>
      </c>
      <c r="K1603" s="2">
        <v>349.08</v>
      </c>
      <c r="L1603" s="3">
        <v>91.46</v>
      </c>
      <c r="M1603" s="2">
        <v>1.74</v>
      </c>
    </row>
    <row r="1604" spans="1:13">
      <c r="A1604" s="9">
        <v>43628</v>
      </c>
      <c r="B1604" s="1">
        <f t="shared" si="50"/>
        <v>43617</v>
      </c>
      <c r="C1604" s="5" t="str">
        <f t="shared" si="51"/>
        <v>2019-06</v>
      </c>
      <c r="D1604" s="3">
        <v>288.39</v>
      </c>
      <c r="E1604" s="3">
        <v>151.47</v>
      </c>
      <c r="F1604" s="3">
        <v>130.68</v>
      </c>
      <c r="G1604" s="3">
        <v>125.83</v>
      </c>
      <c r="H1604" s="3">
        <v>89.27</v>
      </c>
      <c r="I1604" s="2">
        <v>53.62</v>
      </c>
      <c r="J1604" s="2">
        <v>446.25</v>
      </c>
      <c r="K1604" s="2">
        <v>345.51</v>
      </c>
      <c r="L1604" s="3">
        <v>91.57</v>
      </c>
      <c r="M1604" s="2">
        <v>1.82</v>
      </c>
    </row>
    <row r="1605" spans="1:13">
      <c r="A1605" s="9">
        <v>43627</v>
      </c>
      <c r="B1605" s="1">
        <f t="shared" si="50"/>
        <v>43617</v>
      </c>
      <c r="C1605" s="5" t="str">
        <f t="shared" si="51"/>
        <v>2019-06</v>
      </c>
      <c r="D1605" s="3">
        <v>288.89999999999998</v>
      </c>
      <c r="E1605" s="3">
        <v>151.30000000000001</v>
      </c>
      <c r="F1605" s="3">
        <v>130.58000000000001</v>
      </c>
      <c r="G1605" s="3">
        <v>125.18</v>
      </c>
      <c r="H1605" s="3">
        <v>88.97</v>
      </c>
      <c r="I1605" s="2">
        <v>53.94</v>
      </c>
      <c r="J1605" s="2">
        <v>443.12</v>
      </c>
      <c r="K1605" s="2">
        <v>344.04</v>
      </c>
      <c r="L1605" s="3">
        <v>91.13</v>
      </c>
      <c r="M1605" s="2">
        <v>1.84</v>
      </c>
    </row>
    <row r="1606" spans="1:13">
      <c r="A1606" s="9">
        <v>43626</v>
      </c>
      <c r="B1606" s="1">
        <f t="shared" si="50"/>
        <v>43617</v>
      </c>
      <c r="C1606" s="5" t="str">
        <f t="shared" si="51"/>
        <v>2019-06</v>
      </c>
      <c r="D1606" s="3">
        <v>288.97000000000003</v>
      </c>
      <c r="E1606" s="3">
        <v>151.75</v>
      </c>
      <c r="F1606" s="3">
        <v>130.5</v>
      </c>
      <c r="G1606" s="3">
        <v>125.33</v>
      </c>
      <c r="H1606" s="3">
        <v>88.73</v>
      </c>
      <c r="I1606" s="2">
        <v>54.01</v>
      </c>
      <c r="J1606" s="2">
        <v>443.81</v>
      </c>
      <c r="K1606" s="2">
        <v>351.6</v>
      </c>
      <c r="L1606" s="3">
        <v>91.28</v>
      </c>
      <c r="M1606" s="2">
        <v>1.85</v>
      </c>
    </row>
    <row r="1607" spans="1:13">
      <c r="A1607" s="9">
        <v>43623</v>
      </c>
      <c r="B1607" s="1">
        <f t="shared" si="50"/>
        <v>43617</v>
      </c>
      <c r="C1607" s="5" t="str">
        <f t="shared" si="51"/>
        <v>2019-06</v>
      </c>
      <c r="D1607" s="3">
        <v>287.64999999999998</v>
      </c>
      <c r="E1607" s="3">
        <v>150.86000000000001</v>
      </c>
      <c r="F1607" s="3">
        <v>131.74</v>
      </c>
      <c r="G1607" s="3">
        <v>126.59</v>
      </c>
      <c r="H1607" s="3">
        <v>89.02</v>
      </c>
      <c r="I1607" s="2">
        <v>53.26</v>
      </c>
      <c r="J1607" s="2">
        <v>444.11</v>
      </c>
      <c r="K1607" s="2">
        <v>355.23</v>
      </c>
      <c r="L1607" s="3">
        <v>91.01</v>
      </c>
      <c r="M1607" s="2">
        <v>1.84</v>
      </c>
    </row>
    <row r="1608" spans="1:13">
      <c r="A1608" s="9">
        <v>43622</v>
      </c>
      <c r="B1608" s="1">
        <f t="shared" si="50"/>
        <v>43617</v>
      </c>
      <c r="C1608" s="5" t="str">
        <f t="shared" si="51"/>
        <v>2019-06</v>
      </c>
      <c r="D1608" s="3">
        <v>284.8</v>
      </c>
      <c r="E1608" s="3">
        <v>149.80000000000001</v>
      </c>
      <c r="F1608" s="3">
        <v>130.61000000000001</v>
      </c>
      <c r="G1608" s="3">
        <v>125.88</v>
      </c>
      <c r="H1608" s="3">
        <v>88.69</v>
      </c>
      <c r="I1608" s="2">
        <v>52.59</v>
      </c>
      <c r="J1608" s="2">
        <v>439.23</v>
      </c>
      <c r="K1608" s="2">
        <v>352.52</v>
      </c>
      <c r="L1608" s="3">
        <v>90.07</v>
      </c>
      <c r="M1608" s="2">
        <v>1.83</v>
      </c>
    </row>
    <row r="1609" spans="1:13">
      <c r="A1609" s="9">
        <v>43621</v>
      </c>
      <c r="B1609" s="1">
        <f t="shared" si="50"/>
        <v>43617</v>
      </c>
      <c r="C1609" s="5" t="str">
        <f t="shared" si="51"/>
        <v>2019-06</v>
      </c>
      <c r="D1609" s="3">
        <v>282.95999999999998</v>
      </c>
      <c r="E1609" s="3">
        <v>150.19</v>
      </c>
      <c r="F1609" s="3">
        <v>130.19</v>
      </c>
      <c r="G1609" s="3">
        <v>125.47</v>
      </c>
      <c r="H1609" s="3">
        <v>88.52</v>
      </c>
      <c r="I1609" s="2">
        <v>52.1</v>
      </c>
      <c r="J1609" s="2">
        <v>438.15</v>
      </c>
      <c r="K1609" s="2">
        <v>352.7</v>
      </c>
      <c r="L1609" s="3">
        <v>89.61</v>
      </c>
      <c r="M1609" s="2">
        <v>1.89</v>
      </c>
    </row>
    <row r="1610" spans="1:13">
      <c r="A1610" s="9">
        <v>43620</v>
      </c>
      <c r="B1610" s="1">
        <f t="shared" si="50"/>
        <v>43617</v>
      </c>
      <c r="C1610" s="5" t="str">
        <f t="shared" si="51"/>
        <v>2019-06</v>
      </c>
      <c r="D1610" s="3">
        <v>280.52999999999997</v>
      </c>
      <c r="E1610" s="3">
        <v>150.16</v>
      </c>
      <c r="F1610" s="3">
        <v>130.93</v>
      </c>
      <c r="G1610" s="3">
        <v>125.15</v>
      </c>
      <c r="H1610" s="3">
        <v>86.71</v>
      </c>
      <c r="I1610" s="2">
        <v>52.02</v>
      </c>
      <c r="J1610" s="2">
        <v>434.53</v>
      </c>
      <c r="K1610" s="2">
        <v>349.35</v>
      </c>
      <c r="L1610" s="3">
        <v>88.94</v>
      </c>
      <c r="M1610" s="2">
        <v>1.9</v>
      </c>
    </row>
    <row r="1611" spans="1:13">
      <c r="A1611" s="9">
        <v>43619</v>
      </c>
      <c r="B1611" s="1">
        <f t="shared" si="50"/>
        <v>43617</v>
      </c>
      <c r="C1611" s="5" t="str">
        <f t="shared" si="51"/>
        <v>2019-06</v>
      </c>
      <c r="D1611" s="3">
        <v>274.57</v>
      </c>
      <c r="E1611" s="3">
        <v>146.37</v>
      </c>
      <c r="F1611" s="3">
        <v>132.44</v>
      </c>
      <c r="G1611" s="3">
        <v>125.11</v>
      </c>
      <c r="H1611" s="3">
        <v>87.1</v>
      </c>
      <c r="I1611" s="2">
        <v>50.24</v>
      </c>
      <c r="J1611" s="2">
        <v>419.9</v>
      </c>
      <c r="K1611" s="2">
        <v>344.57</v>
      </c>
      <c r="L1611" s="3">
        <v>87.49</v>
      </c>
      <c r="M1611" s="2">
        <v>1.93</v>
      </c>
    </row>
    <row r="1612" spans="1:13">
      <c r="A1612" s="9">
        <v>43616</v>
      </c>
      <c r="B1612" s="1">
        <f t="shared" si="50"/>
        <v>43586</v>
      </c>
      <c r="C1612" s="5" t="str">
        <f t="shared" si="51"/>
        <v>2019-05</v>
      </c>
      <c r="D1612" s="3">
        <v>275.27</v>
      </c>
      <c r="E1612" s="3">
        <v>145.86000000000001</v>
      </c>
      <c r="F1612" s="3">
        <v>131.83000000000001</v>
      </c>
      <c r="G1612" s="3">
        <v>123.33</v>
      </c>
      <c r="H1612" s="3">
        <v>86.89</v>
      </c>
      <c r="I1612" s="2">
        <v>50.6</v>
      </c>
      <c r="J1612" s="2">
        <v>415.56</v>
      </c>
      <c r="K1612" s="2">
        <v>338.54</v>
      </c>
      <c r="L1612" s="3">
        <v>87.28</v>
      </c>
      <c r="M1612" s="2">
        <v>1.9</v>
      </c>
    </row>
    <row r="1613" spans="1:13">
      <c r="A1613" s="9">
        <v>43615</v>
      </c>
      <c r="B1613" s="1">
        <f t="shared" si="50"/>
        <v>43586</v>
      </c>
      <c r="C1613" s="5" t="str">
        <f t="shared" si="51"/>
        <v>2019-05</v>
      </c>
      <c r="D1613" s="3">
        <v>279.02999999999997</v>
      </c>
      <c r="E1613" s="3">
        <v>147.93</v>
      </c>
      <c r="F1613" s="3">
        <v>130.19999999999999</v>
      </c>
      <c r="G1613" s="3">
        <v>121.69</v>
      </c>
      <c r="H1613" s="3">
        <v>86.39</v>
      </c>
      <c r="I1613" s="2">
        <v>51.72</v>
      </c>
      <c r="J1613" s="2">
        <v>426.59</v>
      </c>
      <c r="K1613" s="2">
        <v>341.96</v>
      </c>
      <c r="L1613" s="3">
        <v>87.91</v>
      </c>
      <c r="M1613" s="2">
        <v>1.93</v>
      </c>
    </row>
    <row r="1614" spans="1:13">
      <c r="A1614" s="9">
        <v>43614</v>
      </c>
      <c r="B1614" s="1">
        <f t="shared" si="50"/>
        <v>43586</v>
      </c>
      <c r="C1614" s="5" t="str">
        <f t="shared" si="51"/>
        <v>2019-05</v>
      </c>
      <c r="D1614" s="3">
        <v>278.27</v>
      </c>
      <c r="E1614" s="3">
        <v>148.34</v>
      </c>
      <c r="F1614" s="3">
        <v>129.09</v>
      </c>
      <c r="G1614" s="3">
        <v>120.87</v>
      </c>
      <c r="H1614" s="3">
        <v>86.03</v>
      </c>
      <c r="I1614" s="2">
        <v>51.69</v>
      </c>
      <c r="J1614" s="2">
        <v>427.93</v>
      </c>
      <c r="K1614" s="2">
        <v>339.34</v>
      </c>
      <c r="L1614" s="3">
        <v>87.43</v>
      </c>
      <c r="M1614" s="2">
        <v>1.92</v>
      </c>
    </row>
    <row r="1615" spans="1:13">
      <c r="A1615" s="9">
        <v>43613</v>
      </c>
      <c r="B1615" s="1">
        <f t="shared" si="50"/>
        <v>43586</v>
      </c>
      <c r="C1615" s="5" t="str">
        <f t="shared" si="51"/>
        <v>2019-05</v>
      </c>
      <c r="D1615" s="3">
        <v>280.14999999999998</v>
      </c>
      <c r="E1615" s="3">
        <v>149.59</v>
      </c>
      <c r="F1615" s="3">
        <v>128.79</v>
      </c>
      <c r="G1615" s="3">
        <v>120.83</v>
      </c>
      <c r="H1615" s="3">
        <v>87.19</v>
      </c>
      <c r="I1615" s="2">
        <v>51.75</v>
      </c>
      <c r="J1615" s="2">
        <v>429.31</v>
      </c>
      <c r="K1615" s="2">
        <v>337.89</v>
      </c>
      <c r="L1615" s="3">
        <v>88.28</v>
      </c>
      <c r="M1615" s="2">
        <v>1.97</v>
      </c>
    </row>
    <row r="1616" spans="1:13">
      <c r="A1616" s="9">
        <v>43609</v>
      </c>
      <c r="B1616" s="1">
        <f t="shared" si="50"/>
        <v>43586</v>
      </c>
      <c r="C1616" s="5" t="str">
        <f t="shared" si="51"/>
        <v>2019-05</v>
      </c>
      <c r="D1616" s="3">
        <v>282.77999999999997</v>
      </c>
      <c r="E1616" s="3">
        <v>150.79</v>
      </c>
      <c r="F1616" s="3">
        <v>127.78</v>
      </c>
      <c r="G1616" s="3">
        <v>121.3</v>
      </c>
      <c r="H1616" s="3">
        <v>88.06</v>
      </c>
      <c r="I1616" s="2">
        <v>52.77</v>
      </c>
      <c r="J1616" s="2">
        <v>435.76</v>
      </c>
      <c r="K1616" s="2">
        <v>338.78</v>
      </c>
      <c r="L1616" s="3">
        <v>89.56</v>
      </c>
      <c r="M1616" s="2">
        <v>1.99</v>
      </c>
    </row>
    <row r="1617" spans="1:13">
      <c r="A1617" s="9">
        <v>43608</v>
      </c>
      <c r="B1617" s="1">
        <f t="shared" si="50"/>
        <v>43586</v>
      </c>
      <c r="C1617" s="5" t="str">
        <f t="shared" si="51"/>
        <v>2019-05</v>
      </c>
      <c r="D1617" s="3">
        <v>282.14</v>
      </c>
      <c r="E1617" s="3">
        <v>149.38999999999999</v>
      </c>
      <c r="F1617" s="3">
        <v>127.67</v>
      </c>
      <c r="G1617" s="3">
        <v>121.17</v>
      </c>
      <c r="H1617" s="3">
        <v>87.79</v>
      </c>
      <c r="I1617" s="2">
        <v>53.08</v>
      </c>
      <c r="J1617" s="2">
        <v>433.89</v>
      </c>
      <c r="K1617" s="2">
        <v>340.07</v>
      </c>
      <c r="L1617" s="3">
        <v>89.43</v>
      </c>
      <c r="M1617" s="2">
        <v>1.99</v>
      </c>
    </row>
    <row r="1618" spans="1:13">
      <c r="A1618" s="9">
        <v>43607</v>
      </c>
      <c r="B1618" s="1">
        <f t="shared" si="50"/>
        <v>43586</v>
      </c>
      <c r="C1618" s="5" t="str">
        <f t="shared" si="51"/>
        <v>2019-05</v>
      </c>
      <c r="D1618" s="3">
        <v>285.63</v>
      </c>
      <c r="E1618" s="3">
        <v>152.53</v>
      </c>
      <c r="F1618" s="3">
        <v>126.25</v>
      </c>
      <c r="G1618" s="3">
        <v>120.24</v>
      </c>
      <c r="H1618" s="3">
        <v>87.59</v>
      </c>
      <c r="I1618" s="2">
        <v>54.2</v>
      </c>
      <c r="J1618" s="2">
        <v>439.14</v>
      </c>
      <c r="K1618" s="2">
        <v>341.3</v>
      </c>
      <c r="L1618" s="3">
        <v>89.74</v>
      </c>
      <c r="M1618" s="2">
        <v>2.02</v>
      </c>
    </row>
    <row r="1619" spans="1:13">
      <c r="A1619" s="9">
        <v>43606</v>
      </c>
      <c r="B1619" s="1">
        <f t="shared" si="50"/>
        <v>43586</v>
      </c>
      <c r="C1619" s="5" t="str">
        <f t="shared" si="51"/>
        <v>2019-05</v>
      </c>
      <c r="D1619" s="3">
        <v>286.51</v>
      </c>
      <c r="E1619" s="3">
        <v>153.82</v>
      </c>
      <c r="F1619" s="3">
        <v>125.53</v>
      </c>
      <c r="G1619" s="3">
        <v>120.36</v>
      </c>
      <c r="H1619" s="3">
        <v>87.33</v>
      </c>
      <c r="I1619" s="2">
        <v>54.17</v>
      </c>
      <c r="J1619" s="2">
        <v>441.66</v>
      </c>
      <c r="K1619" s="2">
        <v>343.95</v>
      </c>
      <c r="L1619" s="3">
        <v>89.23</v>
      </c>
      <c r="M1619" s="2">
        <v>2.0099999999999998</v>
      </c>
    </row>
    <row r="1620" spans="1:13">
      <c r="A1620" s="9">
        <v>43605</v>
      </c>
      <c r="B1620" s="1">
        <f t="shared" si="50"/>
        <v>43586</v>
      </c>
      <c r="C1620" s="5" t="str">
        <f t="shared" si="51"/>
        <v>2019-05</v>
      </c>
      <c r="D1620" s="3">
        <v>283.95</v>
      </c>
      <c r="E1620" s="3">
        <v>151.78</v>
      </c>
      <c r="F1620" s="3">
        <v>125.73</v>
      </c>
      <c r="G1620" s="3">
        <v>120.64</v>
      </c>
      <c r="H1620" s="3">
        <v>86.59</v>
      </c>
      <c r="I1620" s="2">
        <v>53.66</v>
      </c>
      <c r="J1620" s="2">
        <v>438.09</v>
      </c>
      <c r="K1620" s="2">
        <v>342.01</v>
      </c>
      <c r="L1620" s="3">
        <v>88.4</v>
      </c>
      <c r="M1620" s="2">
        <v>1.99</v>
      </c>
    </row>
    <row r="1621" spans="1:13">
      <c r="A1621" s="9">
        <v>43602</v>
      </c>
      <c r="B1621" s="1">
        <f t="shared" si="50"/>
        <v>43586</v>
      </c>
      <c r="C1621" s="5" t="str">
        <f t="shared" si="51"/>
        <v>2019-05</v>
      </c>
      <c r="D1621" s="3">
        <v>285.83999999999997</v>
      </c>
      <c r="E1621" s="3">
        <v>152.84</v>
      </c>
      <c r="F1621" s="3">
        <v>125.99</v>
      </c>
      <c r="G1621" s="3">
        <v>120.65</v>
      </c>
      <c r="H1621" s="3">
        <v>87.86</v>
      </c>
      <c r="I1621" s="2">
        <v>54.5</v>
      </c>
      <c r="J1621" s="2">
        <v>441.56</v>
      </c>
      <c r="K1621" s="2">
        <v>337.99</v>
      </c>
      <c r="L1621" s="3">
        <v>88.44</v>
      </c>
      <c r="M1621" s="2">
        <v>1.99</v>
      </c>
    </row>
    <row r="1622" spans="1:13">
      <c r="A1622" s="9">
        <v>43601</v>
      </c>
      <c r="B1622" s="1">
        <f t="shared" si="50"/>
        <v>43586</v>
      </c>
      <c r="C1622" s="5" t="str">
        <f t="shared" si="51"/>
        <v>2019-05</v>
      </c>
      <c r="D1622" s="3">
        <v>287.7</v>
      </c>
      <c r="E1622" s="3">
        <v>155</v>
      </c>
      <c r="F1622" s="3">
        <v>125.71</v>
      </c>
      <c r="G1622" s="3">
        <v>121.51</v>
      </c>
      <c r="H1622" s="3">
        <v>88.03</v>
      </c>
      <c r="I1622" s="2">
        <v>54.64</v>
      </c>
      <c r="J1622" s="2">
        <v>447.24</v>
      </c>
      <c r="K1622" s="2">
        <v>339.39</v>
      </c>
      <c r="L1622" s="3">
        <v>88.63</v>
      </c>
      <c r="M1622" s="2">
        <v>2</v>
      </c>
    </row>
    <row r="1623" spans="1:13">
      <c r="A1623" s="9">
        <v>43600</v>
      </c>
      <c r="B1623" s="1">
        <f t="shared" si="50"/>
        <v>43586</v>
      </c>
      <c r="C1623" s="5" t="str">
        <f t="shared" si="51"/>
        <v>2019-05</v>
      </c>
      <c r="D1623" s="3">
        <v>285.06</v>
      </c>
      <c r="E1623" s="3">
        <v>154.04</v>
      </c>
      <c r="F1623" s="3">
        <v>126.13</v>
      </c>
      <c r="G1623" s="3">
        <v>122.39</v>
      </c>
      <c r="H1623" s="3">
        <v>87.68</v>
      </c>
      <c r="I1623" s="2">
        <v>54.56</v>
      </c>
      <c r="J1623" s="2">
        <v>444.36</v>
      </c>
      <c r="K1623" s="2">
        <v>334.15</v>
      </c>
      <c r="L1623" s="3">
        <v>87.94</v>
      </c>
      <c r="M1623" s="2">
        <v>2.04</v>
      </c>
    </row>
    <row r="1624" spans="1:13">
      <c r="A1624" s="9">
        <v>43599</v>
      </c>
      <c r="B1624" s="1">
        <f t="shared" si="50"/>
        <v>43586</v>
      </c>
      <c r="C1624" s="5" t="str">
        <f t="shared" si="51"/>
        <v>2019-05</v>
      </c>
      <c r="D1624" s="3">
        <v>283.39999999999998</v>
      </c>
      <c r="E1624" s="3">
        <v>153.54</v>
      </c>
      <c r="F1624" s="3">
        <v>125.36</v>
      </c>
      <c r="G1624" s="3">
        <v>122.46</v>
      </c>
      <c r="H1624" s="3">
        <v>87.09</v>
      </c>
      <c r="I1624" s="2">
        <v>54.13</v>
      </c>
      <c r="J1624" s="2">
        <v>445.86</v>
      </c>
      <c r="K1624" s="2">
        <v>336.17</v>
      </c>
      <c r="L1624" s="3">
        <v>87.68</v>
      </c>
      <c r="M1624" s="2">
        <v>1.99</v>
      </c>
    </row>
    <row r="1625" spans="1:13">
      <c r="A1625" s="9">
        <v>43598</v>
      </c>
      <c r="B1625" s="1">
        <f t="shared" si="50"/>
        <v>43586</v>
      </c>
      <c r="C1625" s="5" t="str">
        <f t="shared" si="51"/>
        <v>2019-05</v>
      </c>
      <c r="D1625" s="3">
        <v>280.86</v>
      </c>
      <c r="E1625" s="3">
        <v>151.63</v>
      </c>
      <c r="F1625" s="3">
        <v>125.73</v>
      </c>
      <c r="G1625" s="3">
        <v>122.67</v>
      </c>
      <c r="H1625" s="3">
        <v>86.77</v>
      </c>
      <c r="I1625" s="2">
        <v>53.43</v>
      </c>
      <c r="J1625" s="2">
        <v>442.78</v>
      </c>
      <c r="K1625" s="2">
        <v>335.37</v>
      </c>
      <c r="L1625" s="3">
        <v>87.24</v>
      </c>
      <c r="M1625" s="2">
        <v>1.97</v>
      </c>
    </row>
    <row r="1626" spans="1:13">
      <c r="A1626" s="9">
        <v>43595</v>
      </c>
      <c r="B1626" s="1">
        <f t="shared" si="50"/>
        <v>43586</v>
      </c>
      <c r="C1626" s="5" t="str">
        <f t="shared" si="51"/>
        <v>2019-05</v>
      </c>
      <c r="D1626" s="3">
        <v>288.10000000000002</v>
      </c>
      <c r="E1626" s="3">
        <v>156.62</v>
      </c>
      <c r="F1626" s="3">
        <v>124.75</v>
      </c>
      <c r="G1626" s="3">
        <v>121.43</v>
      </c>
      <c r="H1626" s="3">
        <v>86.86</v>
      </c>
      <c r="I1626" s="2">
        <v>54.65</v>
      </c>
      <c r="J1626" s="2">
        <v>463</v>
      </c>
      <c r="K1626" s="2">
        <v>341.35</v>
      </c>
      <c r="L1626" s="3">
        <v>88.91</v>
      </c>
      <c r="M1626" s="2">
        <v>2.0099999999999998</v>
      </c>
    </row>
    <row r="1627" spans="1:13">
      <c r="A1627" s="9">
        <v>43594</v>
      </c>
      <c r="B1627" s="1">
        <f t="shared" si="50"/>
        <v>43586</v>
      </c>
      <c r="C1627" s="5" t="str">
        <f t="shared" si="51"/>
        <v>2019-05</v>
      </c>
      <c r="D1627" s="3">
        <v>286.66000000000003</v>
      </c>
      <c r="E1627" s="3">
        <v>156.19</v>
      </c>
      <c r="F1627" s="3">
        <v>124.92</v>
      </c>
      <c r="G1627" s="3">
        <v>121.2</v>
      </c>
      <c r="H1627" s="3">
        <v>85.94</v>
      </c>
      <c r="I1627" s="2">
        <v>54.25</v>
      </c>
      <c r="J1627" s="2">
        <v>464.22</v>
      </c>
      <c r="K1627" s="2">
        <v>339.36</v>
      </c>
      <c r="L1627" s="3">
        <v>88.88</v>
      </c>
      <c r="M1627" s="2">
        <v>2.1</v>
      </c>
    </row>
    <row r="1628" spans="1:13">
      <c r="A1628" s="9">
        <v>43593</v>
      </c>
      <c r="B1628" s="1">
        <f t="shared" si="50"/>
        <v>43586</v>
      </c>
      <c r="C1628" s="5" t="str">
        <f t="shared" si="51"/>
        <v>2019-05</v>
      </c>
      <c r="D1628" s="3">
        <v>287.52999999999997</v>
      </c>
      <c r="E1628" s="3">
        <v>156.76</v>
      </c>
      <c r="F1628" s="3">
        <v>124.41</v>
      </c>
      <c r="G1628" s="3">
        <v>120.91</v>
      </c>
      <c r="H1628" s="3">
        <v>85.72</v>
      </c>
      <c r="I1628" s="2">
        <v>53.99</v>
      </c>
      <c r="J1628" s="2">
        <v>465.47</v>
      </c>
      <c r="K1628" s="2">
        <v>334.18</v>
      </c>
      <c r="L1628" s="3">
        <v>89.07</v>
      </c>
      <c r="M1628" s="2">
        <v>2.13</v>
      </c>
    </row>
    <row r="1629" spans="1:13">
      <c r="A1629" s="9">
        <v>43592</v>
      </c>
      <c r="B1629" s="1">
        <f t="shared" si="50"/>
        <v>43586</v>
      </c>
      <c r="C1629" s="5" t="str">
        <f t="shared" si="51"/>
        <v>2019-05</v>
      </c>
      <c r="D1629" s="3">
        <v>287.93</v>
      </c>
      <c r="E1629" s="3">
        <v>157.53</v>
      </c>
      <c r="F1629" s="3">
        <v>124.95</v>
      </c>
      <c r="G1629" s="3">
        <v>121.21</v>
      </c>
      <c r="H1629" s="3">
        <v>85.81</v>
      </c>
      <c r="I1629" s="2">
        <v>54</v>
      </c>
      <c r="J1629" s="2">
        <v>463.77</v>
      </c>
      <c r="K1629" s="2">
        <v>330.9</v>
      </c>
      <c r="L1629" s="3">
        <v>88.88</v>
      </c>
      <c r="M1629" s="2">
        <v>2.21</v>
      </c>
    </row>
    <row r="1630" spans="1:13">
      <c r="A1630" s="9">
        <v>43591</v>
      </c>
      <c r="B1630" s="1">
        <f t="shared" si="50"/>
        <v>43586</v>
      </c>
      <c r="C1630" s="5" t="str">
        <f t="shared" si="51"/>
        <v>2019-05</v>
      </c>
      <c r="D1630" s="3">
        <v>292.82</v>
      </c>
      <c r="E1630" s="3">
        <v>160.71</v>
      </c>
      <c r="F1630" s="3">
        <v>124</v>
      </c>
      <c r="G1630" s="3">
        <v>120.81</v>
      </c>
      <c r="H1630" s="3">
        <v>87.39</v>
      </c>
      <c r="I1630" s="2">
        <v>54.85</v>
      </c>
      <c r="J1630" s="2">
        <v>476.37</v>
      </c>
      <c r="K1630" s="2">
        <v>335.72</v>
      </c>
      <c r="L1630" s="3">
        <v>90.62</v>
      </c>
      <c r="M1630" s="2">
        <v>2.25</v>
      </c>
    </row>
    <row r="1631" spans="1:13">
      <c r="A1631" s="9">
        <v>43588</v>
      </c>
      <c r="B1631" s="1">
        <f t="shared" si="50"/>
        <v>43586</v>
      </c>
      <c r="C1631" s="5" t="str">
        <f t="shared" si="51"/>
        <v>2019-05</v>
      </c>
      <c r="D1631" s="3">
        <v>294.02999999999997</v>
      </c>
      <c r="E1631" s="3">
        <v>160.53</v>
      </c>
      <c r="F1631" s="3">
        <v>123.66</v>
      </c>
      <c r="G1631" s="3">
        <v>120.65</v>
      </c>
      <c r="H1631" s="3">
        <v>87.67</v>
      </c>
      <c r="I1631" s="2">
        <v>54.79</v>
      </c>
      <c r="J1631" s="2">
        <v>482.5</v>
      </c>
      <c r="K1631" s="2">
        <v>334.07</v>
      </c>
      <c r="L1631" s="3">
        <v>90.16</v>
      </c>
      <c r="M1631" s="2">
        <v>2.25</v>
      </c>
    </row>
    <row r="1632" spans="1:13">
      <c r="A1632" s="9">
        <v>43587</v>
      </c>
      <c r="B1632" s="1">
        <f t="shared" si="50"/>
        <v>43586</v>
      </c>
      <c r="C1632" s="5" t="str">
        <f t="shared" si="51"/>
        <v>2019-05</v>
      </c>
      <c r="D1632" s="3">
        <v>291.18</v>
      </c>
      <c r="E1632" s="3">
        <v>157.52000000000001</v>
      </c>
      <c r="F1632" s="3">
        <v>123.31</v>
      </c>
      <c r="G1632" s="3">
        <v>119.94</v>
      </c>
      <c r="H1632" s="3">
        <v>86.93</v>
      </c>
      <c r="I1632" s="2">
        <v>54.6</v>
      </c>
      <c r="J1632" s="2">
        <v>476.41</v>
      </c>
      <c r="K1632" s="2">
        <v>332.55</v>
      </c>
      <c r="L1632" s="3">
        <v>89.48</v>
      </c>
      <c r="M1632" s="2">
        <v>2.2400000000000002</v>
      </c>
    </row>
    <row r="1633" spans="1:13">
      <c r="A1633" s="9">
        <v>43586</v>
      </c>
      <c r="B1633" s="1">
        <f t="shared" si="50"/>
        <v>43586</v>
      </c>
      <c r="C1633" s="5" t="str">
        <f t="shared" si="51"/>
        <v>2019-05</v>
      </c>
      <c r="D1633" s="3">
        <v>291.81</v>
      </c>
      <c r="E1633" s="3">
        <v>156.79</v>
      </c>
      <c r="F1633" s="3">
        <v>123.9</v>
      </c>
      <c r="G1633" s="3">
        <v>120.4</v>
      </c>
      <c r="H1633" s="3">
        <v>86.84</v>
      </c>
      <c r="I1633" s="2">
        <v>54.88</v>
      </c>
      <c r="J1633" s="2">
        <v>479.13</v>
      </c>
      <c r="K1633" s="2">
        <v>331.85</v>
      </c>
      <c r="L1633" s="3">
        <v>89.1</v>
      </c>
      <c r="M1633" s="2">
        <v>2.29</v>
      </c>
    </row>
    <row r="1634" spans="1:13">
      <c r="A1634" s="9">
        <v>43585</v>
      </c>
      <c r="B1634" s="1">
        <f t="shared" si="50"/>
        <v>43556</v>
      </c>
      <c r="C1634" s="5" t="str">
        <f t="shared" si="51"/>
        <v>2019-04</v>
      </c>
      <c r="D1634" s="3">
        <v>294.02</v>
      </c>
      <c r="E1634" s="3">
        <v>158.29</v>
      </c>
      <c r="F1634" s="3">
        <v>123.65</v>
      </c>
      <c r="G1634" s="3">
        <v>121.2</v>
      </c>
      <c r="H1634" s="3">
        <v>86.77</v>
      </c>
      <c r="I1634" s="2">
        <v>55.33</v>
      </c>
      <c r="J1634" s="2">
        <v>485.24</v>
      </c>
      <c r="K1634" s="2">
        <v>333.33</v>
      </c>
      <c r="L1634" s="3">
        <v>89.26</v>
      </c>
      <c r="M1634" s="2">
        <v>2.2400000000000002</v>
      </c>
    </row>
    <row r="1635" spans="1:13">
      <c r="A1635" s="9">
        <v>43584</v>
      </c>
      <c r="B1635" s="1">
        <f t="shared" si="50"/>
        <v>43556</v>
      </c>
      <c r="C1635" s="5" t="str">
        <f t="shared" si="51"/>
        <v>2019-04</v>
      </c>
      <c r="D1635" s="3">
        <v>293.87</v>
      </c>
      <c r="E1635" s="3">
        <v>159.03</v>
      </c>
      <c r="F1635" s="3">
        <v>123.02</v>
      </c>
      <c r="G1635" s="3">
        <v>120.83</v>
      </c>
      <c r="H1635" s="3">
        <v>85.95</v>
      </c>
      <c r="I1635" s="2">
        <v>55.08</v>
      </c>
      <c r="J1635" s="2">
        <v>479.84</v>
      </c>
      <c r="K1635" s="2">
        <v>328.59</v>
      </c>
      <c r="L1635" s="3">
        <v>88.85</v>
      </c>
      <c r="M1635" s="2">
        <v>2.23</v>
      </c>
    </row>
    <row r="1636" spans="1:13">
      <c r="A1636" s="9">
        <v>43581</v>
      </c>
      <c r="B1636" s="1">
        <f t="shared" si="50"/>
        <v>43556</v>
      </c>
      <c r="C1636" s="5" t="str">
        <f t="shared" si="51"/>
        <v>2019-04</v>
      </c>
      <c r="D1636" s="3">
        <v>293.41000000000003</v>
      </c>
      <c r="E1636" s="3">
        <v>158.27000000000001</v>
      </c>
      <c r="F1636" s="3">
        <v>123.81</v>
      </c>
      <c r="G1636" s="3">
        <v>121.37</v>
      </c>
      <c r="H1636" s="3">
        <v>86.8</v>
      </c>
      <c r="I1636" s="2">
        <v>55.41</v>
      </c>
      <c r="J1636" s="2">
        <v>478.98</v>
      </c>
      <c r="K1636" s="2">
        <v>328.33</v>
      </c>
      <c r="L1636" s="3">
        <v>89.01</v>
      </c>
      <c r="M1636" s="2">
        <v>2.2200000000000002</v>
      </c>
    </row>
    <row r="1637" spans="1:13">
      <c r="A1637" s="9">
        <v>43580</v>
      </c>
      <c r="B1637" s="1">
        <f t="shared" si="50"/>
        <v>43556</v>
      </c>
      <c r="C1637" s="5" t="str">
        <f t="shared" si="51"/>
        <v>2019-04</v>
      </c>
      <c r="D1637" s="3">
        <v>292.05</v>
      </c>
      <c r="E1637" s="3">
        <v>156.75</v>
      </c>
      <c r="F1637" s="3">
        <v>123.39</v>
      </c>
      <c r="G1637" s="3">
        <v>120.57</v>
      </c>
      <c r="H1637" s="3">
        <v>86.12</v>
      </c>
      <c r="I1637" s="2">
        <v>55.01</v>
      </c>
      <c r="J1637" s="2">
        <v>474.45</v>
      </c>
      <c r="K1637" s="2">
        <v>328.87</v>
      </c>
      <c r="L1637" s="3">
        <v>88.13</v>
      </c>
      <c r="M1637" s="2">
        <v>2.23</v>
      </c>
    </row>
    <row r="1638" spans="1:13">
      <c r="A1638" s="9">
        <v>43579</v>
      </c>
      <c r="B1638" s="1">
        <f t="shared" si="50"/>
        <v>43556</v>
      </c>
      <c r="C1638" s="5" t="str">
        <f t="shared" si="51"/>
        <v>2019-04</v>
      </c>
      <c r="D1638" s="3">
        <v>292.23</v>
      </c>
      <c r="E1638" s="3">
        <v>158.06</v>
      </c>
      <c r="F1638" s="3">
        <v>123.57</v>
      </c>
      <c r="G1638" s="3">
        <v>120.47</v>
      </c>
      <c r="H1638" s="3">
        <v>86.3</v>
      </c>
      <c r="I1638" s="2">
        <v>55.18</v>
      </c>
      <c r="J1638" s="2">
        <v>480.17</v>
      </c>
      <c r="K1638" s="2">
        <v>330.12</v>
      </c>
      <c r="L1638" s="3">
        <v>87.23</v>
      </c>
      <c r="M1638" s="2">
        <v>2.2200000000000002</v>
      </c>
    </row>
    <row r="1639" spans="1:13">
      <c r="A1639" s="9">
        <v>43578</v>
      </c>
      <c r="B1639" s="1">
        <f t="shared" si="50"/>
        <v>43556</v>
      </c>
      <c r="C1639" s="5" t="str">
        <f t="shared" si="51"/>
        <v>2019-04</v>
      </c>
      <c r="D1639" s="3">
        <v>292.88</v>
      </c>
      <c r="E1639" s="3">
        <v>157.57</v>
      </c>
      <c r="F1639" s="3">
        <v>122.57</v>
      </c>
      <c r="G1639" s="3">
        <v>120.12</v>
      </c>
      <c r="H1639" s="3">
        <v>85.67</v>
      </c>
      <c r="I1639" s="2">
        <v>54.94</v>
      </c>
      <c r="J1639" s="2">
        <v>474.03</v>
      </c>
      <c r="K1639" s="2">
        <v>333.1</v>
      </c>
      <c r="L1639" s="3">
        <v>87.33</v>
      </c>
      <c r="M1639" s="2">
        <v>2.2200000000000002</v>
      </c>
    </row>
    <row r="1640" spans="1:13">
      <c r="A1640" s="9">
        <v>43577</v>
      </c>
      <c r="B1640" s="1">
        <f t="shared" si="50"/>
        <v>43556</v>
      </c>
      <c r="C1640" s="5" t="str">
        <f t="shared" si="51"/>
        <v>2019-04</v>
      </c>
      <c r="D1640" s="3">
        <v>290.27</v>
      </c>
      <c r="E1640" s="3">
        <v>155.22999999999999</v>
      </c>
      <c r="F1640" s="3">
        <v>122.31</v>
      </c>
      <c r="G1640" s="3">
        <v>120.37</v>
      </c>
      <c r="H1640" s="3">
        <v>84.55</v>
      </c>
      <c r="I1640" s="2">
        <v>54.62</v>
      </c>
      <c r="J1640" s="2">
        <v>464.02</v>
      </c>
      <c r="K1640" s="2">
        <v>315.26</v>
      </c>
      <c r="L1640" s="3">
        <v>85.97</v>
      </c>
      <c r="M1640" s="2">
        <v>2.2000000000000002</v>
      </c>
    </row>
    <row r="1641" spans="1:13">
      <c r="A1641" s="9">
        <v>43573</v>
      </c>
      <c r="B1641" s="1">
        <f t="shared" si="50"/>
        <v>43556</v>
      </c>
      <c r="C1641" s="5" t="str">
        <f t="shared" si="51"/>
        <v>2019-04</v>
      </c>
      <c r="D1641" s="3">
        <v>290.02</v>
      </c>
      <c r="E1641" s="3">
        <v>155.63999999999999</v>
      </c>
      <c r="F1641" s="3">
        <v>122.9</v>
      </c>
      <c r="G1641" s="3">
        <v>120.37</v>
      </c>
      <c r="H1641" s="3">
        <v>85.49</v>
      </c>
      <c r="I1641" s="2">
        <v>54.52</v>
      </c>
      <c r="J1641" s="2">
        <v>465.69</v>
      </c>
      <c r="K1641" s="2">
        <v>314.26</v>
      </c>
      <c r="L1641" s="3">
        <v>85.92</v>
      </c>
      <c r="M1641" s="2">
        <v>2.2000000000000002</v>
      </c>
    </row>
    <row r="1642" spans="1:13">
      <c r="A1642" s="9">
        <v>43572</v>
      </c>
      <c r="B1642" s="1">
        <f t="shared" si="50"/>
        <v>43556</v>
      </c>
      <c r="C1642" s="5" t="str">
        <f t="shared" si="51"/>
        <v>2019-04</v>
      </c>
      <c r="D1642" s="3">
        <v>289.45</v>
      </c>
      <c r="E1642" s="3">
        <v>156.1</v>
      </c>
      <c r="F1642" s="3">
        <v>122.26</v>
      </c>
      <c r="G1642" s="3">
        <v>120.28</v>
      </c>
      <c r="H1642" s="3">
        <v>84.84</v>
      </c>
      <c r="I1642" s="2">
        <v>54.48</v>
      </c>
      <c r="J1642" s="2">
        <v>467.49</v>
      </c>
      <c r="K1642" s="2">
        <v>310.5</v>
      </c>
      <c r="L1642" s="3">
        <v>85.78</v>
      </c>
      <c r="M1642" s="2">
        <v>2.21</v>
      </c>
    </row>
    <row r="1643" spans="1:13">
      <c r="A1643" s="9">
        <v>43571</v>
      </c>
      <c r="B1643" s="1">
        <f t="shared" si="50"/>
        <v>43556</v>
      </c>
      <c r="C1643" s="5" t="str">
        <f t="shared" si="51"/>
        <v>2019-04</v>
      </c>
      <c r="D1643" s="3">
        <v>290.16000000000003</v>
      </c>
      <c r="E1643" s="3">
        <v>157.54</v>
      </c>
      <c r="F1643" s="3">
        <v>122.21</v>
      </c>
      <c r="G1643" s="3">
        <v>120.51</v>
      </c>
      <c r="H1643" s="3">
        <v>85.62</v>
      </c>
      <c r="I1643" s="2">
        <v>54.59</v>
      </c>
      <c r="J1643" s="2">
        <v>466.54</v>
      </c>
      <c r="K1643" s="2">
        <v>310.06</v>
      </c>
      <c r="L1643" s="3">
        <v>88.32</v>
      </c>
      <c r="M1643" s="2">
        <v>2.2000000000000002</v>
      </c>
    </row>
    <row r="1644" spans="1:13">
      <c r="A1644" s="9">
        <v>43570</v>
      </c>
      <c r="B1644" s="1">
        <f t="shared" si="50"/>
        <v>43556</v>
      </c>
      <c r="C1644" s="5" t="str">
        <f t="shared" si="51"/>
        <v>2019-04</v>
      </c>
      <c r="D1644" s="3">
        <v>289.97000000000003</v>
      </c>
      <c r="E1644" s="3">
        <v>157.16999999999999</v>
      </c>
      <c r="F1644" s="3">
        <v>122.98</v>
      </c>
      <c r="G1644" s="3">
        <v>121.6</v>
      </c>
      <c r="H1644" s="3">
        <v>87.6</v>
      </c>
      <c r="I1644" s="2">
        <v>54.63</v>
      </c>
      <c r="J1644" s="2">
        <v>451.86</v>
      </c>
      <c r="K1644" s="2">
        <v>308.70999999999998</v>
      </c>
      <c r="L1644" s="3">
        <v>90.17</v>
      </c>
      <c r="M1644" s="2">
        <v>2.2000000000000002</v>
      </c>
    </row>
    <row r="1645" spans="1:13">
      <c r="A1645" s="9">
        <v>43567</v>
      </c>
      <c r="B1645" s="1">
        <f t="shared" si="50"/>
        <v>43556</v>
      </c>
      <c r="C1645" s="5" t="str">
        <f t="shared" si="51"/>
        <v>2019-04</v>
      </c>
      <c r="D1645" s="3">
        <v>290.16000000000003</v>
      </c>
      <c r="E1645" s="3">
        <v>157.68</v>
      </c>
      <c r="F1645" s="3">
        <v>122.67</v>
      </c>
      <c r="G1645" s="3">
        <v>121.83</v>
      </c>
      <c r="H1645" s="3">
        <v>88.05</v>
      </c>
      <c r="I1645" s="2">
        <v>54.5</v>
      </c>
      <c r="J1645" s="2">
        <v>454.35</v>
      </c>
      <c r="K1645" s="2">
        <v>309.7</v>
      </c>
      <c r="L1645" s="3">
        <v>89.81</v>
      </c>
      <c r="M1645" s="2">
        <v>2.2000000000000002</v>
      </c>
    </row>
    <row r="1646" spans="1:13">
      <c r="A1646" s="9">
        <v>43566</v>
      </c>
      <c r="B1646" s="1">
        <f t="shared" si="50"/>
        <v>43556</v>
      </c>
      <c r="C1646" s="5" t="str">
        <f t="shared" si="51"/>
        <v>2019-04</v>
      </c>
      <c r="D1646" s="3">
        <v>288.20999999999998</v>
      </c>
      <c r="E1646" s="3">
        <v>157.11000000000001</v>
      </c>
      <c r="F1646" s="3">
        <v>123.55</v>
      </c>
      <c r="G1646" s="3">
        <v>121.95</v>
      </c>
      <c r="H1646" s="3">
        <v>87.63</v>
      </c>
      <c r="I1646" s="2">
        <v>53.79</v>
      </c>
      <c r="J1646" s="2">
        <v>446.11</v>
      </c>
      <c r="K1646" s="2">
        <v>305.58999999999997</v>
      </c>
      <c r="L1646" s="3">
        <v>90.64</v>
      </c>
      <c r="M1646" s="2">
        <v>2.2000000000000002</v>
      </c>
    </row>
    <row r="1647" spans="1:13">
      <c r="A1647" s="9">
        <v>43565</v>
      </c>
      <c r="B1647" s="1">
        <f t="shared" si="50"/>
        <v>43556</v>
      </c>
      <c r="C1647" s="5" t="str">
        <f t="shared" si="51"/>
        <v>2019-04</v>
      </c>
      <c r="D1647" s="3">
        <v>288.29000000000002</v>
      </c>
      <c r="E1647" s="3">
        <v>157.31</v>
      </c>
      <c r="F1647" s="3">
        <v>124.28</v>
      </c>
      <c r="G1647" s="3">
        <v>123.53</v>
      </c>
      <c r="H1647" s="3">
        <v>87.69</v>
      </c>
      <c r="I1647" s="2">
        <v>53.97</v>
      </c>
      <c r="J1647" s="2">
        <v>442.76</v>
      </c>
      <c r="K1647" s="2">
        <v>299.12</v>
      </c>
      <c r="L1647" s="3">
        <v>91.77</v>
      </c>
      <c r="M1647" s="2">
        <v>2.19</v>
      </c>
    </row>
    <row r="1648" spans="1:13">
      <c r="A1648" s="9">
        <v>43564</v>
      </c>
      <c r="B1648" s="1">
        <f t="shared" si="50"/>
        <v>43556</v>
      </c>
      <c r="C1648" s="5" t="str">
        <f t="shared" si="51"/>
        <v>2019-04</v>
      </c>
      <c r="D1648" s="3">
        <v>287.31</v>
      </c>
      <c r="E1648" s="3">
        <v>155.19999999999999</v>
      </c>
      <c r="F1648" s="3">
        <v>123.98</v>
      </c>
      <c r="G1648" s="3">
        <v>123.15</v>
      </c>
      <c r="H1648" s="3">
        <v>86.89</v>
      </c>
      <c r="I1648" s="2">
        <v>53.83</v>
      </c>
      <c r="J1648" s="2">
        <v>439.81</v>
      </c>
      <c r="K1648" s="2">
        <v>302.68</v>
      </c>
      <c r="L1648" s="3">
        <v>91.74</v>
      </c>
      <c r="M1648" s="2">
        <v>2.2000000000000002</v>
      </c>
    </row>
    <row r="1649" spans="1:13">
      <c r="A1649" s="9">
        <v>43563</v>
      </c>
      <c r="B1649" s="1">
        <f t="shared" si="50"/>
        <v>43556</v>
      </c>
      <c r="C1649" s="5" t="str">
        <f t="shared" si="51"/>
        <v>2019-04</v>
      </c>
      <c r="D1649" s="3">
        <v>288.79000000000002</v>
      </c>
      <c r="E1649" s="3">
        <v>157.12</v>
      </c>
      <c r="F1649" s="3">
        <v>123.59</v>
      </c>
      <c r="G1649" s="3">
        <v>122.51</v>
      </c>
      <c r="H1649" s="3">
        <v>87.35</v>
      </c>
      <c r="I1649" s="2">
        <v>53.72</v>
      </c>
      <c r="J1649" s="2">
        <v>446.14</v>
      </c>
      <c r="K1649" s="2">
        <v>305.66000000000003</v>
      </c>
      <c r="L1649" s="3">
        <v>91.98</v>
      </c>
      <c r="M1649" s="2">
        <v>2.2000000000000002</v>
      </c>
    </row>
    <row r="1650" spans="1:13">
      <c r="A1650" s="9">
        <v>43560</v>
      </c>
      <c r="B1650" s="1">
        <f t="shared" si="50"/>
        <v>43556</v>
      </c>
      <c r="C1650" s="5" t="str">
        <f t="shared" si="51"/>
        <v>2019-04</v>
      </c>
      <c r="D1650" s="3">
        <v>288.57</v>
      </c>
      <c r="E1650" s="3">
        <v>157.38</v>
      </c>
      <c r="F1650" s="3">
        <v>124.03</v>
      </c>
      <c r="G1650" s="3">
        <v>121.98</v>
      </c>
      <c r="H1650" s="3">
        <v>87.84</v>
      </c>
      <c r="I1650" s="2">
        <v>53.93</v>
      </c>
      <c r="J1650" s="2">
        <v>445.1</v>
      </c>
      <c r="K1650" s="2">
        <v>302.58</v>
      </c>
      <c r="L1650" s="3">
        <v>92</v>
      </c>
      <c r="M1650" s="2">
        <v>2.2000000000000002</v>
      </c>
    </row>
    <row r="1651" spans="1:13">
      <c r="A1651" s="9">
        <v>43559</v>
      </c>
      <c r="B1651" s="1">
        <f t="shared" si="50"/>
        <v>43556</v>
      </c>
      <c r="C1651" s="5" t="str">
        <f t="shared" si="51"/>
        <v>2019-04</v>
      </c>
      <c r="D1651" s="3">
        <v>287.18</v>
      </c>
      <c r="E1651" s="3">
        <v>155.91999999999999</v>
      </c>
      <c r="F1651" s="3">
        <v>123.87</v>
      </c>
      <c r="G1651" s="3">
        <v>122.11</v>
      </c>
      <c r="H1651" s="3">
        <v>87.23</v>
      </c>
      <c r="I1651" s="2">
        <v>53.82</v>
      </c>
      <c r="J1651" s="2">
        <v>441.84</v>
      </c>
      <c r="K1651" s="2">
        <v>299.67</v>
      </c>
      <c r="L1651" s="3">
        <v>91.37</v>
      </c>
      <c r="M1651" s="2">
        <v>2.2000000000000002</v>
      </c>
    </row>
    <row r="1652" spans="1:13">
      <c r="A1652" s="9">
        <v>43558</v>
      </c>
      <c r="B1652" s="1">
        <f t="shared" si="50"/>
        <v>43556</v>
      </c>
      <c r="C1652" s="5" t="str">
        <f t="shared" si="51"/>
        <v>2019-04</v>
      </c>
      <c r="D1652" s="3">
        <v>286.42</v>
      </c>
      <c r="E1652" s="3">
        <v>155.16</v>
      </c>
      <c r="F1652" s="3">
        <v>123.52</v>
      </c>
      <c r="G1652" s="3">
        <v>121.8</v>
      </c>
      <c r="H1652" s="3">
        <v>87.37</v>
      </c>
      <c r="I1652" s="2">
        <v>54.06</v>
      </c>
      <c r="J1652" s="2">
        <v>439.07</v>
      </c>
      <c r="K1652" s="2">
        <v>297.27</v>
      </c>
      <c r="L1652" s="3">
        <v>91.56</v>
      </c>
      <c r="M1652" s="2">
        <v>2.2000000000000002</v>
      </c>
    </row>
    <row r="1653" spans="1:13">
      <c r="A1653" s="9">
        <v>43557</v>
      </c>
      <c r="B1653" s="1">
        <f t="shared" si="50"/>
        <v>43556</v>
      </c>
      <c r="C1653" s="5" t="str">
        <f t="shared" si="51"/>
        <v>2019-04</v>
      </c>
      <c r="D1653" s="3">
        <v>285.97000000000003</v>
      </c>
      <c r="E1653" s="3">
        <v>154.36000000000001</v>
      </c>
      <c r="F1653" s="3">
        <v>124.6</v>
      </c>
      <c r="G1653" s="3">
        <v>121.98</v>
      </c>
      <c r="H1653" s="3">
        <v>87.47</v>
      </c>
      <c r="I1653" s="2">
        <v>54.15</v>
      </c>
      <c r="J1653" s="2">
        <v>436.45</v>
      </c>
      <c r="K1653" s="2">
        <v>303.10000000000002</v>
      </c>
      <c r="L1653" s="3">
        <v>91.68</v>
      </c>
      <c r="M1653" s="2">
        <v>2.2000000000000002</v>
      </c>
    </row>
    <row r="1654" spans="1:13">
      <c r="A1654" s="9">
        <v>43556</v>
      </c>
      <c r="B1654" s="1">
        <f t="shared" si="50"/>
        <v>43556</v>
      </c>
      <c r="C1654" s="5" t="str">
        <f t="shared" si="51"/>
        <v>2019-04</v>
      </c>
      <c r="D1654" s="3">
        <v>285.83</v>
      </c>
      <c r="E1654" s="3">
        <v>154.76</v>
      </c>
      <c r="F1654" s="3">
        <v>124.37</v>
      </c>
      <c r="G1654" s="3">
        <v>121.53</v>
      </c>
      <c r="H1654" s="3">
        <v>86.86</v>
      </c>
      <c r="I1654" s="2">
        <v>54.58</v>
      </c>
      <c r="J1654" s="2">
        <v>438.39</v>
      </c>
      <c r="K1654" s="2">
        <v>304.29000000000002</v>
      </c>
      <c r="L1654" s="3">
        <v>91.89</v>
      </c>
      <c r="M1654" s="2">
        <v>2.19</v>
      </c>
    </row>
    <row r="1655" spans="1:13">
      <c r="A1655" s="9">
        <v>43553</v>
      </c>
      <c r="B1655" s="1">
        <f t="shared" si="50"/>
        <v>43525</v>
      </c>
      <c r="C1655" s="5" t="str">
        <f t="shared" si="51"/>
        <v>2019-03</v>
      </c>
      <c r="D1655" s="3">
        <v>282.48</v>
      </c>
      <c r="E1655" s="3">
        <v>153.09</v>
      </c>
      <c r="F1655" s="3">
        <v>126.44</v>
      </c>
      <c r="G1655" s="3">
        <v>122.01</v>
      </c>
      <c r="H1655" s="3">
        <v>86.91</v>
      </c>
      <c r="I1655" s="2">
        <v>53.71</v>
      </c>
      <c r="J1655" s="2">
        <v>427.37</v>
      </c>
      <c r="K1655" s="2">
        <v>300.16000000000003</v>
      </c>
      <c r="L1655" s="3">
        <v>91.75</v>
      </c>
      <c r="M1655" s="2">
        <v>2.11</v>
      </c>
    </row>
    <row r="1656" spans="1:13">
      <c r="A1656" s="9">
        <v>43552</v>
      </c>
      <c r="B1656" s="1">
        <f t="shared" si="50"/>
        <v>43525</v>
      </c>
      <c r="C1656" s="5" t="str">
        <f t="shared" si="51"/>
        <v>2019-03</v>
      </c>
      <c r="D1656" s="3">
        <v>280.70999999999998</v>
      </c>
      <c r="E1656" s="3">
        <v>152.62</v>
      </c>
      <c r="F1656" s="3">
        <v>126.56</v>
      </c>
      <c r="G1656" s="3">
        <v>121.9</v>
      </c>
      <c r="H1656" s="3">
        <v>86.99</v>
      </c>
      <c r="I1656" s="2">
        <v>53.19</v>
      </c>
      <c r="J1656" s="2">
        <v>424.97</v>
      </c>
      <c r="K1656" s="2">
        <v>295.60000000000002</v>
      </c>
      <c r="L1656" s="3">
        <v>90.66</v>
      </c>
      <c r="M1656" s="2">
        <v>2.1</v>
      </c>
    </row>
    <row r="1657" spans="1:13">
      <c r="A1657" s="9">
        <v>43551</v>
      </c>
      <c r="B1657" s="1">
        <f t="shared" si="50"/>
        <v>43525</v>
      </c>
      <c r="C1657" s="5" t="str">
        <f t="shared" si="51"/>
        <v>2019-03</v>
      </c>
      <c r="D1657" s="3">
        <v>279.64999999999998</v>
      </c>
      <c r="E1657" s="3">
        <v>151.27000000000001</v>
      </c>
      <c r="F1657" s="3">
        <v>126.12</v>
      </c>
      <c r="G1657" s="3">
        <v>123.65</v>
      </c>
      <c r="H1657" s="3">
        <v>86.77</v>
      </c>
      <c r="I1657" s="2">
        <v>52.81</v>
      </c>
      <c r="J1657" s="2">
        <v>419.64</v>
      </c>
      <c r="K1657" s="2">
        <v>293.95</v>
      </c>
      <c r="L1657" s="3">
        <v>90.43</v>
      </c>
      <c r="M1657" s="2">
        <v>2.1</v>
      </c>
    </row>
    <row r="1658" spans="1:13">
      <c r="A1658" s="9">
        <v>43550</v>
      </c>
      <c r="B1658" s="1">
        <f t="shared" si="50"/>
        <v>43525</v>
      </c>
      <c r="C1658" s="5" t="str">
        <f t="shared" si="51"/>
        <v>2019-03</v>
      </c>
      <c r="D1658" s="3">
        <v>281.12</v>
      </c>
      <c r="E1658" s="3">
        <v>151.86000000000001</v>
      </c>
      <c r="F1658" s="3">
        <v>124.97</v>
      </c>
      <c r="G1658" s="3">
        <v>124.3</v>
      </c>
      <c r="H1658" s="3">
        <v>87.02</v>
      </c>
      <c r="I1658" s="2">
        <v>53.28</v>
      </c>
      <c r="J1658" s="2">
        <v>422.67</v>
      </c>
      <c r="K1658" s="2">
        <v>294.92</v>
      </c>
      <c r="L1658" s="3">
        <v>91.19</v>
      </c>
      <c r="M1658" s="2">
        <v>2.09</v>
      </c>
    </row>
    <row r="1659" spans="1:13">
      <c r="A1659" s="9">
        <v>43549</v>
      </c>
      <c r="B1659" s="1">
        <f t="shared" si="50"/>
        <v>43525</v>
      </c>
      <c r="C1659" s="5" t="str">
        <f t="shared" si="51"/>
        <v>2019-03</v>
      </c>
      <c r="D1659" s="3">
        <v>279.04000000000002</v>
      </c>
      <c r="E1659" s="3">
        <v>150.28</v>
      </c>
      <c r="F1659" s="3">
        <v>125.06</v>
      </c>
      <c r="G1659" s="3">
        <v>124.92</v>
      </c>
      <c r="H1659" s="3">
        <v>86.33</v>
      </c>
      <c r="I1659" s="2">
        <v>52.74</v>
      </c>
      <c r="J1659" s="2">
        <v>415.41</v>
      </c>
      <c r="K1659" s="2">
        <v>294.12</v>
      </c>
      <c r="L1659" s="3">
        <v>90.57</v>
      </c>
      <c r="M1659" s="2">
        <v>2.09</v>
      </c>
    </row>
    <row r="1660" spans="1:13">
      <c r="A1660" s="9">
        <v>43546</v>
      </c>
      <c r="B1660" s="1">
        <f t="shared" si="50"/>
        <v>43525</v>
      </c>
      <c r="C1660" s="5" t="str">
        <f t="shared" si="51"/>
        <v>2019-03</v>
      </c>
      <c r="D1660" s="3">
        <v>279.25</v>
      </c>
      <c r="E1660" s="3">
        <v>149.62</v>
      </c>
      <c r="F1660" s="3">
        <v>124.86</v>
      </c>
      <c r="G1660" s="3">
        <v>123.97</v>
      </c>
      <c r="H1660" s="3">
        <v>86.22</v>
      </c>
      <c r="I1660" s="2">
        <v>52.77</v>
      </c>
      <c r="J1660" s="2">
        <v>417.36</v>
      </c>
      <c r="K1660" s="2">
        <v>294.01</v>
      </c>
      <c r="L1660" s="3">
        <v>90.62</v>
      </c>
      <c r="M1660" s="2">
        <v>2.06</v>
      </c>
    </row>
    <row r="1661" spans="1:13">
      <c r="A1661" s="9">
        <v>43545</v>
      </c>
      <c r="B1661" s="1">
        <f t="shared" si="50"/>
        <v>43525</v>
      </c>
      <c r="C1661" s="5" t="str">
        <f t="shared" si="51"/>
        <v>2019-03</v>
      </c>
      <c r="D1661" s="3">
        <v>284.73</v>
      </c>
      <c r="E1661" s="3">
        <v>155.27000000000001</v>
      </c>
      <c r="F1661" s="3">
        <v>122.95</v>
      </c>
      <c r="G1661" s="3">
        <v>123.68</v>
      </c>
      <c r="H1661" s="3">
        <v>86.85</v>
      </c>
      <c r="I1661" s="2">
        <v>54.04</v>
      </c>
      <c r="J1661" s="2">
        <v>430.36</v>
      </c>
      <c r="K1661" s="2">
        <v>299.01</v>
      </c>
      <c r="L1661" s="3">
        <v>92.3</v>
      </c>
      <c r="M1661" s="2">
        <v>2.0699999999999998</v>
      </c>
    </row>
    <row r="1662" spans="1:13">
      <c r="A1662" s="9">
        <v>43544</v>
      </c>
      <c r="B1662" s="1">
        <f t="shared" si="50"/>
        <v>43525</v>
      </c>
      <c r="C1662" s="5" t="str">
        <f t="shared" si="51"/>
        <v>2019-03</v>
      </c>
      <c r="D1662" s="3">
        <v>281.55</v>
      </c>
      <c r="E1662" s="3">
        <v>153.26</v>
      </c>
      <c r="F1662" s="3">
        <v>122.68</v>
      </c>
      <c r="G1662" s="3">
        <v>124.18</v>
      </c>
      <c r="H1662" s="3">
        <v>85.33</v>
      </c>
      <c r="I1662" s="2">
        <v>52.64</v>
      </c>
      <c r="J1662" s="2">
        <v>429.92</v>
      </c>
      <c r="K1662" s="2">
        <v>295.98</v>
      </c>
      <c r="L1662" s="3">
        <v>91.94</v>
      </c>
      <c r="M1662" s="2">
        <v>2.0499999999999998</v>
      </c>
    </row>
    <row r="1663" spans="1:13">
      <c r="A1663" s="9">
        <v>43543</v>
      </c>
      <c r="B1663" s="1">
        <f t="shared" si="50"/>
        <v>43525</v>
      </c>
      <c r="C1663" s="5" t="str">
        <f t="shared" si="51"/>
        <v>2019-03</v>
      </c>
      <c r="D1663" s="3">
        <v>282.39999999999998</v>
      </c>
      <c r="E1663" s="3">
        <v>154.96</v>
      </c>
      <c r="F1663" s="3">
        <v>121.41</v>
      </c>
      <c r="G1663" s="3">
        <v>123.38</v>
      </c>
      <c r="H1663" s="3">
        <v>85.07</v>
      </c>
      <c r="I1663" s="2">
        <v>54.04</v>
      </c>
      <c r="J1663" s="2">
        <v>434.57</v>
      </c>
      <c r="K1663" s="2">
        <v>296.60000000000002</v>
      </c>
      <c r="L1663" s="3">
        <v>92.58</v>
      </c>
      <c r="M1663" s="2">
        <v>2.0299999999999998</v>
      </c>
    </row>
    <row r="1664" spans="1:13">
      <c r="A1664" s="9">
        <v>43542</v>
      </c>
      <c r="B1664" s="1">
        <f t="shared" si="50"/>
        <v>43525</v>
      </c>
      <c r="C1664" s="5" t="str">
        <f t="shared" si="51"/>
        <v>2019-03</v>
      </c>
      <c r="D1664" s="3">
        <v>282.33</v>
      </c>
      <c r="E1664" s="3">
        <v>155.75</v>
      </c>
      <c r="F1664" s="3">
        <v>121.68</v>
      </c>
      <c r="G1664" s="3">
        <v>123.04</v>
      </c>
      <c r="H1664" s="3">
        <v>85.33</v>
      </c>
      <c r="I1664" s="2">
        <v>53.46</v>
      </c>
      <c r="J1664" s="2">
        <v>440.48</v>
      </c>
      <c r="K1664" s="2">
        <v>297.64</v>
      </c>
      <c r="L1664" s="3">
        <v>91.85</v>
      </c>
      <c r="M1664" s="2">
        <v>2.0299999999999998</v>
      </c>
    </row>
    <row r="1665" spans="1:13">
      <c r="A1665" s="9">
        <v>43539</v>
      </c>
      <c r="B1665" s="1">
        <f t="shared" si="50"/>
        <v>43525</v>
      </c>
      <c r="C1665" s="5" t="str">
        <f t="shared" si="51"/>
        <v>2019-03</v>
      </c>
      <c r="D1665" s="3">
        <v>281.31</v>
      </c>
      <c r="E1665" s="3">
        <v>154.76</v>
      </c>
      <c r="F1665" s="3">
        <v>121.75</v>
      </c>
      <c r="G1665" s="3">
        <v>122.97</v>
      </c>
      <c r="H1665" s="3">
        <v>85.76</v>
      </c>
      <c r="I1665" s="2">
        <v>52.94</v>
      </c>
      <c r="J1665" s="2">
        <v>433.55</v>
      </c>
      <c r="K1665" s="2">
        <v>296.14999999999998</v>
      </c>
      <c r="L1665" s="3">
        <v>91.99</v>
      </c>
      <c r="M1665" s="2">
        <v>2.0099999999999998</v>
      </c>
    </row>
    <row r="1666" spans="1:13">
      <c r="A1666" s="9">
        <v>43538</v>
      </c>
      <c r="B1666" s="1">
        <f t="shared" ref="B1666:B1729" si="52">EOMONTH(A1666,-1)+1</f>
        <v>43525</v>
      </c>
      <c r="C1666" s="5" t="str">
        <f t="shared" si="51"/>
        <v>2019-03</v>
      </c>
      <c r="D1666" s="3">
        <v>281.16000000000003</v>
      </c>
      <c r="E1666" s="3">
        <v>154.35</v>
      </c>
      <c r="F1666" s="3">
        <v>120.95</v>
      </c>
      <c r="G1666" s="3">
        <v>122.41</v>
      </c>
      <c r="H1666" s="3">
        <v>86.03</v>
      </c>
      <c r="I1666" s="2">
        <v>53.05</v>
      </c>
      <c r="J1666" s="2">
        <v>433.63</v>
      </c>
      <c r="K1666" s="2">
        <v>298.51</v>
      </c>
      <c r="L1666" s="3">
        <v>91.91</v>
      </c>
      <c r="M1666" s="2">
        <v>2</v>
      </c>
    </row>
    <row r="1667" spans="1:13">
      <c r="A1667" s="9">
        <v>43537</v>
      </c>
      <c r="B1667" s="1">
        <f t="shared" si="52"/>
        <v>43525</v>
      </c>
      <c r="C1667" s="5" t="str">
        <f t="shared" ref="C1667:C1730" si="53">TEXT(A1667, "yyyy-mm")</f>
        <v>2019-03</v>
      </c>
      <c r="D1667" s="3">
        <v>281.33999999999997</v>
      </c>
      <c r="E1667" s="3">
        <v>154.97999999999999</v>
      </c>
      <c r="F1667" s="3">
        <v>121.83</v>
      </c>
      <c r="G1667" s="3">
        <v>123.84</v>
      </c>
      <c r="H1667" s="3">
        <v>85.9</v>
      </c>
      <c r="I1667" s="2">
        <v>53.06</v>
      </c>
      <c r="J1667" s="2">
        <v>431.84</v>
      </c>
      <c r="K1667" s="2">
        <v>303.45</v>
      </c>
      <c r="L1667" s="3">
        <v>92.06</v>
      </c>
      <c r="M1667" s="2">
        <v>1.98</v>
      </c>
    </row>
    <row r="1668" spans="1:13">
      <c r="A1668" s="9">
        <v>43536</v>
      </c>
      <c r="B1668" s="1">
        <f t="shared" si="52"/>
        <v>43525</v>
      </c>
      <c r="C1668" s="5" t="str">
        <f t="shared" si="53"/>
        <v>2019-03</v>
      </c>
      <c r="D1668" s="3">
        <v>279.49</v>
      </c>
      <c r="E1668" s="3">
        <v>154.37</v>
      </c>
      <c r="F1668" s="3">
        <v>122.06</v>
      </c>
      <c r="G1668" s="3">
        <v>122.98</v>
      </c>
      <c r="H1668" s="3">
        <v>85.48</v>
      </c>
      <c r="I1668" s="2">
        <v>52.8</v>
      </c>
      <c r="J1668" s="2">
        <v>427.84</v>
      </c>
      <c r="K1668" s="2">
        <v>301.92</v>
      </c>
      <c r="L1668" s="3">
        <v>91.08</v>
      </c>
      <c r="M1668" s="2">
        <v>1.96</v>
      </c>
    </row>
    <row r="1669" spans="1:13">
      <c r="A1669" s="9">
        <v>43535</v>
      </c>
      <c r="B1669" s="1">
        <f t="shared" si="52"/>
        <v>43525</v>
      </c>
      <c r="C1669" s="5" t="str">
        <f t="shared" si="53"/>
        <v>2019-03</v>
      </c>
      <c r="D1669" s="3">
        <v>278.44</v>
      </c>
      <c r="E1669" s="3">
        <v>154.29</v>
      </c>
      <c r="F1669" s="3">
        <v>121.21</v>
      </c>
      <c r="G1669" s="3">
        <v>122.24</v>
      </c>
      <c r="H1669" s="3">
        <v>85.09</v>
      </c>
      <c r="I1669" s="2">
        <v>52.66</v>
      </c>
      <c r="J1669" s="2">
        <v>428.1</v>
      </c>
      <c r="K1669" s="2">
        <v>304.39999999999998</v>
      </c>
      <c r="L1669" s="3">
        <v>90.42</v>
      </c>
      <c r="M1669" s="2">
        <v>1.95</v>
      </c>
    </row>
    <row r="1670" spans="1:13">
      <c r="A1670" s="9">
        <v>43532</v>
      </c>
      <c r="B1670" s="1">
        <f t="shared" si="52"/>
        <v>43525</v>
      </c>
      <c r="C1670" s="5" t="str">
        <f t="shared" si="53"/>
        <v>2019-03</v>
      </c>
      <c r="D1670" s="3">
        <v>274.45999999999998</v>
      </c>
      <c r="E1670" s="3">
        <v>151.63999999999999</v>
      </c>
      <c r="F1670" s="3">
        <v>121.57</v>
      </c>
      <c r="G1670" s="3">
        <v>122.84</v>
      </c>
      <c r="H1670" s="3">
        <v>83.86</v>
      </c>
      <c r="I1670" s="2">
        <v>52.77</v>
      </c>
      <c r="J1670" s="2">
        <v>421.31</v>
      </c>
      <c r="K1670" s="2">
        <v>300.95</v>
      </c>
      <c r="L1670" s="3">
        <v>89.4</v>
      </c>
      <c r="M1670" s="2">
        <v>1.95</v>
      </c>
    </row>
    <row r="1671" spans="1:13">
      <c r="A1671" s="9">
        <v>43531</v>
      </c>
      <c r="B1671" s="1">
        <f t="shared" si="52"/>
        <v>43525</v>
      </c>
      <c r="C1671" s="5" t="str">
        <f t="shared" si="53"/>
        <v>2019-03</v>
      </c>
      <c r="D1671" s="3">
        <v>275.01</v>
      </c>
      <c r="E1671" s="3">
        <v>151.68</v>
      </c>
      <c r="F1671" s="3">
        <v>121.06</v>
      </c>
      <c r="G1671" s="3">
        <v>121.51</v>
      </c>
      <c r="H1671" s="3">
        <v>83.77</v>
      </c>
      <c r="I1671" s="2">
        <v>52.58</v>
      </c>
      <c r="J1671" s="2">
        <v>423.19</v>
      </c>
      <c r="K1671" s="2">
        <v>303.01</v>
      </c>
      <c r="L1671" s="3">
        <v>89.59</v>
      </c>
      <c r="M1671" s="2">
        <v>1.95</v>
      </c>
    </row>
    <row r="1672" spans="1:13">
      <c r="A1672" s="9">
        <v>43530</v>
      </c>
      <c r="B1672" s="1">
        <f t="shared" si="52"/>
        <v>43525</v>
      </c>
      <c r="C1672" s="5" t="str">
        <f t="shared" si="53"/>
        <v>2019-03</v>
      </c>
      <c r="D1672" s="3">
        <v>277.33</v>
      </c>
      <c r="E1672" s="3">
        <v>153.02000000000001</v>
      </c>
      <c r="F1672" s="3">
        <v>120.28</v>
      </c>
      <c r="G1672" s="3">
        <v>121.61</v>
      </c>
      <c r="H1672" s="3">
        <v>83.95</v>
      </c>
      <c r="I1672" s="2">
        <v>52.35</v>
      </c>
      <c r="J1672" s="2">
        <v>429.86</v>
      </c>
      <c r="K1672" s="2">
        <v>303.32</v>
      </c>
      <c r="L1672" s="3">
        <v>90.3</v>
      </c>
      <c r="M1672" s="2">
        <v>1.92</v>
      </c>
    </row>
    <row r="1673" spans="1:13">
      <c r="A1673" s="9">
        <v>43529</v>
      </c>
      <c r="B1673" s="1">
        <f t="shared" si="52"/>
        <v>43525</v>
      </c>
      <c r="C1673" s="5" t="str">
        <f t="shared" si="53"/>
        <v>2019-03</v>
      </c>
      <c r="D1673" s="3">
        <v>279.02</v>
      </c>
      <c r="E1673" s="3">
        <v>156.08000000000001</v>
      </c>
      <c r="F1673" s="3">
        <v>119.84</v>
      </c>
      <c r="G1673" s="3">
        <v>121.72</v>
      </c>
      <c r="H1673" s="3">
        <v>84.34</v>
      </c>
      <c r="I1673" s="2">
        <v>52.36</v>
      </c>
      <c r="J1673" s="2">
        <v>432.52</v>
      </c>
      <c r="K1673" s="2">
        <v>305.76</v>
      </c>
      <c r="L1673" s="3">
        <v>91.64</v>
      </c>
      <c r="M1673" s="2">
        <v>1.98</v>
      </c>
    </row>
    <row r="1674" spans="1:13">
      <c r="A1674" s="9">
        <v>43528</v>
      </c>
      <c r="B1674" s="1">
        <f t="shared" si="52"/>
        <v>43525</v>
      </c>
      <c r="C1674" s="5" t="str">
        <f t="shared" si="53"/>
        <v>2019-03</v>
      </c>
      <c r="D1674" s="3">
        <v>279.39999999999998</v>
      </c>
      <c r="E1674" s="3">
        <v>156.81</v>
      </c>
      <c r="F1674" s="3">
        <v>119.59</v>
      </c>
      <c r="G1674" s="3">
        <v>121.56</v>
      </c>
      <c r="H1674" s="3">
        <v>84.11</v>
      </c>
      <c r="I1674" s="2">
        <v>52.04</v>
      </c>
      <c r="J1674" s="2">
        <v>437.33</v>
      </c>
      <c r="K1674" s="2">
        <v>304.69</v>
      </c>
      <c r="L1674" s="3">
        <v>91.69</v>
      </c>
      <c r="M1674" s="2">
        <v>1.96</v>
      </c>
    </row>
    <row r="1675" spans="1:13">
      <c r="A1675" s="9">
        <v>43525</v>
      </c>
      <c r="B1675" s="1">
        <f t="shared" si="52"/>
        <v>43525</v>
      </c>
      <c r="C1675" s="5" t="str">
        <f t="shared" si="53"/>
        <v>2019-03</v>
      </c>
      <c r="D1675" s="3">
        <v>280.42</v>
      </c>
      <c r="E1675" s="3">
        <v>158.24</v>
      </c>
      <c r="F1675" s="3">
        <v>118.66</v>
      </c>
      <c r="G1675" s="3">
        <v>121.88</v>
      </c>
      <c r="H1675" s="3">
        <v>83.73</v>
      </c>
      <c r="I1675" s="2">
        <v>52.51</v>
      </c>
      <c r="J1675" s="2">
        <v>443.77</v>
      </c>
      <c r="K1675" s="2">
        <v>309.47000000000003</v>
      </c>
      <c r="L1675" s="3">
        <v>92.95</v>
      </c>
      <c r="M1675" s="2">
        <v>1.96</v>
      </c>
    </row>
    <row r="1676" spans="1:13">
      <c r="A1676" s="9">
        <v>43524</v>
      </c>
      <c r="B1676" s="1">
        <f t="shared" si="52"/>
        <v>43497</v>
      </c>
      <c r="C1676" s="5" t="str">
        <f t="shared" si="53"/>
        <v>2019-02</v>
      </c>
      <c r="D1676" s="3">
        <v>278.68</v>
      </c>
      <c r="E1676" s="3">
        <v>156.78</v>
      </c>
      <c r="F1676" s="3">
        <v>120.02</v>
      </c>
      <c r="G1676" s="3">
        <v>123.99</v>
      </c>
      <c r="H1676" s="3">
        <v>83.99</v>
      </c>
      <c r="I1676" s="2">
        <v>52.13</v>
      </c>
      <c r="J1676" s="2">
        <v>443.22</v>
      </c>
      <c r="K1676" s="2">
        <v>309.41000000000003</v>
      </c>
      <c r="L1676" s="3">
        <v>91.65</v>
      </c>
      <c r="M1676" s="2">
        <v>1.91</v>
      </c>
    </row>
    <row r="1677" spans="1:13">
      <c r="A1677" s="9">
        <v>43523</v>
      </c>
      <c r="B1677" s="1">
        <f t="shared" si="52"/>
        <v>43497</v>
      </c>
      <c r="C1677" s="5" t="str">
        <f t="shared" si="53"/>
        <v>2019-02</v>
      </c>
      <c r="D1677" s="3">
        <v>279.2</v>
      </c>
      <c r="E1677" s="3">
        <v>157.32</v>
      </c>
      <c r="F1677" s="3">
        <v>120.43</v>
      </c>
      <c r="G1677" s="3">
        <v>124.69</v>
      </c>
      <c r="H1677" s="3">
        <v>83.77</v>
      </c>
      <c r="I1677" s="2">
        <v>52.38</v>
      </c>
      <c r="J1677" s="2">
        <v>442.01</v>
      </c>
      <c r="K1677" s="2">
        <v>307.58</v>
      </c>
      <c r="L1677" s="3">
        <v>91.92</v>
      </c>
      <c r="M1677" s="2">
        <v>1.91</v>
      </c>
    </row>
    <row r="1678" spans="1:13">
      <c r="A1678" s="9">
        <v>43522</v>
      </c>
      <c r="B1678" s="1">
        <f t="shared" si="52"/>
        <v>43497</v>
      </c>
      <c r="C1678" s="5" t="str">
        <f t="shared" si="53"/>
        <v>2019-02</v>
      </c>
      <c r="D1678" s="3">
        <v>279.32</v>
      </c>
      <c r="E1678" s="3">
        <v>157.1</v>
      </c>
      <c r="F1678" s="3">
        <v>121.81</v>
      </c>
      <c r="G1678" s="3">
        <v>125.58</v>
      </c>
      <c r="H1678" s="3">
        <v>84.19</v>
      </c>
      <c r="I1678" s="2">
        <v>52.6</v>
      </c>
      <c r="J1678" s="2">
        <v>440.53</v>
      </c>
      <c r="K1678" s="2">
        <v>305.88</v>
      </c>
      <c r="L1678" s="3">
        <v>92.35</v>
      </c>
      <c r="M1678" s="2">
        <v>1.94</v>
      </c>
    </row>
    <row r="1679" spans="1:13">
      <c r="A1679" s="9">
        <v>43521</v>
      </c>
      <c r="B1679" s="1">
        <f t="shared" si="52"/>
        <v>43497</v>
      </c>
      <c r="C1679" s="5" t="str">
        <f t="shared" si="53"/>
        <v>2019-02</v>
      </c>
      <c r="D1679" s="3">
        <v>279.52</v>
      </c>
      <c r="E1679" s="3">
        <v>158.19</v>
      </c>
      <c r="F1679" s="3">
        <v>121.21</v>
      </c>
      <c r="G1679" s="3">
        <v>125.37</v>
      </c>
      <c r="H1679" s="3">
        <v>84.45</v>
      </c>
      <c r="I1679" s="2">
        <v>52.56</v>
      </c>
      <c r="J1679" s="2">
        <v>438.93</v>
      </c>
      <c r="K1679" s="2">
        <v>305.97000000000003</v>
      </c>
      <c r="L1679" s="3">
        <v>92.68</v>
      </c>
      <c r="M1679" s="2">
        <v>1.97</v>
      </c>
    </row>
    <row r="1680" spans="1:13">
      <c r="A1680" s="9">
        <v>43518</v>
      </c>
      <c r="B1680" s="1">
        <f t="shared" si="52"/>
        <v>43497</v>
      </c>
      <c r="C1680" s="5" t="str">
        <f t="shared" si="53"/>
        <v>2019-02</v>
      </c>
      <c r="D1680" s="3">
        <v>279.14</v>
      </c>
      <c r="E1680" s="3">
        <v>158.15</v>
      </c>
      <c r="F1680" s="3">
        <v>121.57</v>
      </c>
      <c r="G1680" s="3">
        <v>125.5</v>
      </c>
      <c r="H1680" s="3">
        <v>85.12</v>
      </c>
      <c r="I1680" s="2">
        <v>52.48</v>
      </c>
      <c r="J1680" s="2">
        <v>436.72</v>
      </c>
      <c r="K1680" s="2">
        <v>307.13</v>
      </c>
      <c r="L1680" s="3">
        <v>92.55</v>
      </c>
      <c r="M1680" s="2">
        <v>1.97</v>
      </c>
    </row>
    <row r="1681" spans="1:13">
      <c r="A1681" s="9">
        <v>43517</v>
      </c>
      <c r="B1681" s="1">
        <f t="shared" si="52"/>
        <v>43497</v>
      </c>
      <c r="C1681" s="5" t="str">
        <f t="shared" si="53"/>
        <v>2019-02</v>
      </c>
      <c r="D1681" s="3">
        <v>277.42</v>
      </c>
      <c r="E1681" s="3">
        <v>156.79</v>
      </c>
      <c r="F1681" s="3">
        <v>120.85</v>
      </c>
      <c r="G1681" s="3">
        <v>125.05</v>
      </c>
      <c r="H1681" s="3">
        <v>84.62</v>
      </c>
      <c r="I1681" s="2">
        <v>52.11</v>
      </c>
      <c r="J1681" s="2">
        <v>435.02</v>
      </c>
      <c r="K1681" s="2">
        <v>304.51</v>
      </c>
      <c r="L1681" s="3">
        <v>91.71</v>
      </c>
      <c r="M1681" s="2">
        <v>1.93</v>
      </c>
    </row>
    <row r="1682" spans="1:13">
      <c r="A1682" s="9">
        <v>43516</v>
      </c>
      <c r="B1682" s="1">
        <f t="shared" si="52"/>
        <v>43497</v>
      </c>
      <c r="C1682" s="5" t="str">
        <f t="shared" si="53"/>
        <v>2019-02</v>
      </c>
      <c r="D1682" s="3">
        <v>278.41000000000003</v>
      </c>
      <c r="E1682" s="3">
        <v>157.38999999999999</v>
      </c>
      <c r="F1682" s="3">
        <v>121.94</v>
      </c>
      <c r="G1682" s="3">
        <v>126.48</v>
      </c>
      <c r="H1682" s="3">
        <v>84.54</v>
      </c>
      <c r="I1682" s="2">
        <v>51.77</v>
      </c>
      <c r="J1682" s="2">
        <v>437.22</v>
      </c>
      <c r="K1682" s="2">
        <v>307.2</v>
      </c>
      <c r="L1682" s="3">
        <v>92.52</v>
      </c>
      <c r="M1682" s="2">
        <v>1.92</v>
      </c>
    </row>
    <row r="1683" spans="1:13">
      <c r="A1683" s="9">
        <v>43515</v>
      </c>
      <c r="B1683" s="1">
        <f t="shared" si="52"/>
        <v>43497</v>
      </c>
      <c r="C1683" s="5" t="str">
        <f t="shared" si="53"/>
        <v>2019-02</v>
      </c>
      <c r="D1683" s="3">
        <v>277.85000000000002</v>
      </c>
      <c r="E1683" s="3">
        <v>156.65</v>
      </c>
      <c r="F1683" s="3">
        <v>122.29</v>
      </c>
      <c r="G1683" s="3">
        <v>126.7</v>
      </c>
      <c r="H1683" s="3">
        <v>85.07</v>
      </c>
      <c r="I1683" s="2">
        <v>52.02</v>
      </c>
      <c r="J1683" s="2">
        <v>431.07</v>
      </c>
      <c r="K1683" s="2">
        <v>305.18</v>
      </c>
      <c r="L1683" s="3">
        <v>92.63</v>
      </c>
      <c r="M1683" s="2">
        <v>2</v>
      </c>
    </row>
    <row r="1684" spans="1:13">
      <c r="A1684" s="9">
        <v>43511</v>
      </c>
      <c r="B1684" s="1">
        <f t="shared" si="52"/>
        <v>43497</v>
      </c>
      <c r="C1684" s="5" t="str">
        <f t="shared" si="53"/>
        <v>2019-02</v>
      </c>
      <c r="D1684" s="3">
        <v>277.37</v>
      </c>
      <c r="E1684" s="3">
        <v>156.22</v>
      </c>
      <c r="F1684" s="3">
        <v>121.98</v>
      </c>
      <c r="G1684" s="3">
        <v>124.8</v>
      </c>
      <c r="H1684" s="3">
        <v>85.09</v>
      </c>
      <c r="I1684" s="2">
        <v>51.72</v>
      </c>
      <c r="J1684" s="2">
        <v>431.95</v>
      </c>
      <c r="K1684" s="2">
        <v>307.23</v>
      </c>
      <c r="L1684" s="3">
        <v>92.85</v>
      </c>
      <c r="M1684" s="2">
        <v>1.98</v>
      </c>
    </row>
    <row r="1685" spans="1:13">
      <c r="A1685" s="9">
        <v>43510</v>
      </c>
      <c r="B1685" s="1">
        <f t="shared" si="52"/>
        <v>43497</v>
      </c>
      <c r="C1685" s="5" t="str">
        <f t="shared" si="53"/>
        <v>2019-02</v>
      </c>
      <c r="D1685" s="3">
        <v>274.38</v>
      </c>
      <c r="E1685" s="3">
        <v>153.77000000000001</v>
      </c>
      <c r="F1685" s="3">
        <v>121.79</v>
      </c>
      <c r="G1685" s="3">
        <v>124.06</v>
      </c>
      <c r="H1685" s="3">
        <v>84.52</v>
      </c>
      <c r="I1685" s="2">
        <v>51.48</v>
      </c>
      <c r="J1685" s="2">
        <v>423.38</v>
      </c>
      <c r="K1685" s="2">
        <v>301</v>
      </c>
      <c r="L1685" s="3">
        <v>91.47</v>
      </c>
      <c r="M1685" s="2">
        <v>1.62</v>
      </c>
    </row>
    <row r="1686" spans="1:13">
      <c r="A1686" s="9">
        <v>43509</v>
      </c>
      <c r="B1686" s="1">
        <f t="shared" si="52"/>
        <v>43497</v>
      </c>
      <c r="C1686" s="5" t="str">
        <f t="shared" si="53"/>
        <v>2019-02</v>
      </c>
      <c r="D1686" s="3">
        <v>274.99</v>
      </c>
      <c r="E1686" s="3">
        <v>153.41999999999999</v>
      </c>
      <c r="F1686" s="3">
        <v>121.1</v>
      </c>
      <c r="G1686" s="3">
        <v>123.37</v>
      </c>
      <c r="H1686" s="3">
        <v>84.25</v>
      </c>
      <c r="I1686" s="2">
        <v>51.42</v>
      </c>
      <c r="J1686" s="2">
        <v>427.45</v>
      </c>
      <c r="K1686" s="2">
        <v>304.42</v>
      </c>
      <c r="L1686" s="3">
        <v>91.26</v>
      </c>
      <c r="M1686" s="2">
        <v>1.64</v>
      </c>
    </row>
    <row r="1687" spans="1:13">
      <c r="A1687" s="9">
        <v>43508</v>
      </c>
      <c r="B1687" s="1">
        <f t="shared" si="52"/>
        <v>43497</v>
      </c>
      <c r="C1687" s="5" t="str">
        <f t="shared" si="53"/>
        <v>2019-02</v>
      </c>
      <c r="D1687" s="3">
        <v>274.10000000000002</v>
      </c>
      <c r="E1687" s="3">
        <v>152.99</v>
      </c>
      <c r="F1687" s="3">
        <v>121.55500000000001</v>
      </c>
      <c r="G1687" s="3">
        <v>123.86</v>
      </c>
      <c r="H1687" s="3">
        <v>83.82</v>
      </c>
      <c r="I1687" s="2">
        <v>51.22</v>
      </c>
      <c r="J1687" s="2">
        <v>425.51</v>
      </c>
      <c r="K1687" s="2">
        <v>304.11</v>
      </c>
      <c r="L1687" s="3">
        <v>91.06</v>
      </c>
      <c r="M1687" s="2">
        <v>1.62</v>
      </c>
    </row>
    <row r="1688" spans="1:13">
      <c r="A1688" s="9">
        <v>43507</v>
      </c>
      <c r="B1688" s="1">
        <f t="shared" si="52"/>
        <v>43497</v>
      </c>
      <c r="C1688" s="5" t="str">
        <f t="shared" si="53"/>
        <v>2019-02</v>
      </c>
      <c r="D1688" s="3">
        <v>270.62</v>
      </c>
      <c r="E1688" s="3">
        <v>151.1</v>
      </c>
      <c r="F1688" s="3">
        <v>121.87</v>
      </c>
      <c r="G1688" s="3">
        <v>123.6</v>
      </c>
      <c r="H1688" s="3">
        <v>84.35</v>
      </c>
      <c r="I1688" s="2">
        <v>51.23</v>
      </c>
      <c r="J1688" s="2">
        <v>412.7</v>
      </c>
      <c r="K1688" s="2">
        <v>300.04000000000002</v>
      </c>
      <c r="L1688" s="3">
        <v>89.83</v>
      </c>
      <c r="M1688" s="2">
        <v>1.55</v>
      </c>
    </row>
    <row r="1689" spans="1:13">
      <c r="A1689" s="9">
        <v>43504</v>
      </c>
      <c r="B1689" s="1">
        <f t="shared" si="52"/>
        <v>43497</v>
      </c>
      <c r="C1689" s="5" t="str">
        <f t="shared" si="53"/>
        <v>2019-02</v>
      </c>
      <c r="D1689" s="3">
        <v>270.47000000000003</v>
      </c>
      <c r="E1689" s="3">
        <v>149.85</v>
      </c>
      <c r="F1689" s="3">
        <v>122.35</v>
      </c>
      <c r="G1689" s="3">
        <v>124.21</v>
      </c>
      <c r="H1689" s="3">
        <v>84.12</v>
      </c>
      <c r="I1689" s="2">
        <v>51.03</v>
      </c>
      <c r="J1689" s="2">
        <v>411.76</v>
      </c>
      <c r="K1689" s="2">
        <v>301.5</v>
      </c>
      <c r="L1689" s="3">
        <v>89.94</v>
      </c>
      <c r="M1689" s="2">
        <v>1.54</v>
      </c>
    </row>
    <row r="1690" spans="1:13">
      <c r="A1690" s="9">
        <v>43503</v>
      </c>
      <c r="B1690" s="1">
        <f t="shared" si="52"/>
        <v>43497</v>
      </c>
      <c r="C1690" s="5" t="str">
        <f t="shared" si="53"/>
        <v>2019-02</v>
      </c>
      <c r="D1690" s="3">
        <v>270.14</v>
      </c>
      <c r="E1690" s="3">
        <v>149.69</v>
      </c>
      <c r="F1690" s="3">
        <v>121.83</v>
      </c>
      <c r="G1690" s="3">
        <v>123.74</v>
      </c>
      <c r="H1690" s="3">
        <v>84.12</v>
      </c>
      <c r="I1690" s="2">
        <v>50.22</v>
      </c>
      <c r="J1690" s="2">
        <v>415.01</v>
      </c>
      <c r="K1690" s="2">
        <v>300.13</v>
      </c>
      <c r="L1690" s="3">
        <v>89.77</v>
      </c>
      <c r="M1690" s="2">
        <v>1.54</v>
      </c>
    </row>
    <row r="1691" spans="1:13">
      <c r="A1691" s="9">
        <v>43502</v>
      </c>
      <c r="B1691" s="1">
        <f t="shared" si="52"/>
        <v>43497</v>
      </c>
      <c r="C1691" s="5" t="str">
        <f t="shared" si="53"/>
        <v>2019-02</v>
      </c>
      <c r="D1691" s="3">
        <v>272.74</v>
      </c>
      <c r="E1691" s="3">
        <v>150.93</v>
      </c>
      <c r="F1691" s="3">
        <v>121.03</v>
      </c>
      <c r="G1691" s="3">
        <v>123.44</v>
      </c>
      <c r="H1691" s="3">
        <v>83.43</v>
      </c>
      <c r="I1691" s="2">
        <v>51.26</v>
      </c>
      <c r="J1691" s="2">
        <v>416.39</v>
      </c>
      <c r="K1691" s="2">
        <v>299.83</v>
      </c>
      <c r="L1691" s="3">
        <v>90.77</v>
      </c>
      <c r="M1691" s="2">
        <v>1.57</v>
      </c>
    </row>
    <row r="1692" spans="1:13">
      <c r="A1692" s="9">
        <v>43501</v>
      </c>
      <c r="B1692" s="1">
        <f t="shared" si="52"/>
        <v>43497</v>
      </c>
      <c r="C1692" s="5" t="str">
        <f t="shared" si="53"/>
        <v>2019-02</v>
      </c>
      <c r="D1692" s="3">
        <v>273.10000000000002</v>
      </c>
      <c r="E1692" s="3">
        <v>151.12</v>
      </c>
      <c r="F1692" s="3">
        <v>120.97</v>
      </c>
      <c r="G1692" s="3">
        <v>124.28</v>
      </c>
      <c r="H1692" s="3">
        <v>83.98</v>
      </c>
      <c r="I1692" s="2">
        <v>51.24</v>
      </c>
      <c r="J1692" s="2">
        <v>417.56</v>
      </c>
      <c r="K1692" s="2">
        <v>299.45999999999998</v>
      </c>
      <c r="L1692" s="3">
        <v>90.36</v>
      </c>
      <c r="M1692" s="2">
        <v>1.57</v>
      </c>
    </row>
    <row r="1693" spans="1:13">
      <c r="A1693" s="9">
        <v>43500</v>
      </c>
      <c r="B1693" s="1">
        <f t="shared" si="52"/>
        <v>43497</v>
      </c>
      <c r="C1693" s="5" t="str">
        <f t="shared" si="53"/>
        <v>2019-02</v>
      </c>
      <c r="D1693" s="3">
        <v>271.95999999999998</v>
      </c>
      <c r="E1693" s="3">
        <v>150.96</v>
      </c>
      <c r="F1693" s="3">
        <v>120.42</v>
      </c>
      <c r="G1693" s="3">
        <v>123.96</v>
      </c>
      <c r="H1693" s="3">
        <v>83.5</v>
      </c>
      <c r="I1693" s="2">
        <v>51.03</v>
      </c>
      <c r="J1693" s="2">
        <v>417.98</v>
      </c>
      <c r="K1693" s="2">
        <v>298.77</v>
      </c>
      <c r="L1693" s="3">
        <v>90.49</v>
      </c>
      <c r="M1693" s="2">
        <v>1.53</v>
      </c>
    </row>
    <row r="1694" spans="1:13">
      <c r="A1694" s="9">
        <v>43497</v>
      </c>
      <c r="B1694" s="1">
        <f t="shared" si="52"/>
        <v>43497</v>
      </c>
      <c r="C1694" s="5" t="str">
        <f t="shared" si="53"/>
        <v>2019-02</v>
      </c>
      <c r="D1694" s="3">
        <v>270.06</v>
      </c>
      <c r="E1694" s="3">
        <v>149.18</v>
      </c>
      <c r="F1694" s="3">
        <v>120.96</v>
      </c>
      <c r="G1694" s="3">
        <v>124.5</v>
      </c>
      <c r="H1694" s="3">
        <v>82.88</v>
      </c>
      <c r="I1694" s="2">
        <v>50.81</v>
      </c>
      <c r="J1694" s="2">
        <v>416.81</v>
      </c>
      <c r="K1694" s="2">
        <v>290.58</v>
      </c>
      <c r="L1694" s="3">
        <v>90.75</v>
      </c>
      <c r="M1694" s="2">
        <v>1.53</v>
      </c>
    </row>
    <row r="1695" spans="1:13">
      <c r="A1695" s="9">
        <v>43496</v>
      </c>
      <c r="B1695" s="1">
        <f t="shared" si="52"/>
        <v>43466</v>
      </c>
      <c r="C1695" s="5" t="str">
        <f t="shared" si="53"/>
        <v>2019-01</v>
      </c>
      <c r="D1695" s="3">
        <v>269.93</v>
      </c>
      <c r="E1695" s="3">
        <v>149.06</v>
      </c>
      <c r="F1695" s="3">
        <v>121.97</v>
      </c>
      <c r="G1695" s="3">
        <v>124.75</v>
      </c>
      <c r="H1695" s="3">
        <v>83.41</v>
      </c>
      <c r="I1695" s="2">
        <v>50.23</v>
      </c>
      <c r="J1695" s="2">
        <v>415.08</v>
      </c>
      <c r="K1695" s="2">
        <v>289.69</v>
      </c>
      <c r="L1695" s="3">
        <v>90.67</v>
      </c>
      <c r="M1695" s="2">
        <v>1.51</v>
      </c>
    </row>
    <row r="1696" spans="1:13">
      <c r="A1696" s="9">
        <v>43495</v>
      </c>
      <c r="B1696" s="1">
        <f t="shared" si="52"/>
        <v>43466</v>
      </c>
      <c r="C1696" s="5" t="str">
        <f t="shared" si="53"/>
        <v>2019-01</v>
      </c>
      <c r="D1696" s="3">
        <v>267.58</v>
      </c>
      <c r="E1696" s="3">
        <v>147.80000000000001</v>
      </c>
      <c r="F1696" s="3">
        <v>120.93</v>
      </c>
      <c r="G1696" s="3">
        <v>124.69</v>
      </c>
      <c r="H1696" s="3">
        <v>82.55</v>
      </c>
      <c r="I1696" s="2">
        <v>50.36</v>
      </c>
      <c r="J1696" s="2">
        <v>408.33</v>
      </c>
      <c r="K1696" s="2">
        <v>291.67</v>
      </c>
      <c r="L1696" s="3">
        <v>89.55</v>
      </c>
      <c r="M1696" s="2">
        <v>1.51</v>
      </c>
    </row>
    <row r="1697" spans="1:13">
      <c r="A1697" s="9">
        <v>43494</v>
      </c>
      <c r="B1697" s="1">
        <f t="shared" si="52"/>
        <v>43466</v>
      </c>
      <c r="C1697" s="5" t="str">
        <f t="shared" si="53"/>
        <v>2019-01</v>
      </c>
      <c r="D1697" s="3">
        <v>263.41000000000003</v>
      </c>
      <c r="E1697" s="3">
        <v>146.19999999999999</v>
      </c>
      <c r="F1697" s="3">
        <v>121.02</v>
      </c>
      <c r="G1697" s="3">
        <v>123.98</v>
      </c>
      <c r="H1697" s="3">
        <v>81.89</v>
      </c>
      <c r="I1697" s="2">
        <v>49.61</v>
      </c>
      <c r="J1697" s="2">
        <v>407.62</v>
      </c>
      <c r="K1697" s="2">
        <v>292.05</v>
      </c>
      <c r="L1697" s="3">
        <v>88.34</v>
      </c>
      <c r="M1697" s="2">
        <v>1.5</v>
      </c>
    </row>
    <row r="1698" spans="1:13">
      <c r="A1698" s="9">
        <v>43493</v>
      </c>
      <c r="B1698" s="1">
        <f t="shared" si="52"/>
        <v>43466</v>
      </c>
      <c r="C1698" s="5" t="str">
        <f t="shared" si="53"/>
        <v>2019-01</v>
      </c>
      <c r="D1698" s="3">
        <v>263.76</v>
      </c>
      <c r="E1698" s="3">
        <v>146.55000000000001</v>
      </c>
      <c r="F1698" s="3">
        <v>120.41</v>
      </c>
      <c r="G1698" s="3">
        <v>123.29</v>
      </c>
      <c r="H1698" s="3">
        <v>81.25</v>
      </c>
      <c r="I1698" s="2">
        <v>49.52</v>
      </c>
      <c r="J1698" s="2">
        <v>405.36</v>
      </c>
      <c r="K1698" s="2">
        <v>287.87</v>
      </c>
      <c r="L1698" s="3">
        <v>87.91</v>
      </c>
      <c r="M1698" s="2">
        <v>1.48</v>
      </c>
    </row>
    <row r="1699" spans="1:13">
      <c r="A1699" s="9">
        <v>43490</v>
      </c>
      <c r="B1699" s="1">
        <f t="shared" si="52"/>
        <v>43466</v>
      </c>
      <c r="C1699" s="5" t="str">
        <f t="shared" si="53"/>
        <v>2019-01</v>
      </c>
      <c r="D1699" s="3">
        <v>265.77999999999997</v>
      </c>
      <c r="E1699" s="3">
        <v>147.34</v>
      </c>
      <c r="F1699" s="3">
        <v>120.53</v>
      </c>
      <c r="G1699" s="3">
        <v>122.86</v>
      </c>
      <c r="H1699" s="3">
        <v>80.459999999999994</v>
      </c>
      <c r="I1699" s="2">
        <v>49.8</v>
      </c>
      <c r="J1699" s="2">
        <v>409.95</v>
      </c>
      <c r="K1699" s="2">
        <v>287.04000000000002</v>
      </c>
      <c r="L1699" s="3">
        <v>88.92</v>
      </c>
      <c r="M1699" s="2">
        <v>1.5</v>
      </c>
    </row>
    <row r="1700" spans="1:13">
      <c r="A1700" s="9">
        <v>43489</v>
      </c>
      <c r="B1700" s="1">
        <f t="shared" si="52"/>
        <v>43466</v>
      </c>
      <c r="C1700" s="5" t="str">
        <f t="shared" si="53"/>
        <v>2019-01</v>
      </c>
      <c r="D1700" s="3">
        <v>263.55</v>
      </c>
      <c r="E1700" s="3">
        <v>145.47</v>
      </c>
      <c r="F1700" s="3">
        <v>121.11</v>
      </c>
      <c r="G1700" s="3">
        <v>121.09</v>
      </c>
      <c r="H1700" s="3">
        <v>79.47</v>
      </c>
      <c r="I1700" s="2">
        <v>49.2</v>
      </c>
      <c r="J1700" s="2">
        <v>406.56</v>
      </c>
      <c r="K1700" s="2">
        <v>285.25</v>
      </c>
      <c r="L1700" s="3">
        <v>88.81</v>
      </c>
      <c r="M1700" s="2">
        <v>1.5</v>
      </c>
    </row>
    <row r="1701" spans="1:13">
      <c r="A1701" s="9">
        <v>43488</v>
      </c>
      <c r="B1701" s="1">
        <f t="shared" si="52"/>
        <v>43466</v>
      </c>
      <c r="C1701" s="5" t="str">
        <f t="shared" si="53"/>
        <v>2019-01</v>
      </c>
      <c r="D1701" s="3">
        <v>263.41000000000003</v>
      </c>
      <c r="E1701" s="3">
        <v>144.6</v>
      </c>
      <c r="F1701" s="3">
        <v>120.32</v>
      </c>
      <c r="G1701" s="3">
        <v>121.28</v>
      </c>
      <c r="H1701" s="3">
        <v>79.2</v>
      </c>
      <c r="I1701" s="2">
        <v>49.24</v>
      </c>
      <c r="J1701" s="2">
        <v>408.48</v>
      </c>
      <c r="K1701" s="2">
        <v>283.51</v>
      </c>
      <c r="L1701" s="3">
        <v>89.56</v>
      </c>
      <c r="M1701" s="2">
        <v>1.49</v>
      </c>
    </row>
    <row r="1702" spans="1:13">
      <c r="A1702" s="9">
        <v>43487</v>
      </c>
      <c r="B1702" s="1">
        <f t="shared" si="52"/>
        <v>43466</v>
      </c>
      <c r="C1702" s="5" t="str">
        <f t="shared" si="53"/>
        <v>2019-01</v>
      </c>
      <c r="D1702" s="3">
        <v>262.86</v>
      </c>
      <c r="E1702" s="3">
        <v>145</v>
      </c>
      <c r="F1702" s="3">
        <v>120.37</v>
      </c>
      <c r="G1702" s="3">
        <v>121.45</v>
      </c>
      <c r="H1702" s="3">
        <v>79.19</v>
      </c>
      <c r="I1702" s="2">
        <v>48.94</v>
      </c>
      <c r="J1702" s="2">
        <v>413.6</v>
      </c>
      <c r="K1702" s="2">
        <v>279.58999999999997</v>
      </c>
      <c r="L1702" s="3">
        <v>89.46</v>
      </c>
      <c r="M1702" s="2">
        <v>1.47</v>
      </c>
    </row>
    <row r="1703" spans="1:13">
      <c r="A1703" s="9">
        <v>43483</v>
      </c>
      <c r="B1703" s="1">
        <f t="shared" si="52"/>
        <v>43466</v>
      </c>
      <c r="C1703" s="5" t="str">
        <f t="shared" si="53"/>
        <v>2019-01</v>
      </c>
      <c r="D1703" s="3">
        <v>266.45999999999998</v>
      </c>
      <c r="E1703" s="3">
        <v>147.33000000000001</v>
      </c>
      <c r="F1703" s="3">
        <v>119.56</v>
      </c>
      <c r="G1703" s="3">
        <v>121.02</v>
      </c>
      <c r="H1703" s="3">
        <v>79.430000000000007</v>
      </c>
      <c r="I1703" s="2">
        <v>49.27</v>
      </c>
      <c r="J1703" s="2">
        <v>419.45</v>
      </c>
      <c r="K1703" s="2">
        <v>282.87</v>
      </c>
      <c r="L1703" s="3">
        <v>90.08</v>
      </c>
      <c r="M1703" s="2">
        <v>1.5</v>
      </c>
    </row>
    <row r="1704" spans="1:13">
      <c r="A1704" s="9">
        <v>43482</v>
      </c>
      <c r="B1704" s="1">
        <f t="shared" si="52"/>
        <v>43466</v>
      </c>
      <c r="C1704" s="5" t="str">
        <f t="shared" si="53"/>
        <v>2019-01</v>
      </c>
      <c r="D1704" s="3">
        <v>262.95999999999998</v>
      </c>
      <c r="E1704" s="3">
        <v>145.83000000000001</v>
      </c>
      <c r="F1704" s="3">
        <v>120.19</v>
      </c>
      <c r="G1704" s="3">
        <v>122.11</v>
      </c>
      <c r="H1704" s="3">
        <v>79.16</v>
      </c>
      <c r="I1704" s="2">
        <v>48.58</v>
      </c>
      <c r="J1704" s="2">
        <v>412.52</v>
      </c>
      <c r="K1704" s="2">
        <v>278.8</v>
      </c>
      <c r="L1704" s="3">
        <v>89.02</v>
      </c>
      <c r="M1704" s="2">
        <v>1.48</v>
      </c>
    </row>
    <row r="1705" spans="1:13">
      <c r="A1705" s="9">
        <v>43481</v>
      </c>
      <c r="B1705" s="1">
        <f t="shared" si="52"/>
        <v>43466</v>
      </c>
      <c r="C1705" s="5" t="str">
        <f t="shared" si="53"/>
        <v>2019-01</v>
      </c>
      <c r="D1705" s="3">
        <v>260.98</v>
      </c>
      <c r="E1705" s="3">
        <v>144.52000000000001</v>
      </c>
      <c r="F1705" s="3">
        <v>120.16</v>
      </c>
      <c r="G1705" s="3">
        <v>122.27</v>
      </c>
      <c r="H1705" s="3">
        <v>78.78</v>
      </c>
      <c r="I1705" s="2">
        <v>48.06</v>
      </c>
      <c r="J1705" s="2">
        <v>413.04</v>
      </c>
      <c r="K1705" s="2">
        <v>272.39</v>
      </c>
      <c r="L1705" s="3">
        <v>88.24</v>
      </c>
      <c r="M1705" s="2">
        <v>1.5</v>
      </c>
    </row>
    <row r="1706" spans="1:13">
      <c r="A1706" s="9">
        <v>43480</v>
      </c>
      <c r="B1706" s="1">
        <f t="shared" si="52"/>
        <v>43466</v>
      </c>
      <c r="C1706" s="5" t="str">
        <f t="shared" si="53"/>
        <v>2019-01</v>
      </c>
      <c r="D1706" s="3">
        <v>260.35000000000002</v>
      </c>
      <c r="E1706" s="3">
        <v>143.44999999999999</v>
      </c>
      <c r="F1706" s="3">
        <v>120.04</v>
      </c>
      <c r="G1706" s="3">
        <v>121.88</v>
      </c>
      <c r="H1706" s="3">
        <v>78.23</v>
      </c>
      <c r="I1706" s="2">
        <v>48.38</v>
      </c>
      <c r="J1706" s="2">
        <v>400.71</v>
      </c>
      <c r="K1706" s="2">
        <v>276</v>
      </c>
      <c r="L1706" s="3">
        <v>88.4</v>
      </c>
      <c r="M1706" s="2">
        <v>1.51</v>
      </c>
    </row>
    <row r="1707" spans="1:13">
      <c r="A1707" s="9">
        <v>43479</v>
      </c>
      <c r="B1707" s="1">
        <f t="shared" si="52"/>
        <v>43466</v>
      </c>
      <c r="C1707" s="5" t="str">
        <f t="shared" si="53"/>
        <v>2019-01</v>
      </c>
      <c r="D1707" s="3">
        <v>257.39999999999998</v>
      </c>
      <c r="E1707" s="3">
        <v>142.25</v>
      </c>
      <c r="F1707" s="3">
        <v>120.48</v>
      </c>
      <c r="G1707" s="3">
        <v>122.09</v>
      </c>
      <c r="H1707" s="3">
        <v>77.489999999999995</v>
      </c>
      <c r="I1707" s="2">
        <v>48.18</v>
      </c>
      <c r="J1707" s="2">
        <v>396.42</v>
      </c>
      <c r="K1707" s="2">
        <v>277.51</v>
      </c>
      <c r="L1707" s="3">
        <v>86.84</v>
      </c>
      <c r="M1707" s="2">
        <v>1.53</v>
      </c>
    </row>
    <row r="1708" spans="1:13">
      <c r="A1708" s="9">
        <v>43476</v>
      </c>
      <c r="B1708" s="1">
        <f t="shared" si="52"/>
        <v>43466</v>
      </c>
      <c r="C1708" s="5" t="str">
        <f t="shared" si="53"/>
        <v>2019-01</v>
      </c>
      <c r="D1708" s="3">
        <v>258.98</v>
      </c>
      <c r="E1708" s="3">
        <v>143.68</v>
      </c>
      <c r="F1708" s="3">
        <v>120.93</v>
      </c>
      <c r="G1708" s="3">
        <v>121.8</v>
      </c>
      <c r="H1708" s="3">
        <v>77.75</v>
      </c>
      <c r="I1708" s="2">
        <v>48.29</v>
      </c>
      <c r="J1708" s="2">
        <v>397.91</v>
      </c>
      <c r="K1708" s="2">
        <v>277.73</v>
      </c>
      <c r="L1708" s="3">
        <v>87.81</v>
      </c>
      <c r="M1708" s="2">
        <v>1.5</v>
      </c>
    </row>
    <row r="1709" spans="1:13">
      <c r="A1709" s="9">
        <v>43475</v>
      </c>
      <c r="B1709" s="1">
        <f t="shared" si="52"/>
        <v>43466</v>
      </c>
      <c r="C1709" s="5" t="str">
        <f t="shared" si="53"/>
        <v>2019-01</v>
      </c>
      <c r="D1709" s="3">
        <v>258.88</v>
      </c>
      <c r="E1709" s="3">
        <v>143.63999999999999</v>
      </c>
      <c r="F1709" s="3">
        <v>120.46</v>
      </c>
      <c r="G1709" s="3">
        <v>121.59</v>
      </c>
      <c r="H1709" s="3">
        <v>77.53</v>
      </c>
      <c r="I1709" s="2">
        <v>47.82</v>
      </c>
      <c r="J1709" s="2">
        <v>399.5</v>
      </c>
      <c r="K1709" s="2">
        <v>277.5</v>
      </c>
      <c r="L1709" s="3">
        <v>87.52</v>
      </c>
      <c r="M1709" s="2">
        <v>1.55</v>
      </c>
    </row>
    <row r="1710" spans="1:13">
      <c r="A1710" s="9">
        <v>43474</v>
      </c>
      <c r="B1710" s="1">
        <f t="shared" si="52"/>
        <v>43466</v>
      </c>
      <c r="C1710" s="5" t="str">
        <f t="shared" si="53"/>
        <v>2019-01</v>
      </c>
      <c r="D1710" s="3">
        <v>257.97000000000003</v>
      </c>
      <c r="E1710" s="3">
        <v>142.9</v>
      </c>
      <c r="F1710" s="3">
        <v>121.24</v>
      </c>
      <c r="G1710" s="3">
        <v>122.31</v>
      </c>
      <c r="H1710" s="3">
        <v>76.489999999999995</v>
      </c>
      <c r="I1710" s="2">
        <v>47.78</v>
      </c>
      <c r="J1710" s="2">
        <v>400.19</v>
      </c>
      <c r="K1710" s="2">
        <v>270.54000000000002</v>
      </c>
      <c r="L1710" s="3">
        <v>87.35</v>
      </c>
      <c r="M1710" s="2">
        <v>1.55</v>
      </c>
    </row>
    <row r="1711" spans="1:13">
      <c r="A1711" s="9">
        <v>43473</v>
      </c>
      <c r="B1711" s="1">
        <f t="shared" si="52"/>
        <v>43466</v>
      </c>
      <c r="C1711" s="5" t="str">
        <f t="shared" si="53"/>
        <v>2019-01</v>
      </c>
      <c r="D1711" s="3">
        <v>256.77</v>
      </c>
      <c r="E1711" s="3">
        <v>141.72999999999999</v>
      </c>
      <c r="F1711" s="3">
        <v>121.43</v>
      </c>
      <c r="G1711" s="3">
        <v>121.53</v>
      </c>
      <c r="H1711" s="3">
        <v>76.599999999999994</v>
      </c>
      <c r="I1711" s="2">
        <v>47.88</v>
      </c>
      <c r="J1711" s="2">
        <v>397.91</v>
      </c>
      <c r="K1711" s="2">
        <v>269.87</v>
      </c>
      <c r="L1711" s="3">
        <v>86.96</v>
      </c>
      <c r="M1711" s="2">
        <v>1.56</v>
      </c>
    </row>
    <row r="1712" spans="1:13">
      <c r="A1712" s="9">
        <v>43472</v>
      </c>
      <c r="B1712" s="1">
        <f t="shared" si="52"/>
        <v>43466</v>
      </c>
      <c r="C1712" s="5" t="str">
        <f t="shared" si="53"/>
        <v>2019-01</v>
      </c>
      <c r="D1712" s="3">
        <v>254.38</v>
      </c>
      <c r="E1712" s="3">
        <v>139.59</v>
      </c>
      <c r="F1712" s="3">
        <v>121.75</v>
      </c>
      <c r="G1712" s="3">
        <v>121.86</v>
      </c>
      <c r="H1712" s="3">
        <v>75.05</v>
      </c>
      <c r="I1712" s="2">
        <v>47.45</v>
      </c>
      <c r="J1712" s="2">
        <v>392.91</v>
      </c>
      <c r="K1712" s="2">
        <v>268.08</v>
      </c>
      <c r="L1712" s="3">
        <v>86.29</v>
      </c>
      <c r="M1712" s="2">
        <v>1.57</v>
      </c>
    </row>
    <row r="1713" spans="1:13">
      <c r="A1713" s="9">
        <v>43469</v>
      </c>
      <c r="B1713" s="1">
        <f t="shared" si="52"/>
        <v>43466</v>
      </c>
      <c r="C1713" s="5" t="str">
        <f t="shared" si="53"/>
        <v>2019-01</v>
      </c>
      <c r="D1713" s="3">
        <v>252.39</v>
      </c>
      <c r="E1713" s="3">
        <v>137.19</v>
      </c>
      <c r="F1713" s="3">
        <v>122.11</v>
      </c>
      <c r="G1713" s="3">
        <v>121.44</v>
      </c>
      <c r="H1713" s="3">
        <v>74.319999999999993</v>
      </c>
      <c r="I1713" s="2">
        <v>46.71</v>
      </c>
      <c r="J1713" s="2">
        <v>391.82</v>
      </c>
      <c r="K1713" s="2">
        <v>265.04000000000002</v>
      </c>
      <c r="L1713" s="3">
        <v>85.96</v>
      </c>
      <c r="M1713" s="2">
        <v>1.56</v>
      </c>
    </row>
    <row r="1714" spans="1:13">
      <c r="A1714" s="9">
        <v>43468</v>
      </c>
      <c r="B1714" s="1">
        <f t="shared" si="52"/>
        <v>43466</v>
      </c>
      <c r="C1714" s="5" t="str">
        <f t="shared" si="53"/>
        <v>2019-01</v>
      </c>
      <c r="D1714" s="3">
        <v>244.21</v>
      </c>
      <c r="E1714" s="3">
        <v>132.25</v>
      </c>
      <c r="F1714" s="3">
        <v>123.54</v>
      </c>
      <c r="G1714" s="3">
        <v>122.43</v>
      </c>
      <c r="H1714" s="3">
        <v>73.459999999999994</v>
      </c>
      <c r="I1714" s="2">
        <v>44.78</v>
      </c>
      <c r="J1714" s="2">
        <v>377.98</v>
      </c>
      <c r="K1714" s="2">
        <v>258.08</v>
      </c>
      <c r="L1714" s="3">
        <v>83.47</v>
      </c>
      <c r="M1714" s="2">
        <v>1.57</v>
      </c>
    </row>
    <row r="1715" spans="1:13">
      <c r="A1715" s="9">
        <v>43467</v>
      </c>
      <c r="B1715" s="1">
        <f t="shared" si="52"/>
        <v>43466</v>
      </c>
      <c r="C1715" s="5" t="str">
        <f t="shared" si="53"/>
        <v>2019-01</v>
      </c>
      <c r="D1715" s="3">
        <v>250.18</v>
      </c>
      <c r="E1715" s="3">
        <v>134.66</v>
      </c>
      <c r="F1715" s="3">
        <v>122.15</v>
      </c>
      <c r="G1715" s="3">
        <v>121.33</v>
      </c>
      <c r="H1715" s="3">
        <v>72.95</v>
      </c>
      <c r="I1715" s="2">
        <v>45.22</v>
      </c>
      <c r="J1715" s="2">
        <v>389.42</v>
      </c>
      <c r="K1715" s="2">
        <v>264.73</v>
      </c>
      <c r="L1715" s="3">
        <v>85.2</v>
      </c>
      <c r="M1715" s="2">
        <v>1.51</v>
      </c>
    </row>
    <row r="1716" spans="1:13">
      <c r="A1716" s="9">
        <v>43465</v>
      </c>
      <c r="B1716" s="1">
        <f t="shared" si="52"/>
        <v>43435</v>
      </c>
      <c r="C1716" s="5" t="str">
        <f t="shared" si="53"/>
        <v>2018-12</v>
      </c>
      <c r="D1716" s="3">
        <v>249.92</v>
      </c>
      <c r="E1716" s="3">
        <v>133.9</v>
      </c>
      <c r="F1716" s="3">
        <v>121.51</v>
      </c>
      <c r="G1716" s="3">
        <v>121.25</v>
      </c>
      <c r="H1716" s="3">
        <v>74.569999999999993</v>
      </c>
      <c r="I1716" s="2">
        <v>45.15</v>
      </c>
      <c r="J1716" s="2">
        <v>392.82</v>
      </c>
      <c r="K1716" s="2">
        <v>261.83999999999997</v>
      </c>
      <c r="L1716" s="3">
        <v>86.51</v>
      </c>
      <c r="M1716" s="2">
        <v>1.38</v>
      </c>
    </row>
    <row r="1717" spans="1:13">
      <c r="A1717" s="9">
        <v>43462</v>
      </c>
      <c r="B1717" s="1">
        <f t="shared" si="52"/>
        <v>43435</v>
      </c>
      <c r="C1717" s="5" t="str">
        <f t="shared" si="53"/>
        <v>2018-12</v>
      </c>
      <c r="D1717" s="3">
        <v>247.75</v>
      </c>
      <c r="E1717" s="3">
        <v>132.86000000000001</v>
      </c>
      <c r="F1717" s="3">
        <v>121.05</v>
      </c>
      <c r="G1717" s="3">
        <v>121.06</v>
      </c>
      <c r="H1717" s="3">
        <v>74.37</v>
      </c>
      <c r="I1717" s="2">
        <v>44.82</v>
      </c>
      <c r="J1717" s="2">
        <v>388.23</v>
      </c>
      <c r="K1717" s="2">
        <v>261.26</v>
      </c>
      <c r="L1717" s="3">
        <v>85.25</v>
      </c>
      <c r="M1717" s="2">
        <v>1.39</v>
      </c>
    </row>
    <row r="1718" spans="1:13">
      <c r="A1718" s="9">
        <v>43461</v>
      </c>
      <c r="B1718" s="1">
        <f t="shared" si="52"/>
        <v>43435</v>
      </c>
      <c r="C1718" s="5" t="str">
        <f t="shared" si="53"/>
        <v>2018-12</v>
      </c>
      <c r="D1718" s="3">
        <v>248.07</v>
      </c>
      <c r="E1718" s="3">
        <v>132.47999999999999</v>
      </c>
      <c r="F1718" s="3">
        <v>120.04</v>
      </c>
      <c r="G1718" s="3">
        <v>120.57</v>
      </c>
      <c r="H1718" s="3">
        <v>74.13</v>
      </c>
      <c r="I1718" s="2">
        <v>44.97</v>
      </c>
      <c r="J1718" s="2">
        <v>387.8</v>
      </c>
      <c r="K1718" s="2">
        <v>259.79000000000002</v>
      </c>
      <c r="L1718" s="3">
        <v>85.15</v>
      </c>
      <c r="M1718" s="2">
        <v>1.4</v>
      </c>
    </row>
    <row r="1719" spans="1:13">
      <c r="A1719" s="9">
        <v>43460</v>
      </c>
      <c r="B1719" s="1">
        <f t="shared" si="52"/>
        <v>43435</v>
      </c>
      <c r="C1719" s="5" t="str">
        <f t="shared" si="53"/>
        <v>2018-12</v>
      </c>
      <c r="D1719" s="3">
        <v>246.18</v>
      </c>
      <c r="E1719" s="3">
        <v>131.93</v>
      </c>
      <c r="F1719" s="3">
        <v>120.02</v>
      </c>
      <c r="G1719" s="3">
        <v>119.66</v>
      </c>
      <c r="H1719" s="3">
        <v>74.14</v>
      </c>
      <c r="I1719" s="2">
        <v>44.59</v>
      </c>
      <c r="J1719" s="2">
        <v>381.23</v>
      </c>
      <c r="K1719" s="2">
        <v>251.62</v>
      </c>
      <c r="L1719" s="3">
        <v>84.22</v>
      </c>
      <c r="M1719" s="2">
        <v>1.41</v>
      </c>
    </row>
    <row r="1720" spans="1:13">
      <c r="A1720" s="9">
        <v>43458</v>
      </c>
      <c r="B1720" s="1">
        <f t="shared" si="52"/>
        <v>43435</v>
      </c>
      <c r="C1720" s="5" t="str">
        <f t="shared" si="53"/>
        <v>2018-12</v>
      </c>
      <c r="D1720" s="3">
        <v>234.34</v>
      </c>
      <c r="E1720" s="3">
        <v>125.88</v>
      </c>
      <c r="F1720" s="3">
        <v>121.32</v>
      </c>
      <c r="G1720" s="3">
        <v>120.02</v>
      </c>
      <c r="H1720" s="3">
        <v>71.739999999999995</v>
      </c>
      <c r="I1720" s="2">
        <v>42.69</v>
      </c>
      <c r="J1720" s="2">
        <v>361.77</v>
      </c>
      <c r="K1720" s="2">
        <v>245.22</v>
      </c>
      <c r="L1720" s="3">
        <v>80.7</v>
      </c>
      <c r="M1720" s="2">
        <v>1.41</v>
      </c>
    </row>
    <row r="1721" spans="1:13">
      <c r="A1721" s="9">
        <v>43455</v>
      </c>
      <c r="B1721" s="1">
        <f t="shared" si="52"/>
        <v>43435</v>
      </c>
      <c r="C1721" s="5" t="str">
        <f t="shared" si="53"/>
        <v>2018-12</v>
      </c>
      <c r="D1721" s="3">
        <v>240.7</v>
      </c>
      <c r="E1721" s="3">
        <v>128.37</v>
      </c>
      <c r="F1721" s="3">
        <v>120.72</v>
      </c>
      <c r="G1721" s="3">
        <v>118.72</v>
      </c>
      <c r="H1721" s="3">
        <v>74.39</v>
      </c>
      <c r="I1721" s="2">
        <v>44</v>
      </c>
      <c r="J1721" s="2">
        <v>369.16</v>
      </c>
      <c r="K1721" s="2">
        <v>256.55</v>
      </c>
      <c r="L1721" s="3">
        <v>82.68</v>
      </c>
      <c r="M1721" s="2">
        <v>1.4</v>
      </c>
    </row>
    <row r="1722" spans="1:13">
      <c r="A1722" s="9">
        <v>43454</v>
      </c>
      <c r="B1722" s="1">
        <f t="shared" si="52"/>
        <v>43435</v>
      </c>
      <c r="C1722" s="5" t="str">
        <f t="shared" si="53"/>
        <v>2018-12</v>
      </c>
      <c r="D1722" s="3">
        <v>247.17</v>
      </c>
      <c r="E1722" s="3">
        <v>131.79</v>
      </c>
      <c r="F1722" s="3">
        <v>120.74</v>
      </c>
      <c r="G1722" s="3">
        <v>119.24</v>
      </c>
      <c r="H1722" s="3">
        <v>75.44</v>
      </c>
      <c r="I1722" s="2">
        <v>46.24</v>
      </c>
      <c r="J1722" s="2">
        <v>371.67</v>
      </c>
      <c r="K1722" s="2">
        <v>265.29000000000002</v>
      </c>
      <c r="L1722" s="3">
        <v>84.1</v>
      </c>
      <c r="M1722" s="2">
        <v>1.49</v>
      </c>
    </row>
    <row r="1723" spans="1:13">
      <c r="A1723" s="9">
        <v>43453</v>
      </c>
      <c r="B1723" s="1">
        <f t="shared" si="52"/>
        <v>43435</v>
      </c>
      <c r="C1723" s="5" t="str">
        <f t="shared" si="53"/>
        <v>2018-12</v>
      </c>
      <c r="D1723" s="3">
        <v>251.26</v>
      </c>
      <c r="E1723" s="3">
        <v>134</v>
      </c>
      <c r="F1723" s="3">
        <v>121.18</v>
      </c>
      <c r="G1723" s="3">
        <v>117.43</v>
      </c>
      <c r="H1723" s="3">
        <v>76.59</v>
      </c>
      <c r="I1723" s="2">
        <v>46.45</v>
      </c>
      <c r="J1723" s="2">
        <v>372.19</v>
      </c>
      <c r="K1723" s="2">
        <v>273.95999999999998</v>
      </c>
      <c r="L1723" s="3">
        <v>85.3</v>
      </c>
      <c r="M1723" s="2">
        <v>1.49</v>
      </c>
    </row>
    <row r="1724" spans="1:13">
      <c r="A1724" s="9">
        <v>43452</v>
      </c>
      <c r="B1724" s="1">
        <f t="shared" si="52"/>
        <v>43435</v>
      </c>
      <c r="C1724" s="5" t="str">
        <f t="shared" si="53"/>
        <v>2018-12</v>
      </c>
      <c r="D1724" s="3">
        <v>255.08</v>
      </c>
      <c r="E1724" s="3">
        <v>136.85</v>
      </c>
      <c r="F1724" s="3">
        <v>119.6</v>
      </c>
      <c r="G1724" s="3">
        <v>118.15</v>
      </c>
      <c r="H1724" s="3">
        <v>77.44</v>
      </c>
      <c r="I1724" s="2">
        <v>45.85</v>
      </c>
      <c r="J1724" s="2">
        <v>383.35</v>
      </c>
      <c r="K1724" s="2">
        <v>279.47000000000003</v>
      </c>
      <c r="L1724" s="3">
        <v>86.43</v>
      </c>
      <c r="M1724" s="2">
        <v>1.51</v>
      </c>
    </row>
    <row r="1725" spans="1:13">
      <c r="A1725" s="9">
        <v>43451</v>
      </c>
      <c r="B1725" s="1">
        <f t="shared" si="52"/>
        <v>43435</v>
      </c>
      <c r="C1725" s="5" t="str">
        <f t="shared" si="53"/>
        <v>2018-12</v>
      </c>
      <c r="D1725" s="3">
        <v>255.36</v>
      </c>
      <c r="E1725" s="3">
        <v>137.02000000000001</v>
      </c>
      <c r="F1725" s="3">
        <v>119.17</v>
      </c>
      <c r="G1725" s="3">
        <v>117.87</v>
      </c>
      <c r="H1725" s="3">
        <v>76.650000000000006</v>
      </c>
      <c r="I1725" s="2">
        <v>45.73</v>
      </c>
      <c r="J1725" s="2">
        <v>378.25</v>
      </c>
      <c r="K1725" s="2">
        <v>279.23</v>
      </c>
      <c r="L1725" s="3">
        <v>87.19</v>
      </c>
      <c r="M1725" s="2">
        <v>1.54</v>
      </c>
    </row>
    <row r="1726" spans="1:13">
      <c r="A1726" s="9">
        <v>43448</v>
      </c>
      <c r="B1726" s="1">
        <f t="shared" si="52"/>
        <v>43435</v>
      </c>
      <c r="C1726" s="5" t="str">
        <f t="shared" si="53"/>
        <v>2018-12</v>
      </c>
      <c r="D1726" s="3">
        <v>260.47000000000003</v>
      </c>
      <c r="E1726" s="3">
        <v>140.61000000000001</v>
      </c>
      <c r="F1726" s="3">
        <v>118.48</v>
      </c>
      <c r="G1726" s="3">
        <v>117.06</v>
      </c>
      <c r="H1726" s="3">
        <v>79.650000000000006</v>
      </c>
      <c r="I1726" s="2">
        <v>46.6</v>
      </c>
      <c r="J1726" s="2">
        <v>382.3</v>
      </c>
      <c r="K1726" s="2">
        <v>287.7</v>
      </c>
      <c r="L1726" s="3">
        <v>88.96</v>
      </c>
      <c r="M1726" s="2">
        <v>1.67</v>
      </c>
    </row>
    <row r="1727" spans="1:13">
      <c r="A1727" s="9">
        <v>43447</v>
      </c>
      <c r="B1727" s="1">
        <f t="shared" si="52"/>
        <v>43435</v>
      </c>
      <c r="C1727" s="5" t="str">
        <f t="shared" si="53"/>
        <v>2018-12</v>
      </c>
      <c r="D1727" s="3">
        <v>265.37</v>
      </c>
      <c r="E1727" s="3">
        <v>142.77000000000001</v>
      </c>
      <c r="F1727" s="3">
        <v>118.07</v>
      </c>
      <c r="G1727" s="3">
        <v>117.53</v>
      </c>
      <c r="H1727" s="3">
        <v>79.88</v>
      </c>
      <c r="I1727" s="2">
        <v>47.23</v>
      </c>
      <c r="J1727" s="2">
        <v>387.27</v>
      </c>
      <c r="K1727" s="2">
        <v>292.23</v>
      </c>
      <c r="L1727" s="3">
        <v>92.06</v>
      </c>
      <c r="M1727" s="2">
        <v>1.63</v>
      </c>
    </row>
    <row r="1728" spans="1:13">
      <c r="A1728" s="9">
        <v>43446</v>
      </c>
      <c r="B1728" s="1">
        <f t="shared" si="52"/>
        <v>43435</v>
      </c>
      <c r="C1728" s="5" t="str">
        <f t="shared" si="53"/>
        <v>2018-12</v>
      </c>
      <c r="D1728" s="3">
        <v>265.45999999999998</v>
      </c>
      <c r="E1728" s="3">
        <v>144.82</v>
      </c>
      <c r="F1728" s="3">
        <v>118.35</v>
      </c>
      <c r="G1728" s="3">
        <v>117.79</v>
      </c>
      <c r="H1728" s="3">
        <v>80.37</v>
      </c>
      <c r="I1728" s="2">
        <v>47.32</v>
      </c>
      <c r="J1728" s="2">
        <v>390.07</v>
      </c>
      <c r="K1728" s="2">
        <v>292.5</v>
      </c>
      <c r="L1728" s="3">
        <v>91.97</v>
      </c>
      <c r="M1728" s="2">
        <v>1.6</v>
      </c>
    </row>
    <row r="1729" spans="1:13">
      <c r="A1729" s="9">
        <v>43445</v>
      </c>
      <c r="B1729" s="1">
        <f t="shared" si="52"/>
        <v>43435</v>
      </c>
      <c r="C1729" s="5" t="str">
        <f t="shared" si="53"/>
        <v>2018-12</v>
      </c>
      <c r="D1729" s="3">
        <v>264.13</v>
      </c>
      <c r="E1729" s="3">
        <v>143.44999999999999</v>
      </c>
      <c r="F1729" s="3">
        <v>118.88</v>
      </c>
      <c r="G1729" s="3">
        <v>117.54</v>
      </c>
      <c r="H1729" s="3">
        <v>81.63</v>
      </c>
      <c r="I1729" s="2">
        <v>46.46</v>
      </c>
      <c r="J1729" s="2">
        <v>385.66</v>
      </c>
      <c r="K1729" s="2">
        <v>292.14999999999998</v>
      </c>
      <c r="L1729" s="3">
        <v>91.19</v>
      </c>
      <c r="M1729" s="2">
        <v>1.65</v>
      </c>
    </row>
    <row r="1730" spans="1:13">
      <c r="A1730" s="9">
        <v>43444</v>
      </c>
      <c r="B1730" s="1">
        <f t="shared" ref="B1730:B1793" si="54">EOMONTH(A1730,-1)+1</f>
        <v>43435</v>
      </c>
      <c r="C1730" s="5" t="str">
        <f t="shared" si="53"/>
        <v>2018-12</v>
      </c>
      <c r="D1730" s="3">
        <v>264.07</v>
      </c>
      <c r="E1730" s="3">
        <v>143.6</v>
      </c>
      <c r="F1730" s="3">
        <v>118.9</v>
      </c>
      <c r="G1730" s="3">
        <v>117.68</v>
      </c>
      <c r="H1730" s="3">
        <v>81.59</v>
      </c>
      <c r="I1730" s="2">
        <v>46.67</v>
      </c>
      <c r="J1730" s="2">
        <v>393.26</v>
      </c>
      <c r="K1730" s="2">
        <v>298.39999999999998</v>
      </c>
      <c r="L1730" s="3">
        <v>90.91</v>
      </c>
      <c r="M1730" s="2">
        <v>1.64</v>
      </c>
    </row>
    <row r="1731" spans="1:13">
      <c r="A1731" s="9">
        <v>43441</v>
      </c>
      <c r="B1731" s="1">
        <f t="shared" si="54"/>
        <v>43435</v>
      </c>
      <c r="C1731" s="5" t="str">
        <f t="shared" ref="C1731:C1794" si="55">TEXT(A1731, "yyyy-mm")</f>
        <v>2018-12</v>
      </c>
      <c r="D1731" s="3">
        <v>263.57</v>
      </c>
      <c r="E1731" s="3">
        <v>144.02000000000001</v>
      </c>
      <c r="F1731" s="3">
        <v>118.41</v>
      </c>
      <c r="G1731" s="3">
        <v>118.09</v>
      </c>
      <c r="H1731" s="3">
        <v>82.12</v>
      </c>
      <c r="I1731" s="2">
        <v>46</v>
      </c>
      <c r="J1731" s="2">
        <v>393.1</v>
      </c>
      <c r="K1731" s="2">
        <v>285.39999999999998</v>
      </c>
      <c r="L1731" s="3">
        <v>90.56</v>
      </c>
      <c r="M1731" s="2">
        <v>1.63</v>
      </c>
    </row>
    <row r="1732" spans="1:13">
      <c r="A1732" s="9">
        <v>43440</v>
      </c>
      <c r="B1732" s="1">
        <f t="shared" si="54"/>
        <v>43435</v>
      </c>
      <c r="C1732" s="5" t="str">
        <f t="shared" si="55"/>
        <v>2018-12</v>
      </c>
      <c r="D1732" s="3">
        <v>269.83999999999997</v>
      </c>
      <c r="E1732" s="3">
        <v>147.19999999999999</v>
      </c>
      <c r="F1732" s="3">
        <v>118.19</v>
      </c>
      <c r="G1732" s="3">
        <v>117.14</v>
      </c>
      <c r="H1732" s="3">
        <v>83.21</v>
      </c>
      <c r="I1732" s="2">
        <v>46.68</v>
      </c>
      <c r="J1732" s="2">
        <v>400.23</v>
      </c>
      <c r="K1732" s="2">
        <v>286.35000000000002</v>
      </c>
      <c r="L1732" s="3">
        <v>92.93</v>
      </c>
      <c r="M1732" s="2">
        <v>1.59</v>
      </c>
    </row>
    <row r="1733" spans="1:13">
      <c r="A1733" s="9">
        <v>43438</v>
      </c>
      <c r="B1733" s="1">
        <f t="shared" si="54"/>
        <v>43435</v>
      </c>
      <c r="C1733" s="5" t="str">
        <f t="shared" si="55"/>
        <v>2018-12</v>
      </c>
      <c r="D1733" s="3">
        <v>270.25</v>
      </c>
      <c r="E1733" s="3">
        <v>147.52000000000001</v>
      </c>
      <c r="F1733" s="3">
        <v>117.82</v>
      </c>
      <c r="G1733" s="3">
        <v>117.12</v>
      </c>
      <c r="H1733" s="3">
        <v>81.2</v>
      </c>
      <c r="I1733" s="2">
        <v>48.75</v>
      </c>
      <c r="J1733" s="2">
        <v>408.75</v>
      </c>
      <c r="K1733" s="2">
        <v>286.73</v>
      </c>
      <c r="L1733" s="3">
        <v>93.28</v>
      </c>
      <c r="M1733" s="2">
        <v>1.48</v>
      </c>
    </row>
    <row r="1734" spans="1:13">
      <c r="A1734" s="9">
        <v>43437</v>
      </c>
      <c r="B1734" s="1">
        <f t="shared" si="54"/>
        <v>43435</v>
      </c>
      <c r="C1734" s="5" t="str">
        <f t="shared" si="55"/>
        <v>2018-12</v>
      </c>
      <c r="D1734" s="3">
        <v>279.3</v>
      </c>
      <c r="E1734" s="3">
        <v>154.08000000000001</v>
      </c>
      <c r="F1734" s="3">
        <v>115.88</v>
      </c>
      <c r="G1734" s="3">
        <v>116.41</v>
      </c>
      <c r="H1734" s="3">
        <v>82.42</v>
      </c>
      <c r="I1734" s="2">
        <v>49.83</v>
      </c>
      <c r="J1734" s="2">
        <v>434.87</v>
      </c>
      <c r="K1734" s="2">
        <v>296.79000000000002</v>
      </c>
      <c r="L1734" s="3">
        <v>95.41</v>
      </c>
      <c r="M1734" s="2">
        <v>1.5</v>
      </c>
    </row>
    <row r="1735" spans="1:13">
      <c r="A1735" s="9">
        <v>43434</v>
      </c>
      <c r="B1735" s="1">
        <f t="shared" si="54"/>
        <v>43405</v>
      </c>
      <c r="C1735" s="5" t="str">
        <f t="shared" si="55"/>
        <v>2018-11</v>
      </c>
      <c r="D1735" s="3">
        <v>275.64999999999998</v>
      </c>
      <c r="E1735" s="3">
        <v>152.62</v>
      </c>
      <c r="F1735" s="3">
        <v>115.33</v>
      </c>
      <c r="G1735" s="3">
        <v>115.54</v>
      </c>
      <c r="H1735" s="3">
        <v>81.98</v>
      </c>
      <c r="I1735" s="2">
        <v>48.76</v>
      </c>
      <c r="J1735" s="2">
        <v>428.01</v>
      </c>
      <c r="K1735" s="2">
        <v>300.43</v>
      </c>
      <c r="L1735" s="3">
        <v>95.87</v>
      </c>
      <c r="M1735" s="2">
        <v>1.49</v>
      </c>
    </row>
    <row r="1736" spans="1:13">
      <c r="A1736" s="9">
        <v>43433</v>
      </c>
      <c r="B1736" s="1">
        <f t="shared" si="54"/>
        <v>43405</v>
      </c>
      <c r="C1736" s="5" t="str">
        <f t="shared" si="55"/>
        <v>2018-11</v>
      </c>
      <c r="D1736" s="3">
        <v>273.98</v>
      </c>
      <c r="E1736" s="3">
        <v>151.83000000000001</v>
      </c>
      <c r="F1736" s="3">
        <v>114.9</v>
      </c>
      <c r="G1736" s="3">
        <v>115.74</v>
      </c>
      <c r="H1736" s="3">
        <v>81.209999999999994</v>
      </c>
      <c r="I1736" s="2">
        <v>47.9</v>
      </c>
      <c r="J1736" s="2">
        <v>422.94</v>
      </c>
      <c r="K1736" s="2">
        <v>302.42</v>
      </c>
      <c r="L1736" s="3">
        <v>93.96</v>
      </c>
      <c r="M1736" s="2">
        <v>1.45</v>
      </c>
    </row>
    <row r="1737" spans="1:13">
      <c r="A1737" s="9">
        <v>43432</v>
      </c>
      <c r="B1737" s="1">
        <f t="shared" si="54"/>
        <v>43405</v>
      </c>
      <c r="C1737" s="5" t="str">
        <f t="shared" si="55"/>
        <v>2018-11</v>
      </c>
      <c r="D1737" s="3">
        <v>274.58</v>
      </c>
      <c r="E1737" s="3">
        <v>152.24</v>
      </c>
      <c r="F1737" s="3">
        <v>114.45</v>
      </c>
      <c r="G1737" s="3">
        <v>115.38</v>
      </c>
      <c r="H1737" s="3">
        <v>81.19</v>
      </c>
      <c r="I1737" s="2">
        <v>48.19</v>
      </c>
      <c r="J1737" s="2">
        <v>427.27</v>
      </c>
      <c r="K1737" s="2">
        <v>299.94</v>
      </c>
      <c r="L1737" s="3">
        <v>93.65</v>
      </c>
      <c r="M1737" s="2">
        <v>1.41</v>
      </c>
    </row>
    <row r="1738" spans="1:13">
      <c r="A1738" s="9">
        <v>43431</v>
      </c>
      <c r="B1738" s="1">
        <f t="shared" si="54"/>
        <v>43405</v>
      </c>
      <c r="C1738" s="5" t="str">
        <f t="shared" si="55"/>
        <v>2018-11</v>
      </c>
      <c r="D1738" s="3">
        <v>268.39999999999998</v>
      </c>
      <c r="E1738" s="3">
        <v>148.57</v>
      </c>
      <c r="F1738" s="3">
        <v>115.01</v>
      </c>
      <c r="G1738" s="3">
        <v>114.95</v>
      </c>
      <c r="H1738" s="3">
        <v>80.47</v>
      </c>
      <c r="I1738" s="2">
        <v>47.44</v>
      </c>
      <c r="J1738" s="2">
        <v>417.16</v>
      </c>
      <c r="K1738" s="2">
        <v>295.29000000000002</v>
      </c>
      <c r="L1738" s="3">
        <v>91.45</v>
      </c>
      <c r="M1738" s="2">
        <v>1.39</v>
      </c>
    </row>
    <row r="1739" spans="1:13">
      <c r="A1739" s="9">
        <v>43430</v>
      </c>
      <c r="B1739" s="1">
        <f t="shared" si="54"/>
        <v>43405</v>
      </c>
      <c r="C1739" s="5" t="str">
        <f t="shared" si="55"/>
        <v>2018-11</v>
      </c>
      <c r="D1739" s="3">
        <v>267.5</v>
      </c>
      <c r="E1739" s="3">
        <v>149.81</v>
      </c>
      <c r="F1739" s="3">
        <v>114.88</v>
      </c>
      <c r="G1739" s="3">
        <v>115.64</v>
      </c>
      <c r="H1739" s="3">
        <v>80.13</v>
      </c>
      <c r="I1739" s="2">
        <v>48.26</v>
      </c>
      <c r="J1739" s="2">
        <v>418.49</v>
      </c>
      <c r="K1739" s="2">
        <v>295.27999999999997</v>
      </c>
      <c r="L1739" s="3">
        <v>90.51</v>
      </c>
      <c r="M1739" s="2">
        <v>1.35</v>
      </c>
    </row>
    <row r="1740" spans="1:13">
      <c r="A1740" s="9">
        <v>43427</v>
      </c>
      <c r="B1740" s="1">
        <f t="shared" si="54"/>
        <v>43405</v>
      </c>
      <c r="C1740" s="5" t="str">
        <f t="shared" si="55"/>
        <v>2018-11</v>
      </c>
      <c r="D1740" s="3">
        <v>263.25</v>
      </c>
      <c r="E1740" s="3">
        <v>147.88999999999999</v>
      </c>
      <c r="F1740" s="3">
        <v>115.14</v>
      </c>
      <c r="G1740" s="3">
        <v>115.77</v>
      </c>
      <c r="H1740" s="3">
        <v>79.98</v>
      </c>
      <c r="I1740" s="2">
        <v>48.7</v>
      </c>
      <c r="J1740" s="2">
        <v>406.61</v>
      </c>
      <c r="K1740" s="2">
        <v>295.38</v>
      </c>
      <c r="L1740" s="3">
        <v>89.64</v>
      </c>
      <c r="M1740" s="2">
        <v>1.4</v>
      </c>
    </row>
    <row r="1741" spans="1:13">
      <c r="A1741" s="9">
        <v>43425</v>
      </c>
      <c r="B1741" s="1">
        <f t="shared" si="54"/>
        <v>43405</v>
      </c>
      <c r="C1741" s="5" t="str">
        <f t="shared" si="55"/>
        <v>2018-11</v>
      </c>
      <c r="D1741" s="3">
        <v>265.02</v>
      </c>
      <c r="E1741" s="3">
        <v>148.03</v>
      </c>
      <c r="F1741" s="3">
        <v>115.02</v>
      </c>
      <c r="G1741" s="3">
        <v>115.86</v>
      </c>
      <c r="H1741" s="3">
        <v>80.14</v>
      </c>
      <c r="I1741" s="2">
        <v>48.62</v>
      </c>
      <c r="J1741" s="2">
        <v>407.62</v>
      </c>
      <c r="K1741" s="2">
        <v>294.29000000000002</v>
      </c>
      <c r="L1741" s="3">
        <v>89.51</v>
      </c>
      <c r="M1741" s="2">
        <v>1.35</v>
      </c>
    </row>
    <row r="1742" spans="1:13">
      <c r="A1742" s="9">
        <v>43424</v>
      </c>
      <c r="B1742" s="1">
        <f t="shared" si="54"/>
        <v>43405</v>
      </c>
      <c r="C1742" s="5" t="str">
        <f t="shared" si="55"/>
        <v>2018-11</v>
      </c>
      <c r="D1742" s="3">
        <v>264.12</v>
      </c>
      <c r="E1742" s="3">
        <v>145.99</v>
      </c>
      <c r="F1742" s="3">
        <v>115.06</v>
      </c>
      <c r="G1742" s="3">
        <v>115.67</v>
      </c>
      <c r="H1742" s="3">
        <v>80.069999999999993</v>
      </c>
      <c r="I1742" s="2">
        <v>48.33</v>
      </c>
      <c r="J1742" s="2">
        <v>402.92</v>
      </c>
      <c r="K1742" s="2">
        <v>293.86</v>
      </c>
      <c r="L1742" s="3">
        <v>90.02</v>
      </c>
      <c r="M1742" s="2">
        <v>1.34</v>
      </c>
    </row>
    <row r="1743" spans="1:13">
      <c r="A1743" s="9">
        <v>43423</v>
      </c>
      <c r="B1743" s="1">
        <f t="shared" si="54"/>
        <v>43405</v>
      </c>
      <c r="C1743" s="5" t="str">
        <f t="shared" si="55"/>
        <v>2018-11</v>
      </c>
      <c r="D1743" s="3">
        <v>269.10000000000002</v>
      </c>
      <c r="E1743" s="3">
        <v>148.86000000000001</v>
      </c>
      <c r="F1743" s="3">
        <v>115.02</v>
      </c>
      <c r="G1743" s="3">
        <v>115.67</v>
      </c>
      <c r="H1743" s="3">
        <v>80.900000000000006</v>
      </c>
      <c r="I1743" s="2">
        <v>49.55</v>
      </c>
      <c r="J1743" s="2">
        <v>407.78</v>
      </c>
      <c r="K1743" s="2">
        <v>294.58999999999997</v>
      </c>
      <c r="L1743" s="3">
        <v>90.87</v>
      </c>
      <c r="M1743" s="2">
        <v>1.38</v>
      </c>
    </row>
    <row r="1744" spans="1:13">
      <c r="A1744" s="9">
        <v>43420</v>
      </c>
      <c r="B1744" s="1">
        <f t="shared" si="54"/>
        <v>43405</v>
      </c>
      <c r="C1744" s="5" t="str">
        <f t="shared" si="55"/>
        <v>2018-11</v>
      </c>
      <c r="D1744" s="3">
        <v>273.73</v>
      </c>
      <c r="E1744" s="3">
        <v>151.94</v>
      </c>
      <c r="F1744" s="3">
        <v>114.7</v>
      </c>
      <c r="G1744" s="3">
        <v>115.62</v>
      </c>
      <c r="H1744" s="3">
        <v>80.790000000000006</v>
      </c>
      <c r="I1744" s="2">
        <v>51.17</v>
      </c>
      <c r="J1744" s="2">
        <v>411</v>
      </c>
      <c r="K1744" s="2">
        <v>301.24</v>
      </c>
      <c r="L1744" s="3">
        <v>92.04</v>
      </c>
      <c r="M1744" s="2">
        <v>1.43</v>
      </c>
    </row>
    <row r="1745" spans="1:13">
      <c r="A1745" s="9">
        <v>43419</v>
      </c>
      <c r="B1745" s="1">
        <f t="shared" si="54"/>
        <v>43405</v>
      </c>
      <c r="C1745" s="5" t="str">
        <f t="shared" si="55"/>
        <v>2018-11</v>
      </c>
      <c r="D1745" s="3">
        <v>273.02</v>
      </c>
      <c r="E1745" s="3">
        <v>151.58000000000001</v>
      </c>
      <c r="F1745" s="3">
        <v>114.04</v>
      </c>
      <c r="G1745" s="3">
        <v>114.77</v>
      </c>
      <c r="H1745" s="3">
        <v>79.930000000000007</v>
      </c>
      <c r="I1745" s="2">
        <v>50.63</v>
      </c>
      <c r="J1745" s="2">
        <v>406.88</v>
      </c>
      <c r="K1745" s="2">
        <v>305.48</v>
      </c>
      <c r="L1745" s="3">
        <v>91.12</v>
      </c>
      <c r="M1745" s="2">
        <v>1.24</v>
      </c>
    </row>
    <row r="1746" spans="1:13">
      <c r="A1746" s="9">
        <v>43418</v>
      </c>
      <c r="B1746" s="1">
        <f t="shared" si="54"/>
        <v>43405</v>
      </c>
      <c r="C1746" s="5" t="str">
        <f t="shared" si="55"/>
        <v>2018-11</v>
      </c>
      <c r="D1746" s="3">
        <v>270.2</v>
      </c>
      <c r="E1746" s="3">
        <v>149.44999999999999</v>
      </c>
      <c r="F1746" s="3">
        <v>114.09</v>
      </c>
      <c r="G1746" s="3">
        <v>114.64</v>
      </c>
      <c r="H1746" s="3">
        <v>80.48</v>
      </c>
      <c r="I1746" s="2">
        <v>48.84</v>
      </c>
      <c r="J1746" s="2">
        <v>401.98</v>
      </c>
      <c r="K1746" s="2">
        <v>303.39</v>
      </c>
      <c r="L1746" s="3">
        <v>90.32</v>
      </c>
      <c r="M1746" s="2">
        <v>1.21</v>
      </c>
    </row>
    <row r="1747" spans="1:13">
      <c r="A1747" s="9">
        <v>43417</v>
      </c>
      <c r="B1747" s="1">
        <f t="shared" si="54"/>
        <v>43405</v>
      </c>
      <c r="C1747" s="5" t="str">
        <f t="shared" si="55"/>
        <v>2018-11</v>
      </c>
      <c r="D1747" s="3">
        <v>272.06</v>
      </c>
      <c r="E1747" s="3">
        <v>150.55000000000001</v>
      </c>
      <c r="F1747" s="3">
        <v>114.02</v>
      </c>
      <c r="G1747" s="3">
        <v>113.7</v>
      </c>
      <c r="H1747" s="3">
        <v>80.680000000000007</v>
      </c>
      <c r="I1747" s="2">
        <v>49.51</v>
      </c>
      <c r="J1747" s="2">
        <v>407.31</v>
      </c>
      <c r="K1747" s="2">
        <v>305.74</v>
      </c>
      <c r="L1747" s="3">
        <v>91.05</v>
      </c>
      <c r="M1747" s="2">
        <v>1.17</v>
      </c>
    </row>
    <row r="1748" spans="1:13">
      <c r="A1748" s="9">
        <v>43416</v>
      </c>
      <c r="B1748" s="1">
        <f t="shared" si="54"/>
        <v>43405</v>
      </c>
      <c r="C1748" s="5" t="str">
        <f t="shared" si="55"/>
        <v>2018-11</v>
      </c>
      <c r="D1748" s="3">
        <v>272.57</v>
      </c>
      <c r="E1748" s="3">
        <v>151.03</v>
      </c>
      <c r="F1748" s="3">
        <v>114.09</v>
      </c>
      <c r="G1748" s="3">
        <v>113.66</v>
      </c>
      <c r="H1748" s="3">
        <v>80.760000000000005</v>
      </c>
      <c r="I1748" s="2">
        <v>49.22</v>
      </c>
      <c r="J1748" s="2">
        <v>405.42</v>
      </c>
      <c r="K1748" s="2">
        <v>305.12</v>
      </c>
      <c r="L1748" s="3">
        <v>91.69</v>
      </c>
      <c r="M1748" s="2">
        <v>1.18</v>
      </c>
    </row>
    <row r="1749" spans="1:13">
      <c r="A1749" s="9">
        <v>43413</v>
      </c>
      <c r="B1749" s="1">
        <f t="shared" si="54"/>
        <v>43405</v>
      </c>
      <c r="C1749" s="5" t="str">
        <f t="shared" si="55"/>
        <v>2018-11</v>
      </c>
      <c r="D1749" s="3">
        <v>277.76</v>
      </c>
      <c r="E1749" s="3">
        <v>154.08000000000001</v>
      </c>
      <c r="F1749" s="3">
        <v>113.35</v>
      </c>
      <c r="G1749" s="3">
        <v>114.48</v>
      </c>
      <c r="H1749" s="3">
        <v>80.599999999999994</v>
      </c>
      <c r="I1749" s="2">
        <v>50.61</v>
      </c>
      <c r="J1749" s="2">
        <v>413.95</v>
      </c>
      <c r="K1749" s="2">
        <v>313.12</v>
      </c>
      <c r="L1749" s="3">
        <v>92.95</v>
      </c>
      <c r="M1749" s="2">
        <v>1.21</v>
      </c>
    </row>
    <row r="1750" spans="1:13">
      <c r="A1750" s="9">
        <v>43412</v>
      </c>
      <c r="B1750" s="1">
        <f t="shared" si="54"/>
        <v>43405</v>
      </c>
      <c r="C1750" s="5" t="str">
        <f t="shared" si="55"/>
        <v>2018-11</v>
      </c>
      <c r="D1750" s="3">
        <v>280.5</v>
      </c>
      <c r="E1750" s="3">
        <v>156.99</v>
      </c>
      <c r="F1750" s="3">
        <v>112.51</v>
      </c>
      <c r="G1750" s="3">
        <v>115.78</v>
      </c>
      <c r="H1750" s="3">
        <v>80.61</v>
      </c>
      <c r="I1750" s="2">
        <v>50.43</v>
      </c>
      <c r="J1750" s="2">
        <v>421.39</v>
      </c>
      <c r="K1750" s="2">
        <v>308.56</v>
      </c>
      <c r="L1750" s="3">
        <v>93.22</v>
      </c>
      <c r="M1750" s="2">
        <v>1.17</v>
      </c>
    </row>
    <row r="1751" spans="1:13">
      <c r="A1751" s="9">
        <v>43411</v>
      </c>
      <c r="B1751" s="1">
        <f t="shared" si="54"/>
        <v>43405</v>
      </c>
      <c r="C1751" s="5" t="str">
        <f t="shared" si="55"/>
        <v>2018-11</v>
      </c>
      <c r="D1751" s="3">
        <v>281.01</v>
      </c>
      <c r="E1751" s="3">
        <v>157.41</v>
      </c>
      <c r="F1751" s="3">
        <v>112.52</v>
      </c>
      <c r="G1751" s="3">
        <v>116.03</v>
      </c>
      <c r="H1751" s="3">
        <v>80.55</v>
      </c>
      <c r="I1751" s="2">
        <v>50.26</v>
      </c>
      <c r="J1751" s="2">
        <v>424.73</v>
      </c>
      <c r="K1751" s="2">
        <v>309.82</v>
      </c>
      <c r="L1751" s="3">
        <v>93.17</v>
      </c>
      <c r="M1751" s="2">
        <v>1.21</v>
      </c>
    </row>
    <row r="1752" spans="1:13">
      <c r="A1752" s="9">
        <v>43410</v>
      </c>
      <c r="B1752" s="1">
        <f t="shared" si="54"/>
        <v>43405</v>
      </c>
      <c r="C1752" s="5" t="str">
        <f t="shared" si="55"/>
        <v>2018-11</v>
      </c>
      <c r="D1752" s="3">
        <v>275.12</v>
      </c>
      <c r="E1752" s="3">
        <v>154.63999999999999</v>
      </c>
      <c r="F1752" s="3">
        <v>112.37</v>
      </c>
      <c r="G1752" s="3">
        <v>116.04</v>
      </c>
      <c r="H1752" s="3">
        <v>79.599999999999994</v>
      </c>
      <c r="I1752" s="2">
        <v>49.25</v>
      </c>
      <c r="J1752" s="2">
        <v>413.43</v>
      </c>
      <c r="K1752" s="2">
        <v>306.56</v>
      </c>
      <c r="L1752" s="3">
        <v>90.51</v>
      </c>
      <c r="M1752" s="2">
        <v>1.24</v>
      </c>
    </row>
    <row r="1753" spans="1:13">
      <c r="A1753" s="9">
        <v>43409</v>
      </c>
      <c r="B1753" s="1">
        <f t="shared" si="54"/>
        <v>43405</v>
      </c>
      <c r="C1753" s="5" t="str">
        <f t="shared" si="55"/>
        <v>2018-11</v>
      </c>
      <c r="D1753" s="3">
        <v>273.39</v>
      </c>
      <c r="E1753" s="3">
        <v>153.88</v>
      </c>
      <c r="F1753" s="3">
        <v>112.44</v>
      </c>
      <c r="G1753" s="3">
        <v>116.37</v>
      </c>
      <c r="H1753" s="3">
        <v>79.2</v>
      </c>
      <c r="I1753" s="2">
        <v>49.02</v>
      </c>
      <c r="J1753" s="2">
        <v>411</v>
      </c>
      <c r="K1753" s="2">
        <v>303.20999999999998</v>
      </c>
      <c r="L1753" s="3">
        <v>90.05</v>
      </c>
      <c r="M1753" s="2">
        <v>1.24</v>
      </c>
    </row>
    <row r="1754" spans="1:13">
      <c r="A1754" s="9">
        <v>43406</v>
      </c>
      <c r="B1754" s="1">
        <f t="shared" si="54"/>
        <v>43405</v>
      </c>
      <c r="C1754" s="5" t="str">
        <f t="shared" si="55"/>
        <v>2018-11</v>
      </c>
      <c r="D1754" s="3">
        <v>271.89</v>
      </c>
      <c r="E1754" s="3">
        <v>154</v>
      </c>
      <c r="F1754" s="3">
        <v>112</v>
      </c>
      <c r="G1754" s="3">
        <v>116.65</v>
      </c>
      <c r="H1754" s="3">
        <v>78.040000000000006</v>
      </c>
      <c r="I1754" s="2">
        <v>48.83</v>
      </c>
      <c r="J1754" s="2">
        <v>409.76</v>
      </c>
      <c r="K1754" s="2">
        <v>299.27999999999997</v>
      </c>
      <c r="L1754" s="3">
        <v>89.26</v>
      </c>
      <c r="M1754" s="2">
        <v>1.38</v>
      </c>
    </row>
    <row r="1755" spans="1:13">
      <c r="A1755" s="9">
        <v>43405</v>
      </c>
      <c r="B1755" s="1">
        <f t="shared" si="54"/>
        <v>43405</v>
      </c>
      <c r="C1755" s="5" t="str">
        <f t="shared" si="55"/>
        <v>2018-11</v>
      </c>
      <c r="D1755" s="3">
        <v>273.51</v>
      </c>
      <c r="E1755" s="3">
        <v>153.49</v>
      </c>
      <c r="F1755" s="3">
        <v>113.41</v>
      </c>
      <c r="G1755" s="3">
        <v>116.63</v>
      </c>
      <c r="H1755" s="3">
        <v>78.69</v>
      </c>
      <c r="I1755" s="2">
        <v>48.59</v>
      </c>
      <c r="J1755" s="2">
        <v>412.99</v>
      </c>
      <c r="K1755" s="2">
        <v>299.42</v>
      </c>
      <c r="L1755" s="3">
        <v>89.82</v>
      </c>
      <c r="M1755" s="2">
        <v>1.38</v>
      </c>
    </row>
    <row r="1756" spans="1:13">
      <c r="A1756" s="9">
        <v>43404</v>
      </c>
      <c r="B1756" s="1">
        <f t="shared" si="54"/>
        <v>43374</v>
      </c>
      <c r="C1756" s="5" t="str">
        <f t="shared" si="55"/>
        <v>2018-10</v>
      </c>
      <c r="D1756" s="3">
        <v>270.63</v>
      </c>
      <c r="E1756" s="3">
        <v>150.03</v>
      </c>
      <c r="F1756" s="3">
        <v>113.58</v>
      </c>
      <c r="G1756" s="3">
        <v>115.15</v>
      </c>
      <c r="H1756" s="3">
        <v>78.319999999999993</v>
      </c>
      <c r="I1756" s="2">
        <v>48.84</v>
      </c>
      <c r="J1756" s="2">
        <v>411.42</v>
      </c>
      <c r="K1756" s="2">
        <v>293.85000000000002</v>
      </c>
      <c r="L1756" s="3">
        <v>88.7</v>
      </c>
      <c r="M1756" s="2">
        <v>1.31</v>
      </c>
    </row>
    <row r="1757" spans="1:13">
      <c r="A1757" s="9">
        <v>43403</v>
      </c>
      <c r="B1757" s="1">
        <f t="shared" si="54"/>
        <v>43374</v>
      </c>
      <c r="C1757" s="5" t="str">
        <f t="shared" si="55"/>
        <v>2018-10</v>
      </c>
      <c r="D1757" s="3">
        <v>267.77</v>
      </c>
      <c r="E1757" s="3">
        <v>149.72999999999999</v>
      </c>
      <c r="F1757" s="3">
        <v>114.16</v>
      </c>
      <c r="G1757" s="3">
        <v>115.8</v>
      </c>
      <c r="H1757" s="3">
        <v>79.25</v>
      </c>
      <c r="I1757" s="2">
        <v>48.57</v>
      </c>
      <c r="J1757" s="2">
        <v>403.83</v>
      </c>
      <c r="K1757" s="2">
        <v>291.07</v>
      </c>
      <c r="L1757" s="3">
        <v>88.58</v>
      </c>
      <c r="M1757" s="2">
        <v>1.3</v>
      </c>
    </row>
    <row r="1758" spans="1:13">
      <c r="A1758" s="9">
        <v>43402</v>
      </c>
      <c r="B1758" s="1">
        <f t="shared" si="54"/>
        <v>43374</v>
      </c>
      <c r="C1758" s="5" t="str">
        <f t="shared" si="55"/>
        <v>2018-10</v>
      </c>
      <c r="D1758" s="3">
        <v>263.86</v>
      </c>
      <c r="E1758" s="3">
        <v>146.66999999999999</v>
      </c>
      <c r="F1758" s="3">
        <v>114.73</v>
      </c>
      <c r="G1758" s="3">
        <v>116.31</v>
      </c>
      <c r="H1758" s="3">
        <v>78.180000000000007</v>
      </c>
      <c r="I1758" s="2">
        <v>47.02</v>
      </c>
      <c r="J1758" s="2">
        <v>390.65</v>
      </c>
      <c r="K1758" s="2">
        <v>286.67</v>
      </c>
      <c r="L1758" s="3">
        <v>87.64</v>
      </c>
      <c r="M1758" s="2">
        <v>1.33</v>
      </c>
    </row>
    <row r="1759" spans="1:13">
      <c r="A1759" s="9">
        <v>43399</v>
      </c>
      <c r="B1759" s="1">
        <f t="shared" si="54"/>
        <v>43374</v>
      </c>
      <c r="C1759" s="5" t="str">
        <f t="shared" si="55"/>
        <v>2018-10</v>
      </c>
      <c r="D1759" s="3">
        <v>265.33</v>
      </c>
      <c r="E1759" s="3">
        <v>147.47999999999999</v>
      </c>
      <c r="F1759" s="3">
        <v>114.99</v>
      </c>
      <c r="G1759" s="3">
        <v>116.77</v>
      </c>
      <c r="H1759" s="3">
        <v>77.2</v>
      </c>
      <c r="I1759" s="2">
        <v>47.32</v>
      </c>
      <c r="J1759" s="2">
        <v>386.93</v>
      </c>
      <c r="K1759" s="2">
        <v>305.05</v>
      </c>
      <c r="L1759" s="3">
        <v>87.42</v>
      </c>
      <c r="M1759" s="2">
        <v>1.44</v>
      </c>
    </row>
    <row r="1760" spans="1:13">
      <c r="A1760" s="9">
        <v>43398</v>
      </c>
      <c r="B1760" s="1">
        <f t="shared" si="54"/>
        <v>43374</v>
      </c>
      <c r="C1760" s="5" t="str">
        <f t="shared" si="55"/>
        <v>2018-10</v>
      </c>
      <c r="D1760" s="3">
        <v>270.08</v>
      </c>
      <c r="E1760" s="3">
        <v>149.11000000000001</v>
      </c>
      <c r="F1760" s="3">
        <v>114.3</v>
      </c>
      <c r="G1760" s="3">
        <v>116.4</v>
      </c>
      <c r="H1760" s="3">
        <v>79.099999999999994</v>
      </c>
      <c r="I1760" s="2">
        <v>47.96</v>
      </c>
      <c r="J1760" s="2">
        <v>391.96</v>
      </c>
      <c r="K1760" s="2">
        <v>306.41000000000003</v>
      </c>
      <c r="L1760" s="3">
        <v>88.42</v>
      </c>
      <c r="M1760" s="2">
        <v>1.48</v>
      </c>
    </row>
    <row r="1761" spans="1:13">
      <c r="A1761" s="9">
        <v>43397</v>
      </c>
      <c r="B1761" s="1">
        <f t="shared" si="54"/>
        <v>43374</v>
      </c>
      <c r="C1761" s="5" t="str">
        <f t="shared" si="55"/>
        <v>2018-10</v>
      </c>
      <c r="D1761" s="3">
        <v>265.32</v>
      </c>
      <c r="E1761" s="3">
        <v>145.94999999999999</v>
      </c>
      <c r="F1761" s="3">
        <v>114.78</v>
      </c>
      <c r="G1761" s="3">
        <v>116.66</v>
      </c>
      <c r="H1761" s="3">
        <v>78.099999999999994</v>
      </c>
      <c r="I1761" s="2">
        <v>46.76</v>
      </c>
      <c r="J1761" s="2">
        <v>378.66</v>
      </c>
      <c r="K1761" s="2">
        <v>311.13</v>
      </c>
      <c r="L1761" s="3">
        <v>87.29</v>
      </c>
      <c r="M1761" s="2">
        <v>1.47</v>
      </c>
    </row>
    <row r="1762" spans="1:13">
      <c r="A1762" s="9">
        <v>43396</v>
      </c>
      <c r="B1762" s="1">
        <f t="shared" si="54"/>
        <v>43374</v>
      </c>
      <c r="C1762" s="5" t="str">
        <f t="shared" si="55"/>
        <v>2018-10</v>
      </c>
      <c r="D1762" s="3">
        <v>273.61</v>
      </c>
      <c r="E1762" s="3">
        <v>151.66</v>
      </c>
      <c r="F1762" s="3">
        <v>113.92</v>
      </c>
      <c r="G1762" s="3">
        <v>116.39</v>
      </c>
      <c r="H1762" s="3">
        <v>77.37</v>
      </c>
      <c r="I1762" s="2">
        <v>47.99</v>
      </c>
      <c r="J1762" s="2">
        <v>387.49</v>
      </c>
      <c r="K1762" s="2">
        <v>321.35000000000002</v>
      </c>
      <c r="L1762" s="3">
        <v>90.27</v>
      </c>
      <c r="M1762" s="2">
        <v>1.47</v>
      </c>
    </row>
    <row r="1763" spans="1:13">
      <c r="A1763" s="9">
        <v>43395</v>
      </c>
      <c r="B1763" s="1">
        <f t="shared" si="54"/>
        <v>43374</v>
      </c>
      <c r="C1763" s="5" t="str">
        <f t="shared" si="55"/>
        <v>2018-10</v>
      </c>
      <c r="D1763" s="3">
        <v>275.01</v>
      </c>
      <c r="E1763" s="3">
        <v>153.03</v>
      </c>
      <c r="F1763" s="3">
        <v>113.56</v>
      </c>
      <c r="G1763" s="3">
        <v>115.71</v>
      </c>
      <c r="H1763" s="3">
        <v>77.03</v>
      </c>
      <c r="I1763" s="2">
        <v>47.94</v>
      </c>
      <c r="J1763" s="2">
        <v>392.36</v>
      </c>
      <c r="K1763" s="2">
        <v>326.77999999999997</v>
      </c>
      <c r="L1763" s="3">
        <v>90.76</v>
      </c>
      <c r="M1763" s="2">
        <v>1.47</v>
      </c>
    </row>
    <row r="1764" spans="1:13">
      <c r="A1764" s="9">
        <v>43392</v>
      </c>
      <c r="B1764" s="1">
        <f t="shared" si="54"/>
        <v>43374</v>
      </c>
      <c r="C1764" s="5" t="str">
        <f t="shared" si="55"/>
        <v>2018-10</v>
      </c>
      <c r="D1764" s="3">
        <v>276.25</v>
      </c>
      <c r="E1764" s="3">
        <v>153.36000000000001</v>
      </c>
      <c r="F1764" s="3">
        <v>113.71</v>
      </c>
      <c r="G1764" s="3">
        <v>116.01</v>
      </c>
      <c r="H1764" s="3">
        <v>78.12</v>
      </c>
      <c r="I1764" s="2">
        <v>47.59</v>
      </c>
      <c r="J1764" s="2">
        <v>401.65</v>
      </c>
      <c r="K1764" s="2">
        <v>328.14</v>
      </c>
      <c r="L1764" s="3">
        <v>91.51</v>
      </c>
      <c r="M1764" s="2">
        <v>1.41</v>
      </c>
    </row>
    <row r="1765" spans="1:13">
      <c r="A1765" s="9">
        <v>43391</v>
      </c>
      <c r="B1765" s="1">
        <f t="shared" si="54"/>
        <v>43374</v>
      </c>
      <c r="C1765" s="5" t="str">
        <f t="shared" si="55"/>
        <v>2018-10</v>
      </c>
      <c r="D1765" s="3">
        <v>276.39999999999998</v>
      </c>
      <c r="E1765" s="3">
        <v>155</v>
      </c>
      <c r="F1765" s="3">
        <v>113.96</v>
      </c>
      <c r="G1765" s="3">
        <v>115.92</v>
      </c>
      <c r="H1765" s="3">
        <v>77.45</v>
      </c>
      <c r="I1765" s="2">
        <v>47.38</v>
      </c>
      <c r="J1765" s="2">
        <v>399.87</v>
      </c>
      <c r="K1765" s="2">
        <v>328</v>
      </c>
      <c r="L1765" s="3">
        <v>92.35</v>
      </c>
      <c r="M1765" s="2">
        <v>1.34</v>
      </c>
    </row>
    <row r="1766" spans="1:13">
      <c r="A1766" s="9">
        <v>43390</v>
      </c>
      <c r="B1766" s="1">
        <f t="shared" si="54"/>
        <v>43374</v>
      </c>
      <c r="C1766" s="5" t="str">
        <f t="shared" si="55"/>
        <v>2018-10</v>
      </c>
      <c r="D1766" s="3">
        <v>280.45</v>
      </c>
      <c r="E1766" s="3">
        <v>157.96</v>
      </c>
      <c r="F1766" s="3">
        <v>114</v>
      </c>
      <c r="G1766" s="3">
        <v>115.79</v>
      </c>
      <c r="H1766" s="3">
        <v>77.599999999999994</v>
      </c>
      <c r="I1766" s="2">
        <v>47.86</v>
      </c>
      <c r="J1766" s="2">
        <v>411.85</v>
      </c>
      <c r="K1766" s="2">
        <v>333.4</v>
      </c>
      <c r="L1766" s="3">
        <v>93.41</v>
      </c>
      <c r="M1766" s="2">
        <v>1.36</v>
      </c>
    </row>
    <row r="1767" spans="1:13">
      <c r="A1767" s="9">
        <v>43389</v>
      </c>
      <c r="B1767" s="1">
        <f t="shared" si="54"/>
        <v>43374</v>
      </c>
      <c r="C1767" s="5" t="str">
        <f t="shared" si="55"/>
        <v>2018-10</v>
      </c>
      <c r="D1767" s="3">
        <v>280.39999999999998</v>
      </c>
      <c r="E1767" s="3">
        <v>158.63999999999999</v>
      </c>
      <c r="F1767" s="3">
        <v>114.68</v>
      </c>
      <c r="G1767" s="3">
        <v>115.8</v>
      </c>
      <c r="H1767" s="3">
        <v>77.900000000000006</v>
      </c>
      <c r="I1767" s="2">
        <v>48.23</v>
      </c>
      <c r="J1767" s="2">
        <v>408</v>
      </c>
      <c r="K1767" s="2">
        <v>337.13</v>
      </c>
      <c r="L1767" s="3">
        <v>92.92</v>
      </c>
      <c r="M1767" s="2">
        <v>1.33</v>
      </c>
    </row>
    <row r="1768" spans="1:13">
      <c r="A1768" s="9">
        <v>43388</v>
      </c>
      <c r="B1768" s="1">
        <f t="shared" si="54"/>
        <v>43374</v>
      </c>
      <c r="C1768" s="5" t="str">
        <f t="shared" si="55"/>
        <v>2018-10</v>
      </c>
      <c r="D1768" s="3">
        <v>274.39999999999998</v>
      </c>
      <c r="E1768" s="3">
        <v>154.16999999999999</v>
      </c>
      <c r="F1768" s="3">
        <v>114.42</v>
      </c>
      <c r="G1768" s="3">
        <v>116</v>
      </c>
      <c r="H1768" s="3">
        <v>76.33</v>
      </c>
      <c r="I1768" s="2">
        <v>47.12</v>
      </c>
      <c r="J1768" s="2">
        <v>426.94</v>
      </c>
      <c r="K1768" s="2">
        <v>331.24</v>
      </c>
      <c r="L1768" s="3">
        <v>90.44</v>
      </c>
      <c r="M1768" s="2">
        <v>1.38</v>
      </c>
    </row>
    <row r="1769" spans="1:13">
      <c r="A1769" s="9">
        <v>43385</v>
      </c>
      <c r="B1769" s="1">
        <f t="shared" si="54"/>
        <v>43374</v>
      </c>
      <c r="C1769" s="5" t="str">
        <f t="shared" si="55"/>
        <v>2018-10</v>
      </c>
      <c r="D1769" s="3">
        <v>275.95</v>
      </c>
      <c r="E1769" s="3">
        <v>153.6</v>
      </c>
      <c r="F1769" s="3">
        <v>114.47</v>
      </c>
      <c r="G1769" s="3">
        <v>115.23</v>
      </c>
      <c r="H1769" s="3">
        <v>75.819999999999993</v>
      </c>
      <c r="I1769" s="2">
        <v>47.38</v>
      </c>
      <c r="J1769" s="2">
        <v>427.7</v>
      </c>
      <c r="K1769" s="2">
        <v>327.62</v>
      </c>
      <c r="L1769" s="3">
        <v>91.07</v>
      </c>
      <c r="M1769" s="2">
        <v>1.31</v>
      </c>
    </row>
    <row r="1770" spans="1:13">
      <c r="A1770" s="9">
        <v>43384</v>
      </c>
      <c r="B1770" s="1">
        <f t="shared" si="54"/>
        <v>43374</v>
      </c>
      <c r="C1770" s="5" t="str">
        <f t="shared" si="55"/>
        <v>2018-10</v>
      </c>
      <c r="D1770" s="3">
        <v>272.17</v>
      </c>
      <c r="E1770" s="3">
        <v>153.57</v>
      </c>
      <c r="F1770" s="3">
        <v>114.87</v>
      </c>
      <c r="G1770" s="3">
        <v>115.78</v>
      </c>
      <c r="H1770" s="3">
        <v>76.02</v>
      </c>
      <c r="I1770" s="2">
        <v>46.78</v>
      </c>
      <c r="J1770" s="2">
        <v>417.68</v>
      </c>
      <c r="K1770" s="2">
        <v>326.26</v>
      </c>
      <c r="L1770" s="3">
        <v>89.69</v>
      </c>
      <c r="M1770" s="2">
        <v>1.31</v>
      </c>
    </row>
    <row r="1771" spans="1:13">
      <c r="A1771" s="9">
        <v>43383</v>
      </c>
      <c r="B1771" s="1">
        <f t="shared" si="54"/>
        <v>43374</v>
      </c>
      <c r="C1771" s="5" t="str">
        <f t="shared" si="55"/>
        <v>2018-10</v>
      </c>
      <c r="D1771" s="3">
        <v>278.3</v>
      </c>
      <c r="E1771" s="3">
        <v>156.56</v>
      </c>
      <c r="F1771" s="3">
        <v>113.49</v>
      </c>
      <c r="G1771" s="3">
        <v>112.88</v>
      </c>
      <c r="H1771" s="3">
        <v>78.260000000000005</v>
      </c>
      <c r="I1771" s="2">
        <v>47.4</v>
      </c>
      <c r="J1771" s="2">
        <v>426.76</v>
      </c>
      <c r="K1771" s="2">
        <v>336.75</v>
      </c>
      <c r="L1771" s="3">
        <v>92.18</v>
      </c>
      <c r="M1771" s="2">
        <v>1.28</v>
      </c>
    </row>
    <row r="1772" spans="1:13">
      <c r="A1772" s="9">
        <v>43382</v>
      </c>
      <c r="B1772" s="1">
        <f t="shared" si="54"/>
        <v>43374</v>
      </c>
      <c r="C1772" s="5" t="str">
        <f t="shared" si="55"/>
        <v>2018-10</v>
      </c>
      <c r="D1772" s="3">
        <v>287.39999999999998</v>
      </c>
      <c r="E1772" s="3">
        <v>161.19</v>
      </c>
      <c r="F1772" s="3">
        <v>113.8</v>
      </c>
      <c r="G1772" s="3">
        <v>112.6</v>
      </c>
      <c r="H1772" s="3">
        <v>79.44</v>
      </c>
      <c r="I1772" s="2">
        <v>48.87</v>
      </c>
      <c r="J1772" s="2">
        <v>459.71</v>
      </c>
      <c r="K1772" s="2">
        <v>347.31</v>
      </c>
      <c r="L1772" s="3">
        <v>94.41</v>
      </c>
      <c r="M1772" s="2">
        <v>1.25</v>
      </c>
    </row>
    <row r="1773" spans="1:13">
      <c r="A1773" s="9">
        <v>43381</v>
      </c>
      <c r="B1773" s="1">
        <f t="shared" si="54"/>
        <v>43374</v>
      </c>
      <c r="C1773" s="5" t="str">
        <f t="shared" si="55"/>
        <v>2018-10</v>
      </c>
      <c r="D1773" s="3">
        <v>287.82</v>
      </c>
      <c r="E1773" s="3">
        <v>161.82</v>
      </c>
      <c r="F1773" s="3">
        <v>112.66</v>
      </c>
      <c r="G1773" s="3">
        <v>112.54</v>
      </c>
      <c r="H1773" s="3">
        <v>79.33</v>
      </c>
      <c r="I1773" s="2">
        <v>49.36</v>
      </c>
      <c r="J1773" s="2">
        <v>471.46</v>
      </c>
      <c r="K1773" s="2">
        <v>349.93</v>
      </c>
      <c r="L1773" s="3">
        <v>94.25</v>
      </c>
      <c r="M1773" s="2">
        <v>1.48</v>
      </c>
    </row>
    <row r="1774" spans="1:13">
      <c r="A1774" s="9">
        <v>43378</v>
      </c>
      <c r="B1774" s="1">
        <f t="shared" si="54"/>
        <v>43374</v>
      </c>
      <c r="C1774" s="5" t="str">
        <f t="shared" si="55"/>
        <v>2018-10</v>
      </c>
      <c r="D1774" s="3">
        <v>287.82</v>
      </c>
      <c r="E1774" s="3">
        <v>162.16</v>
      </c>
      <c r="F1774" s="3">
        <v>113.04</v>
      </c>
      <c r="G1774" s="3">
        <v>113.8</v>
      </c>
      <c r="H1774" s="3">
        <v>78.2</v>
      </c>
      <c r="I1774" s="2">
        <v>49.35</v>
      </c>
      <c r="J1774" s="2">
        <v>470.86</v>
      </c>
      <c r="K1774" s="2">
        <v>347.21</v>
      </c>
      <c r="L1774" s="3">
        <v>94.29</v>
      </c>
      <c r="M1774" s="2">
        <v>1.24</v>
      </c>
    </row>
    <row r="1775" spans="1:13">
      <c r="A1775" s="9">
        <v>43377</v>
      </c>
      <c r="B1775" s="1">
        <f t="shared" si="54"/>
        <v>43374</v>
      </c>
      <c r="C1775" s="5" t="str">
        <f t="shared" si="55"/>
        <v>2018-10</v>
      </c>
      <c r="D1775" s="3">
        <v>289.44</v>
      </c>
      <c r="E1775" s="3">
        <v>163.63999999999999</v>
      </c>
      <c r="F1775" s="3">
        <v>114.02</v>
      </c>
      <c r="G1775" s="3">
        <v>113.48</v>
      </c>
      <c r="H1775" s="3">
        <v>78.239999999999995</v>
      </c>
      <c r="I1775" s="2">
        <v>49.47</v>
      </c>
      <c r="J1775" s="2">
        <v>474.15</v>
      </c>
      <c r="K1775" s="2">
        <v>349.46</v>
      </c>
      <c r="L1775" s="3">
        <v>94.4</v>
      </c>
      <c r="M1775" s="2">
        <v>1.26</v>
      </c>
    </row>
    <row r="1776" spans="1:13">
      <c r="A1776" s="9">
        <v>43376</v>
      </c>
      <c r="B1776" s="1">
        <f t="shared" si="54"/>
        <v>43374</v>
      </c>
      <c r="C1776" s="5" t="str">
        <f t="shared" si="55"/>
        <v>2018-10</v>
      </c>
      <c r="D1776" s="3">
        <v>291.72000000000003</v>
      </c>
      <c r="E1776" s="3">
        <v>165.97</v>
      </c>
      <c r="F1776" s="3">
        <v>114.83</v>
      </c>
      <c r="G1776" s="3">
        <v>113.42</v>
      </c>
      <c r="H1776" s="3">
        <v>78.900000000000006</v>
      </c>
      <c r="I1776" s="2">
        <v>49.75</v>
      </c>
      <c r="J1776" s="2">
        <v>474.37</v>
      </c>
      <c r="K1776" s="2">
        <v>347.44</v>
      </c>
      <c r="L1776" s="3">
        <v>95.33</v>
      </c>
      <c r="M1776" s="2">
        <v>2.14</v>
      </c>
    </row>
    <row r="1777" spans="1:13">
      <c r="A1777" s="9">
        <v>43375</v>
      </c>
      <c r="B1777" s="1">
        <f t="shared" si="54"/>
        <v>43374</v>
      </c>
      <c r="C1777" s="5" t="str">
        <f t="shared" si="55"/>
        <v>2018-10</v>
      </c>
      <c r="D1777" s="3">
        <v>291.56</v>
      </c>
      <c r="E1777" s="3">
        <v>164.53</v>
      </c>
      <c r="F1777" s="3">
        <v>116.86</v>
      </c>
      <c r="G1777" s="3">
        <v>113.87</v>
      </c>
      <c r="H1777" s="3">
        <v>79.75</v>
      </c>
      <c r="I1777" s="2">
        <v>50.23</v>
      </c>
      <c r="J1777" s="2">
        <v>477.21</v>
      </c>
      <c r="K1777" s="2">
        <v>349.07</v>
      </c>
      <c r="L1777" s="3">
        <v>95.51</v>
      </c>
      <c r="M1777" s="2">
        <v>2.15</v>
      </c>
    </row>
    <row r="1778" spans="1:13">
      <c r="A1778" s="9">
        <v>43374</v>
      </c>
      <c r="B1778" s="1">
        <f t="shared" si="54"/>
        <v>43374</v>
      </c>
      <c r="C1778" s="5" t="str">
        <f t="shared" si="55"/>
        <v>2018-10</v>
      </c>
      <c r="D1778" s="3">
        <v>291.73</v>
      </c>
      <c r="E1778" s="3">
        <v>166.33</v>
      </c>
      <c r="F1778" s="3">
        <v>116.15</v>
      </c>
      <c r="G1778" s="3">
        <v>112.57</v>
      </c>
      <c r="H1778" s="3">
        <v>79.930000000000007</v>
      </c>
      <c r="I1778" s="2">
        <v>51.8</v>
      </c>
      <c r="J1778" s="2">
        <v>473.47</v>
      </c>
      <c r="K1778" s="2">
        <v>347.93</v>
      </c>
      <c r="L1778" s="3">
        <v>95.62</v>
      </c>
      <c r="M1778" s="2">
        <v>2.15</v>
      </c>
    </row>
    <row r="1779" spans="1:13">
      <c r="A1779" s="9">
        <v>43371</v>
      </c>
      <c r="B1779" s="1">
        <f t="shared" si="54"/>
        <v>43344</v>
      </c>
      <c r="C1779" s="5" t="str">
        <f t="shared" si="55"/>
        <v>2018-09</v>
      </c>
      <c r="D1779" s="3">
        <v>290.72000000000003</v>
      </c>
      <c r="E1779" s="3">
        <v>168.55</v>
      </c>
      <c r="F1779" s="3">
        <v>117.27</v>
      </c>
      <c r="G1779" s="3">
        <v>112.76</v>
      </c>
      <c r="H1779" s="3">
        <v>80.680000000000007</v>
      </c>
      <c r="I1779" s="2">
        <v>51.56</v>
      </c>
      <c r="J1779" s="2">
        <v>471.33</v>
      </c>
      <c r="K1779" s="2">
        <v>345.96</v>
      </c>
      <c r="L1779" s="3">
        <v>95.15</v>
      </c>
      <c r="M1779" s="2">
        <v>2.06</v>
      </c>
    </row>
    <row r="1780" spans="1:13">
      <c r="A1780" s="9">
        <v>43370</v>
      </c>
      <c r="B1780" s="1">
        <f t="shared" si="54"/>
        <v>43344</v>
      </c>
      <c r="C1780" s="5" t="str">
        <f t="shared" si="55"/>
        <v>2018-09</v>
      </c>
      <c r="D1780" s="3">
        <v>290.69</v>
      </c>
      <c r="E1780" s="3">
        <v>168.04</v>
      </c>
      <c r="F1780" s="3">
        <v>117.58</v>
      </c>
      <c r="G1780" s="3">
        <v>112.05</v>
      </c>
      <c r="H1780" s="3">
        <v>79.599999999999994</v>
      </c>
      <c r="I1780" s="2">
        <v>51.69</v>
      </c>
      <c r="J1780" s="2">
        <v>477.89</v>
      </c>
      <c r="K1780" s="2">
        <v>346.05</v>
      </c>
      <c r="L1780" s="3">
        <v>94.86</v>
      </c>
      <c r="M1780" s="2">
        <v>2.06</v>
      </c>
    </row>
    <row r="1781" spans="1:13">
      <c r="A1781" s="9">
        <v>43369</v>
      </c>
      <c r="B1781" s="1">
        <f t="shared" si="54"/>
        <v>43344</v>
      </c>
      <c r="C1781" s="5" t="str">
        <f t="shared" si="55"/>
        <v>2018-09</v>
      </c>
      <c r="D1781" s="3">
        <v>289.88</v>
      </c>
      <c r="E1781" s="3">
        <v>168.03</v>
      </c>
      <c r="F1781" s="3">
        <v>117.5</v>
      </c>
      <c r="G1781" s="3">
        <v>113.05</v>
      </c>
      <c r="H1781" s="3">
        <v>79.22</v>
      </c>
      <c r="I1781" s="2">
        <v>51.63</v>
      </c>
      <c r="J1781" s="2">
        <v>474.83</v>
      </c>
      <c r="K1781" s="2">
        <v>342.88</v>
      </c>
      <c r="L1781" s="3">
        <v>94.38</v>
      </c>
      <c r="M1781" s="2">
        <v>2.1</v>
      </c>
    </row>
    <row r="1782" spans="1:13">
      <c r="A1782" s="9">
        <v>43368</v>
      </c>
      <c r="B1782" s="1">
        <f t="shared" si="54"/>
        <v>43344</v>
      </c>
      <c r="C1782" s="5" t="str">
        <f t="shared" si="55"/>
        <v>2018-09</v>
      </c>
      <c r="D1782" s="3">
        <v>290.75</v>
      </c>
      <c r="E1782" s="3">
        <v>170.03</v>
      </c>
      <c r="F1782" s="3">
        <v>116.68</v>
      </c>
      <c r="G1782" s="3">
        <v>113.65</v>
      </c>
      <c r="H1782" s="3">
        <v>80.180000000000007</v>
      </c>
      <c r="I1782" s="2">
        <v>51.72</v>
      </c>
      <c r="J1782" s="2">
        <v>479.09</v>
      </c>
      <c r="K1782" s="2">
        <v>343.54</v>
      </c>
      <c r="L1782" s="3">
        <v>94.17</v>
      </c>
      <c r="M1782" s="2">
        <v>2.13</v>
      </c>
    </row>
    <row r="1783" spans="1:13">
      <c r="A1783" s="9">
        <v>43367</v>
      </c>
      <c r="B1783" s="1">
        <f t="shared" si="54"/>
        <v>43344</v>
      </c>
      <c r="C1783" s="5" t="str">
        <f t="shared" si="55"/>
        <v>2018-09</v>
      </c>
      <c r="D1783" s="3">
        <v>291.02</v>
      </c>
      <c r="E1783" s="3">
        <v>169.77</v>
      </c>
      <c r="F1783" s="3">
        <v>116.8</v>
      </c>
      <c r="G1783" s="3">
        <v>113.47</v>
      </c>
      <c r="H1783" s="3">
        <v>80.17</v>
      </c>
      <c r="I1783" s="2">
        <v>51.24</v>
      </c>
      <c r="J1783" s="2">
        <v>482.07</v>
      </c>
      <c r="K1783" s="2">
        <v>337.58</v>
      </c>
      <c r="L1783" s="3">
        <v>94.46</v>
      </c>
      <c r="M1783" s="2">
        <v>1.99</v>
      </c>
    </row>
    <row r="1784" spans="1:13">
      <c r="A1784" s="9">
        <v>43364</v>
      </c>
      <c r="B1784" s="1">
        <f t="shared" si="54"/>
        <v>43344</v>
      </c>
      <c r="C1784" s="5" t="str">
        <f t="shared" si="55"/>
        <v>2018-09</v>
      </c>
      <c r="D1784" s="3">
        <v>291.99</v>
      </c>
      <c r="E1784" s="3">
        <v>170.4</v>
      </c>
      <c r="F1784" s="3">
        <v>117.1</v>
      </c>
      <c r="G1784" s="3">
        <v>113.49</v>
      </c>
      <c r="H1784" s="3">
        <v>82.78</v>
      </c>
      <c r="I1784" s="2">
        <v>51.1</v>
      </c>
      <c r="J1784" s="2">
        <v>487.61</v>
      </c>
      <c r="K1784" s="2">
        <v>337.66</v>
      </c>
      <c r="L1784" s="3">
        <v>94.27</v>
      </c>
      <c r="M1784" s="2">
        <v>2.0699999999999998</v>
      </c>
    </row>
    <row r="1785" spans="1:13">
      <c r="A1785" s="9">
        <v>43363</v>
      </c>
      <c r="B1785" s="1">
        <f t="shared" si="54"/>
        <v>43344</v>
      </c>
      <c r="C1785" s="5" t="str">
        <f t="shared" si="55"/>
        <v>2018-09</v>
      </c>
      <c r="D1785" s="3">
        <v>293.58</v>
      </c>
      <c r="E1785" s="3">
        <v>171.22</v>
      </c>
      <c r="F1785" s="3">
        <v>117.15</v>
      </c>
      <c r="G1785" s="3">
        <v>114.27</v>
      </c>
      <c r="H1785" s="3">
        <v>82.81</v>
      </c>
      <c r="I1785" s="2">
        <v>50.43</v>
      </c>
      <c r="J1785" s="2">
        <v>487.14</v>
      </c>
      <c r="K1785" s="2">
        <v>333.13</v>
      </c>
      <c r="L1785" s="3">
        <v>94.51</v>
      </c>
      <c r="M1785" s="2">
        <v>2.12</v>
      </c>
    </row>
    <row r="1786" spans="1:13">
      <c r="A1786" s="9">
        <v>43362</v>
      </c>
      <c r="B1786" s="1">
        <f t="shared" si="54"/>
        <v>43344</v>
      </c>
      <c r="C1786" s="5" t="str">
        <f t="shared" si="55"/>
        <v>2018-09</v>
      </c>
      <c r="D1786" s="3">
        <v>291.22000000000003</v>
      </c>
      <c r="E1786" s="3">
        <v>169.65</v>
      </c>
      <c r="F1786" s="3">
        <v>116.61</v>
      </c>
      <c r="G1786" s="3">
        <v>113.88</v>
      </c>
      <c r="H1786" s="3">
        <v>82.04</v>
      </c>
      <c r="I1786" s="2">
        <v>49.43</v>
      </c>
      <c r="J1786" s="2">
        <v>483.54</v>
      </c>
      <c r="K1786" s="2">
        <v>339.3</v>
      </c>
      <c r="L1786" s="3">
        <v>93.6</v>
      </c>
      <c r="M1786" s="2">
        <v>2.0699999999999998</v>
      </c>
    </row>
    <row r="1787" spans="1:13">
      <c r="A1787" s="9">
        <v>43361</v>
      </c>
      <c r="B1787" s="1">
        <f t="shared" si="54"/>
        <v>43344</v>
      </c>
      <c r="C1787" s="5" t="str">
        <f t="shared" si="55"/>
        <v>2018-09</v>
      </c>
      <c r="D1787" s="3">
        <v>290.91000000000003</v>
      </c>
      <c r="E1787" s="3">
        <v>170.27</v>
      </c>
      <c r="F1787" s="3">
        <v>117.31</v>
      </c>
      <c r="G1787" s="3">
        <v>113.44</v>
      </c>
      <c r="H1787" s="3">
        <v>83.01</v>
      </c>
      <c r="I1787" s="2">
        <v>49.03</v>
      </c>
      <c r="J1787" s="2">
        <v>472.2</v>
      </c>
      <c r="K1787" s="2">
        <v>343.22</v>
      </c>
      <c r="L1787" s="3">
        <v>93.73</v>
      </c>
      <c r="M1787" s="2">
        <v>2.06</v>
      </c>
    </row>
    <row r="1788" spans="1:13">
      <c r="A1788" s="9">
        <v>43360</v>
      </c>
      <c r="B1788" s="1">
        <f t="shared" si="54"/>
        <v>43344</v>
      </c>
      <c r="C1788" s="5" t="str">
        <f t="shared" si="55"/>
        <v>2018-09</v>
      </c>
      <c r="D1788" s="3">
        <v>289.33999999999997</v>
      </c>
      <c r="E1788" s="3">
        <v>169.56</v>
      </c>
      <c r="F1788" s="3">
        <v>118.55</v>
      </c>
      <c r="G1788" s="3">
        <v>113.61</v>
      </c>
      <c r="H1788" s="3">
        <v>83.41</v>
      </c>
      <c r="I1788" s="2">
        <v>49.18</v>
      </c>
      <c r="J1788" s="2">
        <v>470.9</v>
      </c>
      <c r="K1788" s="2">
        <v>339.34</v>
      </c>
      <c r="L1788" s="3">
        <v>93.19</v>
      </c>
      <c r="M1788" s="2">
        <v>2.0499999999999998</v>
      </c>
    </row>
    <row r="1789" spans="1:13">
      <c r="A1789" s="9">
        <v>43357</v>
      </c>
      <c r="B1789" s="1">
        <f t="shared" si="54"/>
        <v>43344</v>
      </c>
      <c r="C1789" s="5" t="str">
        <f t="shared" si="55"/>
        <v>2018-09</v>
      </c>
      <c r="D1789" s="3">
        <v>290.88</v>
      </c>
      <c r="E1789" s="3">
        <v>171.38</v>
      </c>
      <c r="F1789" s="3">
        <v>118.55</v>
      </c>
      <c r="G1789" s="3">
        <v>113.02</v>
      </c>
      <c r="H1789" s="3">
        <v>83.14</v>
      </c>
      <c r="I1789" s="2">
        <v>49.25</v>
      </c>
      <c r="J1789" s="2">
        <v>476.06</v>
      </c>
      <c r="K1789" s="2">
        <v>335.8</v>
      </c>
      <c r="L1789" s="3">
        <v>93.53</v>
      </c>
      <c r="M1789" s="2">
        <v>2.0099999999999998</v>
      </c>
    </row>
    <row r="1790" spans="1:13">
      <c r="A1790" s="9">
        <v>43356</v>
      </c>
      <c r="B1790" s="1">
        <f t="shared" si="54"/>
        <v>43344</v>
      </c>
      <c r="C1790" s="5" t="str">
        <f t="shared" si="55"/>
        <v>2018-09</v>
      </c>
      <c r="D1790" s="3">
        <v>290.83</v>
      </c>
      <c r="E1790" s="3">
        <v>170.66</v>
      </c>
      <c r="F1790" s="3">
        <v>119.12</v>
      </c>
      <c r="G1790" s="3">
        <v>113.76</v>
      </c>
      <c r="H1790" s="3">
        <v>83.67</v>
      </c>
      <c r="I1790" s="2">
        <v>48.96</v>
      </c>
      <c r="J1790" s="2">
        <v>468.98</v>
      </c>
      <c r="K1790" s="2">
        <v>331.28</v>
      </c>
      <c r="L1790" s="3">
        <v>93.84</v>
      </c>
      <c r="M1790" s="2">
        <v>2</v>
      </c>
    </row>
    <row r="1791" spans="1:13">
      <c r="A1791" s="9">
        <v>43355</v>
      </c>
      <c r="B1791" s="1">
        <f t="shared" si="54"/>
        <v>43344</v>
      </c>
      <c r="C1791" s="5" t="str">
        <f t="shared" si="55"/>
        <v>2018-09</v>
      </c>
      <c r="D1791" s="3">
        <v>289.12</v>
      </c>
      <c r="E1791" s="3">
        <v>170.62</v>
      </c>
      <c r="F1791" s="3">
        <v>118.94</v>
      </c>
      <c r="G1791" s="3">
        <v>114.17</v>
      </c>
      <c r="H1791" s="3">
        <v>83.26</v>
      </c>
      <c r="I1791" s="2">
        <v>49.34</v>
      </c>
      <c r="J1791" s="2">
        <v>470.01</v>
      </c>
      <c r="K1791" s="2">
        <v>325.27999999999997</v>
      </c>
      <c r="L1791" s="3">
        <v>92.69</v>
      </c>
      <c r="M1791" s="2">
        <v>1.98</v>
      </c>
    </row>
    <row r="1792" spans="1:13">
      <c r="A1792" s="9">
        <v>43354</v>
      </c>
      <c r="B1792" s="1">
        <f t="shared" si="54"/>
        <v>43344</v>
      </c>
      <c r="C1792" s="5" t="str">
        <f t="shared" si="55"/>
        <v>2018-09</v>
      </c>
      <c r="D1792" s="3">
        <v>289.05</v>
      </c>
      <c r="E1792" s="3">
        <v>171.03</v>
      </c>
      <c r="F1792" s="3">
        <v>118.66</v>
      </c>
      <c r="G1792" s="3">
        <v>113.22</v>
      </c>
      <c r="H1792" s="3">
        <v>83.22</v>
      </c>
      <c r="I1792" s="2">
        <v>48.92</v>
      </c>
      <c r="J1792" s="2">
        <v>471.13</v>
      </c>
      <c r="K1792" s="2">
        <v>322.23</v>
      </c>
      <c r="L1792" s="3">
        <v>92.23</v>
      </c>
      <c r="M1792" s="2">
        <v>1.98</v>
      </c>
    </row>
    <row r="1793" spans="1:13">
      <c r="A1793" s="9">
        <v>43353</v>
      </c>
      <c r="B1793" s="1">
        <f t="shared" si="54"/>
        <v>43344</v>
      </c>
      <c r="C1793" s="5" t="str">
        <f t="shared" si="55"/>
        <v>2018-09</v>
      </c>
      <c r="D1793" s="3">
        <v>288.10000000000002</v>
      </c>
      <c r="E1793" s="3">
        <v>170.75</v>
      </c>
      <c r="F1793" s="3">
        <v>119.57</v>
      </c>
      <c r="G1793" s="3">
        <v>113.15</v>
      </c>
      <c r="H1793" s="3">
        <v>83.23</v>
      </c>
      <c r="I1793" s="2">
        <v>48.86</v>
      </c>
      <c r="J1793" s="2">
        <v>473.75</v>
      </c>
      <c r="K1793" s="2">
        <v>322.95</v>
      </c>
      <c r="L1793" s="3">
        <v>92.31</v>
      </c>
      <c r="M1793" s="2">
        <v>2</v>
      </c>
    </row>
    <row r="1794" spans="1:13">
      <c r="A1794" s="9">
        <v>43350</v>
      </c>
      <c r="B1794" s="1">
        <f t="shared" ref="B1794:B1857" si="56">EOMONTH(A1794,-1)+1</f>
        <v>43344</v>
      </c>
      <c r="C1794" s="5" t="str">
        <f t="shared" si="55"/>
        <v>2018-09</v>
      </c>
      <c r="D1794" s="3">
        <v>287.60000000000002</v>
      </c>
      <c r="E1794" s="3">
        <v>170.54</v>
      </c>
      <c r="F1794" s="3">
        <v>119.13</v>
      </c>
      <c r="G1794" s="3">
        <v>113.23</v>
      </c>
      <c r="H1794" s="3">
        <v>82.86</v>
      </c>
      <c r="I1794" s="2">
        <v>47.81</v>
      </c>
      <c r="J1794" s="2">
        <v>471.44</v>
      </c>
      <c r="K1794" s="2">
        <v>328.53</v>
      </c>
      <c r="L1794" s="3">
        <v>92.55</v>
      </c>
      <c r="M1794" s="2">
        <v>2.02</v>
      </c>
    </row>
    <row r="1795" spans="1:13">
      <c r="A1795" s="9">
        <v>43349</v>
      </c>
      <c r="B1795" s="1">
        <f t="shared" si="56"/>
        <v>43344</v>
      </c>
      <c r="C1795" s="5" t="str">
        <f t="shared" ref="C1795:C1858" si="57">TEXT(A1795, "yyyy-mm")</f>
        <v>2018-09</v>
      </c>
      <c r="D1795" s="3">
        <v>288.16000000000003</v>
      </c>
      <c r="E1795" s="3">
        <v>170.63</v>
      </c>
      <c r="F1795" s="3">
        <v>120.15</v>
      </c>
      <c r="G1795" s="3">
        <v>113.54</v>
      </c>
      <c r="H1795" s="3">
        <v>83.77</v>
      </c>
      <c r="I1795" s="2">
        <v>47.71</v>
      </c>
      <c r="J1795" s="2">
        <v>471.96</v>
      </c>
      <c r="K1795" s="2">
        <v>328.91</v>
      </c>
      <c r="L1795" s="3">
        <v>92.41</v>
      </c>
      <c r="M1795" s="2">
        <v>2</v>
      </c>
    </row>
    <row r="1796" spans="1:13">
      <c r="A1796" s="9">
        <v>43348</v>
      </c>
      <c r="B1796" s="1">
        <f t="shared" si="56"/>
        <v>43344</v>
      </c>
      <c r="C1796" s="5" t="str">
        <f t="shared" si="57"/>
        <v>2018-09</v>
      </c>
      <c r="D1796" s="3">
        <v>289.02999999999997</v>
      </c>
      <c r="E1796" s="3">
        <v>171.79</v>
      </c>
      <c r="F1796" s="3">
        <v>119.71</v>
      </c>
      <c r="G1796" s="3">
        <v>113.32</v>
      </c>
      <c r="H1796" s="3">
        <v>83.53</v>
      </c>
      <c r="I1796" s="2">
        <v>48.04</v>
      </c>
      <c r="J1796" s="2">
        <v>478.24</v>
      </c>
      <c r="K1796" s="2">
        <v>321.33</v>
      </c>
      <c r="L1796" s="3">
        <v>92.41</v>
      </c>
      <c r="M1796" s="2">
        <v>1.98</v>
      </c>
    </row>
    <row r="1797" spans="1:13">
      <c r="A1797" s="9">
        <v>43347</v>
      </c>
      <c r="B1797" s="1">
        <f t="shared" si="56"/>
        <v>43344</v>
      </c>
      <c r="C1797" s="5" t="str">
        <f t="shared" si="57"/>
        <v>2018-09</v>
      </c>
      <c r="D1797" s="3">
        <v>289.81</v>
      </c>
      <c r="E1797" s="3">
        <v>172.25</v>
      </c>
      <c r="F1797" s="3">
        <v>120.03</v>
      </c>
      <c r="G1797" s="3">
        <v>112.93</v>
      </c>
      <c r="H1797" s="3">
        <v>83.05</v>
      </c>
      <c r="I1797" s="2">
        <v>48.58</v>
      </c>
      <c r="J1797" s="2">
        <v>475.78</v>
      </c>
      <c r="K1797" s="2">
        <v>321.91000000000003</v>
      </c>
      <c r="L1797" s="3">
        <v>92.04</v>
      </c>
      <c r="M1797" s="2">
        <v>2.0499999999999998</v>
      </c>
    </row>
    <row r="1798" spans="1:13">
      <c r="A1798" s="9">
        <v>43343</v>
      </c>
      <c r="B1798" s="1">
        <f t="shared" si="56"/>
        <v>43313</v>
      </c>
      <c r="C1798" s="5" t="str">
        <f t="shared" si="57"/>
        <v>2018-08</v>
      </c>
      <c r="D1798" s="3">
        <v>290.31</v>
      </c>
      <c r="E1798" s="3">
        <v>173.02</v>
      </c>
      <c r="F1798" s="3">
        <v>120.995</v>
      </c>
      <c r="G1798" s="3">
        <v>113.51</v>
      </c>
      <c r="H1798" s="3">
        <v>84.05</v>
      </c>
      <c r="I1798" s="2">
        <v>48.58</v>
      </c>
      <c r="J1798" s="2">
        <v>479.06</v>
      </c>
      <c r="K1798" s="2">
        <v>320.41000000000003</v>
      </c>
      <c r="L1798" s="3">
        <v>92.78</v>
      </c>
      <c r="M1798" s="2">
        <v>2.0499999999999998</v>
      </c>
    </row>
    <row r="1799" spans="1:13">
      <c r="A1799" s="9">
        <v>43342</v>
      </c>
      <c r="B1799" s="1">
        <f t="shared" si="56"/>
        <v>43313</v>
      </c>
      <c r="C1799" s="5" t="str">
        <f t="shared" si="57"/>
        <v>2018-08</v>
      </c>
      <c r="D1799" s="3">
        <v>290.3</v>
      </c>
      <c r="E1799" s="3">
        <v>172.36</v>
      </c>
      <c r="F1799" s="3">
        <v>121.28</v>
      </c>
      <c r="G1799" s="3">
        <v>113.64</v>
      </c>
      <c r="H1799" s="3">
        <v>83.72</v>
      </c>
      <c r="I1799" s="2">
        <v>48.38</v>
      </c>
      <c r="J1799" s="2">
        <v>475.27</v>
      </c>
      <c r="K1799" s="2">
        <v>321.85000000000002</v>
      </c>
      <c r="L1799" s="3">
        <v>92.8</v>
      </c>
      <c r="M1799" s="2">
        <v>2.0699999999999998</v>
      </c>
    </row>
    <row r="1800" spans="1:13">
      <c r="A1800" s="9">
        <v>43341</v>
      </c>
      <c r="B1800" s="1">
        <f t="shared" si="56"/>
        <v>43313</v>
      </c>
      <c r="C1800" s="5" t="str">
        <f t="shared" si="57"/>
        <v>2018-08</v>
      </c>
      <c r="D1800" s="3">
        <v>291.48</v>
      </c>
      <c r="E1800" s="3">
        <v>172.5</v>
      </c>
      <c r="F1800" s="3">
        <v>121.02</v>
      </c>
      <c r="G1800" s="3">
        <v>114.2</v>
      </c>
      <c r="H1800" s="3">
        <v>84.26</v>
      </c>
      <c r="I1800" s="2">
        <v>48.89</v>
      </c>
      <c r="J1800" s="2">
        <v>485.22</v>
      </c>
      <c r="K1800" s="2">
        <v>324.32</v>
      </c>
      <c r="L1800" s="3">
        <v>92.87</v>
      </c>
      <c r="M1800" s="2">
        <v>2.02</v>
      </c>
    </row>
    <row r="1801" spans="1:13">
      <c r="A1801" s="9">
        <v>43340</v>
      </c>
      <c r="B1801" s="1">
        <f t="shared" si="56"/>
        <v>43313</v>
      </c>
      <c r="C1801" s="5" t="str">
        <f t="shared" si="57"/>
        <v>2018-08</v>
      </c>
      <c r="D1801" s="3">
        <v>289.92</v>
      </c>
      <c r="E1801" s="3">
        <v>172</v>
      </c>
      <c r="F1801" s="3">
        <v>120.86</v>
      </c>
      <c r="G1801" s="3">
        <v>113.68</v>
      </c>
      <c r="H1801" s="3">
        <v>84.24</v>
      </c>
      <c r="I1801" s="2">
        <v>48.64</v>
      </c>
      <c r="J1801" s="2">
        <v>483.35</v>
      </c>
      <c r="K1801" s="2">
        <v>324.33999999999997</v>
      </c>
      <c r="L1801" s="3">
        <v>92.27</v>
      </c>
      <c r="M1801" s="2">
        <v>1.95</v>
      </c>
    </row>
    <row r="1802" spans="1:13">
      <c r="A1802" s="9">
        <v>43339</v>
      </c>
      <c r="B1802" s="1">
        <f t="shared" si="56"/>
        <v>43313</v>
      </c>
      <c r="C1802" s="5" t="str">
        <f t="shared" si="57"/>
        <v>2018-08</v>
      </c>
      <c r="D1802" s="3">
        <v>289.77999999999997</v>
      </c>
      <c r="E1802" s="3">
        <v>171.84</v>
      </c>
      <c r="F1802" s="3">
        <v>121.59</v>
      </c>
      <c r="G1802" s="3">
        <v>114.59</v>
      </c>
      <c r="H1802" s="3">
        <v>83.12</v>
      </c>
      <c r="I1802" s="2">
        <v>49.33</v>
      </c>
      <c r="J1802" s="2">
        <v>483.61</v>
      </c>
      <c r="K1802" s="2">
        <v>324.33999999999997</v>
      </c>
      <c r="L1802" s="3">
        <v>92.22</v>
      </c>
      <c r="M1802" s="2">
        <v>1.73</v>
      </c>
    </row>
    <row r="1803" spans="1:13">
      <c r="A1803" s="9">
        <v>43336</v>
      </c>
      <c r="B1803" s="1">
        <f t="shared" si="56"/>
        <v>43313</v>
      </c>
      <c r="C1803" s="5" t="str">
        <f t="shared" si="57"/>
        <v>2018-08</v>
      </c>
      <c r="D1803" s="3">
        <v>287.51</v>
      </c>
      <c r="E1803" s="3">
        <v>171.59</v>
      </c>
      <c r="F1803" s="3">
        <v>122.29</v>
      </c>
      <c r="G1803" s="3">
        <v>114.16</v>
      </c>
      <c r="H1803" s="3">
        <v>83.42</v>
      </c>
      <c r="I1803" s="2">
        <v>49.26</v>
      </c>
      <c r="J1803" s="2">
        <v>477.51</v>
      </c>
      <c r="K1803" s="2">
        <v>321.29000000000002</v>
      </c>
      <c r="L1803" s="3">
        <v>91.89</v>
      </c>
      <c r="M1803" s="2">
        <v>1.64</v>
      </c>
    </row>
    <row r="1804" spans="1:13">
      <c r="A1804" s="9">
        <v>43335</v>
      </c>
      <c r="B1804" s="1">
        <f t="shared" si="56"/>
        <v>43313</v>
      </c>
      <c r="C1804" s="5" t="str">
        <f t="shared" si="57"/>
        <v>2018-08</v>
      </c>
      <c r="D1804" s="3">
        <v>285.79000000000002</v>
      </c>
      <c r="E1804" s="3">
        <v>170.66</v>
      </c>
      <c r="F1804" s="3">
        <v>122.05</v>
      </c>
      <c r="G1804" s="3">
        <v>112.2</v>
      </c>
      <c r="H1804" s="3">
        <v>82.93</v>
      </c>
      <c r="I1804" s="2">
        <v>48.96</v>
      </c>
      <c r="J1804" s="2">
        <v>470.46</v>
      </c>
      <c r="K1804" s="2">
        <v>320.01</v>
      </c>
      <c r="L1804" s="3">
        <v>91.45</v>
      </c>
      <c r="M1804" s="2">
        <v>1.72</v>
      </c>
    </row>
    <row r="1805" spans="1:13">
      <c r="A1805" s="9">
        <v>43334</v>
      </c>
      <c r="B1805" s="1">
        <f t="shared" si="56"/>
        <v>43313</v>
      </c>
      <c r="C1805" s="5" t="str">
        <f t="shared" si="57"/>
        <v>2018-08</v>
      </c>
      <c r="D1805" s="3">
        <v>286.17</v>
      </c>
      <c r="E1805" s="3">
        <v>171.18</v>
      </c>
      <c r="F1805" s="3">
        <v>121.86</v>
      </c>
      <c r="G1805" s="3">
        <v>113.27</v>
      </c>
      <c r="H1805" s="3">
        <v>83.14</v>
      </c>
      <c r="I1805" s="2">
        <v>48.8</v>
      </c>
      <c r="J1805" s="2">
        <v>478.02</v>
      </c>
      <c r="K1805" s="2">
        <v>321.92</v>
      </c>
      <c r="L1805" s="3">
        <v>91.48</v>
      </c>
      <c r="M1805" s="2">
        <v>1.57</v>
      </c>
    </row>
    <row r="1806" spans="1:13">
      <c r="A1806" s="9">
        <v>43333</v>
      </c>
      <c r="B1806" s="1">
        <f t="shared" si="56"/>
        <v>43313</v>
      </c>
      <c r="C1806" s="5" t="str">
        <f t="shared" si="57"/>
        <v>2018-08</v>
      </c>
      <c r="D1806" s="3">
        <v>286.33999999999997</v>
      </c>
      <c r="E1806" s="3">
        <v>170.76</v>
      </c>
      <c r="F1806" s="3">
        <v>121.38</v>
      </c>
      <c r="G1806" s="3">
        <v>113.02</v>
      </c>
      <c r="H1806" s="3">
        <v>83.61</v>
      </c>
      <c r="I1806" s="2">
        <v>48.41</v>
      </c>
      <c r="J1806" s="2">
        <v>474.93</v>
      </c>
      <c r="K1806" s="2">
        <v>324.39</v>
      </c>
      <c r="L1806" s="3">
        <v>91.39</v>
      </c>
      <c r="M1806" s="2">
        <v>1.84</v>
      </c>
    </row>
    <row r="1807" spans="1:13">
      <c r="A1807" s="9">
        <v>43332</v>
      </c>
      <c r="B1807" s="1">
        <f t="shared" si="56"/>
        <v>43313</v>
      </c>
      <c r="C1807" s="5" t="str">
        <f t="shared" si="57"/>
        <v>2018-08</v>
      </c>
      <c r="D1807" s="3">
        <v>285.67</v>
      </c>
      <c r="E1807" s="3">
        <v>168.82</v>
      </c>
      <c r="F1807" s="3">
        <v>121.79</v>
      </c>
      <c r="G1807" s="3">
        <v>112.69</v>
      </c>
      <c r="H1807" s="3">
        <v>84.12</v>
      </c>
      <c r="I1807" s="2">
        <v>48.42</v>
      </c>
      <c r="J1807" s="2">
        <v>475.56</v>
      </c>
      <c r="K1807" s="2">
        <v>324.22000000000003</v>
      </c>
      <c r="L1807" s="3">
        <v>91.39</v>
      </c>
      <c r="M1807" s="2">
        <v>1.9</v>
      </c>
    </row>
    <row r="1808" spans="1:13">
      <c r="A1808" s="9">
        <v>43329</v>
      </c>
      <c r="B1808" s="1">
        <f t="shared" si="56"/>
        <v>43313</v>
      </c>
      <c r="C1808" s="5" t="str">
        <f t="shared" si="57"/>
        <v>2018-08</v>
      </c>
      <c r="D1808" s="3">
        <v>285.06</v>
      </c>
      <c r="E1808" s="3">
        <v>168.35</v>
      </c>
      <c r="F1808" s="3">
        <v>120.98</v>
      </c>
      <c r="G1808" s="3">
        <v>112.13</v>
      </c>
      <c r="H1808" s="3">
        <v>84.06</v>
      </c>
      <c r="I1808" s="2">
        <v>48.36</v>
      </c>
      <c r="J1808" s="2">
        <v>474.15</v>
      </c>
      <c r="K1808" s="2">
        <v>325.23</v>
      </c>
      <c r="L1808" s="3">
        <v>91.09</v>
      </c>
      <c r="M1808" s="2">
        <v>1.89</v>
      </c>
    </row>
    <row r="1809" spans="1:13">
      <c r="A1809" s="9">
        <v>43328</v>
      </c>
      <c r="B1809" s="1">
        <f t="shared" si="56"/>
        <v>43313</v>
      </c>
      <c r="C1809" s="5" t="str">
        <f t="shared" si="57"/>
        <v>2018-08</v>
      </c>
      <c r="D1809" s="3">
        <v>284.06</v>
      </c>
      <c r="E1809" s="3">
        <v>167.63</v>
      </c>
      <c r="F1809" s="3">
        <v>120.83</v>
      </c>
      <c r="G1809" s="3">
        <v>111.1</v>
      </c>
      <c r="H1809" s="3">
        <v>83.29</v>
      </c>
      <c r="I1809" s="2">
        <v>48.1</v>
      </c>
      <c r="J1809" s="2">
        <v>474.61</v>
      </c>
      <c r="K1809" s="2">
        <v>325.86</v>
      </c>
      <c r="L1809" s="3">
        <v>90.81</v>
      </c>
      <c r="M1809" s="2">
        <v>1.92</v>
      </c>
    </row>
    <row r="1810" spans="1:13">
      <c r="A1810" s="9">
        <v>43327</v>
      </c>
      <c r="B1810" s="1">
        <f t="shared" si="56"/>
        <v>43313</v>
      </c>
      <c r="C1810" s="5" t="str">
        <f t="shared" si="57"/>
        <v>2018-08</v>
      </c>
      <c r="D1810" s="3">
        <v>281.77999999999997</v>
      </c>
      <c r="E1810" s="3">
        <v>166.09</v>
      </c>
      <c r="F1810" s="3">
        <v>120.84</v>
      </c>
      <c r="G1810" s="3">
        <v>111.19</v>
      </c>
      <c r="H1810" s="3">
        <v>82.62</v>
      </c>
      <c r="I1810" s="2">
        <v>47.84</v>
      </c>
      <c r="J1810" s="2">
        <v>470.82</v>
      </c>
      <c r="K1810" s="2">
        <v>317.7</v>
      </c>
      <c r="L1810" s="3">
        <v>89.93</v>
      </c>
      <c r="M1810" s="2">
        <v>1.88</v>
      </c>
    </row>
    <row r="1811" spans="1:13">
      <c r="A1811" s="9">
        <v>43326</v>
      </c>
      <c r="B1811" s="1">
        <f t="shared" si="56"/>
        <v>43313</v>
      </c>
      <c r="C1811" s="5" t="str">
        <f t="shared" si="57"/>
        <v>2018-08</v>
      </c>
      <c r="D1811" s="3">
        <v>283.89999999999998</v>
      </c>
      <c r="E1811" s="3">
        <v>168.2</v>
      </c>
      <c r="F1811" s="3">
        <v>120.14</v>
      </c>
      <c r="G1811" s="3">
        <v>113.07</v>
      </c>
      <c r="H1811" s="3">
        <v>81.99</v>
      </c>
      <c r="I1811" s="2">
        <v>48.23</v>
      </c>
      <c r="J1811" s="2">
        <v>477.21</v>
      </c>
      <c r="K1811" s="2">
        <v>318.58999999999997</v>
      </c>
      <c r="L1811" s="3">
        <v>90.08</v>
      </c>
      <c r="M1811" s="2">
        <v>1.97</v>
      </c>
    </row>
    <row r="1812" spans="1:13">
      <c r="A1812" s="9">
        <v>43325</v>
      </c>
      <c r="B1812" s="1">
        <f t="shared" si="56"/>
        <v>43313</v>
      </c>
      <c r="C1812" s="5" t="str">
        <f t="shared" si="57"/>
        <v>2018-08</v>
      </c>
      <c r="D1812" s="3">
        <v>282.10000000000002</v>
      </c>
      <c r="E1812" s="3">
        <v>166.55</v>
      </c>
      <c r="F1812" s="3">
        <v>120.41</v>
      </c>
      <c r="G1812" s="3">
        <v>112.96</v>
      </c>
      <c r="H1812" s="3">
        <v>81.59</v>
      </c>
      <c r="I1812" s="2">
        <v>48.01</v>
      </c>
      <c r="J1812" s="2">
        <v>475.39</v>
      </c>
      <c r="K1812" s="2">
        <v>313.64</v>
      </c>
      <c r="L1812" s="3">
        <v>89.66</v>
      </c>
      <c r="M1812" s="2">
        <v>2</v>
      </c>
    </row>
    <row r="1813" spans="1:13">
      <c r="A1813" s="9">
        <v>43322</v>
      </c>
      <c r="B1813" s="1">
        <f t="shared" si="56"/>
        <v>43313</v>
      </c>
      <c r="C1813" s="5" t="str">
        <f t="shared" si="57"/>
        <v>2018-08</v>
      </c>
      <c r="D1813" s="3">
        <v>283.16000000000003</v>
      </c>
      <c r="E1813" s="3">
        <v>167.53</v>
      </c>
      <c r="F1813" s="3">
        <v>120.66</v>
      </c>
      <c r="G1813" s="3">
        <v>114.69</v>
      </c>
      <c r="H1813" s="3">
        <v>81.75</v>
      </c>
      <c r="I1813" s="2">
        <v>48.32</v>
      </c>
      <c r="J1813" s="2">
        <v>478.95</v>
      </c>
      <c r="K1813" s="2">
        <v>313.12</v>
      </c>
      <c r="L1813" s="3">
        <v>89.63</v>
      </c>
      <c r="M1813" s="2">
        <v>1.98</v>
      </c>
    </row>
    <row r="1814" spans="1:13">
      <c r="A1814" s="9">
        <v>43321</v>
      </c>
      <c r="B1814" s="1">
        <f t="shared" si="56"/>
        <v>43313</v>
      </c>
      <c r="C1814" s="5" t="str">
        <f t="shared" si="57"/>
        <v>2018-08</v>
      </c>
      <c r="D1814" s="3">
        <v>285.07</v>
      </c>
      <c r="E1814" s="3">
        <v>168</v>
      </c>
      <c r="F1814" s="3">
        <v>119.79</v>
      </c>
      <c r="G1814" s="3">
        <v>114.74</v>
      </c>
      <c r="H1814" s="3">
        <v>82.38</v>
      </c>
      <c r="I1814" s="2">
        <v>48.54</v>
      </c>
      <c r="J1814" s="2">
        <v>484.1</v>
      </c>
      <c r="K1814" s="2">
        <v>315.70999999999998</v>
      </c>
      <c r="L1814" s="3">
        <v>90.02</v>
      </c>
      <c r="M1814" s="2">
        <v>2.0099999999999998</v>
      </c>
    </row>
    <row r="1815" spans="1:13">
      <c r="A1815" s="9">
        <v>43320</v>
      </c>
      <c r="B1815" s="1">
        <f t="shared" si="56"/>
        <v>43313</v>
      </c>
      <c r="C1815" s="5" t="str">
        <f t="shared" si="57"/>
        <v>2018-08</v>
      </c>
      <c r="D1815" s="3">
        <v>285.45999999999998</v>
      </c>
      <c r="E1815" s="3">
        <v>167.57</v>
      </c>
      <c r="F1815" s="3">
        <v>118.79</v>
      </c>
      <c r="G1815" s="3">
        <v>114.91</v>
      </c>
      <c r="H1815" s="3">
        <v>82.34</v>
      </c>
      <c r="I1815" s="2">
        <v>48.39</v>
      </c>
      <c r="J1815" s="2">
        <v>487.05</v>
      </c>
      <c r="K1815" s="2">
        <v>315.31</v>
      </c>
      <c r="L1815" s="3">
        <v>90.12</v>
      </c>
      <c r="M1815" s="2">
        <v>1.97</v>
      </c>
    </row>
    <row r="1816" spans="1:13">
      <c r="A1816" s="9">
        <v>43319</v>
      </c>
      <c r="B1816" s="1">
        <f t="shared" si="56"/>
        <v>43313</v>
      </c>
      <c r="C1816" s="5" t="str">
        <f t="shared" si="57"/>
        <v>2018-08</v>
      </c>
      <c r="D1816" s="3">
        <v>285.58</v>
      </c>
      <c r="E1816" s="3">
        <v>167.72</v>
      </c>
      <c r="F1816" s="3">
        <v>118.67</v>
      </c>
      <c r="G1816" s="3">
        <v>114.59</v>
      </c>
      <c r="H1816" s="3">
        <v>82.82</v>
      </c>
      <c r="I1816" s="2">
        <v>48.48</v>
      </c>
      <c r="J1816" s="2">
        <v>487.46</v>
      </c>
      <c r="K1816" s="2">
        <v>317.41000000000003</v>
      </c>
      <c r="L1816" s="3">
        <v>89.98</v>
      </c>
      <c r="M1816" s="2">
        <v>2.0299999999999998</v>
      </c>
    </row>
    <row r="1817" spans="1:13">
      <c r="A1817" s="9">
        <v>43318</v>
      </c>
      <c r="B1817" s="1">
        <f t="shared" si="56"/>
        <v>43313</v>
      </c>
      <c r="C1817" s="5" t="str">
        <f t="shared" si="57"/>
        <v>2018-08</v>
      </c>
      <c r="D1817" s="3">
        <v>284.64</v>
      </c>
      <c r="E1817" s="3">
        <v>167.32</v>
      </c>
      <c r="F1817" s="3">
        <v>119.29</v>
      </c>
      <c r="G1817" s="3">
        <v>114.33</v>
      </c>
      <c r="H1817" s="3">
        <v>82.97</v>
      </c>
      <c r="I1817" s="2">
        <v>48.67</v>
      </c>
      <c r="J1817" s="2">
        <v>483.46</v>
      </c>
      <c r="K1817" s="2">
        <v>316.92</v>
      </c>
      <c r="L1817" s="3">
        <v>89.97</v>
      </c>
      <c r="M1817" s="2">
        <v>2.11</v>
      </c>
    </row>
    <row r="1818" spans="1:13">
      <c r="A1818" s="9">
        <v>43315</v>
      </c>
      <c r="B1818" s="1">
        <f t="shared" si="56"/>
        <v>43313</v>
      </c>
      <c r="C1818" s="5" t="str">
        <f t="shared" si="57"/>
        <v>2018-08</v>
      </c>
      <c r="D1818" s="3">
        <v>283.60000000000002</v>
      </c>
      <c r="E1818" s="3">
        <v>166.39</v>
      </c>
      <c r="F1818" s="3">
        <v>119.22</v>
      </c>
      <c r="G1818" s="3">
        <v>114.92</v>
      </c>
      <c r="H1818" s="3">
        <v>83.08</v>
      </c>
      <c r="I1818" s="2">
        <v>48.47</v>
      </c>
      <c r="J1818" s="2">
        <v>482.4</v>
      </c>
      <c r="K1818" s="2">
        <v>320.55</v>
      </c>
      <c r="L1818" s="3">
        <v>89.81</v>
      </c>
      <c r="M1818" s="2">
        <v>2.1</v>
      </c>
    </row>
    <row r="1819" spans="1:13">
      <c r="A1819" s="9">
        <v>43314</v>
      </c>
      <c r="B1819" s="1">
        <f t="shared" si="56"/>
        <v>43313</v>
      </c>
      <c r="C1819" s="5" t="str">
        <f t="shared" si="57"/>
        <v>2018-08</v>
      </c>
      <c r="D1819" s="3">
        <v>282.39</v>
      </c>
      <c r="E1819" s="3">
        <v>166.97</v>
      </c>
      <c r="F1819" s="3">
        <v>118.63</v>
      </c>
      <c r="G1819" s="3">
        <v>114.52</v>
      </c>
      <c r="H1819" s="3">
        <v>82.19</v>
      </c>
      <c r="I1819" s="2">
        <v>47.9</v>
      </c>
      <c r="J1819" s="2">
        <v>475.31</v>
      </c>
      <c r="K1819" s="2">
        <v>322.02</v>
      </c>
      <c r="L1819" s="3">
        <v>89.28</v>
      </c>
      <c r="M1819" s="2">
        <v>2.17</v>
      </c>
    </row>
    <row r="1820" spans="1:13">
      <c r="A1820" s="9">
        <v>43313</v>
      </c>
      <c r="B1820" s="1">
        <f t="shared" si="56"/>
        <v>43313</v>
      </c>
      <c r="C1820" s="5" t="str">
        <f t="shared" si="57"/>
        <v>2018-08</v>
      </c>
      <c r="D1820" s="3">
        <v>280.86</v>
      </c>
      <c r="E1820" s="3">
        <v>165.76</v>
      </c>
      <c r="F1820" s="3">
        <v>118.46</v>
      </c>
      <c r="G1820" s="3">
        <v>115.14</v>
      </c>
      <c r="H1820" s="3">
        <v>82.52</v>
      </c>
      <c r="I1820" s="2">
        <v>47.35</v>
      </c>
      <c r="J1820" s="2">
        <v>479.45</v>
      </c>
      <c r="K1820" s="2">
        <v>324.93</v>
      </c>
      <c r="L1820" s="3">
        <v>88.95</v>
      </c>
      <c r="M1820" s="2">
        <v>2.17</v>
      </c>
    </row>
    <row r="1821" spans="1:13">
      <c r="A1821" s="9">
        <v>43312</v>
      </c>
      <c r="B1821" s="1">
        <f t="shared" si="56"/>
        <v>43282</v>
      </c>
      <c r="C1821" s="5" t="str">
        <f t="shared" si="57"/>
        <v>2018-07</v>
      </c>
      <c r="D1821" s="3">
        <v>281.33</v>
      </c>
      <c r="E1821" s="3">
        <v>165.87</v>
      </c>
      <c r="F1821" s="3">
        <v>119.7</v>
      </c>
      <c r="G1821" s="3">
        <v>115.99</v>
      </c>
      <c r="H1821" s="3">
        <v>81.94</v>
      </c>
      <c r="I1821" s="2">
        <v>47.68</v>
      </c>
      <c r="J1821" s="2">
        <v>502.76</v>
      </c>
      <c r="K1821" s="2">
        <v>326.10000000000002</v>
      </c>
      <c r="L1821" s="3">
        <v>88.93</v>
      </c>
      <c r="M1821" s="2">
        <v>2.21</v>
      </c>
    </row>
    <row r="1822" spans="1:13">
      <c r="A1822" s="9">
        <v>43311</v>
      </c>
      <c r="B1822" s="1">
        <f t="shared" si="56"/>
        <v>43282</v>
      </c>
      <c r="C1822" s="5" t="str">
        <f t="shared" si="57"/>
        <v>2018-07</v>
      </c>
      <c r="D1822" s="3">
        <v>279.95</v>
      </c>
      <c r="E1822" s="3">
        <v>164.2</v>
      </c>
      <c r="F1822" s="3">
        <v>119.05</v>
      </c>
      <c r="G1822" s="3">
        <v>115.65</v>
      </c>
      <c r="H1822" s="3">
        <v>80.59</v>
      </c>
      <c r="I1822" s="2">
        <v>47.73</v>
      </c>
      <c r="J1822" s="2">
        <v>500.18</v>
      </c>
      <c r="K1822" s="2">
        <v>320.11</v>
      </c>
      <c r="L1822" s="3">
        <v>88.01</v>
      </c>
      <c r="M1822" s="2">
        <v>2.2200000000000002</v>
      </c>
    </row>
    <row r="1823" spans="1:13">
      <c r="A1823" s="9">
        <v>43308</v>
      </c>
      <c r="B1823" s="1">
        <f t="shared" si="56"/>
        <v>43282</v>
      </c>
      <c r="C1823" s="5" t="str">
        <f t="shared" si="57"/>
        <v>2018-07</v>
      </c>
      <c r="D1823" s="3">
        <v>281.42</v>
      </c>
      <c r="E1823" s="3">
        <v>165.26</v>
      </c>
      <c r="F1823" s="3">
        <v>119.46</v>
      </c>
      <c r="G1823" s="3">
        <v>115.83</v>
      </c>
      <c r="H1823" s="3">
        <v>80.540000000000006</v>
      </c>
      <c r="I1823" s="2">
        <v>48.63</v>
      </c>
      <c r="J1823" s="2">
        <v>502.92</v>
      </c>
      <c r="K1823" s="2">
        <v>324.08999999999997</v>
      </c>
      <c r="L1823" s="3">
        <v>87.96</v>
      </c>
      <c r="M1823" s="2">
        <v>2.2200000000000002</v>
      </c>
    </row>
    <row r="1824" spans="1:13">
      <c r="A1824" s="9">
        <v>43307</v>
      </c>
      <c r="B1824" s="1">
        <f t="shared" si="56"/>
        <v>43282</v>
      </c>
      <c r="C1824" s="5" t="str">
        <f t="shared" si="57"/>
        <v>2018-07</v>
      </c>
      <c r="D1824" s="3">
        <v>283.33999999999997</v>
      </c>
      <c r="E1824" s="3">
        <v>168.4</v>
      </c>
      <c r="F1824" s="3">
        <v>119.26</v>
      </c>
      <c r="G1824" s="3">
        <v>115.77</v>
      </c>
      <c r="H1824" s="3">
        <v>81.41</v>
      </c>
      <c r="I1824" s="2">
        <v>48.87</v>
      </c>
      <c r="J1824" s="2">
        <v>505.11</v>
      </c>
      <c r="K1824" s="2">
        <v>322.94</v>
      </c>
      <c r="L1824" s="3">
        <v>88.6</v>
      </c>
      <c r="M1824" s="2">
        <v>2.3199999999999998</v>
      </c>
    </row>
    <row r="1825" spans="1:13">
      <c r="A1825" s="9">
        <v>43306</v>
      </c>
      <c r="B1825" s="1">
        <f t="shared" si="56"/>
        <v>43282</v>
      </c>
      <c r="C1825" s="5" t="str">
        <f t="shared" si="57"/>
        <v>2018-07</v>
      </c>
      <c r="D1825" s="3">
        <v>284.01</v>
      </c>
      <c r="E1825" s="3">
        <v>167.5</v>
      </c>
      <c r="F1825" s="3">
        <v>119.49</v>
      </c>
      <c r="G1825" s="3">
        <v>116.68</v>
      </c>
      <c r="H1825" s="3">
        <v>81.14</v>
      </c>
      <c r="I1825" s="2">
        <v>48.95</v>
      </c>
      <c r="J1825" s="2">
        <v>512.49</v>
      </c>
      <c r="K1825" s="2">
        <v>324.36</v>
      </c>
      <c r="L1825" s="3">
        <v>88.85</v>
      </c>
      <c r="M1825" s="2">
        <v>2.31</v>
      </c>
    </row>
    <row r="1826" spans="1:13">
      <c r="A1826" s="9">
        <v>43305</v>
      </c>
      <c r="B1826" s="1">
        <f t="shared" si="56"/>
        <v>43282</v>
      </c>
      <c r="C1826" s="5" t="str">
        <f t="shared" si="57"/>
        <v>2018-07</v>
      </c>
      <c r="D1826" s="3">
        <v>281.61</v>
      </c>
      <c r="E1826" s="3">
        <v>166.89</v>
      </c>
      <c r="F1826" s="3">
        <v>119.68</v>
      </c>
      <c r="G1826" s="3">
        <v>116.04</v>
      </c>
      <c r="H1826" s="3">
        <v>80.5</v>
      </c>
      <c r="I1826" s="2">
        <v>48.67</v>
      </c>
      <c r="J1826" s="2">
        <v>508.89</v>
      </c>
      <c r="K1826" s="2">
        <v>322.57</v>
      </c>
      <c r="L1826" s="3">
        <v>87.73</v>
      </c>
      <c r="M1826" s="2">
        <v>2.37</v>
      </c>
    </row>
    <row r="1827" spans="1:13">
      <c r="A1827" s="9">
        <v>43304</v>
      </c>
      <c r="B1827" s="1">
        <f t="shared" si="56"/>
        <v>43282</v>
      </c>
      <c r="C1827" s="5" t="str">
        <f t="shared" si="57"/>
        <v>2018-07</v>
      </c>
      <c r="D1827" s="3">
        <v>280.2</v>
      </c>
      <c r="E1827" s="3">
        <v>168.69</v>
      </c>
      <c r="F1827" s="3">
        <v>119.27</v>
      </c>
      <c r="G1827" s="3">
        <v>116</v>
      </c>
      <c r="H1827" s="3">
        <v>80.91</v>
      </c>
      <c r="I1827" s="2">
        <v>48.67</v>
      </c>
      <c r="J1827" s="2">
        <v>508.51</v>
      </c>
      <c r="K1827" s="2">
        <v>318.33</v>
      </c>
      <c r="L1827" s="3">
        <v>86.94</v>
      </c>
      <c r="M1827" s="2">
        <v>2.37</v>
      </c>
    </row>
    <row r="1828" spans="1:13">
      <c r="A1828" s="9">
        <v>43301</v>
      </c>
      <c r="B1828" s="1">
        <f t="shared" si="56"/>
        <v>43282</v>
      </c>
      <c r="C1828" s="5" t="str">
        <f t="shared" si="57"/>
        <v>2018-07</v>
      </c>
      <c r="D1828" s="3">
        <v>279.68</v>
      </c>
      <c r="E1828" s="3">
        <v>168.48</v>
      </c>
      <c r="F1828" s="3">
        <v>120.76</v>
      </c>
      <c r="G1828" s="3">
        <v>116.56</v>
      </c>
      <c r="H1828" s="3">
        <v>81.08</v>
      </c>
      <c r="I1828" s="2">
        <v>48.52</v>
      </c>
      <c r="J1828" s="2">
        <v>502.78</v>
      </c>
      <c r="K1828" s="2">
        <v>322.55</v>
      </c>
      <c r="L1828" s="3">
        <v>86.76</v>
      </c>
      <c r="M1828" s="2">
        <v>2.38</v>
      </c>
    </row>
    <row r="1829" spans="1:13">
      <c r="A1829" s="9">
        <v>43300</v>
      </c>
      <c r="B1829" s="1">
        <f t="shared" si="56"/>
        <v>43282</v>
      </c>
      <c r="C1829" s="5" t="str">
        <f t="shared" si="57"/>
        <v>2018-07</v>
      </c>
      <c r="D1829" s="3">
        <v>280</v>
      </c>
      <c r="E1829" s="3">
        <v>169.17</v>
      </c>
      <c r="F1829" s="3">
        <v>122.26</v>
      </c>
      <c r="G1829" s="3">
        <v>115.81</v>
      </c>
      <c r="H1829" s="3">
        <v>81.87</v>
      </c>
      <c r="I1829" s="2">
        <v>48.44</v>
      </c>
      <c r="J1829" s="2">
        <v>504.89</v>
      </c>
      <c r="K1829" s="2">
        <v>319.60000000000002</v>
      </c>
      <c r="L1829" s="3">
        <v>86.93</v>
      </c>
      <c r="M1829" s="2">
        <v>2.4300000000000002</v>
      </c>
    </row>
    <row r="1830" spans="1:13">
      <c r="A1830" s="9">
        <v>43299</v>
      </c>
      <c r="B1830" s="1">
        <f t="shared" si="56"/>
        <v>43282</v>
      </c>
      <c r="C1830" s="5" t="str">
        <f t="shared" si="57"/>
        <v>2018-07</v>
      </c>
      <c r="D1830" s="3">
        <v>281.06</v>
      </c>
      <c r="E1830" s="3">
        <v>167.98</v>
      </c>
      <c r="F1830" s="3">
        <v>121.49</v>
      </c>
      <c r="G1830" s="3">
        <v>116.31</v>
      </c>
      <c r="H1830" s="3">
        <v>80.92</v>
      </c>
      <c r="I1830" s="2">
        <v>48.64</v>
      </c>
      <c r="J1830" s="2">
        <v>510.85</v>
      </c>
      <c r="K1830" s="2">
        <v>319.77</v>
      </c>
      <c r="L1830" s="3">
        <v>87.42</v>
      </c>
      <c r="M1830" s="2">
        <v>2.42</v>
      </c>
    </row>
    <row r="1831" spans="1:13">
      <c r="A1831" s="9">
        <v>43298</v>
      </c>
      <c r="B1831" s="1">
        <f t="shared" si="56"/>
        <v>43282</v>
      </c>
      <c r="C1831" s="5" t="str">
        <f t="shared" si="57"/>
        <v>2018-07</v>
      </c>
      <c r="D1831" s="3">
        <v>280.47000000000003</v>
      </c>
      <c r="E1831" s="3">
        <v>167.51</v>
      </c>
      <c r="F1831" s="3">
        <v>121.98</v>
      </c>
      <c r="G1831" s="3">
        <v>116.28</v>
      </c>
      <c r="H1831" s="3">
        <v>81.28</v>
      </c>
      <c r="I1831" s="2">
        <v>48.9</v>
      </c>
      <c r="J1831" s="2">
        <v>504.88</v>
      </c>
      <c r="K1831" s="2">
        <v>317.5</v>
      </c>
      <c r="L1831" s="3">
        <v>87.35</v>
      </c>
      <c r="M1831" s="2">
        <v>2.4</v>
      </c>
    </row>
    <row r="1832" spans="1:13">
      <c r="A1832" s="9">
        <v>43297</v>
      </c>
      <c r="B1832" s="1">
        <f t="shared" si="56"/>
        <v>43282</v>
      </c>
      <c r="C1832" s="5" t="str">
        <f t="shared" si="57"/>
        <v>2018-07</v>
      </c>
      <c r="D1832" s="3">
        <v>279.33999999999997</v>
      </c>
      <c r="E1832" s="3">
        <v>166.77</v>
      </c>
      <c r="F1832" s="3">
        <v>122.21</v>
      </c>
      <c r="G1832" s="3">
        <v>117.55</v>
      </c>
      <c r="H1832" s="3">
        <v>81.819999999999993</v>
      </c>
      <c r="I1832" s="2">
        <v>48.46</v>
      </c>
      <c r="J1832" s="2">
        <v>503.96</v>
      </c>
      <c r="K1832" s="2">
        <v>319.05</v>
      </c>
      <c r="L1832" s="3">
        <v>86.87</v>
      </c>
      <c r="M1832" s="2">
        <v>2.42</v>
      </c>
    </row>
    <row r="1833" spans="1:13">
      <c r="A1833" s="9">
        <v>43294</v>
      </c>
      <c r="B1833" s="1">
        <f t="shared" si="56"/>
        <v>43282</v>
      </c>
      <c r="C1833" s="5" t="str">
        <f t="shared" si="57"/>
        <v>2018-07</v>
      </c>
      <c r="D1833" s="3">
        <v>279.58999999999997</v>
      </c>
      <c r="E1833" s="3">
        <v>167.42</v>
      </c>
      <c r="F1833" s="3">
        <v>122.72</v>
      </c>
      <c r="G1833" s="3">
        <v>117.61</v>
      </c>
      <c r="H1833" s="3">
        <v>82.26</v>
      </c>
      <c r="I1833" s="2">
        <v>48.63</v>
      </c>
      <c r="J1833" s="2">
        <v>507.09</v>
      </c>
      <c r="K1833" s="2">
        <v>318.37</v>
      </c>
      <c r="L1833" s="3">
        <v>87.4</v>
      </c>
      <c r="M1833" s="2">
        <v>2.4</v>
      </c>
    </row>
    <row r="1834" spans="1:13">
      <c r="A1834" s="9">
        <v>43293</v>
      </c>
      <c r="B1834" s="1">
        <f t="shared" si="56"/>
        <v>43282</v>
      </c>
      <c r="C1834" s="5" t="str">
        <f t="shared" si="57"/>
        <v>2018-07</v>
      </c>
      <c r="D1834" s="3">
        <v>279.37</v>
      </c>
      <c r="E1834" s="3">
        <v>167.92</v>
      </c>
      <c r="F1834" s="3">
        <v>122.41</v>
      </c>
      <c r="G1834" s="3">
        <v>118.13</v>
      </c>
      <c r="H1834" s="3">
        <v>82.51</v>
      </c>
      <c r="I1834" s="2">
        <v>48.15</v>
      </c>
      <c r="J1834" s="2">
        <v>506.67</v>
      </c>
      <c r="K1834" s="2">
        <v>313.31</v>
      </c>
      <c r="L1834" s="3">
        <v>87.24</v>
      </c>
      <c r="M1834" s="2">
        <v>2.4</v>
      </c>
    </row>
    <row r="1835" spans="1:13">
      <c r="A1835" s="9">
        <v>43292</v>
      </c>
      <c r="B1835" s="1">
        <f t="shared" si="56"/>
        <v>43282</v>
      </c>
      <c r="C1835" s="5" t="str">
        <f t="shared" si="57"/>
        <v>2018-07</v>
      </c>
      <c r="D1835" s="3">
        <v>276.86</v>
      </c>
      <c r="E1835" s="3">
        <v>167.11</v>
      </c>
      <c r="F1835" s="3">
        <v>122.42</v>
      </c>
      <c r="G1835" s="3">
        <v>117.64</v>
      </c>
      <c r="H1835" s="3">
        <v>82.26</v>
      </c>
      <c r="I1835" s="2">
        <v>47.64</v>
      </c>
      <c r="J1835" s="2">
        <v>502.9</v>
      </c>
      <c r="K1835" s="2">
        <v>306.58</v>
      </c>
      <c r="L1835" s="3">
        <v>86.28</v>
      </c>
      <c r="M1835" s="2">
        <v>2.37</v>
      </c>
    </row>
    <row r="1836" spans="1:13">
      <c r="A1836" s="9">
        <v>43291</v>
      </c>
      <c r="B1836" s="1">
        <f t="shared" si="56"/>
        <v>43282</v>
      </c>
      <c r="C1836" s="5" t="str">
        <f t="shared" si="57"/>
        <v>2018-07</v>
      </c>
      <c r="D1836" s="3">
        <v>278.89999999999998</v>
      </c>
      <c r="E1836" s="3">
        <v>168.54</v>
      </c>
      <c r="F1836" s="3">
        <v>121.95</v>
      </c>
      <c r="G1836" s="3">
        <v>118.93</v>
      </c>
      <c r="H1836" s="3">
        <v>82.53</v>
      </c>
      <c r="I1836" s="2">
        <v>46.99</v>
      </c>
      <c r="J1836" s="2">
        <v>504.93</v>
      </c>
      <c r="K1836" s="2">
        <v>308.83</v>
      </c>
      <c r="L1836" s="3">
        <v>86.97</v>
      </c>
      <c r="M1836" s="2">
        <v>2.46</v>
      </c>
    </row>
    <row r="1837" spans="1:13">
      <c r="A1837" s="9">
        <v>43290</v>
      </c>
      <c r="B1837" s="1">
        <f t="shared" si="56"/>
        <v>43282</v>
      </c>
      <c r="C1837" s="5" t="str">
        <f t="shared" si="57"/>
        <v>2018-07</v>
      </c>
      <c r="D1837" s="3">
        <v>277.89999999999998</v>
      </c>
      <c r="E1837" s="3">
        <v>169.31</v>
      </c>
      <c r="F1837" s="3">
        <v>121.96</v>
      </c>
      <c r="G1837" s="3">
        <v>119.15</v>
      </c>
      <c r="H1837" s="3">
        <v>82.36</v>
      </c>
      <c r="I1837" s="2">
        <v>46.73</v>
      </c>
      <c r="J1837" s="2">
        <v>504.1</v>
      </c>
      <c r="K1837" s="2">
        <v>306.48</v>
      </c>
      <c r="L1837" s="3">
        <v>86.64</v>
      </c>
      <c r="M1837" s="2">
        <v>2.4500000000000002</v>
      </c>
    </row>
    <row r="1838" spans="1:13">
      <c r="A1838" s="9">
        <v>43287</v>
      </c>
      <c r="B1838" s="1">
        <f t="shared" si="56"/>
        <v>43282</v>
      </c>
      <c r="C1838" s="5" t="str">
        <f t="shared" si="57"/>
        <v>2018-07</v>
      </c>
      <c r="D1838" s="3">
        <v>275.42</v>
      </c>
      <c r="E1838" s="3">
        <v>168.25</v>
      </c>
      <c r="F1838" s="3">
        <v>122.75</v>
      </c>
      <c r="G1838" s="3">
        <v>118.86</v>
      </c>
      <c r="H1838" s="3">
        <v>83.02</v>
      </c>
      <c r="I1838" s="2">
        <v>46</v>
      </c>
      <c r="J1838" s="2">
        <v>491.69</v>
      </c>
      <c r="K1838" s="2">
        <v>299.19</v>
      </c>
      <c r="L1838" s="3">
        <v>86.01</v>
      </c>
      <c r="M1838" s="2">
        <v>2.42</v>
      </c>
    </row>
    <row r="1839" spans="1:13">
      <c r="A1839" s="9">
        <v>43286</v>
      </c>
      <c r="B1839" s="1">
        <f t="shared" si="56"/>
        <v>43282</v>
      </c>
      <c r="C1839" s="5" t="str">
        <f t="shared" si="57"/>
        <v>2018-07</v>
      </c>
      <c r="D1839" s="3">
        <v>273.11</v>
      </c>
      <c r="E1839" s="3">
        <v>166.84</v>
      </c>
      <c r="F1839" s="3">
        <v>122.35</v>
      </c>
      <c r="G1839" s="3">
        <v>119.05</v>
      </c>
      <c r="H1839" s="3">
        <v>82.58</v>
      </c>
      <c r="I1839" s="2">
        <v>45.41</v>
      </c>
      <c r="J1839" s="2">
        <v>491.98</v>
      </c>
      <c r="K1839" s="2">
        <v>299.19</v>
      </c>
      <c r="L1839" s="3">
        <v>84.79</v>
      </c>
      <c r="M1839" s="2">
        <v>2.4300000000000002</v>
      </c>
    </row>
    <row r="1840" spans="1:13">
      <c r="A1840" s="9">
        <v>43284</v>
      </c>
      <c r="B1840" s="1">
        <f t="shared" si="56"/>
        <v>43282</v>
      </c>
      <c r="C1840" s="5" t="str">
        <f t="shared" si="57"/>
        <v>2018-07</v>
      </c>
      <c r="D1840" s="3">
        <v>270.89999999999998</v>
      </c>
      <c r="E1840" s="3">
        <v>164.96</v>
      </c>
      <c r="F1840" s="3">
        <v>122</v>
      </c>
      <c r="G1840" s="3">
        <v>118.65</v>
      </c>
      <c r="H1840" s="3">
        <v>81.61</v>
      </c>
      <c r="I1840" s="2">
        <v>44.72</v>
      </c>
      <c r="J1840" s="2">
        <v>491.29</v>
      </c>
      <c r="K1840" s="2">
        <v>299.45999999999998</v>
      </c>
      <c r="L1840" s="3">
        <v>83.92</v>
      </c>
      <c r="M1840" s="2">
        <v>2.41</v>
      </c>
    </row>
    <row r="1841" spans="1:13">
      <c r="A1841" s="9">
        <v>43283</v>
      </c>
      <c r="B1841" s="1">
        <f t="shared" si="56"/>
        <v>43282</v>
      </c>
      <c r="C1841" s="5" t="str">
        <f t="shared" si="57"/>
        <v>2018-07</v>
      </c>
      <c r="D1841" s="3">
        <v>271.86</v>
      </c>
      <c r="E1841" s="3">
        <v>164.9</v>
      </c>
      <c r="F1841" s="3">
        <v>121.35</v>
      </c>
      <c r="G1841" s="3">
        <v>117.46</v>
      </c>
      <c r="H1841" s="3">
        <v>81</v>
      </c>
      <c r="I1841" s="2">
        <v>44.95</v>
      </c>
      <c r="J1841" s="2">
        <v>499.52</v>
      </c>
      <c r="K1841" s="2">
        <v>299.12</v>
      </c>
      <c r="L1841" s="3">
        <v>83.72</v>
      </c>
      <c r="M1841" s="2">
        <v>2.46</v>
      </c>
    </row>
    <row r="1842" spans="1:13">
      <c r="A1842" s="9">
        <v>43280</v>
      </c>
      <c r="B1842" s="1">
        <f t="shared" si="56"/>
        <v>43252</v>
      </c>
      <c r="C1842" s="5" t="str">
        <f t="shared" si="57"/>
        <v>2018-06</v>
      </c>
      <c r="D1842" s="3">
        <v>271.27999999999997</v>
      </c>
      <c r="E1842" s="3">
        <v>163.77000000000001</v>
      </c>
      <c r="F1842" s="3">
        <v>121.72</v>
      </c>
      <c r="G1842" s="3">
        <v>118.65</v>
      </c>
      <c r="H1842" s="3">
        <v>81.45</v>
      </c>
      <c r="I1842" s="2">
        <v>44.06</v>
      </c>
      <c r="J1842" s="2">
        <v>499.04</v>
      </c>
      <c r="K1842" s="2">
        <v>295.43</v>
      </c>
      <c r="L1842" s="3">
        <v>83.46</v>
      </c>
      <c r="M1842" s="2">
        <v>2.37</v>
      </c>
    </row>
    <row r="1843" spans="1:13">
      <c r="A1843" s="9">
        <v>43279</v>
      </c>
      <c r="B1843" s="1">
        <f t="shared" si="56"/>
        <v>43252</v>
      </c>
      <c r="C1843" s="5" t="str">
        <f t="shared" si="57"/>
        <v>2018-06</v>
      </c>
      <c r="D1843" s="3">
        <v>270.89</v>
      </c>
      <c r="E1843" s="3">
        <v>163.88</v>
      </c>
      <c r="F1843" s="3">
        <v>122.14</v>
      </c>
      <c r="G1843" s="3">
        <v>118.22</v>
      </c>
      <c r="H1843" s="3">
        <v>81.25</v>
      </c>
      <c r="I1843" s="2">
        <v>43.84</v>
      </c>
      <c r="J1843" s="2">
        <v>501.77</v>
      </c>
      <c r="K1843" s="2">
        <v>295.24</v>
      </c>
      <c r="L1843" s="3">
        <v>83.29</v>
      </c>
      <c r="M1843" s="2">
        <v>2.38</v>
      </c>
    </row>
    <row r="1844" spans="1:13">
      <c r="A1844" s="9">
        <v>43278</v>
      </c>
      <c r="B1844" s="1">
        <f t="shared" si="56"/>
        <v>43252</v>
      </c>
      <c r="C1844" s="5" t="str">
        <f t="shared" si="57"/>
        <v>2018-06</v>
      </c>
      <c r="D1844" s="3">
        <v>269.35000000000002</v>
      </c>
      <c r="E1844" s="3">
        <v>163.38</v>
      </c>
      <c r="F1844" s="3">
        <v>122.11</v>
      </c>
      <c r="G1844" s="3">
        <v>118.58</v>
      </c>
      <c r="H1844" s="3">
        <v>80.53</v>
      </c>
      <c r="I1844" s="2">
        <v>43.45</v>
      </c>
      <c r="J1844" s="2">
        <v>503.53</v>
      </c>
      <c r="K1844" s="2">
        <v>294.77999999999997</v>
      </c>
      <c r="L1844" s="3">
        <v>83.18</v>
      </c>
      <c r="M1844" s="2">
        <v>2.38</v>
      </c>
    </row>
    <row r="1845" spans="1:13">
      <c r="A1845" s="9">
        <v>43277</v>
      </c>
      <c r="B1845" s="1">
        <f t="shared" si="56"/>
        <v>43252</v>
      </c>
      <c r="C1845" s="5" t="str">
        <f t="shared" si="57"/>
        <v>2018-06</v>
      </c>
      <c r="D1845" s="3">
        <v>271.60000000000002</v>
      </c>
      <c r="E1845" s="3">
        <v>166.04</v>
      </c>
      <c r="F1845" s="3">
        <v>120.97</v>
      </c>
      <c r="G1845" s="3">
        <v>119.26</v>
      </c>
      <c r="H1845" s="3">
        <v>80.84</v>
      </c>
      <c r="I1845" s="2">
        <v>44.41</v>
      </c>
      <c r="J1845" s="2">
        <v>510.85</v>
      </c>
      <c r="K1845" s="2">
        <v>299.08</v>
      </c>
      <c r="L1845" s="3">
        <v>83.89</v>
      </c>
      <c r="M1845" s="2">
        <v>2.4300000000000002</v>
      </c>
    </row>
    <row r="1846" spans="1:13">
      <c r="A1846" s="9">
        <v>43276</v>
      </c>
      <c r="B1846" s="1">
        <f t="shared" si="56"/>
        <v>43252</v>
      </c>
      <c r="C1846" s="5" t="str">
        <f t="shared" si="57"/>
        <v>2018-06</v>
      </c>
      <c r="D1846" s="3">
        <v>271</v>
      </c>
      <c r="E1846" s="3">
        <v>165.08</v>
      </c>
      <c r="F1846" s="3">
        <v>120.8</v>
      </c>
      <c r="G1846" s="3">
        <v>119.89</v>
      </c>
      <c r="H1846" s="3">
        <v>80.58</v>
      </c>
      <c r="I1846" s="2">
        <v>44.28</v>
      </c>
      <c r="J1846" s="2">
        <v>515.14</v>
      </c>
      <c r="K1846" s="2">
        <v>298.77</v>
      </c>
      <c r="L1846" s="3">
        <v>84.15</v>
      </c>
      <c r="M1846" s="2">
        <v>2.41</v>
      </c>
    </row>
    <row r="1847" spans="1:13">
      <c r="A1847" s="9">
        <v>43273</v>
      </c>
      <c r="B1847" s="1">
        <f t="shared" si="56"/>
        <v>43252</v>
      </c>
      <c r="C1847" s="5" t="str">
        <f t="shared" si="57"/>
        <v>2018-06</v>
      </c>
      <c r="D1847" s="3">
        <v>274.74</v>
      </c>
      <c r="E1847" s="3">
        <v>167.82</v>
      </c>
      <c r="F1847" s="3">
        <v>120.53</v>
      </c>
      <c r="G1847" s="3">
        <v>120.34</v>
      </c>
      <c r="H1847" s="3">
        <v>80.790000000000006</v>
      </c>
      <c r="I1847" s="2">
        <v>44.1</v>
      </c>
      <c r="J1847" s="2">
        <v>522.74</v>
      </c>
      <c r="K1847" s="2">
        <v>299.38</v>
      </c>
      <c r="L1847" s="3">
        <v>84.93</v>
      </c>
      <c r="M1847" s="2">
        <v>2.4900000000000002</v>
      </c>
    </row>
    <row r="1848" spans="1:13">
      <c r="A1848" s="9">
        <v>43272</v>
      </c>
      <c r="B1848" s="1">
        <f t="shared" si="56"/>
        <v>43252</v>
      </c>
      <c r="C1848" s="5" t="str">
        <f t="shared" si="57"/>
        <v>2018-06</v>
      </c>
      <c r="D1848" s="3">
        <v>274.24</v>
      </c>
      <c r="E1848" s="3">
        <v>168.38</v>
      </c>
      <c r="F1848" s="3">
        <v>120.54</v>
      </c>
      <c r="G1848" s="3">
        <v>120.05</v>
      </c>
      <c r="H1848" s="3">
        <v>80.16</v>
      </c>
      <c r="I1848" s="2">
        <v>43.1</v>
      </c>
      <c r="J1848" s="2">
        <v>524.98</v>
      </c>
      <c r="K1848" s="2">
        <v>300.38</v>
      </c>
      <c r="L1848" s="3">
        <v>84.55</v>
      </c>
      <c r="M1848" s="2">
        <v>2.5099999999999998</v>
      </c>
    </row>
    <row r="1849" spans="1:13">
      <c r="A1849" s="9">
        <v>43271</v>
      </c>
      <c r="B1849" s="1">
        <f t="shared" si="56"/>
        <v>43252</v>
      </c>
      <c r="C1849" s="5" t="str">
        <f t="shared" si="57"/>
        <v>2018-06</v>
      </c>
      <c r="D1849" s="3">
        <v>275.97000000000003</v>
      </c>
      <c r="E1849" s="3">
        <v>169.97</v>
      </c>
      <c r="F1849" s="3">
        <v>119.91</v>
      </c>
      <c r="G1849" s="3">
        <v>120.26</v>
      </c>
      <c r="H1849" s="3">
        <v>79.78</v>
      </c>
      <c r="I1849" s="2">
        <v>42.82</v>
      </c>
      <c r="J1849" s="2">
        <v>526.58000000000004</v>
      </c>
      <c r="K1849" s="2">
        <v>302.86</v>
      </c>
      <c r="L1849" s="3">
        <v>85.04</v>
      </c>
      <c r="M1849" s="2">
        <v>2.5299999999999998</v>
      </c>
    </row>
    <row r="1850" spans="1:13">
      <c r="A1850" s="9">
        <v>43270</v>
      </c>
      <c r="B1850" s="1">
        <f t="shared" si="56"/>
        <v>43252</v>
      </c>
      <c r="C1850" s="5" t="str">
        <f t="shared" si="57"/>
        <v>2018-06</v>
      </c>
      <c r="D1850" s="3">
        <v>275.5</v>
      </c>
      <c r="E1850" s="3">
        <v>168.61</v>
      </c>
      <c r="F1850" s="3">
        <v>120.97</v>
      </c>
      <c r="G1850" s="3">
        <v>120.8</v>
      </c>
      <c r="H1850" s="3">
        <v>78.900000000000006</v>
      </c>
      <c r="I1850" s="2">
        <v>46.27</v>
      </c>
      <c r="J1850" s="2">
        <v>526.61</v>
      </c>
      <c r="K1850" s="2">
        <v>302.52</v>
      </c>
      <c r="L1850" s="3">
        <v>84.86</v>
      </c>
      <c r="M1850" s="2">
        <v>2.5299999999999998</v>
      </c>
    </row>
    <row r="1851" spans="1:13">
      <c r="A1851" s="9">
        <v>43269</v>
      </c>
      <c r="B1851" s="1">
        <f t="shared" si="56"/>
        <v>43252</v>
      </c>
      <c r="C1851" s="5" t="str">
        <f t="shared" si="57"/>
        <v>2018-06</v>
      </c>
      <c r="D1851" s="3">
        <v>276.56</v>
      </c>
      <c r="E1851" s="3">
        <v>168.6</v>
      </c>
      <c r="F1851" s="3">
        <v>120.27</v>
      </c>
      <c r="G1851" s="3">
        <v>121.11</v>
      </c>
      <c r="H1851" s="3">
        <v>78.98</v>
      </c>
      <c r="I1851" s="2">
        <v>46.52</v>
      </c>
      <c r="J1851" s="2">
        <v>527.54</v>
      </c>
      <c r="K1851" s="2">
        <v>309.52</v>
      </c>
      <c r="L1851" s="3">
        <v>84.64</v>
      </c>
      <c r="M1851" s="2">
        <v>2.5499999999999998</v>
      </c>
    </row>
    <row r="1852" spans="1:13">
      <c r="A1852" s="9">
        <v>43266</v>
      </c>
      <c r="B1852" s="1">
        <f t="shared" si="56"/>
        <v>43252</v>
      </c>
      <c r="C1852" s="5" t="str">
        <f t="shared" si="57"/>
        <v>2018-06</v>
      </c>
      <c r="D1852" s="3">
        <v>277.13</v>
      </c>
      <c r="E1852" s="3">
        <v>167.81</v>
      </c>
      <c r="F1852" s="3">
        <v>120.38</v>
      </c>
      <c r="G1852" s="3">
        <v>121.34</v>
      </c>
      <c r="H1852" s="3">
        <v>79.69</v>
      </c>
      <c r="I1852" s="2">
        <v>46.28</v>
      </c>
      <c r="J1852" s="2">
        <v>524.52</v>
      </c>
      <c r="K1852" s="2">
        <v>310.14</v>
      </c>
      <c r="L1852" s="3">
        <v>85.46</v>
      </c>
      <c r="M1852" s="2">
        <v>2.58</v>
      </c>
    </row>
    <row r="1853" spans="1:13">
      <c r="A1853" s="9">
        <v>43265</v>
      </c>
      <c r="B1853" s="1">
        <f t="shared" si="56"/>
        <v>43252</v>
      </c>
      <c r="C1853" s="5" t="str">
        <f t="shared" si="57"/>
        <v>2018-06</v>
      </c>
      <c r="D1853" s="3">
        <v>278.73</v>
      </c>
      <c r="E1853" s="3">
        <v>167.76</v>
      </c>
      <c r="F1853" s="3">
        <v>120.27</v>
      </c>
      <c r="G1853" s="3">
        <v>123.38</v>
      </c>
      <c r="H1853" s="3">
        <v>79.739999999999995</v>
      </c>
      <c r="I1853" s="2">
        <v>45.9</v>
      </c>
      <c r="J1853" s="2">
        <v>523.36</v>
      </c>
      <c r="K1853" s="2">
        <v>310.58999999999997</v>
      </c>
      <c r="L1853" s="3">
        <v>85.61</v>
      </c>
      <c r="M1853" s="2">
        <v>2.62</v>
      </c>
    </row>
    <row r="1854" spans="1:13">
      <c r="A1854" s="9">
        <v>43264</v>
      </c>
      <c r="B1854" s="1">
        <f t="shared" si="56"/>
        <v>43252</v>
      </c>
      <c r="C1854" s="5" t="str">
        <f t="shared" si="57"/>
        <v>2018-06</v>
      </c>
      <c r="D1854" s="3">
        <v>278.02999999999997</v>
      </c>
      <c r="E1854" s="3">
        <v>166.87</v>
      </c>
      <c r="F1854" s="3">
        <v>119.28</v>
      </c>
      <c r="G1854" s="3">
        <v>123.19</v>
      </c>
      <c r="H1854" s="3">
        <v>78.989999999999995</v>
      </c>
      <c r="I1854" s="2">
        <v>48.27</v>
      </c>
      <c r="J1854" s="2">
        <v>532.16999999999996</v>
      </c>
      <c r="K1854" s="2">
        <v>314.35000000000002</v>
      </c>
      <c r="L1854" s="3">
        <v>85.17</v>
      </c>
      <c r="M1854" s="2">
        <v>2.68</v>
      </c>
    </row>
    <row r="1855" spans="1:13">
      <c r="A1855" s="9">
        <v>43263</v>
      </c>
      <c r="B1855" s="1">
        <f t="shared" si="56"/>
        <v>43252</v>
      </c>
      <c r="C1855" s="5" t="str">
        <f t="shared" si="57"/>
        <v>2018-06</v>
      </c>
      <c r="D1855" s="3">
        <v>278.92</v>
      </c>
      <c r="E1855" s="3">
        <v>167.53</v>
      </c>
      <c r="F1855" s="3">
        <v>119.34</v>
      </c>
      <c r="G1855" s="3">
        <v>122.82</v>
      </c>
      <c r="H1855" s="3">
        <v>80.56</v>
      </c>
      <c r="I1855" s="2">
        <v>48.45</v>
      </c>
      <c r="J1855" s="2">
        <v>547.11</v>
      </c>
      <c r="K1855" s="2">
        <v>315.16000000000003</v>
      </c>
      <c r="L1855" s="3">
        <v>85.15</v>
      </c>
      <c r="M1855" s="2">
        <v>2.7</v>
      </c>
    </row>
    <row r="1856" spans="1:13">
      <c r="A1856" s="9">
        <v>43262</v>
      </c>
      <c r="B1856" s="1">
        <f t="shared" si="56"/>
        <v>43252</v>
      </c>
      <c r="C1856" s="5" t="str">
        <f t="shared" si="57"/>
        <v>2018-06</v>
      </c>
      <c r="D1856" s="3">
        <v>278.56</v>
      </c>
      <c r="E1856" s="3">
        <v>166.77</v>
      </c>
      <c r="F1856" s="3">
        <v>119.31</v>
      </c>
      <c r="G1856" s="3">
        <v>123.23</v>
      </c>
      <c r="H1856" s="3">
        <v>80.08</v>
      </c>
      <c r="I1856" s="2">
        <v>48.19</v>
      </c>
      <c r="J1856" s="2">
        <v>549.05999999999995</v>
      </c>
      <c r="K1856" s="2">
        <v>319.3</v>
      </c>
      <c r="L1856" s="3">
        <v>85.2</v>
      </c>
      <c r="M1856" s="2">
        <v>2.66</v>
      </c>
    </row>
    <row r="1857" spans="1:13">
      <c r="A1857" s="9">
        <v>43259</v>
      </c>
      <c r="B1857" s="1">
        <f t="shared" si="56"/>
        <v>43252</v>
      </c>
      <c r="C1857" s="5" t="str">
        <f t="shared" si="57"/>
        <v>2018-06</v>
      </c>
      <c r="D1857" s="3">
        <v>278.19</v>
      </c>
      <c r="E1857" s="3">
        <v>166.52</v>
      </c>
      <c r="F1857" s="3">
        <v>119.53</v>
      </c>
      <c r="G1857" s="3">
        <v>123.01</v>
      </c>
      <c r="H1857" s="3">
        <v>80.2</v>
      </c>
      <c r="I1857" s="2">
        <v>48.18</v>
      </c>
      <c r="J1857" s="2">
        <v>549.41</v>
      </c>
      <c r="K1857" s="2">
        <v>322.31</v>
      </c>
      <c r="L1857" s="3">
        <v>85.04</v>
      </c>
      <c r="M1857" s="2">
        <v>2.62</v>
      </c>
    </row>
    <row r="1858" spans="1:13">
      <c r="A1858" s="9">
        <v>43258</v>
      </c>
      <c r="B1858" s="1">
        <f t="shared" ref="B1858:B1921" si="58">EOMONTH(A1858,-1)+1</f>
        <v>43252</v>
      </c>
      <c r="C1858" s="5" t="str">
        <f t="shared" si="57"/>
        <v>2018-06</v>
      </c>
      <c r="D1858" s="3">
        <v>277.37</v>
      </c>
      <c r="E1858" s="3">
        <v>166.02</v>
      </c>
      <c r="F1858" s="3">
        <v>119.89</v>
      </c>
      <c r="G1858" s="3">
        <v>122.86</v>
      </c>
      <c r="H1858" s="3">
        <v>79.91</v>
      </c>
      <c r="I1858" s="2">
        <v>47.68</v>
      </c>
      <c r="J1858" s="2">
        <v>549.14</v>
      </c>
      <c r="K1858" s="2">
        <v>321.95</v>
      </c>
      <c r="L1858" s="3">
        <v>84.55</v>
      </c>
      <c r="M1858" s="2">
        <v>2.56</v>
      </c>
    </row>
    <row r="1859" spans="1:13">
      <c r="A1859" s="9">
        <v>43257</v>
      </c>
      <c r="B1859" s="1">
        <f t="shared" si="58"/>
        <v>43252</v>
      </c>
      <c r="C1859" s="5" t="str">
        <f t="shared" ref="C1859:C1922" si="59">TEXT(A1859, "yyyy-mm")</f>
        <v>2018-06</v>
      </c>
      <c r="D1859" s="3">
        <v>277.39999999999998</v>
      </c>
      <c r="E1859" s="3">
        <v>166.93</v>
      </c>
      <c r="F1859" s="3">
        <v>118.74</v>
      </c>
      <c r="G1859" s="3">
        <v>122.92</v>
      </c>
      <c r="H1859" s="3">
        <v>79.91</v>
      </c>
      <c r="I1859" s="2">
        <v>47.75</v>
      </c>
      <c r="J1859" s="2">
        <v>551.86</v>
      </c>
      <c r="K1859" s="2">
        <v>319.91000000000003</v>
      </c>
      <c r="L1859" s="3">
        <v>84.44</v>
      </c>
      <c r="M1859" s="2">
        <v>2.58</v>
      </c>
    </row>
    <row r="1860" spans="1:13">
      <c r="A1860" s="9">
        <v>43256</v>
      </c>
      <c r="B1860" s="1">
        <f t="shared" si="58"/>
        <v>43252</v>
      </c>
      <c r="C1860" s="5" t="str">
        <f t="shared" si="59"/>
        <v>2018-06</v>
      </c>
      <c r="D1860" s="3">
        <v>275.10000000000002</v>
      </c>
      <c r="E1860" s="3">
        <v>165.73</v>
      </c>
      <c r="F1860" s="3">
        <v>119.71</v>
      </c>
      <c r="G1860" s="3">
        <v>122.85</v>
      </c>
      <c r="H1860" s="3">
        <v>79.72</v>
      </c>
      <c r="I1860" s="2">
        <v>47.13</v>
      </c>
      <c r="J1860" s="2">
        <v>534.38</v>
      </c>
      <c r="K1860" s="2">
        <v>320.02</v>
      </c>
      <c r="L1860" s="3">
        <v>83.5</v>
      </c>
      <c r="M1860" s="2">
        <v>2.52</v>
      </c>
    </row>
    <row r="1861" spans="1:13">
      <c r="A1861" s="9">
        <v>43255</v>
      </c>
      <c r="B1861" s="1">
        <f t="shared" si="58"/>
        <v>43252</v>
      </c>
      <c r="C1861" s="5" t="str">
        <f t="shared" si="59"/>
        <v>2018-06</v>
      </c>
      <c r="D1861" s="3">
        <v>274.89999999999998</v>
      </c>
      <c r="E1861" s="3">
        <v>164.71</v>
      </c>
      <c r="F1861" s="3">
        <v>119.43</v>
      </c>
      <c r="G1861" s="3">
        <v>122.37</v>
      </c>
      <c r="H1861" s="3">
        <v>79.930000000000007</v>
      </c>
      <c r="I1861" s="2">
        <v>47.32</v>
      </c>
      <c r="J1861" s="2">
        <v>540.66999999999996</v>
      </c>
      <c r="K1861" s="2">
        <v>318.17</v>
      </c>
      <c r="L1861" s="3">
        <v>83.67</v>
      </c>
      <c r="M1861" s="2">
        <v>2.46</v>
      </c>
    </row>
    <row r="1862" spans="1:13">
      <c r="A1862" s="9">
        <v>43252</v>
      </c>
      <c r="B1862" s="1">
        <f t="shared" si="58"/>
        <v>43252</v>
      </c>
      <c r="C1862" s="5" t="str">
        <f t="shared" si="59"/>
        <v>2018-06</v>
      </c>
      <c r="D1862" s="3">
        <v>273.60000000000002</v>
      </c>
      <c r="E1862" s="3">
        <v>163.84</v>
      </c>
      <c r="F1862" s="3">
        <v>120.3</v>
      </c>
      <c r="G1862" s="3">
        <v>122.49</v>
      </c>
      <c r="H1862" s="3">
        <v>79.239999999999995</v>
      </c>
      <c r="I1862" s="2">
        <v>47.35</v>
      </c>
      <c r="J1862" s="2">
        <v>539.05999999999995</v>
      </c>
      <c r="K1862" s="2">
        <v>316.63</v>
      </c>
      <c r="L1862" s="3">
        <v>83.36</v>
      </c>
      <c r="M1862" s="2">
        <v>2.44</v>
      </c>
    </row>
    <row r="1863" spans="1:13">
      <c r="A1863" s="9">
        <v>43251</v>
      </c>
      <c r="B1863" s="1">
        <f t="shared" si="58"/>
        <v>43221</v>
      </c>
      <c r="C1863" s="5" t="str">
        <f t="shared" si="59"/>
        <v>2018-05</v>
      </c>
      <c r="D1863" s="3">
        <v>270.94</v>
      </c>
      <c r="E1863" s="3">
        <v>162.77000000000001</v>
      </c>
      <c r="F1863" s="3">
        <v>121.22</v>
      </c>
      <c r="G1863" s="3">
        <v>123.1</v>
      </c>
      <c r="H1863" s="3">
        <v>78.89</v>
      </c>
      <c r="I1863" s="2">
        <v>46.72</v>
      </c>
      <c r="J1863" s="2">
        <v>534.23</v>
      </c>
      <c r="K1863" s="2">
        <v>314.54000000000002</v>
      </c>
      <c r="L1863" s="3">
        <v>82.41</v>
      </c>
      <c r="M1863" s="2">
        <v>2.41</v>
      </c>
    </row>
    <row r="1864" spans="1:13">
      <c r="A1864" s="9">
        <v>43250</v>
      </c>
      <c r="B1864" s="1">
        <f t="shared" si="58"/>
        <v>43221</v>
      </c>
      <c r="C1864" s="5" t="str">
        <f t="shared" si="59"/>
        <v>2018-05</v>
      </c>
      <c r="D1864" s="3">
        <v>272.61</v>
      </c>
      <c r="E1864" s="3">
        <v>164.08</v>
      </c>
      <c r="F1864" s="3">
        <v>121.42</v>
      </c>
      <c r="G1864" s="3">
        <v>123.37</v>
      </c>
      <c r="H1864" s="3">
        <v>79.16</v>
      </c>
      <c r="I1864" s="2">
        <v>47.05</v>
      </c>
      <c r="J1864" s="2">
        <v>534.29</v>
      </c>
      <c r="K1864" s="2">
        <v>321.04000000000002</v>
      </c>
      <c r="L1864" s="3">
        <v>83.32</v>
      </c>
      <c r="M1864" s="2">
        <v>2.44</v>
      </c>
    </row>
    <row r="1865" spans="1:13">
      <c r="A1865" s="9">
        <v>43249</v>
      </c>
      <c r="B1865" s="1">
        <f t="shared" si="58"/>
        <v>43221</v>
      </c>
      <c r="C1865" s="5" t="str">
        <f t="shared" si="59"/>
        <v>2018-05</v>
      </c>
      <c r="D1865" s="3">
        <v>269.02</v>
      </c>
      <c r="E1865" s="3">
        <v>161.52000000000001</v>
      </c>
      <c r="F1865" s="3">
        <v>122.24</v>
      </c>
      <c r="G1865" s="3">
        <v>123.19</v>
      </c>
      <c r="H1865" s="3">
        <v>78.099999999999994</v>
      </c>
      <c r="I1865" s="2">
        <v>46.26</v>
      </c>
      <c r="J1865" s="2">
        <v>524.26</v>
      </c>
      <c r="K1865" s="2">
        <v>317.2</v>
      </c>
      <c r="L1865" s="3">
        <v>82.09</v>
      </c>
      <c r="M1865" s="2">
        <v>2.4</v>
      </c>
    </row>
    <row r="1866" spans="1:13">
      <c r="A1866" s="9">
        <v>43245</v>
      </c>
      <c r="B1866" s="1">
        <f t="shared" si="58"/>
        <v>43221</v>
      </c>
      <c r="C1866" s="5" t="str">
        <f t="shared" si="59"/>
        <v>2018-05</v>
      </c>
      <c r="D1866" s="3">
        <v>272.14999999999998</v>
      </c>
      <c r="E1866" s="3">
        <v>161.74</v>
      </c>
      <c r="F1866" s="3">
        <v>119.62</v>
      </c>
      <c r="G1866" s="3">
        <v>123.21</v>
      </c>
      <c r="H1866" s="3">
        <v>77.73</v>
      </c>
      <c r="I1866" s="2">
        <v>47</v>
      </c>
      <c r="J1866" s="2">
        <v>539.61</v>
      </c>
      <c r="K1866" s="2">
        <v>320.8</v>
      </c>
      <c r="L1866" s="3">
        <v>82.94</v>
      </c>
      <c r="M1866" s="2">
        <v>2.37</v>
      </c>
    </row>
    <row r="1867" spans="1:13">
      <c r="A1867" s="9">
        <v>43244</v>
      </c>
      <c r="B1867" s="1">
        <f t="shared" si="58"/>
        <v>43221</v>
      </c>
      <c r="C1867" s="5" t="str">
        <f t="shared" si="59"/>
        <v>2018-05</v>
      </c>
      <c r="D1867" s="3">
        <v>272.8</v>
      </c>
      <c r="E1867" s="3">
        <v>162.03</v>
      </c>
      <c r="F1867" s="3">
        <v>118.88</v>
      </c>
      <c r="G1867" s="3">
        <v>123.59</v>
      </c>
      <c r="H1867" s="3">
        <v>77.459999999999994</v>
      </c>
      <c r="I1867" s="2">
        <v>46.46</v>
      </c>
      <c r="J1867" s="2">
        <v>540.83000000000004</v>
      </c>
      <c r="K1867" s="2">
        <v>326.35000000000002</v>
      </c>
      <c r="L1867" s="3">
        <v>83.06</v>
      </c>
      <c r="M1867" s="2">
        <v>2.37</v>
      </c>
    </row>
    <row r="1868" spans="1:13">
      <c r="A1868" s="9">
        <v>43243</v>
      </c>
      <c r="B1868" s="1">
        <f t="shared" si="58"/>
        <v>43221</v>
      </c>
      <c r="C1868" s="5" t="str">
        <f t="shared" si="59"/>
        <v>2018-05</v>
      </c>
      <c r="D1868" s="3">
        <v>273.36</v>
      </c>
      <c r="E1868" s="3">
        <v>161.97</v>
      </c>
      <c r="F1868" s="3">
        <v>117.94</v>
      </c>
      <c r="G1868" s="3">
        <v>122.54</v>
      </c>
      <c r="H1868" s="3">
        <v>77.62</v>
      </c>
      <c r="I1868" s="2">
        <v>46.9</v>
      </c>
      <c r="J1868" s="2">
        <v>542.66</v>
      </c>
      <c r="K1868" s="2">
        <v>325.32</v>
      </c>
      <c r="L1868" s="3">
        <v>83.39</v>
      </c>
      <c r="M1868" s="2">
        <v>2.37</v>
      </c>
    </row>
    <row r="1869" spans="1:13">
      <c r="A1869" s="9">
        <v>43242</v>
      </c>
      <c r="B1869" s="1">
        <f t="shared" si="58"/>
        <v>43221</v>
      </c>
      <c r="C1869" s="5" t="str">
        <f t="shared" si="59"/>
        <v>2018-05</v>
      </c>
      <c r="D1869" s="3">
        <v>272.61</v>
      </c>
      <c r="E1869" s="3">
        <v>161.76</v>
      </c>
      <c r="F1869" s="3">
        <v>117.09</v>
      </c>
      <c r="G1869" s="3">
        <v>122.41</v>
      </c>
      <c r="H1869" s="3">
        <v>76.849999999999994</v>
      </c>
      <c r="I1869" s="2">
        <v>46.37</v>
      </c>
      <c r="J1869" s="2">
        <v>546.88</v>
      </c>
      <c r="K1869" s="2">
        <v>317.13</v>
      </c>
      <c r="L1869" s="3">
        <v>83.12</v>
      </c>
      <c r="M1869" s="2">
        <v>2.37</v>
      </c>
    </row>
    <row r="1870" spans="1:13">
      <c r="A1870" s="9">
        <v>43241</v>
      </c>
      <c r="B1870" s="1">
        <f t="shared" si="58"/>
        <v>43221</v>
      </c>
      <c r="C1870" s="5" t="str">
        <f t="shared" si="59"/>
        <v>2018-05</v>
      </c>
      <c r="D1870" s="3">
        <v>273.37</v>
      </c>
      <c r="E1870" s="3">
        <v>162.94</v>
      </c>
      <c r="F1870" s="3">
        <v>117.27</v>
      </c>
      <c r="G1870" s="3">
        <v>122.48</v>
      </c>
      <c r="H1870" s="3">
        <v>76.739999999999995</v>
      </c>
      <c r="I1870" s="2">
        <v>47.21</v>
      </c>
      <c r="J1870" s="2">
        <v>543.48</v>
      </c>
      <c r="K1870" s="2">
        <v>324.27999999999997</v>
      </c>
      <c r="L1870" s="3">
        <v>83.28</v>
      </c>
      <c r="M1870" s="2">
        <v>2.39</v>
      </c>
    </row>
    <row r="1871" spans="1:13">
      <c r="A1871" s="9">
        <v>43238</v>
      </c>
      <c r="B1871" s="1">
        <f t="shared" si="58"/>
        <v>43221</v>
      </c>
      <c r="C1871" s="5" t="str">
        <f t="shared" si="59"/>
        <v>2018-05</v>
      </c>
      <c r="D1871" s="3">
        <v>271.33</v>
      </c>
      <c r="E1871" s="3">
        <v>161.87</v>
      </c>
      <c r="F1871" s="3">
        <v>117.21</v>
      </c>
      <c r="G1871" s="3">
        <v>122.41</v>
      </c>
      <c r="H1871" s="3">
        <v>75.84</v>
      </c>
      <c r="I1871" s="2">
        <v>46.32</v>
      </c>
      <c r="J1871" s="2">
        <v>538.49</v>
      </c>
      <c r="K1871" s="2">
        <v>320.45</v>
      </c>
      <c r="L1871" s="3">
        <v>83.2</v>
      </c>
      <c r="M1871" s="2">
        <v>2.37</v>
      </c>
    </row>
    <row r="1872" spans="1:13">
      <c r="A1872" s="9">
        <v>43237</v>
      </c>
      <c r="B1872" s="1">
        <f t="shared" si="58"/>
        <v>43221</v>
      </c>
      <c r="C1872" s="5" t="str">
        <f t="shared" si="59"/>
        <v>2018-05</v>
      </c>
      <c r="D1872" s="3">
        <v>272.01</v>
      </c>
      <c r="E1872" s="3">
        <v>161.66</v>
      </c>
      <c r="F1872" s="3">
        <v>116.21</v>
      </c>
      <c r="G1872" s="3">
        <v>122.36</v>
      </c>
      <c r="H1872" s="3">
        <v>75.739999999999995</v>
      </c>
      <c r="I1872" s="2">
        <v>46.54</v>
      </c>
      <c r="J1872" s="2">
        <v>535.58000000000004</v>
      </c>
      <c r="K1872" s="2">
        <v>320.42</v>
      </c>
      <c r="L1872" s="3">
        <v>82.99</v>
      </c>
      <c r="M1872" s="2">
        <v>2.4</v>
      </c>
    </row>
    <row r="1873" spans="1:13">
      <c r="A1873" s="9">
        <v>43236</v>
      </c>
      <c r="B1873" s="1">
        <f t="shared" si="58"/>
        <v>43221</v>
      </c>
      <c r="C1873" s="5" t="str">
        <f t="shared" si="59"/>
        <v>2018-05</v>
      </c>
      <c r="D1873" s="3">
        <v>272.24</v>
      </c>
      <c r="E1873" s="3">
        <v>160.91999999999999</v>
      </c>
      <c r="F1873" s="3">
        <v>116.8</v>
      </c>
      <c r="G1873" s="3">
        <v>122.29</v>
      </c>
      <c r="H1873" s="3">
        <v>76.12</v>
      </c>
      <c r="I1873" s="2">
        <v>46.73</v>
      </c>
      <c r="J1873" s="2">
        <v>533.9</v>
      </c>
      <c r="K1873" s="2">
        <v>319.33</v>
      </c>
      <c r="L1873" s="3">
        <v>82.96</v>
      </c>
      <c r="M1873" s="2">
        <v>2.39</v>
      </c>
    </row>
    <row r="1874" spans="1:13">
      <c r="A1874" s="9">
        <v>43235</v>
      </c>
      <c r="B1874" s="1">
        <f t="shared" si="58"/>
        <v>43221</v>
      </c>
      <c r="C1874" s="5" t="str">
        <f t="shared" si="59"/>
        <v>2018-05</v>
      </c>
      <c r="D1874" s="3">
        <v>271.10000000000002</v>
      </c>
      <c r="E1874" s="3">
        <v>159.26</v>
      </c>
      <c r="F1874" s="3">
        <v>117.25</v>
      </c>
      <c r="G1874" s="3">
        <v>122.48</v>
      </c>
      <c r="H1874" s="3">
        <v>76.349999999999994</v>
      </c>
      <c r="I1874" s="2">
        <v>46.81</v>
      </c>
      <c r="J1874" s="2">
        <v>533.21</v>
      </c>
      <c r="K1874" s="2">
        <v>319.77</v>
      </c>
      <c r="L1874" s="3">
        <v>82.5</v>
      </c>
      <c r="M1874" s="2">
        <v>2.38</v>
      </c>
    </row>
    <row r="1875" spans="1:13">
      <c r="A1875" s="9">
        <v>43234</v>
      </c>
      <c r="B1875" s="1">
        <f t="shared" si="58"/>
        <v>43221</v>
      </c>
      <c r="C1875" s="5" t="str">
        <f t="shared" si="59"/>
        <v>2018-05</v>
      </c>
      <c r="D1875" s="3">
        <v>272.98</v>
      </c>
      <c r="E1875" s="3">
        <v>159.22999999999999</v>
      </c>
      <c r="F1875" s="3">
        <v>118.6</v>
      </c>
      <c r="G1875" s="3">
        <v>124.49</v>
      </c>
      <c r="H1875" s="3">
        <v>77.61</v>
      </c>
      <c r="I1875" s="2">
        <v>46.82</v>
      </c>
      <c r="J1875" s="2">
        <v>539.76</v>
      </c>
      <c r="K1875" s="2">
        <v>319.08</v>
      </c>
      <c r="L1875" s="3">
        <v>83.58</v>
      </c>
      <c r="M1875" s="2">
        <v>2.36</v>
      </c>
    </row>
    <row r="1876" spans="1:13">
      <c r="A1876" s="9">
        <v>43231</v>
      </c>
      <c r="B1876" s="1">
        <f t="shared" si="58"/>
        <v>43221</v>
      </c>
      <c r="C1876" s="5" t="str">
        <f t="shared" si="59"/>
        <v>2018-05</v>
      </c>
      <c r="D1876" s="3">
        <v>272.85000000000002</v>
      </c>
      <c r="E1876" s="3">
        <v>159.84</v>
      </c>
      <c r="F1876" s="3">
        <v>119.23</v>
      </c>
      <c r="G1876" s="3">
        <v>125</v>
      </c>
      <c r="H1876" s="3">
        <v>78.28</v>
      </c>
      <c r="I1876" s="2">
        <v>46.82</v>
      </c>
      <c r="J1876" s="2">
        <v>540.42999999999995</v>
      </c>
      <c r="K1876" s="2">
        <v>324.04000000000002</v>
      </c>
      <c r="L1876" s="3">
        <v>83.03</v>
      </c>
      <c r="M1876" s="2">
        <v>2.34</v>
      </c>
    </row>
    <row r="1877" spans="1:13">
      <c r="A1877" s="9">
        <v>43230</v>
      </c>
      <c r="B1877" s="1">
        <f t="shared" si="58"/>
        <v>43221</v>
      </c>
      <c r="C1877" s="5" t="str">
        <f t="shared" si="59"/>
        <v>2018-05</v>
      </c>
      <c r="D1877" s="3">
        <v>272.02</v>
      </c>
      <c r="E1877" s="3">
        <v>159.53</v>
      </c>
      <c r="F1877" s="3">
        <v>118.93</v>
      </c>
      <c r="G1877" s="3">
        <v>125.18</v>
      </c>
      <c r="H1877" s="3">
        <v>78.55</v>
      </c>
      <c r="I1877" s="2">
        <v>46.93</v>
      </c>
      <c r="J1877" s="2">
        <v>536.26</v>
      </c>
      <c r="K1877" s="2">
        <v>324.49</v>
      </c>
      <c r="L1877" s="3">
        <v>81.81</v>
      </c>
      <c r="M1877" s="2">
        <v>2.38</v>
      </c>
    </row>
    <row r="1878" spans="1:13">
      <c r="A1878" s="9">
        <v>43229</v>
      </c>
      <c r="B1878" s="1">
        <f t="shared" si="58"/>
        <v>43221</v>
      </c>
      <c r="C1878" s="5" t="str">
        <f t="shared" si="59"/>
        <v>2018-05</v>
      </c>
      <c r="D1878" s="3">
        <v>269.5</v>
      </c>
      <c r="E1878" s="3">
        <v>158.68</v>
      </c>
      <c r="F1878" s="3">
        <v>117.98</v>
      </c>
      <c r="G1878" s="3">
        <v>124.33</v>
      </c>
      <c r="H1878" s="3">
        <v>77.94</v>
      </c>
      <c r="I1878" s="2">
        <v>46.58</v>
      </c>
      <c r="J1878" s="2">
        <v>531.35</v>
      </c>
      <c r="K1878" s="2">
        <v>326.12</v>
      </c>
      <c r="L1878" s="3">
        <v>80.73</v>
      </c>
      <c r="M1878" s="2">
        <v>2.4</v>
      </c>
    </row>
    <row r="1879" spans="1:13">
      <c r="A1879" s="9">
        <v>43228</v>
      </c>
      <c r="B1879" s="1">
        <f t="shared" si="58"/>
        <v>43221</v>
      </c>
      <c r="C1879" s="5" t="str">
        <f t="shared" si="59"/>
        <v>2018-05</v>
      </c>
      <c r="D1879" s="3">
        <v>266.92</v>
      </c>
      <c r="E1879" s="3">
        <v>157.83000000000001</v>
      </c>
      <c r="F1879" s="3">
        <v>118.69</v>
      </c>
      <c r="G1879" s="3">
        <v>124.59</v>
      </c>
      <c r="H1879" s="3">
        <v>77.42</v>
      </c>
      <c r="I1879" s="2">
        <v>45.94</v>
      </c>
      <c r="J1879" s="2">
        <v>519.92999999999995</v>
      </c>
      <c r="K1879" s="2">
        <v>324.19</v>
      </c>
      <c r="L1879" s="3">
        <v>80.27</v>
      </c>
      <c r="M1879" s="2">
        <v>2.4</v>
      </c>
    </row>
    <row r="1880" spans="1:13">
      <c r="A1880" s="9">
        <v>43227</v>
      </c>
      <c r="B1880" s="1">
        <f t="shared" si="58"/>
        <v>43221</v>
      </c>
      <c r="C1880" s="5" t="str">
        <f t="shared" si="59"/>
        <v>2018-05</v>
      </c>
      <c r="D1880" s="3">
        <v>266.92</v>
      </c>
      <c r="E1880" s="3">
        <v>157.05000000000001</v>
      </c>
      <c r="F1880" s="3">
        <v>118.8</v>
      </c>
      <c r="G1880" s="3">
        <v>124.57</v>
      </c>
      <c r="H1880" s="3">
        <v>77.81</v>
      </c>
      <c r="I1880" s="2">
        <v>46.07</v>
      </c>
      <c r="J1880" s="2">
        <v>523.6</v>
      </c>
      <c r="K1880" s="2">
        <v>317.70999999999998</v>
      </c>
      <c r="L1880" s="3">
        <v>80.88</v>
      </c>
      <c r="M1880" s="2">
        <v>2.31</v>
      </c>
    </row>
    <row r="1881" spans="1:13">
      <c r="A1881" s="9">
        <v>43224</v>
      </c>
      <c r="B1881" s="1">
        <f t="shared" si="58"/>
        <v>43221</v>
      </c>
      <c r="C1881" s="5" t="str">
        <f t="shared" si="59"/>
        <v>2018-05</v>
      </c>
      <c r="D1881" s="3">
        <v>266.02</v>
      </c>
      <c r="E1881" s="3">
        <v>155.72999999999999</v>
      </c>
      <c r="F1881" s="3">
        <v>118.99</v>
      </c>
      <c r="G1881" s="3">
        <v>124.54</v>
      </c>
      <c r="H1881" s="3">
        <v>77.290000000000006</v>
      </c>
      <c r="I1881" s="2">
        <v>45.71</v>
      </c>
      <c r="J1881" s="2">
        <v>520.4</v>
      </c>
      <c r="K1881" s="2">
        <v>311.44</v>
      </c>
      <c r="L1881" s="3">
        <v>81</v>
      </c>
      <c r="M1881" s="2">
        <v>2.13</v>
      </c>
    </row>
    <row r="1882" spans="1:13">
      <c r="A1882" s="9">
        <v>43223</v>
      </c>
      <c r="B1882" s="1">
        <f t="shared" si="58"/>
        <v>43221</v>
      </c>
      <c r="C1882" s="5" t="str">
        <f t="shared" si="59"/>
        <v>2018-05</v>
      </c>
      <c r="D1882" s="3">
        <v>262.62</v>
      </c>
      <c r="E1882" s="3">
        <v>153.81</v>
      </c>
      <c r="F1882" s="3">
        <v>118.81</v>
      </c>
      <c r="G1882" s="3">
        <v>124.28</v>
      </c>
      <c r="H1882" s="3">
        <v>76.45</v>
      </c>
      <c r="I1882" s="2">
        <v>45.06</v>
      </c>
      <c r="J1882" s="2">
        <v>511.67</v>
      </c>
      <c r="K1882" s="2">
        <v>309.93</v>
      </c>
      <c r="L1882" s="3">
        <v>80.36</v>
      </c>
      <c r="M1882" s="2">
        <v>1.81</v>
      </c>
    </row>
    <row r="1883" spans="1:13">
      <c r="A1883" s="9">
        <v>43222</v>
      </c>
      <c r="B1883" s="1">
        <f t="shared" si="58"/>
        <v>43221</v>
      </c>
      <c r="C1883" s="5" t="str">
        <f t="shared" si="59"/>
        <v>2018-05</v>
      </c>
      <c r="D1883" s="3">
        <v>263.2</v>
      </c>
      <c r="E1883" s="3">
        <v>154.65</v>
      </c>
      <c r="F1883" s="3">
        <v>118.28</v>
      </c>
      <c r="G1883" s="3">
        <v>123.65</v>
      </c>
      <c r="H1883" s="3">
        <v>76.5</v>
      </c>
      <c r="I1883" s="2">
        <v>45.51</v>
      </c>
      <c r="J1883" s="2">
        <v>514.79</v>
      </c>
      <c r="K1883" s="2">
        <v>305.7</v>
      </c>
      <c r="L1883" s="3">
        <v>81.09</v>
      </c>
      <c r="M1883" s="2">
        <v>1.8</v>
      </c>
    </row>
    <row r="1884" spans="1:13">
      <c r="A1884" s="9">
        <v>43221</v>
      </c>
      <c r="B1884" s="1">
        <f t="shared" si="58"/>
        <v>43221</v>
      </c>
      <c r="C1884" s="5" t="str">
        <f t="shared" si="59"/>
        <v>2018-05</v>
      </c>
      <c r="D1884" s="3">
        <v>264.98</v>
      </c>
      <c r="E1884" s="3">
        <v>154.07</v>
      </c>
      <c r="F1884" s="3">
        <v>118.41</v>
      </c>
      <c r="G1884" s="3">
        <v>123.71</v>
      </c>
      <c r="H1884" s="3">
        <v>76.78</v>
      </c>
      <c r="I1884" s="2">
        <v>45.95</v>
      </c>
      <c r="J1884" s="2">
        <v>517.97</v>
      </c>
      <c r="K1884" s="2">
        <v>308.45999999999998</v>
      </c>
      <c r="L1884" s="3">
        <v>82.22</v>
      </c>
      <c r="M1884" s="2">
        <v>1.83</v>
      </c>
    </row>
    <row r="1885" spans="1:13">
      <c r="A1885" s="9">
        <v>43220</v>
      </c>
      <c r="B1885" s="1">
        <f t="shared" si="58"/>
        <v>43191</v>
      </c>
      <c r="C1885" s="5" t="str">
        <f t="shared" si="59"/>
        <v>2018-04</v>
      </c>
      <c r="D1885" s="3">
        <v>264.51</v>
      </c>
      <c r="E1885" s="3">
        <v>153.32</v>
      </c>
      <c r="F1885" s="3">
        <v>119.1</v>
      </c>
      <c r="G1885" s="3">
        <v>124.59</v>
      </c>
      <c r="H1885" s="3">
        <v>76.09</v>
      </c>
      <c r="I1885" s="2">
        <v>45.67</v>
      </c>
      <c r="J1885" s="2">
        <v>521.5</v>
      </c>
      <c r="K1885" s="2">
        <v>320.83999999999997</v>
      </c>
      <c r="L1885" s="3">
        <v>82.26</v>
      </c>
      <c r="M1885" s="2">
        <v>1.77</v>
      </c>
    </row>
    <row r="1886" spans="1:13">
      <c r="A1886" s="9">
        <v>43217</v>
      </c>
      <c r="B1886" s="1">
        <f t="shared" si="58"/>
        <v>43191</v>
      </c>
      <c r="C1886" s="5" t="str">
        <f t="shared" si="59"/>
        <v>2018-04</v>
      </c>
      <c r="D1886" s="3">
        <v>266.56</v>
      </c>
      <c r="E1886" s="3">
        <v>154.69</v>
      </c>
      <c r="F1886" s="3">
        <v>118.89</v>
      </c>
      <c r="G1886" s="3">
        <v>125.5</v>
      </c>
      <c r="H1886" s="3">
        <v>76.39</v>
      </c>
      <c r="I1886" s="2">
        <v>45.53</v>
      </c>
      <c r="J1886" s="2">
        <v>524.65</v>
      </c>
      <c r="K1886" s="2">
        <v>322.02999999999997</v>
      </c>
      <c r="L1886" s="3">
        <v>83.54</v>
      </c>
      <c r="M1886" s="2">
        <v>1.81</v>
      </c>
    </row>
    <row r="1887" spans="1:13">
      <c r="A1887" s="9">
        <v>43216</v>
      </c>
      <c r="B1887" s="1">
        <f t="shared" si="58"/>
        <v>43191</v>
      </c>
      <c r="C1887" s="5" t="str">
        <f t="shared" si="59"/>
        <v>2018-04</v>
      </c>
      <c r="D1887" s="3">
        <v>266.31</v>
      </c>
      <c r="E1887" s="3">
        <v>154.91</v>
      </c>
      <c r="F1887" s="3">
        <v>117.98</v>
      </c>
      <c r="G1887" s="3">
        <v>124.97</v>
      </c>
      <c r="H1887" s="3">
        <v>75.099999999999994</v>
      </c>
      <c r="I1887" s="2">
        <v>45.96</v>
      </c>
      <c r="J1887" s="2">
        <v>522.72</v>
      </c>
      <c r="K1887" s="2">
        <v>330.4</v>
      </c>
      <c r="L1887" s="3">
        <v>83.2</v>
      </c>
      <c r="M1887" s="2">
        <v>1.77</v>
      </c>
    </row>
    <row r="1888" spans="1:13">
      <c r="A1888" s="9">
        <v>43215</v>
      </c>
      <c r="B1888" s="1">
        <f t="shared" si="58"/>
        <v>43191</v>
      </c>
      <c r="C1888" s="5" t="str">
        <f t="shared" si="59"/>
        <v>2018-04</v>
      </c>
      <c r="D1888" s="3">
        <v>263.63</v>
      </c>
      <c r="E1888" s="3">
        <v>154.19999999999999</v>
      </c>
      <c r="F1888" s="3">
        <v>117.16</v>
      </c>
      <c r="G1888" s="3">
        <v>125.41</v>
      </c>
      <c r="H1888" s="3">
        <v>74.13</v>
      </c>
      <c r="I1888" s="2">
        <v>45.75</v>
      </c>
      <c r="J1888" s="2">
        <v>512.22</v>
      </c>
      <c r="K1888" s="2">
        <v>329.5</v>
      </c>
      <c r="L1888" s="3">
        <v>82.16</v>
      </c>
      <c r="M1888" s="2">
        <v>1.76</v>
      </c>
    </row>
    <row r="1889" spans="1:13">
      <c r="A1889" s="9">
        <v>43214</v>
      </c>
      <c r="B1889" s="1">
        <f t="shared" si="58"/>
        <v>43191</v>
      </c>
      <c r="C1889" s="5" t="str">
        <f t="shared" si="59"/>
        <v>2018-04</v>
      </c>
      <c r="D1889" s="3">
        <v>262.98</v>
      </c>
      <c r="E1889" s="3">
        <v>154.43</v>
      </c>
      <c r="F1889" s="3">
        <v>117.95</v>
      </c>
      <c r="G1889" s="3">
        <v>126.23</v>
      </c>
      <c r="H1889" s="3">
        <v>74.27</v>
      </c>
      <c r="I1889" s="2">
        <v>45.53</v>
      </c>
      <c r="J1889" s="2">
        <v>513.70000000000005</v>
      </c>
      <c r="K1889" s="2">
        <v>336.49</v>
      </c>
      <c r="L1889" s="3">
        <v>81.790000000000006</v>
      </c>
      <c r="M1889" s="2">
        <v>1.76</v>
      </c>
    </row>
    <row r="1890" spans="1:13">
      <c r="A1890" s="9">
        <v>43213</v>
      </c>
      <c r="B1890" s="1">
        <f t="shared" si="58"/>
        <v>43191</v>
      </c>
      <c r="C1890" s="5" t="str">
        <f t="shared" si="59"/>
        <v>2018-04</v>
      </c>
      <c r="D1890" s="3">
        <v>266.57</v>
      </c>
      <c r="E1890" s="3">
        <v>155.32</v>
      </c>
      <c r="F1890" s="3">
        <v>118.49</v>
      </c>
      <c r="G1890" s="3">
        <v>125.62</v>
      </c>
      <c r="H1890" s="3">
        <v>73.989999999999995</v>
      </c>
      <c r="I1890" s="2">
        <v>45.8</v>
      </c>
      <c r="J1890" s="2">
        <v>519.85</v>
      </c>
      <c r="K1890" s="2">
        <v>358.6</v>
      </c>
      <c r="L1890" s="3">
        <v>82.41</v>
      </c>
      <c r="M1890" s="2">
        <v>1.74</v>
      </c>
    </row>
    <row r="1891" spans="1:13">
      <c r="A1891" s="9">
        <v>43210</v>
      </c>
      <c r="B1891" s="1">
        <f t="shared" si="58"/>
        <v>43191</v>
      </c>
      <c r="C1891" s="5" t="str">
        <f t="shared" si="59"/>
        <v>2018-04</v>
      </c>
      <c r="D1891" s="3">
        <v>266.61</v>
      </c>
      <c r="E1891" s="3">
        <v>155.55000000000001</v>
      </c>
      <c r="F1891" s="3">
        <v>118.46</v>
      </c>
      <c r="G1891" s="3">
        <v>126.63</v>
      </c>
      <c r="H1891" s="3">
        <v>74.05</v>
      </c>
      <c r="I1891" s="2">
        <v>46.23</v>
      </c>
      <c r="J1891" s="2">
        <v>524.41999999999996</v>
      </c>
      <c r="K1891" s="2">
        <v>351.99</v>
      </c>
      <c r="L1891" s="3">
        <v>82.09</v>
      </c>
      <c r="M1891" s="2">
        <v>1.75</v>
      </c>
    </row>
    <row r="1892" spans="1:13">
      <c r="A1892" s="9">
        <v>43209</v>
      </c>
      <c r="B1892" s="1">
        <f t="shared" si="58"/>
        <v>43191</v>
      </c>
      <c r="C1892" s="5" t="str">
        <f t="shared" si="59"/>
        <v>2018-04</v>
      </c>
      <c r="D1892" s="3">
        <v>268.89</v>
      </c>
      <c r="E1892" s="3">
        <v>156.38999999999999</v>
      </c>
      <c r="F1892" s="3">
        <v>119.32</v>
      </c>
      <c r="G1892" s="3">
        <v>127.6</v>
      </c>
      <c r="H1892" s="3">
        <v>74.739999999999995</v>
      </c>
      <c r="I1892" s="2">
        <v>46.82</v>
      </c>
      <c r="J1892" s="2">
        <v>525.05999999999995</v>
      </c>
      <c r="K1892" s="2">
        <v>353.38</v>
      </c>
      <c r="L1892" s="3">
        <v>82.53</v>
      </c>
      <c r="M1892" s="2">
        <v>1.78</v>
      </c>
    </row>
    <row r="1893" spans="1:13">
      <c r="A1893" s="9">
        <v>43208</v>
      </c>
      <c r="B1893" s="1">
        <f t="shared" si="58"/>
        <v>43191</v>
      </c>
      <c r="C1893" s="5" t="str">
        <f t="shared" si="59"/>
        <v>2018-04</v>
      </c>
      <c r="D1893" s="3">
        <v>270.39</v>
      </c>
      <c r="E1893" s="3">
        <v>157.47999999999999</v>
      </c>
      <c r="F1893" s="3">
        <v>120.3</v>
      </c>
      <c r="G1893" s="3">
        <v>127.85</v>
      </c>
      <c r="H1893" s="3">
        <v>75.84</v>
      </c>
      <c r="I1893" s="2">
        <v>47.08</v>
      </c>
      <c r="J1893" s="2">
        <v>523.22</v>
      </c>
      <c r="K1893" s="2">
        <v>351.15</v>
      </c>
      <c r="L1893" s="3">
        <v>83.23</v>
      </c>
      <c r="M1893" s="2">
        <v>1.8</v>
      </c>
    </row>
    <row r="1894" spans="1:13">
      <c r="A1894" s="9">
        <v>43207</v>
      </c>
      <c r="B1894" s="1">
        <f t="shared" si="58"/>
        <v>43191</v>
      </c>
      <c r="C1894" s="5" t="str">
        <f t="shared" si="59"/>
        <v>2018-04</v>
      </c>
      <c r="D1894" s="3">
        <v>270.19</v>
      </c>
      <c r="E1894" s="3">
        <v>157.06</v>
      </c>
      <c r="F1894" s="3">
        <v>121.27</v>
      </c>
      <c r="G1894" s="3">
        <v>127.75</v>
      </c>
      <c r="H1894" s="3">
        <v>76</v>
      </c>
      <c r="I1894" s="2">
        <v>46.66</v>
      </c>
      <c r="J1894" s="2">
        <v>526.84</v>
      </c>
      <c r="K1894" s="2">
        <v>349.14</v>
      </c>
      <c r="L1894" s="3">
        <v>83.16</v>
      </c>
      <c r="M1894" s="2">
        <v>1.83</v>
      </c>
    </row>
    <row r="1895" spans="1:13">
      <c r="A1895" s="9">
        <v>43206</v>
      </c>
      <c r="B1895" s="1">
        <f t="shared" si="58"/>
        <v>43191</v>
      </c>
      <c r="C1895" s="5" t="str">
        <f t="shared" si="59"/>
        <v>2018-04</v>
      </c>
      <c r="D1895" s="3">
        <v>267.33</v>
      </c>
      <c r="E1895" s="3">
        <v>155.37</v>
      </c>
      <c r="F1895" s="3">
        <v>120.94</v>
      </c>
      <c r="G1895" s="3">
        <v>127.63</v>
      </c>
      <c r="H1895" s="3">
        <v>75.12</v>
      </c>
      <c r="I1895" s="2">
        <v>46.05</v>
      </c>
      <c r="J1895" s="2">
        <v>524.85</v>
      </c>
      <c r="K1895" s="2">
        <v>345.7</v>
      </c>
      <c r="L1895" s="3">
        <v>82.52</v>
      </c>
      <c r="M1895" s="2">
        <v>1.77</v>
      </c>
    </row>
    <row r="1896" spans="1:13">
      <c r="A1896" s="9">
        <v>43203</v>
      </c>
      <c r="B1896" s="1">
        <f t="shared" si="58"/>
        <v>43191</v>
      </c>
      <c r="C1896" s="5" t="str">
        <f t="shared" si="59"/>
        <v>2018-04</v>
      </c>
      <c r="D1896" s="3">
        <v>265.14999999999998</v>
      </c>
      <c r="E1896" s="3">
        <v>153.94999999999999</v>
      </c>
      <c r="F1896" s="3">
        <v>120.9</v>
      </c>
      <c r="G1896" s="3">
        <v>127.45</v>
      </c>
      <c r="H1896" s="3">
        <v>74.66</v>
      </c>
      <c r="I1896" s="2">
        <v>46.08</v>
      </c>
      <c r="J1896" s="2">
        <v>524.77</v>
      </c>
      <c r="K1896" s="2">
        <v>342.6</v>
      </c>
      <c r="L1896" s="3">
        <v>81.87</v>
      </c>
      <c r="M1896" s="2">
        <v>1.74</v>
      </c>
    </row>
    <row r="1897" spans="1:13">
      <c r="A1897" s="9">
        <v>43202</v>
      </c>
      <c r="B1897" s="1">
        <f t="shared" si="58"/>
        <v>43191</v>
      </c>
      <c r="C1897" s="5" t="str">
        <f t="shared" si="59"/>
        <v>2018-04</v>
      </c>
      <c r="D1897" s="3">
        <v>265.93</v>
      </c>
      <c r="E1897" s="3">
        <v>154.76</v>
      </c>
      <c r="F1897" s="3">
        <v>120.62</v>
      </c>
      <c r="G1897" s="3">
        <v>126.62</v>
      </c>
      <c r="H1897" s="3">
        <v>74.27</v>
      </c>
      <c r="I1897" s="2">
        <v>45.88</v>
      </c>
      <c r="J1897" s="2">
        <v>533.01</v>
      </c>
      <c r="K1897" s="2">
        <v>342.88</v>
      </c>
      <c r="L1897" s="3">
        <v>81.91</v>
      </c>
      <c r="M1897" s="2">
        <v>1.76</v>
      </c>
    </row>
    <row r="1898" spans="1:13">
      <c r="A1898" s="9">
        <v>43201</v>
      </c>
      <c r="B1898" s="1">
        <f t="shared" si="58"/>
        <v>43191</v>
      </c>
      <c r="C1898" s="5" t="str">
        <f t="shared" si="59"/>
        <v>2018-04</v>
      </c>
      <c r="D1898" s="3">
        <v>263.76</v>
      </c>
      <c r="E1898" s="3">
        <v>153.71</v>
      </c>
      <c r="F1898" s="3">
        <v>121.51</v>
      </c>
      <c r="G1898" s="3">
        <v>128.11000000000001</v>
      </c>
      <c r="H1898" s="3">
        <v>75.11</v>
      </c>
      <c r="I1898" s="2">
        <v>45.61</v>
      </c>
      <c r="J1898" s="2">
        <v>525.30999999999995</v>
      </c>
      <c r="K1898" s="2">
        <v>339.44</v>
      </c>
      <c r="L1898" s="3">
        <v>81.36</v>
      </c>
      <c r="M1898" s="2">
        <v>1.73</v>
      </c>
    </row>
    <row r="1899" spans="1:13">
      <c r="A1899" s="9">
        <v>43200</v>
      </c>
      <c r="B1899" s="1">
        <f t="shared" si="58"/>
        <v>43191</v>
      </c>
      <c r="C1899" s="5" t="str">
        <f t="shared" si="59"/>
        <v>2018-04</v>
      </c>
      <c r="D1899" s="3">
        <v>265.14999999999998</v>
      </c>
      <c r="E1899" s="3">
        <v>153.38</v>
      </c>
      <c r="F1899" s="3">
        <v>121.08</v>
      </c>
      <c r="G1899" s="3">
        <v>127.12</v>
      </c>
      <c r="H1899" s="3">
        <v>74.95</v>
      </c>
      <c r="I1899" s="2">
        <v>45.82</v>
      </c>
      <c r="J1899" s="2">
        <v>533.96</v>
      </c>
      <c r="K1899" s="2">
        <v>339.36</v>
      </c>
      <c r="L1899" s="3">
        <v>82.03</v>
      </c>
      <c r="M1899" s="2">
        <v>1.71</v>
      </c>
    </row>
    <row r="1900" spans="1:13">
      <c r="A1900" s="9">
        <v>43199</v>
      </c>
      <c r="B1900" s="1">
        <f t="shared" si="58"/>
        <v>43191</v>
      </c>
      <c r="C1900" s="5" t="str">
        <f t="shared" si="59"/>
        <v>2018-04</v>
      </c>
      <c r="D1900" s="3">
        <v>261</v>
      </c>
      <c r="E1900" s="3">
        <v>150.54</v>
      </c>
      <c r="F1900" s="3">
        <v>121.3</v>
      </c>
      <c r="G1900" s="3">
        <v>126.82</v>
      </c>
      <c r="H1900" s="3">
        <v>75.03</v>
      </c>
      <c r="I1900" s="2">
        <v>44.9</v>
      </c>
      <c r="J1900" s="2">
        <v>521.14</v>
      </c>
      <c r="K1900" s="2">
        <v>335.91</v>
      </c>
      <c r="L1900" s="3">
        <v>80.67</v>
      </c>
      <c r="M1900" s="2">
        <v>1.64</v>
      </c>
    </row>
    <row r="1901" spans="1:13">
      <c r="A1901" s="9">
        <v>43196</v>
      </c>
      <c r="B1901" s="1">
        <f t="shared" si="58"/>
        <v>43191</v>
      </c>
      <c r="C1901" s="5" t="str">
        <f t="shared" si="59"/>
        <v>2018-04</v>
      </c>
      <c r="D1901" s="3">
        <v>259.72000000000003</v>
      </c>
      <c r="E1901" s="3">
        <v>150.36000000000001</v>
      </c>
      <c r="F1901" s="3">
        <v>121.1</v>
      </c>
      <c r="G1901" s="3">
        <v>126.39</v>
      </c>
      <c r="H1901" s="3">
        <v>75.27</v>
      </c>
      <c r="I1901" s="2">
        <v>44.83</v>
      </c>
      <c r="J1901" s="2">
        <v>519.91999999999996</v>
      </c>
      <c r="K1901" s="2">
        <v>334.66</v>
      </c>
      <c r="L1901" s="3">
        <v>79.88</v>
      </c>
      <c r="M1901" s="2">
        <v>1.66</v>
      </c>
    </row>
    <row r="1902" spans="1:13">
      <c r="A1902" s="9">
        <v>43195</v>
      </c>
      <c r="B1902" s="1">
        <f t="shared" si="58"/>
        <v>43191</v>
      </c>
      <c r="C1902" s="5" t="str">
        <f t="shared" si="59"/>
        <v>2018-04</v>
      </c>
      <c r="D1902" s="3">
        <v>265.64</v>
      </c>
      <c r="E1902" s="3">
        <v>153.41999999999999</v>
      </c>
      <c r="F1902" s="3">
        <v>119.79</v>
      </c>
      <c r="G1902" s="3">
        <v>125.8</v>
      </c>
      <c r="H1902" s="3">
        <v>75.84</v>
      </c>
      <c r="I1902" s="2">
        <v>45.96</v>
      </c>
      <c r="J1902" s="2">
        <v>538.4</v>
      </c>
      <c r="K1902" s="2">
        <v>346.65</v>
      </c>
      <c r="L1902" s="3">
        <v>81.849999999999994</v>
      </c>
      <c r="M1902" s="2">
        <v>1.68</v>
      </c>
    </row>
    <row r="1903" spans="1:13">
      <c r="A1903" s="9">
        <v>43194</v>
      </c>
      <c r="B1903" s="1">
        <f t="shared" si="58"/>
        <v>43191</v>
      </c>
      <c r="C1903" s="5" t="str">
        <f t="shared" si="59"/>
        <v>2018-04</v>
      </c>
      <c r="D1903" s="3">
        <v>263.56</v>
      </c>
      <c r="E1903" s="3">
        <v>152.16</v>
      </c>
      <c r="F1903" s="3">
        <v>120.69</v>
      </c>
      <c r="G1903" s="3">
        <v>126.45</v>
      </c>
      <c r="H1903" s="3">
        <v>75.87</v>
      </c>
      <c r="I1903" s="2">
        <v>45.51</v>
      </c>
      <c r="J1903" s="2">
        <v>536.30999999999995</v>
      </c>
      <c r="K1903" s="2">
        <v>341.79</v>
      </c>
      <c r="L1903" s="3">
        <v>81.91</v>
      </c>
      <c r="M1903" s="2">
        <v>1.68</v>
      </c>
    </row>
    <row r="1904" spans="1:13">
      <c r="A1904" s="9">
        <v>43193</v>
      </c>
      <c r="B1904" s="1">
        <f t="shared" si="58"/>
        <v>43191</v>
      </c>
      <c r="C1904" s="5" t="str">
        <f t="shared" si="59"/>
        <v>2018-04</v>
      </c>
      <c r="D1904" s="3">
        <v>260.77</v>
      </c>
      <c r="E1904" s="3">
        <v>150.25</v>
      </c>
      <c r="F1904" s="3">
        <v>120.94</v>
      </c>
      <c r="G1904" s="3">
        <v>126.3</v>
      </c>
      <c r="H1904" s="3">
        <v>75.08</v>
      </c>
      <c r="I1904" s="2">
        <v>44.89</v>
      </c>
      <c r="J1904" s="2">
        <v>528.73</v>
      </c>
      <c r="K1904" s="2">
        <v>334.71</v>
      </c>
      <c r="L1904" s="3">
        <v>80.760000000000005</v>
      </c>
      <c r="M1904" s="2">
        <v>1.66</v>
      </c>
    </row>
    <row r="1905" spans="1:13">
      <c r="A1905" s="9">
        <v>43192</v>
      </c>
      <c r="B1905" s="1">
        <f t="shared" si="58"/>
        <v>43191</v>
      </c>
      <c r="C1905" s="5" t="str">
        <f t="shared" si="59"/>
        <v>2018-04</v>
      </c>
      <c r="D1905" s="3">
        <v>257.47000000000003</v>
      </c>
      <c r="E1905" s="3">
        <v>148.13</v>
      </c>
      <c r="F1905" s="3">
        <v>121.88</v>
      </c>
      <c r="G1905" s="3">
        <v>127.26</v>
      </c>
      <c r="H1905" s="3">
        <v>74.45</v>
      </c>
      <c r="I1905" s="2">
        <v>45.01</v>
      </c>
      <c r="J1905" s="2">
        <v>519</v>
      </c>
      <c r="K1905" s="2">
        <v>333</v>
      </c>
      <c r="L1905" s="3">
        <v>79.55</v>
      </c>
      <c r="M1905" s="2">
        <v>1.64</v>
      </c>
    </row>
    <row r="1906" spans="1:13">
      <c r="A1906" s="9">
        <v>43188</v>
      </c>
      <c r="B1906" s="1">
        <f t="shared" si="58"/>
        <v>43160</v>
      </c>
      <c r="C1906" s="5" t="str">
        <f t="shared" si="59"/>
        <v>2018-03</v>
      </c>
      <c r="D1906" s="3">
        <v>263.14999999999998</v>
      </c>
      <c r="E1906" s="3">
        <v>151.83000000000001</v>
      </c>
      <c r="F1906" s="3">
        <v>121.9</v>
      </c>
      <c r="G1906" s="3">
        <v>125.79</v>
      </c>
      <c r="H1906" s="3">
        <v>75.47</v>
      </c>
      <c r="I1906" s="2">
        <v>45.75</v>
      </c>
      <c r="J1906" s="2">
        <v>541.72</v>
      </c>
      <c r="K1906" s="2">
        <v>337.93</v>
      </c>
      <c r="L1906" s="3">
        <v>81.400000000000006</v>
      </c>
      <c r="M1906" s="2">
        <v>1.7</v>
      </c>
    </row>
    <row r="1907" spans="1:13">
      <c r="A1907" s="9">
        <v>43187</v>
      </c>
      <c r="B1907" s="1">
        <f t="shared" si="58"/>
        <v>43160</v>
      </c>
      <c r="C1907" s="5" t="str">
        <f t="shared" si="59"/>
        <v>2018-03</v>
      </c>
      <c r="D1907" s="3">
        <v>259.83</v>
      </c>
      <c r="E1907" s="3">
        <v>150.31</v>
      </c>
      <c r="F1907" s="3">
        <v>121.31</v>
      </c>
      <c r="G1907" s="3">
        <v>125.73</v>
      </c>
      <c r="H1907" s="3">
        <v>75.56</v>
      </c>
      <c r="I1907" s="2">
        <v>44.98</v>
      </c>
      <c r="J1907" s="2">
        <v>528.03</v>
      </c>
      <c r="K1907" s="2">
        <v>335.33</v>
      </c>
      <c r="L1907" s="3">
        <v>80.790000000000006</v>
      </c>
      <c r="M1907" s="2">
        <v>1.67</v>
      </c>
    </row>
    <row r="1908" spans="1:13">
      <c r="A1908" s="9">
        <v>43186</v>
      </c>
      <c r="B1908" s="1">
        <f t="shared" si="58"/>
        <v>43160</v>
      </c>
      <c r="C1908" s="5" t="str">
        <f t="shared" si="59"/>
        <v>2018-03</v>
      </c>
      <c r="D1908" s="3">
        <v>260.60000000000002</v>
      </c>
      <c r="E1908" s="3">
        <v>150.36000000000001</v>
      </c>
      <c r="F1908" s="3">
        <v>120.99</v>
      </c>
      <c r="G1908" s="3">
        <v>127.49</v>
      </c>
      <c r="H1908" s="3">
        <v>73.709999999999994</v>
      </c>
      <c r="I1908" s="2">
        <v>45.38</v>
      </c>
      <c r="J1908" s="2">
        <v>532.11</v>
      </c>
      <c r="K1908" s="2">
        <v>338.85</v>
      </c>
      <c r="L1908" s="3">
        <v>80.36</v>
      </c>
      <c r="M1908" s="2">
        <v>1.66</v>
      </c>
    </row>
    <row r="1909" spans="1:13">
      <c r="A1909" s="9">
        <v>43185</v>
      </c>
      <c r="B1909" s="1">
        <f t="shared" si="58"/>
        <v>43160</v>
      </c>
      <c r="C1909" s="5" t="str">
        <f t="shared" si="59"/>
        <v>2018-03</v>
      </c>
      <c r="D1909" s="3">
        <v>265.11</v>
      </c>
      <c r="E1909" s="3">
        <v>153.33000000000001</v>
      </c>
      <c r="F1909" s="3">
        <v>119.71</v>
      </c>
      <c r="G1909" s="3">
        <v>128.28</v>
      </c>
      <c r="H1909" s="3">
        <v>73.430000000000007</v>
      </c>
      <c r="I1909" s="2">
        <v>46.48</v>
      </c>
      <c r="J1909" s="2">
        <v>540.72</v>
      </c>
      <c r="K1909" s="2">
        <v>343.93</v>
      </c>
      <c r="L1909" s="3">
        <v>81.319999999999993</v>
      </c>
      <c r="M1909" s="2">
        <v>1.71</v>
      </c>
    </row>
    <row r="1910" spans="1:13">
      <c r="A1910" s="9">
        <v>43182</v>
      </c>
      <c r="B1910" s="1">
        <f t="shared" si="58"/>
        <v>43160</v>
      </c>
      <c r="C1910" s="5" t="str">
        <f t="shared" si="59"/>
        <v>2018-03</v>
      </c>
      <c r="D1910" s="3">
        <v>258.05</v>
      </c>
      <c r="E1910" s="3">
        <v>150.05000000000001</v>
      </c>
      <c r="F1910" s="3">
        <v>120.17</v>
      </c>
      <c r="G1910" s="3">
        <v>127.61</v>
      </c>
      <c r="H1910" s="3">
        <v>73.31</v>
      </c>
      <c r="I1910" s="2">
        <v>44.79</v>
      </c>
      <c r="J1910" s="2">
        <v>521.13</v>
      </c>
      <c r="K1910" s="2">
        <v>336.31</v>
      </c>
      <c r="L1910" s="3">
        <v>79.67</v>
      </c>
      <c r="M1910" s="2">
        <v>1.73</v>
      </c>
    </row>
    <row r="1911" spans="1:13">
      <c r="A1911" s="9">
        <v>43181</v>
      </c>
      <c r="B1911" s="1">
        <f t="shared" si="58"/>
        <v>43160</v>
      </c>
      <c r="C1911" s="5" t="str">
        <f t="shared" si="59"/>
        <v>2018-03</v>
      </c>
      <c r="D1911" s="3">
        <v>263.67</v>
      </c>
      <c r="E1911" s="3">
        <v>153.35</v>
      </c>
      <c r="F1911" s="3">
        <v>120.26</v>
      </c>
      <c r="G1911" s="3">
        <v>125.98</v>
      </c>
      <c r="H1911" s="3">
        <v>74.64</v>
      </c>
      <c r="I1911" s="2">
        <v>45.89</v>
      </c>
      <c r="J1911" s="2">
        <v>539.41999999999996</v>
      </c>
      <c r="K1911" s="2">
        <v>327.14999999999998</v>
      </c>
      <c r="L1911" s="3">
        <v>81.36</v>
      </c>
      <c r="M1911" s="2">
        <v>1.77</v>
      </c>
    </row>
    <row r="1912" spans="1:13">
      <c r="A1912" s="9">
        <v>43180</v>
      </c>
      <c r="B1912" s="1">
        <f t="shared" si="58"/>
        <v>43160</v>
      </c>
      <c r="C1912" s="5" t="str">
        <f t="shared" si="59"/>
        <v>2018-03</v>
      </c>
      <c r="D1912" s="3">
        <v>270.43</v>
      </c>
      <c r="E1912" s="3">
        <v>157.15</v>
      </c>
      <c r="F1912" s="3">
        <v>119.08</v>
      </c>
      <c r="G1912" s="3">
        <v>126.48</v>
      </c>
      <c r="H1912" s="3">
        <v>75.08</v>
      </c>
      <c r="I1912" s="2">
        <v>47.02</v>
      </c>
      <c r="J1912" s="2">
        <v>564.16</v>
      </c>
      <c r="K1912" s="2">
        <v>335.47</v>
      </c>
      <c r="L1912" s="3">
        <v>83.77</v>
      </c>
      <c r="M1912" s="2">
        <v>1.83</v>
      </c>
    </row>
    <row r="1913" spans="1:13">
      <c r="A1913" s="9">
        <v>43179</v>
      </c>
      <c r="B1913" s="1">
        <f t="shared" si="58"/>
        <v>43160</v>
      </c>
      <c r="C1913" s="5" t="str">
        <f t="shared" si="59"/>
        <v>2018-03</v>
      </c>
      <c r="D1913" s="3">
        <v>270.95</v>
      </c>
      <c r="E1913" s="3">
        <v>156.24</v>
      </c>
      <c r="F1913" s="3">
        <v>118.95</v>
      </c>
      <c r="G1913" s="3">
        <v>124.31</v>
      </c>
      <c r="H1913" s="3">
        <v>75.64</v>
      </c>
      <c r="I1913" s="2">
        <v>47.05</v>
      </c>
      <c r="J1913" s="2">
        <v>557.52</v>
      </c>
      <c r="K1913" s="2">
        <v>335.6</v>
      </c>
      <c r="L1913" s="3">
        <v>84.13</v>
      </c>
      <c r="M1913" s="2">
        <v>1.87</v>
      </c>
    </row>
    <row r="1914" spans="1:13">
      <c r="A1914" s="9">
        <v>43178</v>
      </c>
      <c r="B1914" s="1">
        <f t="shared" si="58"/>
        <v>43160</v>
      </c>
      <c r="C1914" s="5" t="str">
        <f t="shared" si="59"/>
        <v>2018-03</v>
      </c>
      <c r="D1914" s="3">
        <v>270.49</v>
      </c>
      <c r="E1914" s="3">
        <v>156.28</v>
      </c>
      <c r="F1914" s="3">
        <v>119.43</v>
      </c>
      <c r="G1914" s="3">
        <v>124.87</v>
      </c>
      <c r="H1914" s="3">
        <v>75.900000000000006</v>
      </c>
      <c r="I1914" s="2">
        <v>51.95</v>
      </c>
      <c r="J1914" s="2">
        <v>553.83000000000004</v>
      </c>
      <c r="K1914" s="2">
        <v>335.25</v>
      </c>
      <c r="L1914" s="3">
        <v>84.01</v>
      </c>
      <c r="M1914" s="2">
        <v>1.87</v>
      </c>
    </row>
    <row r="1915" spans="1:13">
      <c r="A1915" s="9">
        <v>43175</v>
      </c>
      <c r="B1915" s="1">
        <f t="shared" si="58"/>
        <v>43160</v>
      </c>
      <c r="C1915" s="5" t="str">
        <f t="shared" si="59"/>
        <v>2018-03</v>
      </c>
      <c r="D1915" s="3">
        <v>274.2</v>
      </c>
      <c r="E1915" s="3">
        <v>157.80000000000001</v>
      </c>
      <c r="F1915" s="3">
        <v>119.81</v>
      </c>
      <c r="G1915" s="3">
        <v>124.6</v>
      </c>
      <c r="H1915" s="3">
        <v>76.56</v>
      </c>
      <c r="I1915" s="2">
        <v>52.27</v>
      </c>
      <c r="J1915" s="2">
        <v>563.66</v>
      </c>
      <c r="K1915" s="2">
        <v>331.4</v>
      </c>
      <c r="L1915" s="3">
        <v>85.39</v>
      </c>
      <c r="M1915" s="2">
        <v>1.97</v>
      </c>
    </row>
    <row r="1916" spans="1:13">
      <c r="A1916" s="9">
        <v>43174</v>
      </c>
      <c r="B1916" s="1">
        <f t="shared" si="58"/>
        <v>43160</v>
      </c>
      <c r="C1916" s="5" t="str">
        <f t="shared" si="59"/>
        <v>2018-03</v>
      </c>
      <c r="D1916" s="3">
        <v>275</v>
      </c>
      <c r="E1916" s="3">
        <v>156.91999999999999</v>
      </c>
      <c r="F1916" s="3">
        <v>120.24</v>
      </c>
      <c r="G1916" s="3">
        <v>124.9</v>
      </c>
      <c r="H1916" s="3">
        <v>76.03</v>
      </c>
      <c r="I1916" s="2">
        <v>52.37</v>
      </c>
      <c r="J1916" s="2">
        <v>557.92999999999995</v>
      </c>
      <c r="K1916" s="2">
        <v>333.23</v>
      </c>
      <c r="L1916" s="3">
        <v>85.69</v>
      </c>
      <c r="M1916" s="2">
        <v>1.97</v>
      </c>
    </row>
    <row r="1917" spans="1:13">
      <c r="A1917" s="9">
        <v>43173</v>
      </c>
      <c r="B1917" s="1">
        <f t="shared" si="58"/>
        <v>43160</v>
      </c>
      <c r="C1917" s="5" t="str">
        <f t="shared" si="59"/>
        <v>2018-03</v>
      </c>
      <c r="D1917" s="3">
        <v>275.3</v>
      </c>
      <c r="E1917" s="3">
        <v>157.71</v>
      </c>
      <c r="F1917" s="3">
        <v>120.24</v>
      </c>
      <c r="G1917" s="3">
        <v>125.7</v>
      </c>
      <c r="H1917" s="3">
        <v>76.05</v>
      </c>
      <c r="I1917" s="2">
        <v>52.32</v>
      </c>
      <c r="J1917" s="2">
        <v>558.96</v>
      </c>
      <c r="K1917" s="2">
        <v>331.68</v>
      </c>
      <c r="L1917" s="3">
        <v>85.83</v>
      </c>
      <c r="M1917" s="2">
        <v>1.96</v>
      </c>
    </row>
    <row r="1918" spans="1:13">
      <c r="A1918" s="9">
        <v>43172</v>
      </c>
      <c r="B1918" s="1">
        <f t="shared" si="58"/>
        <v>43160</v>
      </c>
      <c r="C1918" s="5" t="str">
        <f t="shared" si="59"/>
        <v>2018-03</v>
      </c>
      <c r="D1918" s="3">
        <v>276.72000000000003</v>
      </c>
      <c r="E1918" s="3">
        <v>158.46</v>
      </c>
      <c r="F1918" s="3">
        <v>119.19</v>
      </c>
      <c r="G1918" s="3">
        <v>125.78</v>
      </c>
      <c r="H1918" s="3">
        <v>75.98</v>
      </c>
      <c r="I1918" s="2">
        <v>52.58</v>
      </c>
      <c r="J1918" s="2">
        <v>564.05999999999995</v>
      </c>
      <c r="K1918" s="2">
        <v>333.46</v>
      </c>
      <c r="L1918" s="3">
        <v>86.25</v>
      </c>
      <c r="M1918" s="2">
        <v>1.96</v>
      </c>
    </row>
    <row r="1919" spans="1:13">
      <c r="A1919" s="9">
        <v>43171</v>
      </c>
      <c r="B1919" s="1">
        <f t="shared" si="58"/>
        <v>43160</v>
      </c>
      <c r="C1919" s="5" t="str">
        <f t="shared" si="59"/>
        <v>2018-03</v>
      </c>
      <c r="D1919" s="3">
        <v>278.52</v>
      </c>
      <c r="E1919" s="3">
        <v>159.19999999999999</v>
      </c>
      <c r="F1919" s="3">
        <v>118.59</v>
      </c>
      <c r="G1919" s="3">
        <v>125.54</v>
      </c>
      <c r="H1919" s="3">
        <v>75.91</v>
      </c>
      <c r="I1919" s="2">
        <v>52.9</v>
      </c>
      <c r="J1919" s="2">
        <v>571.79</v>
      </c>
      <c r="K1919" s="2">
        <v>333.1</v>
      </c>
      <c r="L1919" s="3">
        <v>86.14</v>
      </c>
      <c r="M1919" s="2">
        <v>1.95</v>
      </c>
    </row>
    <row r="1920" spans="1:13">
      <c r="A1920" s="9">
        <v>43168</v>
      </c>
      <c r="B1920" s="1">
        <f t="shared" si="58"/>
        <v>43160</v>
      </c>
      <c r="C1920" s="5" t="str">
        <f t="shared" si="59"/>
        <v>2018-03</v>
      </c>
      <c r="D1920" s="3">
        <v>278.87</v>
      </c>
      <c r="E1920" s="3">
        <v>158.91999999999999</v>
      </c>
      <c r="F1920" s="3">
        <v>117.91</v>
      </c>
      <c r="G1920" s="3">
        <v>125.54</v>
      </c>
      <c r="H1920" s="3">
        <v>75.58</v>
      </c>
      <c r="I1920" s="2">
        <v>52.97</v>
      </c>
      <c r="J1920" s="2">
        <v>577.17999999999995</v>
      </c>
      <c r="K1920" s="2">
        <v>340.49</v>
      </c>
      <c r="L1920" s="3">
        <v>86.51</v>
      </c>
      <c r="M1920" s="2">
        <v>1.98</v>
      </c>
    </row>
    <row r="1921" spans="1:13">
      <c r="A1921" s="9">
        <v>43167</v>
      </c>
      <c r="B1921" s="1">
        <f t="shared" si="58"/>
        <v>43160</v>
      </c>
      <c r="C1921" s="5" t="str">
        <f t="shared" si="59"/>
        <v>2018-03</v>
      </c>
      <c r="D1921" s="3">
        <v>274.10000000000002</v>
      </c>
      <c r="E1921" s="3">
        <v>156.41999999999999</v>
      </c>
      <c r="F1921" s="3">
        <v>118.69</v>
      </c>
      <c r="G1921" s="3">
        <v>125.42</v>
      </c>
      <c r="H1921" s="3">
        <v>75.17</v>
      </c>
      <c r="I1921" s="2">
        <v>52.13</v>
      </c>
      <c r="J1921" s="2">
        <v>553.39</v>
      </c>
      <c r="K1921" s="2">
        <v>341.78</v>
      </c>
      <c r="L1921" s="3">
        <v>85.28</v>
      </c>
      <c r="M1921" s="2">
        <v>1.94</v>
      </c>
    </row>
    <row r="1922" spans="1:13">
      <c r="A1922" s="9">
        <v>43166</v>
      </c>
      <c r="B1922" s="1">
        <f t="shared" ref="B1922:B1985" si="60">EOMONTH(A1922,-1)+1</f>
        <v>43160</v>
      </c>
      <c r="C1922" s="5" t="str">
        <f t="shared" si="59"/>
        <v>2018-03</v>
      </c>
      <c r="D1922" s="3">
        <v>272.77999999999997</v>
      </c>
      <c r="E1922" s="3">
        <v>156.74</v>
      </c>
      <c r="F1922" s="3">
        <v>118.01</v>
      </c>
      <c r="G1922" s="3">
        <v>125.72</v>
      </c>
      <c r="H1922" s="3">
        <v>75.03</v>
      </c>
      <c r="I1922" s="2">
        <v>51.72</v>
      </c>
      <c r="J1922" s="2">
        <v>547.42999999999995</v>
      </c>
      <c r="K1922" s="2">
        <v>342.2</v>
      </c>
      <c r="L1922" s="3">
        <v>84.71</v>
      </c>
      <c r="M1922" s="2">
        <v>1.96</v>
      </c>
    </row>
    <row r="1923" spans="1:13">
      <c r="A1923" s="9">
        <v>43165</v>
      </c>
      <c r="B1923" s="1">
        <f t="shared" si="60"/>
        <v>43160</v>
      </c>
      <c r="C1923" s="5" t="str">
        <f t="shared" ref="C1923:C1986" si="61">TEXT(A1923, "yyyy-mm")</f>
        <v>2018-03</v>
      </c>
      <c r="D1923" s="3">
        <v>272.88</v>
      </c>
      <c r="E1923" s="3">
        <v>155.37</v>
      </c>
      <c r="F1923" s="3">
        <v>118.14</v>
      </c>
      <c r="G1923" s="3">
        <v>126.53</v>
      </c>
      <c r="H1923" s="3">
        <v>74.569999999999993</v>
      </c>
      <c r="I1923" s="2">
        <v>51.5</v>
      </c>
      <c r="J1923" s="2">
        <v>548.66</v>
      </c>
      <c r="K1923" s="2">
        <v>339.5</v>
      </c>
      <c r="L1923" s="3">
        <v>84.28</v>
      </c>
      <c r="M1923" s="2">
        <v>1.94</v>
      </c>
    </row>
    <row r="1924" spans="1:13">
      <c r="A1924" s="9">
        <v>43164</v>
      </c>
      <c r="B1924" s="1">
        <f t="shared" si="60"/>
        <v>43160</v>
      </c>
      <c r="C1924" s="5" t="str">
        <f t="shared" si="61"/>
        <v>2018-03</v>
      </c>
      <c r="D1924" s="3">
        <v>272.19</v>
      </c>
      <c r="E1924" s="3">
        <v>153.71</v>
      </c>
      <c r="F1924" s="3">
        <v>118.03</v>
      </c>
      <c r="G1924" s="3">
        <v>125.18</v>
      </c>
      <c r="H1924" s="3">
        <v>74.22</v>
      </c>
      <c r="I1924" s="2">
        <v>51.29</v>
      </c>
      <c r="J1924" s="2">
        <v>545.26</v>
      </c>
      <c r="K1924" s="2">
        <v>342.36</v>
      </c>
      <c r="L1924" s="3">
        <v>84.4</v>
      </c>
      <c r="M1924" s="2">
        <v>1.89</v>
      </c>
    </row>
    <row r="1925" spans="1:13">
      <c r="A1925" s="9">
        <v>43161</v>
      </c>
      <c r="B1925" s="1">
        <f t="shared" si="60"/>
        <v>43160</v>
      </c>
      <c r="C1925" s="5" t="str">
        <f t="shared" si="61"/>
        <v>2018-03</v>
      </c>
      <c r="D1925" s="3">
        <v>269.08</v>
      </c>
      <c r="E1925" s="3">
        <v>152.35</v>
      </c>
      <c r="F1925" s="3">
        <v>118.35</v>
      </c>
      <c r="G1925" s="3">
        <v>125.39</v>
      </c>
      <c r="H1925" s="3">
        <v>73.39</v>
      </c>
      <c r="I1925" s="2">
        <v>50.32</v>
      </c>
      <c r="J1925" s="2">
        <v>537.58000000000004</v>
      </c>
      <c r="K1925" s="2">
        <v>341.72</v>
      </c>
      <c r="L1925" s="3">
        <v>83.64</v>
      </c>
      <c r="M1925" s="2">
        <v>1.83</v>
      </c>
    </row>
    <row r="1926" spans="1:13">
      <c r="A1926" s="9">
        <v>43160</v>
      </c>
      <c r="B1926" s="1">
        <f t="shared" si="60"/>
        <v>43160</v>
      </c>
      <c r="C1926" s="5" t="str">
        <f t="shared" si="61"/>
        <v>2018-03</v>
      </c>
      <c r="D1926" s="3">
        <v>267.7</v>
      </c>
      <c r="E1926" s="3">
        <v>149.94999999999999</v>
      </c>
      <c r="F1926" s="3">
        <v>119.32</v>
      </c>
      <c r="G1926" s="3">
        <v>124.72</v>
      </c>
      <c r="H1926" s="3">
        <v>73.42</v>
      </c>
      <c r="I1926" s="2">
        <v>49.71</v>
      </c>
      <c r="J1926" s="2">
        <v>535.58000000000004</v>
      </c>
      <c r="K1926" s="2">
        <v>339.69</v>
      </c>
      <c r="L1926" s="3">
        <v>82.8</v>
      </c>
      <c r="M1926" s="2">
        <v>1.81</v>
      </c>
    </row>
    <row r="1927" spans="1:13">
      <c r="A1927" s="9">
        <v>43159</v>
      </c>
      <c r="B1927" s="1">
        <f t="shared" si="60"/>
        <v>43132</v>
      </c>
      <c r="C1927" s="5" t="str">
        <f t="shared" si="61"/>
        <v>2018-02</v>
      </c>
      <c r="D1927" s="3">
        <v>271.64999999999998</v>
      </c>
      <c r="E1927" s="3">
        <v>150.35</v>
      </c>
      <c r="F1927" s="3">
        <v>118.75</v>
      </c>
      <c r="G1927" s="3">
        <v>125</v>
      </c>
      <c r="H1927" s="3">
        <v>73.349999999999994</v>
      </c>
      <c r="I1927" s="2">
        <v>50.67</v>
      </c>
      <c r="J1927" s="2">
        <v>549.42999999999995</v>
      </c>
      <c r="K1927" s="2">
        <v>352.44</v>
      </c>
      <c r="L1927" s="3">
        <v>84.14</v>
      </c>
      <c r="M1927" s="2">
        <v>1.81</v>
      </c>
    </row>
    <row r="1928" spans="1:13">
      <c r="A1928" s="9">
        <v>43158</v>
      </c>
      <c r="B1928" s="1">
        <f t="shared" si="60"/>
        <v>43132</v>
      </c>
      <c r="C1928" s="5" t="str">
        <f t="shared" si="61"/>
        <v>2018-02</v>
      </c>
      <c r="D1928" s="3">
        <v>274.43</v>
      </c>
      <c r="E1928" s="3">
        <v>152.76</v>
      </c>
      <c r="F1928" s="3">
        <v>118</v>
      </c>
      <c r="G1928" s="3">
        <v>125.13</v>
      </c>
      <c r="H1928" s="3">
        <v>73.400000000000006</v>
      </c>
      <c r="I1928" s="2">
        <v>50.73</v>
      </c>
      <c r="J1928" s="2">
        <v>552.77</v>
      </c>
      <c r="K1928" s="2">
        <v>358.17</v>
      </c>
      <c r="L1928" s="3">
        <v>85.51</v>
      </c>
      <c r="M1928" s="2">
        <v>1.86</v>
      </c>
    </row>
    <row r="1929" spans="1:13">
      <c r="A1929" s="9">
        <v>43157</v>
      </c>
      <c r="B1929" s="1">
        <f t="shared" si="60"/>
        <v>43132</v>
      </c>
      <c r="C1929" s="5" t="str">
        <f t="shared" si="61"/>
        <v>2018-02</v>
      </c>
      <c r="D1929" s="3">
        <v>277.89999999999998</v>
      </c>
      <c r="E1929" s="3">
        <v>154.99</v>
      </c>
      <c r="F1929" s="3">
        <v>118.17</v>
      </c>
      <c r="G1929" s="3">
        <v>126.45</v>
      </c>
      <c r="H1929" s="3">
        <v>75.150000000000006</v>
      </c>
      <c r="I1929" s="2">
        <v>51.17</v>
      </c>
      <c r="J1929" s="2">
        <v>563.97</v>
      </c>
      <c r="K1929" s="2">
        <v>358.7</v>
      </c>
      <c r="L1929" s="3">
        <v>86.41</v>
      </c>
      <c r="M1929" s="2">
        <v>1.89</v>
      </c>
    </row>
    <row r="1930" spans="1:13">
      <c r="A1930" s="9">
        <v>43154</v>
      </c>
      <c r="B1930" s="1">
        <f t="shared" si="60"/>
        <v>43132</v>
      </c>
      <c r="C1930" s="5" t="str">
        <f t="shared" si="61"/>
        <v>2018-02</v>
      </c>
      <c r="D1930" s="3">
        <v>274.70999999999998</v>
      </c>
      <c r="E1930" s="3">
        <v>153.97999999999999</v>
      </c>
      <c r="F1930" s="3">
        <v>118.13</v>
      </c>
      <c r="G1930" s="3">
        <v>126.14</v>
      </c>
      <c r="H1930" s="3">
        <v>74.94</v>
      </c>
      <c r="I1930" s="2">
        <v>50.5</v>
      </c>
      <c r="J1930" s="2">
        <v>549.75</v>
      </c>
      <c r="K1930" s="2">
        <v>358.69</v>
      </c>
      <c r="L1930" s="3">
        <v>85.33</v>
      </c>
      <c r="M1930" s="2">
        <v>1.85</v>
      </c>
    </row>
    <row r="1931" spans="1:13">
      <c r="A1931" s="9">
        <v>43153</v>
      </c>
      <c r="B1931" s="1">
        <f t="shared" si="60"/>
        <v>43132</v>
      </c>
      <c r="C1931" s="5" t="str">
        <f t="shared" si="61"/>
        <v>2018-02</v>
      </c>
      <c r="D1931" s="3">
        <v>270.39999999999998</v>
      </c>
      <c r="E1931" s="3">
        <v>152</v>
      </c>
      <c r="F1931" s="3">
        <v>117.09</v>
      </c>
      <c r="G1931" s="3">
        <v>126.3</v>
      </c>
      <c r="H1931" s="3">
        <v>73.760000000000005</v>
      </c>
      <c r="I1931" s="2">
        <v>49.59</v>
      </c>
      <c r="J1931" s="2">
        <v>539.53</v>
      </c>
      <c r="K1931" s="2">
        <v>355.41</v>
      </c>
      <c r="L1931" s="3">
        <v>83.99</v>
      </c>
      <c r="M1931" s="2">
        <v>1.84</v>
      </c>
    </row>
    <row r="1932" spans="1:13">
      <c r="A1932" s="9">
        <v>43152</v>
      </c>
      <c r="B1932" s="1">
        <f t="shared" si="60"/>
        <v>43132</v>
      </c>
      <c r="C1932" s="5" t="str">
        <f t="shared" si="61"/>
        <v>2018-02</v>
      </c>
      <c r="D1932" s="3">
        <v>270.05</v>
      </c>
      <c r="E1932" s="3">
        <v>152.24</v>
      </c>
      <c r="F1932" s="3">
        <v>116.74</v>
      </c>
      <c r="G1932" s="3">
        <v>125.66</v>
      </c>
      <c r="H1932" s="3">
        <v>72.930000000000007</v>
      </c>
      <c r="I1932" s="2">
        <v>49.43</v>
      </c>
      <c r="J1932" s="2">
        <v>543.55999999999995</v>
      </c>
      <c r="K1932" s="2">
        <v>357.06</v>
      </c>
      <c r="L1932" s="3">
        <v>84.12</v>
      </c>
      <c r="M1932" s="2">
        <v>1.82</v>
      </c>
    </row>
    <row r="1933" spans="1:13">
      <c r="A1933" s="9">
        <v>43151</v>
      </c>
      <c r="B1933" s="1">
        <f t="shared" si="60"/>
        <v>43132</v>
      </c>
      <c r="C1933" s="5" t="str">
        <f t="shared" si="61"/>
        <v>2018-02</v>
      </c>
      <c r="D1933" s="3">
        <v>271.39999999999998</v>
      </c>
      <c r="E1933" s="3">
        <v>152.08000000000001</v>
      </c>
      <c r="F1933" s="3">
        <v>118.19</v>
      </c>
      <c r="G1933" s="3">
        <v>126.24</v>
      </c>
      <c r="H1933" s="3">
        <v>74.400000000000006</v>
      </c>
      <c r="I1933" s="2">
        <v>49.89</v>
      </c>
      <c r="J1933" s="2">
        <v>542.6</v>
      </c>
      <c r="K1933" s="2">
        <v>358.69</v>
      </c>
      <c r="L1933" s="3">
        <v>84.47</v>
      </c>
      <c r="M1933" s="2">
        <v>1.89</v>
      </c>
    </row>
    <row r="1934" spans="1:13">
      <c r="A1934" s="9">
        <v>43147</v>
      </c>
      <c r="B1934" s="1">
        <f t="shared" si="60"/>
        <v>43132</v>
      </c>
      <c r="C1934" s="5" t="str">
        <f t="shared" si="61"/>
        <v>2018-02</v>
      </c>
      <c r="D1934" s="3">
        <v>273.11</v>
      </c>
      <c r="E1934" s="3">
        <v>153.34</v>
      </c>
      <c r="F1934" s="3">
        <v>118.71</v>
      </c>
      <c r="G1934" s="3">
        <v>127.96</v>
      </c>
      <c r="H1934" s="3">
        <v>75.290000000000006</v>
      </c>
      <c r="I1934" s="2">
        <v>50.71</v>
      </c>
      <c r="J1934" s="2">
        <v>541.1</v>
      </c>
      <c r="K1934" s="2">
        <v>360.53</v>
      </c>
      <c r="L1934" s="3">
        <v>85.41</v>
      </c>
      <c r="M1934" s="2">
        <v>1.91</v>
      </c>
    </row>
    <row r="1935" spans="1:13">
      <c r="A1935" s="9">
        <v>43146</v>
      </c>
      <c r="B1935" s="1">
        <f t="shared" si="60"/>
        <v>43132</v>
      </c>
      <c r="C1935" s="5" t="str">
        <f t="shared" si="61"/>
        <v>2018-02</v>
      </c>
      <c r="D1935" s="3">
        <v>273.02999999999997</v>
      </c>
      <c r="E1935" s="3">
        <v>152.80000000000001</v>
      </c>
      <c r="F1935" s="3">
        <v>118.07</v>
      </c>
      <c r="G1935" s="3">
        <v>128.38</v>
      </c>
      <c r="H1935" s="3">
        <v>74.88</v>
      </c>
      <c r="I1935" s="2">
        <v>50.64</v>
      </c>
      <c r="J1935" s="2">
        <v>540.65</v>
      </c>
      <c r="K1935" s="2">
        <v>361</v>
      </c>
      <c r="L1935" s="3">
        <v>84.8</v>
      </c>
      <c r="M1935" s="2">
        <v>1.95</v>
      </c>
    </row>
    <row r="1936" spans="1:13">
      <c r="A1936" s="9">
        <v>43145</v>
      </c>
      <c r="B1936" s="1">
        <f t="shared" si="60"/>
        <v>43132</v>
      </c>
      <c r="C1936" s="5" t="str">
        <f t="shared" si="61"/>
        <v>2018-02</v>
      </c>
      <c r="D1936" s="3">
        <v>269.58999999999997</v>
      </c>
      <c r="E1936" s="3">
        <v>151.15</v>
      </c>
      <c r="F1936" s="3">
        <v>117.67</v>
      </c>
      <c r="G1936" s="3">
        <v>128.22999999999999</v>
      </c>
      <c r="H1936" s="3">
        <v>74.16</v>
      </c>
      <c r="I1936" s="2">
        <v>49.45</v>
      </c>
      <c r="J1936" s="2">
        <v>539.94000000000005</v>
      </c>
      <c r="K1936" s="2">
        <v>354.66</v>
      </c>
      <c r="L1936" s="3">
        <v>83.87</v>
      </c>
      <c r="M1936" s="2">
        <v>1.93</v>
      </c>
    </row>
    <row r="1937" spans="1:13">
      <c r="A1937" s="9">
        <v>43144</v>
      </c>
      <c r="B1937" s="1">
        <f t="shared" si="60"/>
        <v>43132</v>
      </c>
      <c r="C1937" s="5" t="str">
        <f t="shared" si="61"/>
        <v>2018-02</v>
      </c>
      <c r="D1937" s="3">
        <v>266</v>
      </c>
      <c r="E1937" s="3">
        <v>148.47999999999999</v>
      </c>
      <c r="F1937" s="3">
        <v>118.99</v>
      </c>
      <c r="G1937" s="3">
        <v>126.08</v>
      </c>
      <c r="H1937" s="3">
        <v>74.7</v>
      </c>
      <c r="I1937" s="2">
        <v>48.49</v>
      </c>
      <c r="J1937" s="2">
        <v>521.27</v>
      </c>
      <c r="K1937" s="2">
        <v>350.23</v>
      </c>
      <c r="L1937" s="3">
        <v>82.93</v>
      </c>
      <c r="M1937" s="2">
        <v>1.84</v>
      </c>
    </row>
    <row r="1938" spans="1:13">
      <c r="A1938" s="9">
        <v>43143</v>
      </c>
      <c r="B1938" s="1">
        <f t="shared" si="60"/>
        <v>43132</v>
      </c>
      <c r="C1938" s="5" t="str">
        <f t="shared" si="61"/>
        <v>2018-02</v>
      </c>
      <c r="D1938" s="3">
        <v>265.33999999999997</v>
      </c>
      <c r="E1938" s="3">
        <v>148.16</v>
      </c>
      <c r="F1938" s="3">
        <v>118.46</v>
      </c>
      <c r="G1938" s="3">
        <v>125.37</v>
      </c>
      <c r="H1938" s="3">
        <v>74.180000000000007</v>
      </c>
      <c r="I1938" s="2">
        <v>48.15</v>
      </c>
      <c r="J1938" s="2">
        <v>525.38</v>
      </c>
      <c r="K1938" s="2">
        <v>345.81</v>
      </c>
      <c r="L1938" s="3">
        <v>82.87</v>
      </c>
      <c r="M1938" s="2">
        <v>1.88</v>
      </c>
    </row>
    <row r="1939" spans="1:13">
      <c r="A1939" s="9">
        <v>43140</v>
      </c>
      <c r="B1939" s="1">
        <f t="shared" si="60"/>
        <v>43132</v>
      </c>
      <c r="C1939" s="5" t="str">
        <f t="shared" si="61"/>
        <v>2018-02</v>
      </c>
      <c r="D1939" s="3">
        <v>261.5</v>
      </c>
      <c r="E1939" s="3">
        <v>146.77000000000001</v>
      </c>
      <c r="F1939" s="3">
        <v>117.94</v>
      </c>
      <c r="G1939" s="3">
        <v>124.77</v>
      </c>
      <c r="H1939" s="3">
        <v>74.150000000000006</v>
      </c>
      <c r="I1939" s="2">
        <v>47.73</v>
      </c>
      <c r="J1939" s="2">
        <v>521.51</v>
      </c>
      <c r="K1939" s="2">
        <v>341.42</v>
      </c>
      <c r="L1939" s="3">
        <v>82.1</v>
      </c>
      <c r="M1939" s="2">
        <v>1.89</v>
      </c>
    </row>
    <row r="1940" spans="1:13">
      <c r="A1940" s="9">
        <v>43139</v>
      </c>
      <c r="B1940" s="1">
        <f t="shared" si="60"/>
        <v>43132</v>
      </c>
      <c r="C1940" s="5" t="str">
        <f t="shared" si="61"/>
        <v>2018-02</v>
      </c>
      <c r="D1940" s="3">
        <v>257.63</v>
      </c>
      <c r="E1940" s="3">
        <v>145.44</v>
      </c>
      <c r="F1940" s="3">
        <v>118.69</v>
      </c>
      <c r="G1940" s="3">
        <v>124.98</v>
      </c>
      <c r="H1940" s="3">
        <v>72.34</v>
      </c>
      <c r="I1940" s="2">
        <v>46.84</v>
      </c>
      <c r="J1940" s="2">
        <v>509.38</v>
      </c>
      <c r="K1940" s="2">
        <v>334.3</v>
      </c>
      <c r="L1940" s="3">
        <v>80.95</v>
      </c>
      <c r="M1940" s="2">
        <v>1.86</v>
      </c>
    </row>
    <row r="1941" spans="1:13">
      <c r="A1941" s="9">
        <v>43138</v>
      </c>
      <c r="B1941" s="1">
        <f t="shared" si="60"/>
        <v>43132</v>
      </c>
      <c r="C1941" s="5" t="str">
        <f t="shared" si="61"/>
        <v>2018-02</v>
      </c>
      <c r="D1941" s="3">
        <v>267.67</v>
      </c>
      <c r="E1941" s="3">
        <v>149.84</v>
      </c>
      <c r="F1941" s="3">
        <v>118.82</v>
      </c>
      <c r="G1941" s="3">
        <v>124.79</v>
      </c>
      <c r="H1941" s="3">
        <v>74.48</v>
      </c>
      <c r="I1941" s="2">
        <v>48.87</v>
      </c>
      <c r="J1941" s="2">
        <v>532.26</v>
      </c>
      <c r="K1941" s="2">
        <v>345.43</v>
      </c>
      <c r="L1941" s="3">
        <v>83.86</v>
      </c>
      <c r="M1941" s="2">
        <v>1.98</v>
      </c>
    </row>
    <row r="1942" spans="1:13">
      <c r="A1942" s="9">
        <v>43137</v>
      </c>
      <c r="B1942" s="1">
        <f t="shared" si="60"/>
        <v>43132</v>
      </c>
      <c r="C1942" s="5" t="str">
        <f t="shared" si="61"/>
        <v>2018-02</v>
      </c>
      <c r="D1942" s="3">
        <v>269.13</v>
      </c>
      <c r="E1942" s="3">
        <v>149.69</v>
      </c>
      <c r="F1942" s="3">
        <v>119.96</v>
      </c>
      <c r="G1942" s="3">
        <v>125.38</v>
      </c>
      <c r="H1942" s="3">
        <v>74.8</v>
      </c>
      <c r="I1942" s="2">
        <v>49.4</v>
      </c>
      <c r="J1942" s="2">
        <v>535.22</v>
      </c>
      <c r="K1942" s="2">
        <v>337.59</v>
      </c>
      <c r="L1942" s="3">
        <v>83.96</v>
      </c>
      <c r="M1942" s="2">
        <v>1.96</v>
      </c>
    </row>
    <row r="1943" spans="1:13">
      <c r="A1943" s="9">
        <v>43136</v>
      </c>
      <c r="B1943" s="1">
        <f t="shared" si="60"/>
        <v>43132</v>
      </c>
      <c r="C1943" s="5" t="str">
        <f t="shared" si="61"/>
        <v>2018-02</v>
      </c>
      <c r="D1943" s="3">
        <v>263.93</v>
      </c>
      <c r="E1943" s="3">
        <v>147.91999999999999</v>
      </c>
      <c r="F1943" s="3">
        <v>120.71</v>
      </c>
      <c r="G1943" s="3">
        <v>126.71</v>
      </c>
      <c r="H1943" s="3">
        <v>74.790000000000006</v>
      </c>
      <c r="I1943" s="2">
        <v>48.09</v>
      </c>
      <c r="J1943" s="2">
        <v>524.97</v>
      </c>
      <c r="K1943" s="2">
        <v>336.46</v>
      </c>
      <c r="L1943" s="3">
        <v>83.04</v>
      </c>
      <c r="M1943" s="2">
        <v>1.93</v>
      </c>
    </row>
    <row r="1944" spans="1:13">
      <c r="A1944" s="9">
        <v>43133</v>
      </c>
      <c r="B1944" s="1">
        <f t="shared" si="60"/>
        <v>43132</v>
      </c>
      <c r="C1944" s="5" t="str">
        <f t="shared" si="61"/>
        <v>2018-02</v>
      </c>
      <c r="D1944" s="3">
        <v>275.45</v>
      </c>
      <c r="E1944" s="3">
        <v>153.83000000000001</v>
      </c>
      <c r="F1944" s="3">
        <v>119.58</v>
      </c>
      <c r="G1944" s="3">
        <v>126.39</v>
      </c>
      <c r="H1944" s="3">
        <v>77.08</v>
      </c>
      <c r="I1944" s="2">
        <v>50.13</v>
      </c>
      <c r="J1944" s="2">
        <v>548.32000000000005</v>
      </c>
      <c r="K1944" s="2">
        <v>352.66</v>
      </c>
      <c r="L1944" s="3">
        <v>86.89</v>
      </c>
      <c r="M1944" s="2">
        <v>2.06</v>
      </c>
    </row>
    <row r="1945" spans="1:13">
      <c r="A1945" s="9">
        <v>43132</v>
      </c>
      <c r="B1945" s="1">
        <f t="shared" si="60"/>
        <v>43132</v>
      </c>
      <c r="C1945" s="5" t="str">
        <f t="shared" si="61"/>
        <v>2018-02</v>
      </c>
      <c r="D1945" s="3">
        <v>281.58</v>
      </c>
      <c r="E1945" s="3">
        <v>156.85</v>
      </c>
      <c r="F1945" s="3">
        <v>120.7</v>
      </c>
      <c r="G1945" s="3">
        <v>128.07</v>
      </c>
      <c r="H1945" s="3">
        <v>77.739999999999995</v>
      </c>
      <c r="I1945" s="2">
        <v>51.63</v>
      </c>
      <c r="J1945" s="2">
        <v>565.19000000000005</v>
      </c>
      <c r="K1945" s="2">
        <v>357.38</v>
      </c>
      <c r="L1945" s="3">
        <v>88.13</v>
      </c>
      <c r="M1945" s="2">
        <v>2.2599999999999998</v>
      </c>
    </row>
    <row r="1946" spans="1:13">
      <c r="A1946" s="9">
        <v>43131</v>
      </c>
      <c r="B1946" s="1">
        <f t="shared" si="60"/>
        <v>43101</v>
      </c>
      <c r="C1946" s="5" t="str">
        <f t="shared" si="61"/>
        <v>2018-01</v>
      </c>
      <c r="D1946" s="3">
        <v>281.89999999999998</v>
      </c>
      <c r="E1946" s="3">
        <v>156.36000000000001</v>
      </c>
      <c r="F1946" s="3">
        <v>122.73</v>
      </c>
      <c r="G1946" s="3">
        <v>127.65</v>
      </c>
      <c r="H1946" s="3">
        <v>79.45</v>
      </c>
      <c r="I1946" s="2">
        <v>51.59</v>
      </c>
      <c r="J1946" s="2">
        <v>561.79999999999995</v>
      </c>
      <c r="K1946" s="2">
        <v>354.85</v>
      </c>
      <c r="L1946" s="3">
        <v>88.1</v>
      </c>
      <c r="M1946" s="2">
        <v>2.2799999999999998</v>
      </c>
    </row>
    <row r="1947" spans="1:13">
      <c r="A1947" s="9">
        <v>43130</v>
      </c>
      <c r="B1947" s="1">
        <f t="shared" si="60"/>
        <v>43101</v>
      </c>
      <c r="C1947" s="5" t="str">
        <f t="shared" si="61"/>
        <v>2018-01</v>
      </c>
      <c r="D1947" s="3">
        <v>281.76</v>
      </c>
      <c r="E1947" s="3">
        <v>157.18</v>
      </c>
      <c r="F1947" s="3">
        <v>122.01</v>
      </c>
      <c r="G1947" s="3">
        <v>126.8</v>
      </c>
      <c r="H1947" s="3">
        <v>78.05</v>
      </c>
      <c r="I1947" s="2">
        <v>50.96</v>
      </c>
      <c r="J1947" s="2">
        <v>562.29</v>
      </c>
      <c r="K1947" s="2">
        <v>350.39</v>
      </c>
      <c r="L1947" s="3">
        <v>89.37</v>
      </c>
      <c r="M1947" s="2">
        <v>2.4700000000000002</v>
      </c>
    </row>
    <row r="1948" spans="1:13">
      <c r="A1948" s="9">
        <v>43129</v>
      </c>
      <c r="B1948" s="1">
        <f t="shared" si="60"/>
        <v>43101</v>
      </c>
      <c r="C1948" s="5" t="str">
        <f t="shared" si="61"/>
        <v>2018-01</v>
      </c>
      <c r="D1948" s="3">
        <v>284.68</v>
      </c>
      <c r="E1948" s="3">
        <v>158.69999999999999</v>
      </c>
      <c r="F1948" s="3">
        <v>122.73</v>
      </c>
      <c r="G1948" s="3">
        <v>127.35</v>
      </c>
      <c r="H1948" s="3">
        <v>78.62</v>
      </c>
      <c r="I1948" s="2">
        <v>51.94</v>
      </c>
      <c r="J1948" s="2">
        <v>574.41999999999996</v>
      </c>
      <c r="K1948" s="2">
        <v>351.42</v>
      </c>
      <c r="L1948" s="3">
        <v>91.29</v>
      </c>
      <c r="M1948" s="2">
        <v>2.4500000000000002</v>
      </c>
    </row>
    <row r="1949" spans="1:13">
      <c r="A1949" s="9">
        <v>43126</v>
      </c>
      <c r="B1949" s="1">
        <f t="shared" si="60"/>
        <v>43101</v>
      </c>
      <c r="C1949" s="5" t="str">
        <f t="shared" si="61"/>
        <v>2018-01</v>
      </c>
      <c r="D1949" s="3">
        <v>286.58</v>
      </c>
      <c r="E1949" s="3">
        <v>159.6</v>
      </c>
      <c r="F1949" s="3">
        <v>123.59</v>
      </c>
      <c r="G1949" s="3">
        <v>128.07</v>
      </c>
      <c r="H1949" s="3">
        <v>79.69</v>
      </c>
      <c r="I1949" s="2">
        <v>52.75</v>
      </c>
      <c r="J1949" s="2">
        <v>586.79999999999995</v>
      </c>
      <c r="K1949" s="2">
        <v>344.9</v>
      </c>
      <c r="L1949" s="3">
        <v>91.54</v>
      </c>
      <c r="M1949" s="2">
        <v>2.39</v>
      </c>
    </row>
    <row r="1950" spans="1:13">
      <c r="A1950" s="9">
        <v>43125</v>
      </c>
      <c r="B1950" s="1">
        <f t="shared" si="60"/>
        <v>43101</v>
      </c>
      <c r="C1950" s="5" t="str">
        <f t="shared" si="61"/>
        <v>2018-01</v>
      </c>
      <c r="D1950" s="3">
        <v>283.3</v>
      </c>
      <c r="E1950" s="3">
        <v>159.03</v>
      </c>
      <c r="F1950" s="3">
        <v>124.05</v>
      </c>
      <c r="G1950" s="3">
        <v>127.97</v>
      </c>
      <c r="H1950" s="3">
        <v>79.97</v>
      </c>
      <c r="I1950" s="2">
        <v>51.6</v>
      </c>
      <c r="J1950" s="2">
        <v>575.5</v>
      </c>
      <c r="K1950" s="2">
        <v>334.72</v>
      </c>
      <c r="L1950" s="3">
        <v>89.61</v>
      </c>
      <c r="M1950" s="2">
        <v>2.27</v>
      </c>
    </row>
    <row r="1951" spans="1:13">
      <c r="A1951" s="9">
        <v>43124</v>
      </c>
      <c r="B1951" s="1">
        <f t="shared" si="60"/>
        <v>43101</v>
      </c>
      <c r="C1951" s="5" t="str">
        <f t="shared" si="61"/>
        <v>2018-01</v>
      </c>
      <c r="D1951" s="3">
        <v>283.18</v>
      </c>
      <c r="E1951" s="3">
        <v>158.97</v>
      </c>
      <c r="F1951" s="3">
        <v>123.04</v>
      </c>
      <c r="G1951" s="3">
        <v>128.83000000000001</v>
      </c>
      <c r="H1951" s="3">
        <v>80.11</v>
      </c>
      <c r="I1951" s="2">
        <v>51.45</v>
      </c>
      <c r="J1951" s="2">
        <v>587.66999999999996</v>
      </c>
      <c r="K1951" s="2">
        <v>330.49</v>
      </c>
      <c r="L1951" s="3">
        <v>88.85</v>
      </c>
      <c r="M1951" s="2">
        <v>2.2799999999999998</v>
      </c>
    </row>
    <row r="1952" spans="1:13">
      <c r="A1952" s="9">
        <v>43123</v>
      </c>
      <c r="B1952" s="1">
        <f t="shared" si="60"/>
        <v>43101</v>
      </c>
      <c r="C1952" s="5" t="str">
        <f t="shared" si="61"/>
        <v>2018-01</v>
      </c>
      <c r="D1952" s="3">
        <v>283.29000000000002</v>
      </c>
      <c r="E1952" s="3">
        <v>159.96</v>
      </c>
      <c r="F1952" s="3">
        <v>123.71</v>
      </c>
      <c r="G1952" s="3">
        <v>127.28</v>
      </c>
      <c r="H1952" s="3">
        <v>80.53</v>
      </c>
      <c r="I1952" s="2">
        <v>51.12</v>
      </c>
      <c r="J1952" s="2">
        <v>589.67999999999995</v>
      </c>
      <c r="K1952" s="2">
        <v>328.7</v>
      </c>
      <c r="L1952" s="3">
        <v>88.59</v>
      </c>
      <c r="M1952" s="2">
        <v>2.29</v>
      </c>
    </row>
    <row r="1953" spans="1:13">
      <c r="A1953" s="9">
        <v>43122</v>
      </c>
      <c r="B1953" s="1">
        <f t="shared" si="60"/>
        <v>43101</v>
      </c>
      <c r="C1953" s="5" t="str">
        <f t="shared" si="61"/>
        <v>2018-01</v>
      </c>
      <c r="D1953" s="3">
        <v>282.69</v>
      </c>
      <c r="E1953" s="3">
        <v>159.44999999999999</v>
      </c>
      <c r="F1953" s="3">
        <v>123.18</v>
      </c>
      <c r="G1953" s="3">
        <v>126.65</v>
      </c>
      <c r="H1953" s="3">
        <v>79.430000000000007</v>
      </c>
      <c r="I1953" s="2">
        <v>50.71</v>
      </c>
      <c r="J1953" s="2">
        <v>593.26</v>
      </c>
      <c r="K1953" s="2">
        <v>329</v>
      </c>
      <c r="L1953" s="3">
        <v>89.02</v>
      </c>
      <c r="M1953" s="2">
        <v>2.34</v>
      </c>
    </row>
    <row r="1954" spans="1:13">
      <c r="A1954" s="9">
        <v>43119</v>
      </c>
      <c r="B1954" s="1">
        <f t="shared" si="60"/>
        <v>43101</v>
      </c>
      <c r="C1954" s="5" t="str">
        <f t="shared" si="61"/>
        <v>2018-01</v>
      </c>
      <c r="D1954" s="3">
        <v>280.41000000000003</v>
      </c>
      <c r="E1954" s="3">
        <v>158.6</v>
      </c>
      <c r="F1954" s="3">
        <v>123.06</v>
      </c>
      <c r="G1954" s="3">
        <v>126.42</v>
      </c>
      <c r="H1954" s="3">
        <v>78.709999999999994</v>
      </c>
      <c r="I1954" s="2">
        <v>50.58</v>
      </c>
      <c r="J1954" s="2">
        <v>590.26</v>
      </c>
      <c r="K1954" s="2">
        <v>332</v>
      </c>
      <c r="L1954" s="3">
        <v>88.44</v>
      </c>
      <c r="M1954" s="2">
        <v>2.2799999999999998</v>
      </c>
    </row>
    <row r="1955" spans="1:13">
      <c r="A1955" s="9">
        <v>43118</v>
      </c>
      <c r="B1955" s="1">
        <f t="shared" si="60"/>
        <v>43101</v>
      </c>
      <c r="C1955" s="5" t="str">
        <f t="shared" si="61"/>
        <v>2018-01</v>
      </c>
      <c r="D1955" s="3">
        <v>279.14</v>
      </c>
      <c r="E1955" s="3">
        <v>156.54</v>
      </c>
      <c r="F1955" s="3">
        <v>123.71</v>
      </c>
      <c r="G1955" s="3">
        <v>125.86</v>
      </c>
      <c r="H1955" s="3">
        <v>78.290000000000006</v>
      </c>
      <c r="I1955" s="2">
        <v>50.23</v>
      </c>
      <c r="J1955" s="2">
        <v>579.22</v>
      </c>
      <c r="K1955" s="2">
        <v>333</v>
      </c>
      <c r="L1955" s="3">
        <v>88.11</v>
      </c>
      <c r="M1955" s="2">
        <v>2.15</v>
      </c>
    </row>
    <row r="1956" spans="1:13">
      <c r="A1956" s="9">
        <v>43117</v>
      </c>
      <c r="B1956" s="1">
        <f t="shared" si="60"/>
        <v>43101</v>
      </c>
      <c r="C1956" s="5" t="str">
        <f t="shared" si="61"/>
        <v>2018-01</v>
      </c>
      <c r="D1956" s="3">
        <v>279.61</v>
      </c>
      <c r="E1956" s="3">
        <v>157.62</v>
      </c>
      <c r="F1956" s="3">
        <v>124.87</v>
      </c>
      <c r="G1956" s="3">
        <v>126.14</v>
      </c>
      <c r="H1956" s="3">
        <v>79.31</v>
      </c>
      <c r="I1956" s="2">
        <v>50.27</v>
      </c>
      <c r="J1956" s="2">
        <v>576.51</v>
      </c>
      <c r="K1956" s="2">
        <v>334.86</v>
      </c>
      <c r="L1956" s="3">
        <v>88.09</v>
      </c>
      <c r="M1956" s="2">
        <v>2.17</v>
      </c>
    </row>
    <row r="1957" spans="1:13">
      <c r="A1957" s="9">
        <v>43116</v>
      </c>
      <c r="B1957" s="1">
        <f t="shared" si="60"/>
        <v>43101</v>
      </c>
      <c r="C1957" s="5" t="str">
        <f t="shared" si="61"/>
        <v>2018-01</v>
      </c>
      <c r="D1957" s="3">
        <v>276.97000000000003</v>
      </c>
      <c r="E1957" s="3">
        <v>156.13999999999999</v>
      </c>
      <c r="F1957" s="3">
        <v>125.04</v>
      </c>
      <c r="G1957" s="3">
        <v>127.17</v>
      </c>
      <c r="H1957" s="3">
        <v>78.760000000000005</v>
      </c>
      <c r="I1957" s="2">
        <v>49.59</v>
      </c>
      <c r="J1957" s="2">
        <v>563</v>
      </c>
      <c r="K1957" s="2">
        <v>330.11</v>
      </c>
      <c r="L1957" s="3">
        <v>87.25</v>
      </c>
      <c r="M1957" s="2">
        <v>2.15</v>
      </c>
    </row>
    <row r="1958" spans="1:13">
      <c r="A1958" s="9">
        <v>43112</v>
      </c>
      <c r="B1958" s="1">
        <f t="shared" si="60"/>
        <v>43101</v>
      </c>
      <c r="C1958" s="5" t="str">
        <f t="shared" si="61"/>
        <v>2018-01</v>
      </c>
      <c r="D1958" s="3">
        <v>277.92</v>
      </c>
      <c r="E1958" s="3">
        <v>158.16</v>
      </c>
      <c r="F1958" s="3">
        <v>124.52</v>
      </c>
      <c r="G1958" s="3">
        <v>126.96</v>
      </c>
      <c r="H1958" s="3">
        <v>78.61</v>
      </c>
      <c r="I1958" s="2">
        <v>49.51</v>
      </c>
      <c r="J1958" s="2">
        <v>555.53</v>
      </c>
      <c r="K1958" s="2">
        <v>336.25</v>
      </c>
      <c r="L1958" s="3">
        <v>86.82</v>
      </c>
      <c r="M1958" s="2">
        <v>2.15</v>
      </c>
    </row>
    <row r="1959" spans="1:13">
      <c r="A1959" s="9">
        <v>43111</v>
      </c>
      <c r="B1959" s="1">
        <f t="shared" si="60"/>
        <v>43101</v>
      </c>
      <c r="C1959" s="5" t="str">
        <f t="shared" si="61"/>
        <v>2018-01</v>
      </c>
      <c r="D1959" s="3">
        <v>276.12</v>
      </c>
      <c r="E1959" s="3">
        <v>157.5</v>
      </c>
      <c r="F1959" s="3">
        <v>124.31</v>
      </c>
      <c r="G1959" s="3">
        <v>125.44</v>
      </c>
      <c r="H1959" s="3">
        <v>79.25</v>
      </c>
      <c r="I1959" s="2">
        <v>48.95</v>
      </c>
      <c r="J1959" s="2">
        <v>537.91999999999996</v>
      </c>
      <c r="K1959" s="2">
        <v>331.13</v>
      </c>
      <c r="L1959" s="3">
        <v>86.16</v>
      </c>
      <c r="M1959" s="2">
        <v>2.17</v>
      </c>
    </row>
    <row r="1960" spans="1:13">
      <c r="A1960" s="9">
        <v>43110</v>
      </c>
      <c r="B1960" s="1">
        <f t="shared" si="60"/>
        <v>43101</v>
      </c>
      <c r="C1960" s="5" t="str">
        <f t="shared" si="61"/>
        <v>2018-01</v>
      </c>
      <c r="D1960" s="3">
        <v>274.12</v>
      </c>
      <c r="E1960" s="3">
        <v>154.84</v>
      </c>
      <c r="F1960" s="3">
        <v>123.8</v>
      </c>
      <c r="G1960" s="3">
        <v>125.03</v>
      </c>
      <c r="H1960" s="3">
        <v>79.52</v>
      </c>
      <c r="I1960" s="2">
        <v>48.8</v>
      </c>
      <c r="J1960" s="2">
        <v>531.57000000000005</v>
      </c>
      <c r="K1960" s="2">
        <v>331.05</v>
      </c>
      <c r="L1960" s="3">
        <v>85.79</v>
      </c>
      <c r="M1960" s="2">
        <v>2.13</v>
      </c>
    </row>
    <row r="1961" spans="1:13">
      <c r="A1961" s="9">
        <v>43109</v>
      </c>
      <c r="B1961" s="1">
        <f t="shared" si="60"/>
        <v>43101</v>
      </c>
      <c r="C1961" s="5" t="str">
        <f t="shared" si="61"/>
        <v>2018-01</v>
      </c>
      <c r="D1961" s="3">
        <v>274.54000000000002</v>
      </c>
      <c r="E1961" s="3">
        <v>154.82</v>
      </c>
      <c r="F1961" s="3">
        <v>123.95</v>
      </c>
      <c r="G1961" s="3">
        <v>124.73</v>
      </c>
      <c r="H1961" s="3">
        <v>80.42</v>
      </c>
      <c r="I1961" s="2">
        <v>49.06</v>
      </c>
      <c r="J1961" s="2">
        <v>533.94000000000005</v>
      </c>
      <c r="K1961" s="2">
        <v>330.51</v>
      </c>
      <c r="L1961" s="3">
        <v>85.94</v>
      </c>
      <c r="M1961" s="2">
        <v>2.13</v>
      </c>
    </row>
    <row r="1962" spans="1:13">
      <c r="A1962" s="9">
        <v>43108</v>
      </c>
      <c r="B1962" s="1">
        <f t="shared" si="60"/>
        <v>43101</v>
      </c>
      <c r="C1962" s="5" t="str">
        <f t="shared" si="61"/>
        <v>2018-01</v>
      </c>
      <c r="D1962" s="3">
        <v>273.92</v>
      </c>
      <c r="E1962" s="3">
        <v>155.03</v>
      </c>
      <c r="F1962" s="3">
        <v>125.63</v>
      </c>
      <c r="G1962" s="3">
        <v>125.31</v>
      </c>
      <c r="H1962" s="3">
        <v>81.47</v>
      </c>
      <c r="I1962" s="2">
        <v>48.98</v>
      </c>
      <c r="J1962" s="2">
        <v>529.49</v>
      </c>
      <c r="K1962" s="2">
        <v>328.16</v>
      </c>
      <c r="L1962" s="3">
        <v>84.94</v>
      </c>
      <c r="M1962" s="2">
        <v>2.1800000000000002</v>
      </c>
    </row>
    <row r="1963" spans="1:13">
      <c r="A1963" s="9">
        <v>43105</v>
      </c>
      <c r="B1963" s="1">
        <f t="shared" si="60"/>
        <v>43101</v>
      </c>
      <c r="C1963" s="5" t="str">
        <f t="shared" si="61"/>
        <v>2018-01</v>
      </c>
      <c r="D1963" s="3">
        <v>273.42</v>
      </c>
      <c r="E1963" s="3">
        <v>154.79</v>
      </c>
      <c r="F1963" s="3">
        <v>125.71</v>
      </c>
      <c r="G1963" s="3">
        <v>125.33</v>
      </c>
      <c r="H1963" s="3">
        <v>81.05</v>
      </c>
      <c r="I1963" s="2">
        <v>48.47</v>
      </c>
      <c r="J1963" s="2">
        <v>525.57000000000005</v>
      </c>
      <c r="K1963" s="2">
        <v>329.68</v>
      </c>
      <c r="L1963" s="3">
        <v>85.25</v>
      </c>
      <c r="M1963" s="2">
        <v>2.17</v>
      </c>
    </row>
    <row r="1964" spans="1:13">
      <c r="A1964" s="9">
        <v>43104</v>
      </c>
      <c r="B1964" s="1">
        <f t="shared" si="60"/>
        <v>43101</v>
      </c>
      <c r="C1964" s="5" t="str">
        <f t="shared" si="61"/>
        <v>2018-01</v>
      </c>
      <c r="D1964" s="3">
        <v>271.61</v>
      </c>
      <c r="E1964" s="3">
        <v>154.47</v>
      </c>
      <c r="F1964" s="3">
        <v>126.07</v>
      </c>
      <c r="G1964" s="3">
        <v>125.46</v>
      </c>
      <c r="H1964" s="3">
        <v>81.010000000000005</v>
      </c>
      <c r="I1964" s="2">
        <v>48.18</v>
      </c>
      <c r="J1964" s="2">
        <v>521.13</v>
      </c>
      <c r="K1964" s="2">
        <v>326.72000000000003</v>
      </c>
      <c r="L1964" s="3">
        <v>84.53</v>
      </c>
      <c r="M1964" s="2">
        <v>2.17</v>
      </c>
    </row>
    <row r="1965" spans="1:13">
      <c r="A1965" s="9">
        <v>43103</v>
      </c>
      <c r="B1965" s="1">
        <f t="shared" si="60"/>
        <v>43101</v>
      </c>
      <c r="C1965" s="5" t="str">
        <f t="shared" si="61"/>
        <v>2018-01</v>
      </c>
      <c r="D1965" s="3">
        <v>270.47000000000003</v>
      </c>
      <c r="E1965" s="3">
        <v>154.06</v>
      </c>
      <c r="F1965" s="3">
        <v>126.09</v>
      </c>
      <c r="G1965" s="3">
        <v>124.82</v>
      </c>
      <c r="H1965" s="3">
        <v>82.43</v>
      </c>
      <c r="I1965" s="2">
        <v>47.71</v>
      </c>
      <c r="J1965" s="2">
        <v>514.34</v>
      </c>
      <c r="K1965" s="2">
        <v>321.20999999999998</v>
      </c>
      <c r="L1965" s="3">
        <v>84.41</v>
      </c>
      <c r="M1965" s="2">
        <v>2.15</v>
      </c>
    </row>
    <row r="1966" spans="1:13">
      <c r="A1966" s="9">
        <v>43102</v>
      </c>
      <c r="B1966" s="1">
        <f t="shared" si="60"/>
        <v>43101</v>
      </c>
      <c r="C1966" s="5" t="str">
        <f t="shared" si="61"/>
        <v>2018-01</v>
      </c>
      <c r="D1966" s="3">
        <v>268.77</v>
      </c>
      <c r="E1966" s="3">
        <v>153.9</v>
      </c>
      <c r="F1966" s="3">
        <v>125.49</v>
      </c>
      <c r="G1966" s="3">
        <v>125.15</v>
      </c>
      <c r="H1966" s="3">
        <v>82.67</v>
      </c>
      <c r="I1966" s="2">
        <v>46.63</v>
      </c>
      <c r="J1966" s="2">
        <v>508.97</v>
      </c>
      <c r="K1966" s="2">
        <v>318.54000000000002</v>
      </c>
      <c r="L1966" s="3">
        <v>83.61</v>
      </c>
      <c r="M1966" s="2">
        <v>2.15</v>
      </c>
    </row>
    <row r="1967" spans="1:13">
      <c r="A1967" s="9">
        <v>43098</v>
      </c>
      <c r="B1967" s="1">
        <f t="shared" si="60"/>
        <v>43070</v>
      </c>
      <c r="C1967" s="5" t="str">
        <f t="shared" si="61"/>
        <v>2017-12</v>
      </c>
      <c r="D1967" s="3">
        <v>266.86</v>
      </c>
      <c r="E1967" s="3">
        <v>152.46</v>
      </c>
      <c r="F1967" s="3">
        <v>126.86</v>
      </c>
      <c r="G1967" s="3">
        <v>123.65</v>
      </c>
      <c r="H1967" s="3">
        <v>82.98</v>
      </c>
      <c r="I1967" s="2">
        <v>47.28</v>
      </c>
      <c r="J1967" s="2">
        <v>513.71</v>
      </c>
      <c r="K1967" s="2">
        <v>321.05</v>
      </c>
      <c r="L1967" s="3">
        <v>82.68</v>
      </c>
      <c r="M1967" s="2">
        <v>2.09</v>
      </c>
    </row>
    <row r="1968" spans="1:13">
      <c r="A1968" s="9">
        <v>43097</v>
      </c>
      <c r="B1968" s="1">
        <f t="shared" si="60"/>
        <v>43070</v>
      </c>
      <c r="C1968" s="5" t="str">
        <f t="shared" si="61"/>
        <v>2017-12</v>
      </c>
      <c r="D1968" s="3">
        <v>267.87</v>
      </c>
      <c r="E1968" s="3">
        <v>153.72999999999999</v>
      </c>
      <c r="F1968" s="3">
        <v>126.66</v>
      </c>
      <c r="G1968" s="3">
        <v>122.85</v>
      </c>
      <c r="H1968" s="3">
        <v>82.95</v>
      </c>
      <c r="I1968" s="2">
        <v>47.52</v>
      </c>
      <c r="J1968" s="2">
        <v>517.98</v>
      </c>
      <c r="K1968" s="2">
        <v>322.10000000000002</v>
      </c>
      <c r="L1968" s="3">
        <v>83.19</v>
      </c>
      <c r="M1968" s="2">
        <v>2.1</v>
      </c>
    </row>
    <row r="1969" spans="1:13">
      <c r="A1969" s="9">
        <v>43096</v>
      </c>
      <c r="B1969" s="1">
        <f t="shared" si="60"/>
        <v>43070</v>
      </c>
      <c r="C1969" s="5" t="str">
        <f t="shared" si="61"/>
        <v>2017-12</v>
      </c>
      <c r="D1969" s="3">
        <v>267.32</v>
      </c>
      <c r="E1969" s="3">
        <v>153.13</v>
      </c>
      <c r="F1969" s="3">
        <v>126.77</v>
      </c>
      <c r="G1969" s="3">
        <v>122.23</v>
      </c>
      <c r="H1969" s="3">
        <v>82.51</v>
      </c>
      <c r="I1969" s="2">
        <v>47.38</v>
      </c>
      <c r="J1969" s="2">
        <v>514.32000000000005</v>
      </c>
      <c r="K1969" s="2">
        <v>319.44</v>
      </c>
      <c r="L1969" s="3">
        <v>83.07</v>
      </c>
      <c r="M1969" s="2">
        <v>2.1</v>
      </c>
    </row>
    <row r="1970" spans="1:13">
      <c r="A1970" s="9">
        <v>43095</v>
      </c>
      <c r="B1970" s="1">
        <f t="shared" si="60"/>
        <v>43070</v>
      </c>
      <c r="C1970" s="5" t="str">
        <f t="shared" si="61"/>
        <v>2017-12</v>
      </c>
      <c r="D1970" s="3">
        <v>267.19</v>
      </c>
      <c r="E1970" s="3">
        <v>153.28</v>
      </c>
      <c r="F1970" s="3">
        <v>125.14</v>
      </c>
      <c r="G1970" s="3">
        <v>121.77</v>
      </c>
      <c r="H1970" s="3">
        <v>82.24</v>
      </c>
      <c r="I1970" s="2">
        <v>47.43</v>
      </c>
      <c r="J1970" s="2">
        <v>513.72</v>
      </c>
      <c r="K1970" s="2">
        <v>318.51</v>
      </c>
      <c r="L1970" s="3">
        <v>82.93</v>
      </c>
      <c r="M1970" s="2">
        <v>2.08</v>
      </c>
    </row>
    <row r="1971" spans="1:13">
      <c r="A1971" s="9">
        <v>43091</v>
      </c>
      <c r="B1971" s="1">
        <f t="shared" si="60"/>
        <v>43070</v>
      </c>
      <c r="C1971" s="5" t="str">
        <f t="shared" si="61"/>
        <v>2017-12</v>
      </c>
      <c r="D1971" s="3">
        <v>267.51</v>
      </c>
      <c r="E1971" s="3">
        <v>153.19</v>
      </c>
      <c r="F1971" s="3">
        <v>124.77</v>
      </c>
      <c r="G1971" s="3">
        <v>120.94</v>
      </c>
      <c r="H1971" s="3">
        <v>81.83</v>
      </c>
      <c r="I1971" s="2">
        <v>47.36</v>
      </c>
      <c r="J1971" s="2">
        <v>512.12</v>
      </c>
      <c r="K1971" s="2">
        <v>318.02999999999997</v>
      </c>
      <c r="L1971" s="3">
        <v>82.91</v>
      </c>
      <c r="M1971" s="2">
        <v>2.1</v>
      </c>
    </row>
    <row r="1972" spans="1:13">
      <c r="A1972" s="9">
        <v>43090</v>
      </c>
      <c r="B1972" s="1">
        <f t="shared" si="60"/>
        <v>43070</v>
      </c>
      <c r="C1972" s="5" t="str">
        <f t="shared" si="61"/>
        <v>2017-12</v>
      </c>
      <c r="D1972" s="3">
        <v>267.58</v>
      </c>
      <c r="E1972" s="3">
        <v>153.47</v>
      </c>
      <c r="F1972" s="3">
        <v>124.6</v>
      </c>
      <c r="G1972" s="3">
        <v>120.31</v>
      </c>
      <c r="H1972" s="3">
        <v>81.27</v>
      </c>
      <c r="I1972" s="2">
        <v>47.28</v>
      </c>
      <c r="J1972" s="2">
        <v>513.59</v>
      </c>
      <c r="K1972" s="2">
        <v>317.19</v>
      </c>
      <c r="L1972" s="3">
        <v>83.18</v>
      </c>
      <c r="M1972" s="2">
        <v>2.13</v>
      </c>
    </row>
    <row r="1973" spans="1:13">
      <c r="A1973" s="9">
        <v>43089</v>
      </c>
      <c r="B1973" s="1">
        <f t="shared" si="60"/>
        <v>43070</v>
      </c>
      <c r="C1973" s="5" t="str">
        <f t="shared" si="61"/>
        <v>2017-12</v>
      </c>
      <c r="D1973" s="3">
        <v>267.02999999999997</v>
      </c>
      <c r="E1973" s="3">
        <v>153.38</v>
      </c>
      <c r="F1973" s="3">
        <v>124.14</v>
      </c>
      <c r="G1973" s="3">
        <v>120.14</v>
      </c>
      <c r="H1973" s="3">
        <v>82.85</v>
      </c>
      <c r="I1973" s="2">
        <v>47.9</v>
      </c>
      <c r="J1973" s="2">
        <v>514.54999999999995</v>
      </c>
      <c r="K1973" s="2">
        <v>317.72000000000003</v>
      </c>
      <c r="L1973" s="3">
        <v>83.37</v>
      </c>
      <c r="M1973" s="2">
        <v>2.17</v>
      </c>
    </row>
    <row r="1974" spans="1:13">
      <c r="A1974" s="9">
        <v>43088</v>
      </c>
      <c r="B1974" s="1">
        <f t="shared" si="60"/>
        <v>43070</v>
      </c>
      <c r="C1974" s="5" t="str">
        <f t="shared" si="61"/>
        <v>2017-12</v>
      </c>
      <c r="D1974" s="3">
        <v>267.17</v>
      </c>
      <c r="E1974" s="3">
        <v>153.08000000000001</v>
      </c>
      <c r="F1974" s="3">
        <v>125.53</v>
      </c>
      <c r="G1974" s="3">
        <v>119.82</v>
      </c>
      <c r="H1974" s="3">
        <v>83.82</v>
      </c>
      <c r="I1974" s="2">
        <v>47.82</v>
      </c>
      <c r="J1974" s="2">
        <v>515.82000000000005</v>
      </c>
      <c r="K1974" s="2">
        <v>319.97000000000003</v>
      </c>
      <c r="L1974" s="3">
        <v>83.64</v>
      </c>
      <c r="M1974" s="2">
        <v>2.2200000000000002</v>
      </c>
    </row>
    <row r="1975" spans="1:13">
      <c r="A1975" s="9">
        <v>43087</v>
      </c>
      <c r="B1975" s="1">
        <f t="shared" si="60"/>
        <v>43070</v>
      </c>
      <c r="C1975" s="5" t="str">
        <f t="shared" si="61"/>
        <v>2017-12</v>
      </c>
      <c r="D1975" s="3">
        <v>268.2</v>
      </c>
      <c r="E1975" s="3">
        <v>154.30000000000001</v>
      </c>
      <c r="F1975" s="3">
        <v>127.18</v>
      </c>
      <c r="G1975" s="3">
        <v>119.73</v>
      </c>
      <c r="H1975" s="3">
        <v>85.64</v>
      </c>
      <c r="I1975" s="2">
        <v>47.71</v>
      </c>
      <c r="J1975" s="2">
        <v>518.86</v>
      </c>
      <c r="K1975" s="2">
        <v>322.76</v>
      </c>
      <c r="L1975" s="3">
        <v>83.74</v>
      </c>
      <c r="M1975" s="2">
        <v>2.2000000000000002</v>
      </c>
    </row>
    <row r="1976" spans="1:13">
      <c r="A1976" s="9">
        <v>43084</v>
      </c>
      <c r="B1976" s="1">
        <f t="shared" si="60"/>
        <v>43070</v>
      </c>
      <c r="C1976" s="5" t="str">
        <f t="shared" si="61"/>
        <v>2017-12</v>
      </c>
      <c r="D1976" s="3">
        <v>266.51</v>
      </c>
      <c r="E1976" s="3">
        <v>152.24</v>
      </c>
      <c r="F1976" s="3">
        <v>128.35</v>
      </c>
      <c r="G1976" s="3">
        <v>119.18</v>
      </c>
      <c r="H1976" s="3">
        <v>85.08</v>
      </c>
      <c r="I1976" s="2">
        <v>48.3</v>
      </c>
      <c r="J1976" s="2">
        <v>511.87</v>
      </c>
      <c r="K1976" s="2">
        <v>322.82</v>
      </c>
      <c r="L1976" s="3">
        <v>83.71</v>
      </c>
      <c r="M1976" s="2">
        <v>2.2000000000000002</v>
      </c>
    </row>
    <row r="1977" spans="1:13">
      <c r="A1977" s="9">
        <v>43083</v>
      </c>
      <c r="B1977" s="1">
        <f t="shared" si="60"/>
        <v>43070</v>
      </c>
      <c r="C1977" s="5" t="str">
        <f t="shared" si="61"/>
        <v>2017-12</v>
      </c>
      <c r="D1977" s="3">
        <v>265.66000000000003</v>
      </c>
      <c r="E1977" s="3">
        <v>150.1</v>
      </c>
      <c r="F1977" s="3">
        <v>127.87</v>
      </c>
      <c r="G1977" s="3">
        <v>118.93</v>
      </c>
      <c r="H1977" s="3">
        <v>84.55</v>
      </c>
      <c r="I1977" s="2">
        <v>50.19</v>
      </c>
      <c r="J1977" s="2">
        <v>506.75</v>
      </c>
      <c r="K1977" s="2">
        <v>317.01</v>
      </c>
      <c r="L1977" s="3">
        <v>83.13</v>
      </c>
      <c r="M1977" s="2">
        <v>2.17</v>
      </c>
    </row>
    <row r="1978" spans="1:13">
      <c r="A1978" s="9">
        <v>43082</v>
      </c>
      <c r="B1978" s="1">
        <f t="shared" si="60"/>
        <v>43070</v>
      </c>
      <c r="C1978" s="5" t="str">
        <f t="shared" si="61"/>
        <v>2017-12</v>
      </c>
      <c r="D1978" s="3">
        <v>266.75</v>
      </c>
      <c r="E1978" s="3">
        <v>151.78</v>
      </c>
      <c r="F1978" s="3">
        <v>127.33</v>
      </c>
      <c r="G1978" s="3">
        <v>119.17</v>
      </c>
      <c r="H1978" s="3">
        <v>84.57</v>
      </c>
      <c r="I1978" s="2">
        <v>50.05</v>
      </c>
      <c r="J1978" s="2">
        <v>512.54999999999995</v>
      </c>
      <c r="K1978" s="2">
        <v>317.79000000000002</v>
      </c>
      <c r="L1978" s="3">
        <v>83.98</v>
      </c>
      <c r="M1978" s="2">
        <v>2.21</v>
      </c>
    </row>
    <row r="1979" spans="1:13">
      <c r="A1979" s="9">
        <v>43081</v>
      </c>
      <c r="B1979" s="1">
        <f t="shared" si="60"/>
        <v>43070</v>
      </c>
      <c r="C1979" s="5" t="str">
        <f t="shared" si="61"/>
        <v>2017-12</v>
      </c>
      <c r="D1979" s="3">
        <v>266.77999999999997</v>
      </c>
      <c r="E1979" s="3">
        <v>150.88</v>
      </c>
      <c r="F1979" s="3">
        <v>126.38</v>
      </c>
      <c r="G1979" s="3">
        <v>118.15</v>
      </c>
      <c r="H1979" s="3">
        <v>84.43</v>
      </c>
      <c r="I1979" s="2">
        <v>50.39</v>
      </c>
      <c r="J1979" s="2">
        <v>517.73</v>
      </c>
      <c r="K1979" s="2">
        <v>315.89</v>
      </c>
      <c r="L1979" s="3">
        <v>83.69</v>
      </c>
      <c r="M1979" s="2">
        <v>2.2000000000000002</v>
      </c>
    </row>
    <row r="1980" spans="1:13">
      <c r="A1980" s="9">
        <v>43080</v>
      </c>
      <c r="B1980" s="1">
        <f t="shared" si="60"/>
        <v>43070</v>
      </c>
      <c r="C1980" s="5" t="str">
        <f t="shared" si="61"/>
        <v>2017-12</v>
      </c>
      <c r="D1980" s="3">
        <v>266.31</v>
      </c>
      <c r="E1980" s="3">
        <v>151.35</v>
      </c>
      <c r="F1980" s="3">
        <v>126.43</v>
      </c>
      <c r="G1980" s="3">
        <v>118.01</v>
      </c>
      <c r="H1980" s="3">
        <v>84.02</v>
      </c>
      <c r="I1980" s="2">
        <v>50.47</v>
      </c>
      <c r="J1980" s="2">
        <v>512.13</v>
      </c>
      <c r="K1980" s="2">
        <v>316.17</v>
      </c>
      <c r="L1980" s="3">
        <v>83.36</v>
      </c>
      <c r="M1980" s="2">
        <v>2.19</v>
      </c>
    </row>
    <row r="1981" spans="1:13">
      <c r="A1981" s="9">
        <v>43077</v>
      </c>
      <c r="B1981" s="1">
        <f t="shared" si="60"/>
        <v>43070</v>
      </c>
      <c r="C1981" s="5" t="str">
        <f t="shared" si="61"/>
        <v>2017-12</v>
      </c>
      <c r="D1981" s="3">
        <v>265.51</v>
      </c>
      <c r="E1981" s="3">
        <v>151.41</v>
      </c>
      <c r="F1981" s="3">
        <v>126.69</v>
      </c>
      <c r="G1981" s="3">
        <v>118.48</v>
      </c>
      <c r="H1981" s="3">
        <v>84.03</v>
      </c>
      <c r="I1981" s="2">
        <v>49.6</v>
      </c>
      <c r="J1981" s="2">
        <v>515.49</v>
      </c>
      <c r="K1981" s="2">
        <v>315.85000000000002</v>
      </c>
      <c r="L1981" s="3">
        <v>83.01</v>
      </c>
      <c r="M1981" s="2">
        <v>2.16</v>
      </c>
    </row>
    <row r="1982" spans="1:13">
      <c r="A1982" s="9">
        <v>43076</v>
      </c>
      <c r="B1982" s="1">
        <f t="shared" si="60"/>
        <v>43070</v>
      </c>
      <c r="C1982" s="5" t="str">
        <f t="shared" si="61"/>
        <v>2017-12</v>
      </c>
      <c r="D1982" s="3">
        <v>264.07</v>
      </c>
      <c r="E1982" s="3">
        <v>151.27000000000001</v>
      </c>
      <c r="F1982" s="3">
        <v>126.68</v>
      </c>
      <c r="G1982" s="3">
        <v>118.49</v>
      </c>
      <c r="H1982" s="3">
        <v>83.6</v>
      </c>
      <c r="I1982" s="2">
        <v>48.52</v>
      </c>
      <c r="J1982" s="2">
        <v>512.41</v>
      </c>
      <c r="K1982" s="2">
        <v>314.42</v>
      </c>
      <c r="L1982" s="3">
        <v>82.09</v>
      </c>
      <c r="M1982" s="2">
        <v>2.16</v>
      </c>
    </row>
    <row r="1983" spans="1:13">
      <c r="A1983" s="9">
        <v>43075</v>
      </c>
      <c r="B1983" s="1">
        <f t="shared" si="60"/>
        <v>43070</v>
      </c>
      <c r="C1983" s="5" t="str">
        <f t="shared" si="61"/>
        <v>2017-12</v>
      </c>
      <c r="D1983" s="3">
        <v>263.24</v>
      </c>
      <c r="E1983" s="3">
        <v>150.22</v>
      </c>
      <c r="F1983" s="3">
        <v>127.68</v>
      </c>
      <c r="G1983" s="3">
        <v>120.07</v>
      </c>
      <c r="H1983" s="3">
        <v>83.39</v>
      </c>
      <c r="I1983" s="2">
        <v>48.42</v>
      </c>
      <c r="J1983" s="2">
        <v>511.82</v>
      </c>
      <c r="K1983" s="2">
        <v>311.97000000000003</v>
      </c>
      <c r="L1983" s="3">
        <v>82.07</v>
      </c>
      <c r="M1983" s="2">
        <v>2.15</v>
      </c>
    </row>
    <row r="1984" spans="1:13">
      <c r="A1984" s="9">
        <v>43074</v>
      </c>
      <c r="B1984" s="1">
        <f t="shared" si="60"/>
        <v>43070</v>
      </c>
      <c r="C1984" s="5" t="str">
        <f t="shared" si="61"/>
        <v>2017-12</v>
      </c>
      <c r="D1984" s="3">
        <v>263.19</v>
      </c>
      <c r="E1984" s="3">
        <v>150.93</v>
      </c>
      <c r="F1984" s="3">
        <v>127.24</v>
      </c>
      <c r="G1984" s="3">
        <v>120.32</v>
      </c>
      <c r="H1984" s="3">
        <v>83.47</v>
      </c>
      <c r="I1984" s="2">
        <v>47.99</v>
      </c>
      <c r="J1984" s="2">
        <v>512.12</v>
      </c>
      <c r="K1984" s="2">
        <v>310.14</v>
      </c>
      <c r="L1984" s="3">
        <v>82.14</v>
      </c>
      <c r="M1984" s="2">
        <v>2.16</v>
      </c>
    </row>
    <row r="1985" spans="1:13">
      <c r="A1985" s="9">
        <v>43073</v>
      </c>
      <c r="B1985" s="1">
        <f t="shared" si="60"/>
        <v>43070</v>
      </c>
      <c r="C1985" s="5" t="str">
        <f t="shared" si="61"/>
        <v>2017-12</v>
      </c>
      <c r="D1985" s="3">
        <v>264.14</v>
      </c>
      <c r="E1985" s="3">
        <v>152.44999999999999</v>
      </c>
      <c r="F1985" s="3">
        <v>126.61</v>
      </c>
      <c r="G1985" s="3">
        <v>121.18</v>
      </c>
      <c r="H1985" s="3">
        <v>84.17</v>
      </c>
      <c r="I1985" s="2">
        <v>48.4</v>
      </c>
      <c r="J1985" s="2">
        <v>513.5</v>
      </c>
      <c r="K1985" s="2">
        <v>311.77999999999997</v>
      </c>
      <c r="L1985" s="3">
        <v>82.28</v>
      </c>
      <c r="M1985" s="2">
        <v>2.21</v>
      </c>
    </row>
    <row r="1986" spans="1:13">
      <c r="A1986" s="9">
        <v>43070</v>
      </c>
      <c r="B1986" s="1">
        <f t="shared" ref="B1986:B2049" si="62">EOMONTH(A1986,-1)+1</f>
        <v>43070</v>
      </c>
      <c r="C1986" s="5" t="str">
        <f t="shared" si="61"/>
        <v>2017-12</v>
      </c>
      <c r="D1986" s="3">
        <v>264.45999999999998</v>
      </c>
      <c r="E1986" s="3">
        <v>153.02000000000001</v>
      </c>
      <c r="F1986" s="3">
        <v>126.55</v>
      </c>
      <c r="G1986" s="3">
        <v>121.59</v>
      </c>
      <c r="H1986" s="3">
        <v>84.59</v>
      </c>
      <c r="I1986" s="2">
        <v>49.61</v>
      </c>
      <c r="J1986" s="2">
        <v>502.08</v>
      </c>
      <c r="K1986" s="2">
        <v>313.57</v>
      </c>
      <c r="L1986" s="3">
        <v>83.3</v>
      </c>
      <c r="M1986" s="2">
        <v>2.2000000000000002</v>
      </c>
    </row>
    <row r="1987" spans="1:13">
      <c r="A1987" s="9">
        <v>43069</v>
      </c>
      <c r="B1987" s="1">
        <f t="shared" si="62"/>
        <v>43040</v>
      </c>
      <c r="C1987" s="5" t="str">
        <f t="shared" ref="C1987:C2050" si="63">TEXT(A1987, "yyyy-mm")</f>
        <v>2017-11</v>
      </c>
      <c r="D1987" s="3">
        <v>265.01</v>
      </c>
      <c r="E1987" s="3">
        <v>153.65</v>
      </c>
      <c r="F1987" s="3">
        <v>125.12</v>
      </c>
      <c r="G1987" s="3">
        <v>121.1</v>
      </c>
      <c r="H1987" s="3">
        <v>84.39</v>
      </c>
      <c r="I1987" s="2">
        <v>49.06</v>
      </c>
      <c r="J1987" s="2">
        <v>501.19</v>
      </c>
      <c r="K1987" s="2">
        <v>319.12</v>
      </c>
      <c r="L1987" s="3">
        <v>83.47</v>
      </c>
      <c r="M1987" s="2">
        <v>2.21</v>
      </c>
    </row>
    <row r="1988" spans="1:13">
      <c r="A1988" s="9">
        <v>43068</v>
      </c>
      <c r="B1988" s="1">
        <f t="shared" si="62"/>
        <v>43040</v>
      </c>
      <c r="C1988" s="5" t="str">
        <f t="shared" si="63"/>
        <v>2017-11</v>
      </c>
      <c r="D1988" s="3">
        <v>262.70999999999998</v>
      </c>
      <c r="E1988" s="3">
        <v>153.37</v>
      </c>
      <c r="F1988" s="3">
        <v>125.54</v>
      </c>
      <c r="G1988" s="3">
        <v>122.04</v>
      </c>
      <c r="H1988" s="3">
        <v>84.26</v>
      </c>
      <c r="I1988" s="2">
        <v>48.52</v>
      </c>
      <c r="J1988" s="2">
        <v>500.82</v>
      </c>
      <c r="K1988" s="2">
        <v>320.76</v>
      </c>
      <c r="L1988" s="3">
        <v>82.85</v>
      </c>
      <c r="M1988" s="2">
        <v>2.2200000000000002</v>
      </c>
    </row>
    <row r="1989" spans="1:13">
      <c r="A1989" s="9">
        <v>43067</v>
      </c>
      <c r="B1989" s="1">
        <f t="shared" si="62"/>
        <v>43040</v>
      </c>
      <c r="C1989" s="5" t="str">
        <f t="shared" si="63"/>
        <v>2017-11</v>
      </c>
      <c r="D1989" s="3">
        <v>262.87</v>
      </c>
      <c r="E1989" s="3">
        <v>152.86000000000001</v>
      </c>
      <c r="F1989" s="3">
        <v>126.79</v>
      </c>
      <c r="G1989" s="3">
        <v>122.81</v>
      </c>
      <c r="H1989" s="3">
        <v>84.23</v>
      </c>
      <c r="I1989" s="2">
        <v>49.01</v>
      </c>
      <c r="J1989" s="2">
        <v>493.06</v>
      </c>
      <c r="K1989" s="2">
        <v>319.01</v>
      </c>
      <c r="L1989" s="3">
        <v>82.44</v>
      </c>
      <c r="M1989" s="2">
        <v>2.19</v>
      </c>
    </row>
    <row r="1990" spans="1:13">
      <c r="A1990" s="9">
        <v>43066</v>
      </c>
      <c r="B1990" s="1">
        <f t="shared" si="62"/>
        <v>43040</v>
      </c>
      <c r="C1990" s="5" t="str">
        <f t="shared" si="63"/>
        <v>2017-11</v>
      </c>
      <c r="D1990" s="3">
        <v>260.23</v>
      </c>
      <c r="E1990" s="3">
        <v>150.49</v>
      </c>
      <c r="F1990" s="3">
        <v>126.62</v>
      </c>
      <c r="G1990" s="3">
        <v>122.83</v>
      </c>
      <c r="H1990" s="3">
        <v>84.55</v>
      </c>
      <c r="I1990" s="2">
        <v>48.88</v>
      </c>
      <c r="J1990" s="2">
        <v>481.96</v>
      </c>
      <c r="K1990" s="2">
        <v>316.7</v>
      </c>
      <c r="L1990" s="3">
        <v>81.84</v>
      </c>
      <c r="M1990" s="2">
        <v>2.13</v>
      </c>
    </row>
    <row r="1991" spans="1:13">
      <c r="A1991" s="9">
        <v>43063</v>
      </c>
      <c r="B1991" s="1">
        <f t="shared" si="62"/>
        <v>43040</v>
      </c>
      <c r="C1991" s="5" t="str">
        <f t="shared" si="63"/>
        <v>2017-11</v>
      </c>
      <c r="D1991" s="3">
        <v>260.36</v>
      </c>
      <c r="E1991" s="3">
        <v>150.94999999999999</v>
      </c>
      <c r="F1991" s="3">
        <v>126.8</v>
      </c>
      <c r="G1991" s="3">
        <v>122.32</v>
      </c>
      <c r="H1991" s="3">
        <v>84.95</v>
      </c>
      <c r="I1991" s="2">
        <v>49.01</v>
      </c>
      <c r="J1991" s="2">
        <v>479.74</v>
      </c>
      <c r="K1991" s="2">
        <v>315.82</v>
      </c>
      <c r="L1991" s="3">
        <v>81.77</v>
      </c>
      <c r="M1991" s="2">
        <v>2.1</v>
      </c>
    </row>
    <row r="1992" spans="1:13">
      <c r="A1992" s="9">
        <v>43061</v>
      </c>
      <c r="B1992" s="1">
        <f t="shared" si="62"/>
        <v>43040</v>
      </c>
      <c r="C1992" s="5" t="str">
        <f t="shared" si="63"/>
        <v>2017-11</v>
      </c>
      <c r="D1992" s="3">
        <v>259.76</v>
      </c>
      <c r="E1992" s="3">
        <v>150.88999999999999</v>
      </c>
      <c r="F1992" s="3">
        <v>127.15</v>
      </c>
      <c r="G1992" s="3">
        <v>122.63</v>
      </c>
      <c r="H1992" s="3">
        <v>84.84</v>
      </c>
      <c r="I1992" s="2">
        <v>48.58</v>
      </c>
      <c r="J1992" s="2">
        <v>478.94</v>
      </c>
      <c r="K1992" s="2">
        <v>314.87</v>
      </c>
      <c r="L1992" s="3">
        <v>81.58</v>
      </c>
      <c r="M1992" s="2">
        <v>2.13</v>
      </c>
    </row>
    <row r="1993" spans="1:13">
      <c r="A1993" s="9">
        <v>43060</v>
      </c>
      <c r="B1993" s="1">
        <f t="shared" si="62"/>
        <v>43040</v>
      </c>
      <c r="C1993" s="5" t="str">
        <f t="shared" si="63"/>
        <v>2017-11</v>
      </c>
      <c r="D1993" s="3">
        <v>259.99</v>
      </c>
      <c r="E1993" s="3">
        <v>151.09</v>
      </c>
      <c r="F1993" s="3">
        <v>126.74</v>
      </c>
      <c r="G1993" s="3">
        <v>121.51</v>
      </c>
      <c r="H1993" s="3">
        <v>85.03</v>
      </c>
      <c r="I1993" s="2">
        <v>48.63</v>
      </c>
      <c r="J1993" s="2">
        <v>481.36</v>
      </c>
      <c r="K1993" s="2">
        <v>316.94</v>
      </c>
      <c r="L1993" s="3">
        <v>81.61</v>
      </c>
      <c r="M1993" s="2">
        <v>2.15</v>
      </c>
    </row>
    <row r="1994" spans="1:13">
      <c r="A1994" s="9">
        <v>43059</v>
      </c>
      <c r="B1994" s="1">
        <f t="shared" si="62"/>
        <v>43040</v>
      </c>
      <c r="C1994" s="5" t="str">
        <f t="shared" si="63"/>
        <v>2017-11</v>
      </c>
      <c r="D1994" s="3">
        <v>258.3</v>
      </c>
      <c r="E1994" s="3">
        <v>149.53</v>
      </c>
      <c r="F1994" s="3">
        <v>126.34</v>
      </c>
      <c r="G1994" s="3">
        <v>121.31</v>
      </c>
      <c r="H1994" s="3">
        <v>84.4</v>
      </c>
      <c r="I1994" s="2">
        <v>49.02</v>
      </c>
      <c r="J1994" s="2">
        <v>474.77</v>
      </c>
      <c r="K1994" s="2">
        <v>314.64999999999998</v>
      </c>
      <c r="L1994" s="3">
        <v>80.900000000000006</v>
      </c>
      <c r="M1994" s="2">
        <v>2.14</v>
      </c>
    </row>
    <row r="1995" spans="1:13">
      <c r="A1995" s="9">
        <v>43056</v>
      </c>
      <c r="B1995" s="1">
        <f t="shared" si="62"/>
        <v>43040</v>
      </c>
      <c r="C1995" s="5" t="str">
        <f t="shared" si="63"/>
        <v>2017-11</v>
      </c>
      <c r="D1995" s="3">
        <v>257.86</v>
      </c>
      <c r="E1995" s="3">
        <v>148.44999999999999</v>
      </c>
      <c r="F1995" s="3">
        <v>126.39</v>
      </c>
      <c r="G1995" s="3">
        <v>122.86</v>
      </c>
      <c r="H1995" s="3">
        <v>84.65</v>
      </c>
      <c r="I1995" s="2">
        <v>48.94</v>
      </c>
      <c r="J1995" s="2">
        <v>473.99</v>
      </c>
      <c r="K1995" s="2">
        <v>309.7</v>
      </c>
      <c r="L1995" s="3">
        <v>81.239999999999995</v>
      </c>
      <c r="M1995" s="2">
        <v>2.0499999999999998</v>
      </c>
    </row>
    <row r="1996" spans="1:13">
      <c r="A1996" s="9">
        <v>43055</v>
      </c>
      <c r="B1996" s="1">
        <f t="shared" si="62"/>
        <v>43040</v>
      </c>
      <c r="C1996" s="5" t="str">
        <f t="shared" si="63"/>
        <v>2017-11</v>
      </c>
      <c r="D1996" s="3">
        <v>258.62</v>
      </c>
      <c r="E1996" s="3">
        <v>147.77000000000001</v>
      </c>
      <c r="F1996" s="3">
        <v>125.46</v>
      </c>
      <c r="G1996" s="3">
        <v>121.4</v>
      </c>
      <c r="H1996" s="3">
        <v>85.02</v>
      </c>
      <c r="I1996" s="2">
        <v>49.2</v>
      </c>
      <c r="J1996" s="2">
        <v>474.02</v>
      </c>
      <c r="K1996" s="2">
        <v>312.64999999999998</v>
      </c>
      <c r="L1996" s="3">
        <v>81.56</v>
      </c>
      <c r="M1996" s="2">
        <v>2.0299999999999998</v>
      </c>
    </row>
    <row r="1997" spans="1:13">
      <c r="A1997" s="9">
        <v>43054</v>
      </c>
      <c r="B1997" s="1">
        <f t="shared" si="62"/>
        <v>43040</v>
      </c>
      <c r="C1997" s="5" t="str">
        <f t="shared" si="63"/>
        <v>2017-11</v>
      </c>
      <c r="D1997" s="3">
        <v>256.44</v>
      </c>
      <c r="E1997" s="3">
        <v>145.63</v>
      </c>
      <c r="F1997" s="3">
        <v>126.56</v>
      </c>
      <c r="G1997" s="3">
        <v>121.41</v>
      </c>
      <c r="H1997" s="3">
        <v>84.32</v>
      </c>
      <c r="I1997" s="2">
        <v>48.82</v>
      </c>
      <c r="J1997" s="2">
        <v>470.5</v>
      </c>
      <c r="K1997" s="2">
        <v>310.64</v>
      </c>
      <c r="L1997" s="3">
        <v>80.72</v>
      </c>
      <c r="M1997" s="2">
        <v>1.99</v>
      </c>
    </row>
    <row r="1998" spans="1:13">
      <c r="A1998" s="9">
        <v>43053</v>
      </c>
      <c r="B1998" s="1">
        <f t="shared" si="62"/>
        <v>43040</v>
      </c>
      <c r="C1998" s="5" t="str">
        <f t="shared" si="63"/>
        <v>2017-11</v>
      </c>
      <c r="D1998" s="3">
        <v>257.73</v>
      </c>
      <c r="E1998" s="3">
        <v>146.21</v>
      </c>
      <c r="F1998" s="3">
        <v>125.2</v>
      </c>
      <c r="G1998" s="3">
        <v>121.56</v>
      </c>
      <c r="H1998" s="3">
        <v>85.18</v>
      </c>
      <c r="I1998" s="2">
        <v>49.2</v>
      </c>
      <c r="J1998" s="2">
        <v>470.45</v>
      </c>
      <c r="K1998" s="2">
        <v>313.74</v>
      </c>
      <c r="L1998" s="3">
        <v>80.95</v>
      </c>
      <c r="M1998" s="2">
        <v>1.98</v>
      </c>
    </row>
    <row r="1999" spans="1:13">
      <c r="A1999" s="9">
        <v>43052</v>
      </c>
      <c r="B1999" s="1">
        <f t="shared" si="62"/>
        <v>43040</v>
      </c>
      <c r="C1999" s="5" t="str">
        <f t="shared" si="63"/>
        <v>2017-11</v>
      </c>
      <c r="D1999" s="3">
        <v>258.33</v>
      </c>
      <c r="E1999" s="3">
        <v>146.61000000000001</v>
      </c>
      <c r="F1999" s="3">
        <v>124.36</v>
      </c>
      <c r="G1999" s="3">
        <v>121.31</v>
      </c>
      <c r="H1999" s="3">
        <v>85.36</v>
      </c>
      <c r="I1999" s="2">
        <v>49.4</v>
      </c>
      <c r="J1999" s="2">
        <v>465.11</v>
      </c>
      <c r="K1999" s="2">
        <v>312.95</v>
      </c>
      <c r="L1999" s="3">
        <v>81.28</v>
      </c>
      <c r="M1999" s="2">
        <v>2</v>
      </c>
    </row>
    <row r="2000" spans="1:13">
      <c r="A2000" s="9">
        <v>43049</v>
      </c>
      <c r="B2000" s="1">
        <f t="shared" si="62"/>
        <v>43040</v>
      </c>
      <c r="C2000" s="5" t="str">
        <f t="shared" si="63"/>
        <v>2017-11</v>
      </c>
      <c r="D2000" s="3">
        <v>258.08999999999997</v>
      </c>
      <c r="E2000" s="3">
        <v>146.57</v>
      </c>
      <c r="F2000" s="3">
        <v>124.1</v>
      </c>
      <c r="G2000" s="3">
        <v>121.13</v>
      </c>
      <c r="H2000" s="3">
        <v>84.93</v>
      </c>
      <c r="I2000" s="2">
        <v>49.32</v>
      </c>
      <c r="J2000" s="2">
        <v>465.83</v>
      </c>
      <c r="K2000" s="2">
        <v>311.17</v>
      </c>
      <c r="L2000" s="3">
        <v>81.2</v>
      </c>
      <c r="M2000" s="2">
        <v>2</v>
      </c>
    </row>
    <row r="2001" spans="1:13">
      <c r="A2001" s="9">
        <v>43048</v>
      </c>
      <c r="B2001" s="1">
        <f t="shared" si="62"/>
        <v>43040</v>
      </c>
      <c r="C2001" s="5" t="str">
        <f t="shared" si="63"/>
        <v>2017-11</v>
      </c>
      <c r="D2001" s="3">
        <v>258.17</v>
      </c>
      <c r="E2001" s="3">
        <v>146.68</v>
      </c>
      <c r="F2001" s="3">
        <v>126</v>
      </c>
      <c r="G2001" s="3">
        <v>122.13</v>
      </c>
      <c r="H2001" s="3">
        <v>84.84</v>
      </c>
      <c r="I2001" s="2">
        <v>49.24</v>
      </c>
      <c r="J2001" s="2">
        <v>466.6</v>
      </c>
      <c r="K2001" s="2">
        <v>311.08</v>
      </c>
      <c r="L2001" s="3">
        <v>81.73</v>
      </c>
      <c r="M2001" s="2">
        <v>1.96</v>
      </c>
    </row>
    <row r="2002" spans="1:13">
      <c r="A2002" s="9">
        <v>43047</v>
      </c>
      <c r="B2002" s="1">
        <f t="shared" si="62"/>
        <v>43040</v>
      </c>
      <c r="C2002" s="5" t="str">
        <f t="shared" si="63"/>
        <v>2017-11</v>
      </c>
      <c r="D2002" s="3">
        <v>259.11</v>
      </c>
      <c r="E2002" s="3">
        <v>147.19999999999999</v>
      </c>
      <c r="F2002" s="3">
        <v>126.36</v>
      </c>
      <c r="G2002" s="3">
        <v>121.63</v>
      </c>
      <c r="H2002" s="3">
        <v>84.75</v>
      </c>
      <c r="I2002" s="2">
        <v>50.54</v>
      </c>
      <c r="J2002" s="2">
        <v>472.2</v>
      </c>
      <c r="K2002" s="2">
        <v>315.64</v>
      </c>
      <c r="L2002" s="3">
        <v>81.72</v>
      </c>
      <c r="M2002" s="2">
        <v>1.98</v>
      </c>
    </row>
    <row r="2003" spans="1:13">
      <c r="A2003" s="9">
        <v>43046</v>
      </c>
      <c r="B2003" s="1">
        <f t="shared" si="62"/>
        <v>43040</v>
      </c>
      <c r="C2003" s="5" t="str">
        <f t="shared" si="63"/>
        <v>2017-11</v>
      </c>
      <c r="D2003" s="3">
        <v>258.67</v>
      </c>
      <c r="E2003" s="3">
        <v>147</v>
      </c>
      <c r="F2003" s="3">
        <v>126.64</v>
      </c>
      <c r="G2003" s="3">
        <v>121.21</v>
      </c>
      <c r="H2003" s="3">
        <v>84.33</v>
      </c>
      <c r="I2003" s="2">
        <v>50.49</v>
      </c>
      <c r="J2003" s="2">
        <v>473.37</v>
      </c>
      <c r="K2003" s="2">
        <v>313.29000000000002</v>
      </c>
      <c r="L2003" s="3">
        <v>81.53</v>
      </c>
      <c r="M2003" s="2">
        <v>1.98</v>
      </c>
    </row>
    <row r="2004" spans="1:13">
      <c r="A2004" s="9">
        <v>43045</v>
      </c>
      <c r="B2004" s="1">
        <f t="shared" si="62"/>
        <v>43040</v>
      </c>
      <c r="C2004" s="5" t="str">
        <f t="shared" si="63"/>
        <v>2017-11</v>
      </c>
      <c r="D2004" s="3">
        <v>258.85000000000002</v>
      </c>
      <c r="E2004" s="3">
        <v>148.78</v>
      </c>
      <c r="F2004" s="3">
        <v>126.11</v>
      </c>
      <c r="G2004" s="3">
        <v>121.65</v>
      </c>
      <c r="H2004" s="3">
        <v>83.65</v>
      </c>
      <c r="I2004" s="2">
        <v>50.4</v>
      </c>
      <c r="J2004" s="2">
        <v>475.61</v>
      </c>
      <c r="K2004" s="2">
        <v>310.08</v>
      </c>
      <c r="L2004" s="3">
        <v>81.36</v>
      </c>
      <c r="M2004" s="2">
        <v>2.0499999999999998</v>
      </c>
    </row>
    <row r="2005" spans="1:13">
      <c r="A2005" s="9">
        <v>43042</v>
      </c>
      <c r="B2005" s="1">
        <f t="shared" si="62"/>
        <v>43040</v>
      </c>
      <c r="C2005" s="5" t="str">
        <f t="shared" si="63"/>
        <v>2017-11</v>
      </c>
      <c r="D2005" s="3">
        <v>258.45</v>
      </c>
      <c r="E2005" s="3">
        <v>148.61000000000001</v>
      </c>
      <c r="F2005" s="3">
        <v>125.64</v>
      </c>
      <c r="G2005" s="3">
        <v>120.62</v>
      </c>
      <c r="H2005" s="3">
        <v>83.09</v>
      </c>
      <c r="I2005" s="2">
        <v>50.18</v>
      </c>
      <c r="J2005" s="2">
        <v>479.11</v>
      </c>
      <c r="K2005" s="2">
        <v>309.99</v>
      </c>
      <c r="L2005" s="3">
        <v>81.61</v>
      </c>
      <c r="M2005" s="2">
        <v>2.0299999999999998</v>
      </c>
    </row>
    <row r="2006" spans="1:13">
      <c r="A2006" s="9">
        <v>43041</v>
      </c>
      <c r="B2006" s="1">
        <f t="shared" si="62"/>
        <v>43040</v>
      </c>
      <c r="C2006" s="5" t="str">
        <f t="shared" si="63"/>
        <v>2017-11</v>
      </c>
      <c r="D2006" s="3">
        <v>257.58999999999997</v>
      </c>
      <c r="E2006" s="3">
        <v>148.71</v>
      </c>
      <c r="F2006" s="3">
        <v>125.3</v>
      </c>
      <c r="G2006" s="3">
        <v>121.19</v>
      </c>
      <c r="H2006" s="3">
        <v>83.3</v>
      </c>
      <c r="I2006" s="2">
        <v>50.28</v>
      </c>
      <c r="J2006" s="2">
        <v>474.92</v>
      </c>
      <c r="K2006" s="2">
        <v>310.86</v>
      </c>
      <c r="L2006" s="3">
        <v>80.94</v>
      </c>
      <c r="M2006" s="2">
        <v>2.0299999999999998</v>
      </c>
    </row>
    <row r="2007" spans="1:13">
      <c r="A2007" s="9">
        <v>43040</v>
      </c>
      <c r="B2007" s="1">
        <f t="shared" si="62"/>
        <v>43040</v>
      </c>
      <c r="C2007" s="5" t="str">
        <f t="shared" si="63"/>
        <v>2017-11</v>
      </c>
      <c r="D2007" s="3">
        <v>257.49</v>
      </c>
      <c r="E2007" s="3">
        <v>148.27000000000001</v>
      </c>
      <c r="F2007" s="3">
        <v>124.75</v>
      </c>
      <c r="G2007" s="3">
        <v>121.11</v>
      </c>
      <c r="H2007" s="3">
        <v>82.6</v>
      </c>
      <c r="I2007" s="2">
        <v>50.64</v>
      </c>
      <c r="J2007" s="2">
        <v>469.29</v>
      </c>
      <c r="K2007" s="2">
        <v>306.60000000000002</v>
      </c>
      <c r="L2007" s="3">
        <v>81.31</v>
      </c>
      <c r="M2007" s="2">
        <v>2.0299999999999998</v>
      </c>
    </row>
    <row r="2008" spans="1:13">
      <c r="A2008" s="9">
        <v>43039</v>
      </c>
      <c r="B2008" s="1">
        <f t="shared" si="62"/>
        <v>43009</v>
      </c>
      <c r="C2008" s="5" t="str">
        <f t="shared" si="63"/>
        <v>2017-10</v>
      </c>
      <c r="D2008" s="3">
        <v>257.14999999999998</v>
      </c>
      <c r="E2008" s="3">
        <v>149.26</v>
      </c>
      <c r="F2008" s="3">
        <v>124.46</v>
      </c>
      <c r="G2008" s="3">
        <v>120.67</v>
      </c>
      <c r="H2008" s="3">
        <v>82.2</v>
      </c>
      <c r="I2008" s="2">
        <v>50.9</v>
      </c>
      <c r="J2008" s="2">
        <v>470.83</v>
      </c>
      <c r="K2008" s="2">
        <v>308.16000000000003</v>
      </c>
      <c r="L2008" s="3">
        <v>81.11</v>
      </c>
      <c r="M2008" s="2">
        <v>1.99</v>
      </c>
    </row>
    <row r="2009" spans="1:13">
      <c r="A2009" s="9">
        <v>43038</v>
      </c>
      <c r="B2009" s="1">
        <f t="shared" si="62"/>
        <v>43009</v>
      </c>
      <c r="C2009" s="5" t="str">
        <f t="shared" si="63"/>
        <v>2017-10</v>
      </c>
      <c r="D2009" s="3">
        <v>256.75</v>
      </c>
      <c r="E2009" s="3">
        <v>148.21</v>
      </c>
      <c r="F2009" s="3">
        <v>124.42</v>
      </c>
      <c r="G2009" s="3">
        <v>121.13</v>
      </c>
      <c r="H2009" s="3">
        <v>82.21</v>
      </c>
      <c r="I2009" s="2">
        <v>50.68</v>
      </c>
      <c r="J2009" s="2">
        <v>472.29</v>
      </c>
      <c r="K2009" s="2">
        <v>308.63</v>
      </c>
      <c r="L2009" s="3">
        <v>81.260000000000005</v>
      </c>
      <c r="M2009" s="2">
        <v>1.99</v>
      </c>
    </row>
    <row r="2010" spans="1:13">
      <c r="A2010" s="9">
        <v>43035</v>
      </c>
      <c r="B2010" s="1">
        <f t="shared" si="62"/>
        <v>43009</v>
      </c>
      <c r="C2010" s="5" t="str">
        <f t="shared" si="63"/>
        <v>2017-10</v>
      </c>
      <c r="D2010" s="3">
        <v>257.70999999999998</v>
      </c>
      <c r="E2010" s="3">
        <v>149.79</v>
      </c>
      <c r="F2010" s="3">
        <v>123.24</v>
      </c>
      <c r="G2010" s="3">
        <v>120.9</v>
      </c>
      <c r="H2010" s="3">
        <v>82.28</v>
      </c>
      <c r="I2010" s="2">
        <v>50.88</v>
      </c>
      <c r="J2010" s="2">
        <v>475.13</v>
      </c>
      <c r="K2010" s="2">
        <v>308</v>
      </c>
      <c r="L2010" s="3">
        <v>82.14</v>
      </c>
      <c r="M2010" s="2">
        <v>2.0499999999999998</v>
      </c>
    </row>
    <row r="2011" spans="1:13">
      <c r="A2011" s="9">
        <v>43034</v>
      </c>
      <c r="B2011" s="1">
        <f t="shared" si="62"/>
        <v>43009</v>
      </c>
      <c r="C2011" s="5" t="str">
        <f t="shared" si="63"/>
        <v>2017-10</v>
      </c>
      <c r="D2011" s="3">
        <v>255.62</v>
      </c>
      <c r="E2011" s="3">
        <v>148.76</v>
      </c>
      <c r="F2011" s="3">
        <v>122.43</v>
      </c>
      <c r="G2011" s="3">
        <v>120.33</v>
      </c>
      <c r="H2011" s="3">
        <v>81.91</v>
      </c>
      <c r="I2011" s="2">
        <v>50.15</v>
      </c>
      <c r="J2011" s="2">
        <v>473.48</v>
      </c>
      <c r="K2011" s="2">
        <v>307.89</v>
      </c>
      <c r="L2011" s="3">
        <v>82.16</v>
      </c>
      <c r="M2011" s="2">
        <v>2.17</v>
      </c>
    </row>
    <row r="2012" spans="1:13">
      <c r="A2012" s="9">
        <v>43033</v>
      </c>
      <c r="B2012" s="1">
        <f t="shared" si="62"/>
        <v>43009</v>
      </c>
      <c r="C2012" s="5" t="str">
        <f t="shared" si="63"/>
        <v>2017-10</v>
      </c>
      <c r="D2012" s="3">
        <v>255.29</v>
      </c>
      <c r="E2012" s="3">
        <v>148.44999999999999</v>
      </c>
      <c r="F2012" s="3">
        <v>122.84</v>
      </c>
      <c r="G2012" s="3">
        <v>121.35</v>
      </c>
      <c r="H2012" s="3">
        <v>82.59</v>
      </c>
      <c r="I2012" s="2">
        <v>49.7</v>
      </c>
      <c r="J2012" s="2">
        <v>469.15</v>
      </c>
      <c r="K2012" s="2">
        <v>312.43</v>
      </c>
      <c r="L2012" s="3">
        <v>82.99</v>
      </c>
      <c r="M2012" s="2">
        <v>2.19</v>
      </c>
    </row>
    <row r="2013" spans="1:13">
      <c r="A2013" s="9">
        <v>43032</v>
      </c>
      <c r="B2013" s="1">
        <f t="shared" si="62"/>
        <v>43009</v>
      </c>
      <c r="C2013" s="5" t="str">
        <f t="shared" si="63"/>
        <v>2017-10</v>
      </c>
      <c r="D2013" s="3">
        <v>256.56</v>
      </c>
      <c r="E2013" s="3">
        <v>149.16999999999999</v>
      </c>
      <c r="F2013" s="3">
        <v>123.43</v>
      </c>
      <c r="G2013" s="3">
        <v>121.33</v>
      </c>
      <c r="H2013" s="3">
        <v>82.83</v>
      </c>
      <c r="I2013" s="2">
        <v>49.98</v>
      </c>
      <c r="J2013" s="2">
        <v>473.72</v>
      </c>
      <c r="K2013" s="2">
        <v>313.14999999999998</v>
      </c>
      <c r="L2013" s="3">
        <v>83.11</v>
      </c>
      <c r="M2013" s="2">
        <v>2.25</v>
      </c>
    </row>
    <row r="2014" spans="1:13">
      <c r="A2014" s="9">
        <v>43031</v>
      </c>
      <c r="B2014" s="1">
        <f t="shared" si="62"/>
        <v>43009</v>
      </c>
      <c r="C2014" s="5" t="str">
        <f t="shared" si="63"/>
        <v>2017-10</v>
      </c>
      <c r="D2014" s="3">
        <v>256.11</v>
      </c>
      <c r="E2014" s="3">
        <v>148.86000000000001</v>
      </c>
      <c r="F2014" s="3">
        <v>124.2</v>
      </c>
      <c r="G2014" s="3">
        <v>121.8</v>
      </c>
      <c r="H2014" s="3">
        <v>83.33</v>
      </c>
      <c r="I2014" s="2">
        <v>49.31</v>
      </c>
      <c r="J2014" s="2">
        <v>474.39</v>
      </c>
      <c r="K2014" s="2">
        <v>320.73</v>
      </c>
      <c r="L2014" s="3">
        <v>83.67</v>
      </c>
      <c r="M2014" s="2">
        <v>2.25</v>
      </c>
    </row>
    <row r="2015" spans="1:13">
      <c r="A2015" s="9">
        <v>43028</v>
      </c>
      <c r="B2015" s="1">
        <f t="shared" si="62"/>
        <v>43009</v>
      </c>
      <c r="C2015" s="5" t="str">
        <f t="shared" si="63"/>
        <v>2017-10</v>
      </c>
      <c r="D2015" s="3">
        <v>257.11</v>
      </c>
      <c r="E2015" s="3">
        <v>149.97999999999999</v>
      </c>
      <c r="F2015" s="3">
        <v>123.98</v>
      </c>
      <c r="G2015" s="3">
        <v>121.61</v>
      </c>
      <c r="H2015" s="3">
        <v>83.65</v>
      </c>
      <c r="I2015" s="2">
        <v>49.25</v>
      </c>
      <c r="J2015" s="2">
        <v>476.62</v>
      </c>
      <c r="K2015" s="2">
        <v>320</v>
      </c>
      <c r="L2015" s="3">
        <v>83.88</v>
      </c>
      <c r="M2015" s="2">
        <v>2.2400000000000002</v>
      </c>
    </row>
    <row r="2016" spans="1:13">
      <c r="A2016" s="9">
        <v>43027</v>
      </c>
      <c r="B2016" s="1">
        <f t="shared" si="62"/>
        <v>43009</v>
      </c>
      <c r="C2016" s="5" t="str">
        <f t="shared" si="63"/>
        <v>2017-10</v>
      </c>
      <c r="D2016" s="3">
        <v>255.79</v>
      </c>
      <c r="E2016" s="3">
        <v>149.29</v>
      </c>
      <c r="F2016" s="3">
        <v>125.31</v>
      </c>
      <c r="G2016" s="3">
        <v>122.39</v>
      </c>
      <c r="H2016" s="3">
        <v>84.13</v>
      </c>
      <c r="I2016" s="2">
        <v>49.35</v>
      </c>
      <c r="J2016" s="2">
        <v>476.79</v>
      </c>
      <c r="K2016" s="2">
        <v>316.83999999999997</v>
      </c>
      <c r="L2016" s="3">
        <v>83.79</v>
      </c>
      <c r="M2016" s="2">
        <v>2.1800000000000002</v>
      </c>
    </row>
    <row r="2017" spans="1:13">
      <c r="A2017" s="9">
        <v>43026</v>
      </c>
      <c r="B2017" s="1">
        <f t="shared" si="62"/>
        <v>43009</v>
      </c>
      <c r="C2017" s="5" t="str">
        <f t="shared" si="63"/>
        <v>2017-10</v>
      </c>
      <c r="D2017" s="3">
        <v>255.72</v>
      </c>
      <c r="E2017" s="3">
        <v>149.52000000000001</v>
      </c>
      <c r="F2017" s="3">
        <v>125.09</v>
      </c>
      <c r="G2017" s="3">
        <v>121.67</v>
      </c>
      <c r="H2017" s="3">
        <v>84.38</v>
      </c>
      <c r="I2017" s="2">
        <v>49.58</v>
      </c>
      <c r="J2017" s="2">
        <v>477.5</v>
      </c>
      <c r="K2017" s="2">
        <v>315.57</v>
      </c>
      <c r="L2017" s="3">
        <v>83.28</v>
      </c>
      <c r="M2017" s="2">
        <v>2.21</v>
      </c>
    </row>
    <row r="2018" spans="1:13">
      <c r="A2018" s="9">
        <v>43025</v>
      </c>
      <c r="B2018" s="1">
        <f t="shared" si="62"/>
        <v>43009</v>
      </c>
      <c r="C2018" s="5" t="str">
        <f t="shared" si="63"/>
        <v>2017-10</v>
      </c>
      <c r="D2018" s="3">
        <v>255.47</v>
      </c>
      <c r="E2018" s="3">
        <v>148.81</v>
      </c>
      <c r="F2018" s="3">
        <v>125.92</v>
      </c>
      <c r="G2018" s="3">
        <v>122.13</v>
      </c>
      <c r="H2018" s="3">
        <v>84.47</v>
      </c>
      <c r="I2018" s="2">
        <v>49.19</v>
      </c>
      <c r="J2018" s="2">
        <v>475.55</v>
      </c>
      <c r="K2018" s="2">
        <v>318.27</v>
      </c>
      <c r="L2018" s="3">
        <v>83.16</v>
      </c>
      <c r="M2018" s="2">
        <v>2.21</v>
      </c>
    </row>
    <row r="2019" spans="1:13">
      <c r="A2019" s="9">
        <v>43024</v>
      </c>
      <c r="B2019" s="1">
        <f t="shared" si="62"/>
        <v>43009</v>
      </c>
      <c r="C2019" s="5" t="str">
        <f t="shared" si="63"/>
        <v>2017-10</v>
      </c>
      <c r="D2019" s="3">
        <v>255.29</v>
      </c>
      <c r="E2019" s="3">
        <v>149.24</v>
      </c>
      <c r="F2019" s="3">
        <v>125.76</v>
      </c>
      <c r="G2019" s="3">
        <v>122.97</v>
      </c>
      <c r="H2019" s="3">
        <v>84.37</v>
      </c>
      <c r="I2019" s="2">
        <v>48.86</v>
      </c>
      <c r="J2019" s="2">
        <v>477.96</v>
      </c>
      <c r="K2019" s="2">
        <v>318.94</v>
      </c>
      <c r="L2019" s="3">
        <v>82.06</v>
      </c>
      <c r="M2019" s="2">
        <v>2.25</v>
      </c>
    </row>
    <row r="2020" spans="1:13">
      <c r="A2020" s="9">
        <v>43021</v>
      </c>
      <c r="B2020" s="1">
        <f t="shared" si="62"/>
        <v>43009</v>
      </c>
      <c r="C2020" s="5" t="str">
        <f t="shared" si="63"/>
        <v>2017-10</v>
      </c>
      <c r="D2020" s="3">
        <v>254.95</v>
      </c>
      <c r="E2020" s="3">
        <v>149.37</v>
      </c>
      <c r="F2020" s="3">
        <v>125.85</v>
      </c>
      <c r="G2020" s="3">
        <v>123.82</v>
      </c>
      <c r="H2020" s="3">
        <v>84.79</v>
      </c>
      <c r="I2020" s="2">
        <v>48.61</v>
      </c>
      <c r="J2020" s="2">
        <v>475.49</v>
      </c>
      <c r="K2020" s="2">
        <v>319.39</v>
      </c>
      <c r="L2020" s="3">
        <v>82.42</v>
      </c>
      <c r="M2020" s="2">
        <v>2.2599999999999998</v>
      </c>
    </row>
    <row r="2021" spans="1:13">
      <c r="A2021" s="9">
        <v>43020</v>
      </c>
      <c r="B2021" s="1">
        <f t="shared" si="62"/>
        <v>43009</v>
      </c>
      <c r="C2021" s="5" t="str">
        <f t="shared" si="63"/>
        <v>2017-10</v>
      </c>
      <c r="D2021" s="3">
        <v>254.64</v>
      </c>
      <c r="E2021" s="3">
        <v>149.63999999999999</v>
      </c>
      <c r="F2021" s="3">
        <v>124.95</v>
      </c>
      <c r="G2021" s="3">
        <v>122.89</v>
      </c>
      <c r="H2021" s="3">
        <v>84.57</v>
      </c>
      <c r="I2021" s="2">
        <v>48.23</v>
      </c>
      <c r="J2021" s="2">
        <v>480.59</v>
      </c>
      <c r="K2021" s="2">
        <v>321.14999999999998</v>
      </c>
      <c r="L2021" s="3">
        <v>82.63</v>
      </c>
      <c r="M2021" s="2">
        <v>2.25</v>
      </c>
    </row>
    <row r="2022" spans="1:13">
      <c r="A2022" s="9">
        <v>43019</v>
      </c>
      <c r="B2022" s="1">
        <f t="shared" si="62"/>
        <v>43009</v>
      </c>
      <c r="C2022" s="5" t="str">
        <f t="shared" si="63"/>
        <v>2017-10</v>
      </c>
      <c r="D2022" s="3">
        <v>255.02</v>
      </c>
      <c r="E2022" s="3">
        <v>149.75</v>
      </c>
      <c r="F2022" s="3">
        <v>124.42</v>
      </c>
      <c r="G2022" s="3">
        <v>122.79</v>
      </c>
      <c r="H2022" s="3">
        <v>84.03</v>
      </c>
      <c r="I2022" s="2">
        <v>48.28</v>
      </c>
      <c r="J2022" s="2">
        <v>473.93</v>
      </c>
      <c r="K2022" s="2">
        <v>318.58999999999997</v>
      </c>
      <c r="L2022" s="3">
        <v>82.72</v>
      </c>
      <c r="M2022" s="2">
        <v>2.25</v>
      </c>
    </row>
    <row r="2023" spans="1:13">
      <c r="A2023" s="9">
        <v>43018</v>
      </c>
      <c r="B2023" s="1">
        <f t="shared" si="62"/>
        <v>43009</v>
      </c>
      <c r="C2023" s="5" t="str">
        <f t="shared" si="63"/>
        <v>2017-10</v>
      </c>
      <c r="D2023" s="3">
        <v>254.62</v>
      </c>
      <c r="E2023" s="3">
        <v>149.86000000000001</v>
      </c>
      <c r="F2023" s="3">
        <v>124.18</v>
      </c>
      <c r="G2023" s="3">
        <v>122.4</v>
      </c>
      <c r="H2023" s="3">
        <v>83.75</v>
      </c>
      <c r="I2023" s="2">
        <v>48.21</v>
      </c>
      <c r="J2023" s="2">
        <v>465.49</v>
      </c>
      <c r="K2023" s="2">
        <v>317.70999999999998</v>
      </c>
      <c r="L2023" s="3">
        <v>82.56</v>
      </c>
      <c r="M2023" s="2">
        <v>2.2599999999999998</v>
      </c>
    </row>
    <row r="2024" spans="1:13">
      <c r="A2024" s="9">
        <v>43017</v>
      </c>
      <c r="B2024" s="1">
        <f t="shared" si="62"/>
        <v>43009</v>
      </c>
      <c r="C2024" s="5" t="str">
        <f t="shared" si="63"/>
        <v>2017-10</v>
      </c>
      <c r="D2024" s="3">
        <v>253.95</v>
      </c>
      <c r="E2024" s="3">
        <v>149.43</v>
      </c>
      <c r="F2024" s="3">
        <v>123.98</v>
      </c>
      <c r="G2024" s="3">
        <v>122.08</v>
      </c>
      <c r="H2024" s="3">
        <v>83.5</v>
      </c>
      <c r="I2024" s="2">
        <v>48.36</v>
      </c>
      <c r="J2024" s="2">
        <v>462.45</v>
      </c>
      <c r="K2024" s="2">
        <v>317.3</v>
      </c>
      <c r="L2024" s="3">
        <v>82.37</v>
      </c>
      <c r="M2024" s="2">
        <v>2.27</v>
      </c>
    </row>
    <row r="2025" spans="1:13">
      <c r="A2025" s="9">
        <v>43014</v>
      </c>
      <c r="B2025" s="1">
        <f t="shared" si="62"/>
        <v>43009</v>
      </c>
      <c r="C2025" s="5" t="str">
        <f t="shared" si="63"/>
        <v>2017-10</v>
      </c>
      <c r="D2025" s="3">
        <v>254.37</v>
      </c>
      <c r="E2025" s="3">
        <v>150.05000000000001</v>
      </c>
      <c r="F2025" s="3">
        <v>123.59</v>
      </c>
      <c r="G2025" s="3">
        <v>121.09</v>
      </c>
      <c r="H2025" s="3">
        <v>83.3</v>
      </c>
      <c r="I2025" s="2">
        <v>48.4</v>
      </c>
      <c r="J2025" s="2">
        <v>463.22</v>
      </c>
      <c r="K2025" s="2">
        <v>316.45999999999998</v>
      </c>
      <c r="L2025" s="3">
        <v>82.89</v>
      </c>
      <c r="M2025" s="2">
        <v>2.2799999999999998</v>
      </c>
    </row>
    <row r="2026" spans="1:13">
      <c r="A2026" s="9">
        <v>43013</v>
      </c>
      <c r="B2026" s="1">
        <f t="shared" si="62"/>
        <v>43009</v>
      </c>
      <c r="C2026" s="5" t="str">
        <f t="shared" si="63"/>
        <v>2017-10</v>
      </c>
      <c r="D2026" s="3">
        <v>254.66</v>
      </c>
      <c r="E2026" s="3">
        <v>150.26</v>
      </c>
      <c r="F2026" s="3">
        <v>123.94</v>
      </c>
      <c r="G2026" s="3">
        <v>120.52</v>
      </c>
      <c r="H2026" s="3">
        <v>83.57</v>
      </c>
      <c r="I2026" s="2">
        <v>48.91</v>
      </c>
      <c r="J2026" s="2">
        <v>464.43</v>
      </c>
      <c r="K2026" s="2">
        <v>314.58</v>
      </c>
      <c r="L2026" s="3">
        <v>83</v>
      </c>
      <c r="M2026" s="2">
        <v>2.2999999999999998</v>
      </c>
    </row>
    <row r="2027" spans="1:13">
      <c r="A2027" s="9">
        <v>43012</v>
      </c>
      <c r="B2027" s="1">
        <f t="shared" si="62"/>
        <v>43009</v>
      </c>
      <c r="C2027" s="5" t="str">
        <f t="shared" si="63"/>
        <v>2017-10</v>
      </c>
      <c r="D2027" s="3">
        <v>253.16</v>
      </c>
      <c r="E2027" s="3">
        <v>149.85</v>
      </c>
      <c r="F2027" s="3">
        <v>124.41</v>
      </c>
      <c r="G2027" s="3">
        <v>121.17</v>
      </c>
      <c r="H2027" s="3">
        <v>83.27</v>
      </c>
      <c r="I2027" s="2">
        <v>48.9</v>
      </c>
      <c r="J2027" s="2">
        <v>457.91</v>
      </c>
      <c r="K2027" s="2">
        <v>313.02</v>
      </c>
      <c r="L2027" s="3">
        <v>82.94</v>
      </c>
      <c r="M2027" s="2">
        <v>2.2999999999999998</v>
      </c>
    </row>
    <row r="2028" spans="1:13">
      <c r="A2028" s="9">
        <v>43011</v>
      </c>
      <c r="B2028" s="1">
        <f t="shared" si="62"/>
        <v>43009</v>
      </c>
      <c r="C2028" s="5" t="str">
        <f t="shared" si="63"/>
        <v>2017-10</v>
      </c>
      <c r="D2028" s="3">
        <v>252.86</v>
      </c>
      <c r="E2028" s="3">
        <v>150.33000000000001</v>
      </c>
      <c r="F2028" s="3">
        <v>124.4</v>
      </c>
      <c r="G2028" s="3">
        <v>120.83</v>
      </c>
      <c r="H2028" s="3">
        <v>82.85</v>
      </c>
      <c r="I2028" s="2">
        <v>48.69</v>
      </c>
      <c r="J2028" s="2">
        <v>450.79</v>
      </c>
      <c r="K2028" s="2">
        <v>312.86</v>
      </c>
      <c r="L2028" s="3">
        <v>82.54</v>
      </c>
      <c r="M2028" s="2">
        <v>2.2799999999999998</v>
      </c>
    </row>
    <row r="2029" spans="1:13">
      <c r="A2029" s="9">
        <v>43010</v>
      </c>
      <c r="B2029" s="1">
        <f t="shared" si="62"/>
        <v>43009</v>
      </c>
      <c r="C2029" s="5" t="str">
        <f t="shared" si="63"/>
        <v>2017-10</v>
      </c>
      <c r="D2029" s="3">
        <v>252.32</v>
      </c>
      <c r="E2029" s="3">
        <v>150</v>
      </c>
      <c r="F2029" s="3">
        <v>124.28</v>
      </c>
      <c r="G2029" s="3">
        <v>120.77</v>
      </c>
      <c r="H2029" s="3">
        <v>82.97</v>
      </c>
      <c r="I2029" s="2">
        <v>48.8</v>
      </c>
      <c r="J2029" s="2">
        <v>449.95</v>
      </c>
      <c r="K2029" s="2">
        <v>311.33</v>
      </c>
      <c r="L2029" s="3">
        <v>82.56</v>
      </c>
      <c r="M2029" s="2">
        <v>2.33</v>
      </c>
    </row>
    <row r="2030" spans="1:13">
      <c r="A2030" s="9">
        <v>43007</v>
      </c>
      <c r="B2030" s="1">
        <f t="shared" si="62"/>
        <v>42979</v>
      </c>
      <c r="C2030" s="5" t="str">
        <f t="shared" si="63"/>
        <v>2017-09</v>
      </c>
      <c r="D2030" s="3">
        <v>251.23</v>
      </c>
      <c r="E2030" s="3">
        <v>148.18</v>
      </c>
      <c r="F2030" s="3">
        <v>124.76</v>
      </c>
      <c r="G2030" s="3">
        <v>121.58</v>
      </c>
      <c r="H2030" s="3">
        <v>83.09</v>
      </c>
      <c r="I2030" s="2">
        <v>48.35</v>
      </c>
      <c r="J2030" s="2">
        <v>447.09</v>
      </c>
      <c r="K2030" s="2">
        <v>310.29000000000002</v>
      </c>
      <c r="L2030" s="3">
        <v>81.73</v>
      </c>
      <c r="M2030" s="2">
        <v>2.21</v>
      </c>
    </row>
    <row r="2031" spans="1:13">
      <c r="A2031" s="9">
        <v>43006</v>
      </c>
      <c r="B2031" s="1">
        <f t="shared" si="62"/>
        <v>42979</v>
      </c>
      <c r="C2031" s="5" t="str">
        <f t="shared" si="63"/>
        <v>2017-09</v>
      </c>
      <c r="D2031" s="3">
        <v>250.35</v>
      </c>
      <c r="E2031" s="3">
        <v>147.83000000000001</v>
      </c>
      <c r="F2031" s="3">
        <v>124.48</v>
      </c>
      <c r="G2031" s="3">
        <v>122.21</v>
      </c>
      <c r="H2031" s="3">
        <v>82.92</v>
      </c>
      <c r="I2031" s="2">
        <v>48.08</v>
      </c>
      <c r="J2031" s="2">
        <v>446.11</v>
      </c>
      <c r="K2031" s="2">
        <v>309.13</v>
      </c>
      <c r="L2031" s="3">
        <v>81.25</v>
      </c>
      <c r="M2031" s="2">
        <v>2.19</v>
      </c>
    </row>
    <row r="2032" spans="1:13">
      <c r="A2032" s="9">
        <v>43005</v>
      </c>
      <c r="B2032" s="1">
        <f t="shared" si="62"/>
        <v>42979</v>
      </c>
      <c r="C2032" s="5" t="str">
        <f t="shared" si="63"/>
        <v>2017-09</v>
      </c>
      <c r="D2032" s="3">
        <v>250.05</v>
      </c>
      <c r="E2032" s="3">
        <v>147.44</v>
      </c>
      <c r="F2032" s="3">
        <v>124.85</v>
      </c>
      <c r="G2032" s="3">
        <v>121.98</v>
      </c>
      <c r="H2032" s="3">
        <v>82.36</v>
      </c>
      <c r="I2032" s="2">
        <v>48.16</v>
      </c>
      <c r="J2032" s="2">
        <v>438.4</v>
      </c>
      <c r="K2032" s="2">
        <v>310.13</v>
      </c>
      <c r="L2032" s="3">
        <v>81.180000000000007</v>
      </c>
      <c r="M2032" s="2">
        <v>2.23</v>
      </c>
    </row>
    <row r="2033" spans="1:13">
      <c r="A2033" s="9">
        <v>43004</v>
      </c>
      <c r="B2033" s="1">
        <f t="shared" si="62"/>
        <v>42979</v>
      </c>
      <c r="C2033" s="5" t="str">
        <f t="shared" si="63"/>
        <v>2017-09</v>
      </c>
      <c r="D2033" s="3">
        <v>249.08</v>
      </c>
      <c r="E2033" s="3">
        <v>144.61000000000001</v>
      </c>
      <c r="F2033" s="3">
        <v>126.76</v>
      </c>
      <c r="G2033" s="3">
        <v>123.14</v>
      </c>
      <c r="H2033" s="3">
        <v>83.11</v>
      </c>
      <c r="I2033" s="2">
        <v>47.92</v>
      </c>
      <c r="J2033" s="2">
        <v>434.4</v>
      </c>
      <c r="K2033" s="2">
        <v>309.58</v>
      </c>
      <c r="L2033" s="3">
        <v>81.209999999999994</v>
      </c>
      <c r="M2033" s="2">
        <v>2.17</v>
      </c>
    </row>
    <row r="2034" spans="1:13">
      <c r="A2034" s="9">
        <v>43003</v>
      </c>
      <c r="B2034" s="1">
        <f t="shared" si="62"/>
        <v>42979</v>
      </c>
      <c r="C2034" s="5" t="str">
        <f t="shared" si="63"/>
        <v>2017-09</v>
      </c>
      <c r="D2034" s="3">
        <v>248.93</v>
      </c>
      <c r="E2034" s="3">
        <v>144.5</v>
      </c>
      <c r="F2034" s="3">
        <v>126.99</v>
      </c>
      <c r="G2034" s="3">
        <v>124.53</v>
      </c>
      <c r="H2034" s="3">
        <v>82.97</v>
      </c>
      <c r="I2034" s="2">
        <v>47.97</v>
      </c>
      <c r="J2034" s="2">
        <v>437.63</v>
      </c>
      <c r="K2034" s="2">
        <v>306.85000000000002</v>
      </c>
      <c r="L2034" s="3">
        <v>81.34</v>
      </c>
      <c r="M2034" s="2">
        <v>2.13</v>
      </c>
    </row>
    <row r="2035" spans="1:13">
      <c r="A2035" s="9">
        <v>43000</v>
      </c>
      <c r="B2035" s="1">
        <f t="shared" si="62"/>
        <v>42979</v>
      </c>
      <c r="C2035" s="5" t="str">
        <f t="shared" si="63"/>
        <v>2017-09</v>
      </c>
      <c r="D2035" s="3">
        <v>249.44</v>
      </c>
      <c r="E2035" s="3">
        <v>144.30000000000001</v>
      </c>
      <c r="F2035" s="3">
        <v>126.2</v>
      </c>
      <c r="G2035" s="3">
        <v>123.24</v>
      </c>
      <c r="H2035" s="3">
        <v>82.49</v>
      </c>
      <c r="I2035" s="2">
        <v>48.16</v>
      </c>
      <c r="J2035" s="2">
        <v>435.49</v>
      </c>
      <c r="K2035" s="2">
        <v>308.54000000000002</v>
      </c>
      <c r="L2035" s="3">
        <v>81.58</v>
      </c>
      <c r="M2035" s="2">
        <v>2.2000000000000002</v>
      </c>
    </row>
    <row r="2036" spans="1:13">
      <c r="A2036" s="9">
        <v>42999</v>
      </c>
      <c r="B2036" s="1">
        <f t="shared" si="62"/>
        <v>42979</v>
      </c>
      <c r="C2036" s="5" t="str">
        <f t="shared" si="63"/>
        <v>2017-09</v>
      </c>
      <c r="D2036" s="3">
        <v>249.39</v>
      </c>
      <c r="E2036" s="3">
        <v>143.69</v>
      </c>
      <c r="F2036" s="3">
        <v>125.84</v>
      </c>
      <c r="G2036" s="3">
        <v>122.68</v>
      </c>
      <c r="H2036" s="3">
        <v>83.93</v>
      </c>
      <c r="I2036" s="2">
        <v>47.97</v>
      </c>
      <c r="J2036" s="2">
        <v>433.63</v>
      </c>
      <c r="K2036" s="2">
        <v>308.01</v>
      </c>
      <c r="L2036" s="3">
        <v>81.58</v>
      </c>
      <c r="M2036" s="2">
        <v>2.12</v>
      </c>
    </row>
    <row r="2037" spans="1:13">
      <c r="A2037" s="9">
        <v>42998</v>
      </c>
      <c r="B2037" s="1">
        <f t="shared" si="62"/>
        <v>42979</v>
      </c>
      <c r="C2037" s="5" t="str">
        <f t="shared" si="63"/>
        <v>2017-09</v>
      </c>
      <c r="D2037" s="3">
        <v>250.06</v>
      </c>
      <c r="E2037" s="3">
        <v>143.84</v>
      </c>
      <c r="F2037" s="3">
        <v>125.91</v>
      </c>
      <c r="G2037" s="3">
        <v>123.62</v>
      </c>
      <c r="H2037" s="3">
        <v>84.09</v>
      </c>
      <c r="I2037" s="2">
        <v>47.97</v>
      </c>
      <c r="J2037" s="2">
        <v>434.07</v>
      </c>
      <c r="K2037" s="2">
        <v>307.89999999999998</v>
      </c>
      <c r="L2037" s="3">
        <v>82</v>
      </c>
      <c r="M2037" s="2">
        <v>2.09</v>
      </c>
    </row>
    <row r="2038" spans="1:13">
      <c r="A2038" s="9">
        <v>42997</v>
      </c>
      <c r="B2038" s="1">
        <f t="shared" si="62"/>
        <v>42979</v>
      </c>
      <c r="C2038" s="5" t="str">
        <f t="shared" si="63"/>
        <v>2017-09</v>
      </c>
      <c r="D2038" s="3">
        <v>249.97</v>
      </c>
      <c r="E2038" s="3">
        <v>143.38</v>
      </c>
      <c r="F2038" s="3">
        <v>125.82</v>
      </c>
      <c r="G2038" s="3">
        <v>124.62</v>
      </c>
      <c r="H2038" s="3">
        <v>84.32</v>
      </c>
      <c r="I2038" s="2">
        <v>48.04</v>
      </c>
      <c r="J2038" s="2">
        <v>432.39</v>
      </c>
      <c r="K2038" s="2">
        <v>305.64999999999998</v>
      </c>
      <c r="L2038" s="3">
        <v>81.92</v>
      </c>
      <c r="M2038" s="2">
        <v>2.1</v>
      </c>
    </row>
    <row r="2039" spans="1:13">
      <c r="A2039" s="9">
        <v>42996</v>
      </c>
      <c r="B2039" s="1">
        <f t="shared" si="62"/>
        <v>42979</v>
      </c>
      <c r="C2039" s="5" t="str">
        <f t="shared" si="63"/>
        <v>2017-09</v>
      </c>
      <c r="D2039" s="3">
        <v>249.72</v>
      </c>
      <c r="E2039" s="3">
        <v>143.38</v>
      </c>
      <c r="F2039" s="3">
        <v>126.13</v>
      </c>
      <c r="G2039" s="3">
        <v>124.36</v>
      </c>
      <c r="H2039" s="3">
        <v>84.88</v>
      </c>
      <c r="I2039" s="2">
        <v>48.33</v>
      </c>
      <c r="J2039" s="2">
        <v>429.44</v>
      </c>
      <c r="K2039" s="2">
        <v>303.8</v>
      </c>
      <c r="L2039" s="3">
        <v>82.57</v>
      </c>
      <c r="M2039" s="2">
        <v>2.12</v>
      </c>
    </row>
    <row r="2040" spans="1:13">
      <c r="A2040" s="9">
        <v>42993</v>
      </c>
      <c r="B2040" s="1">
        <f t="shared" si="62"/>
        <v>42979</v>
      </c>
      <c r="C2040" s="5" t="str">
        <f t="shared" si="63"/>
        <v>2017-09</v>
      </c>
      <c r="D2040" s="3">
        <v>249.19</v>
      </c>
      <c r="E2040" s="3">
        <v>142.41</v>
      </c>
      <c r="F2040" s="3">
        <v>126.86</v>
      </c>
      <c r="G2040" s="3">
        <v>125.53</v>
      </c>
      <c r="H2040" s="3">
        <v>85.34</v>
      </c>
      <c r="I2040" s="2">
        <v>48.74</v>
      </c>
      <c r="J2040" s="2">
        <v>428.72</v>
      </c>
      <c r="K2040" s="2">
        <v>302.3</v>
      </c>
      <c r="L2040" s="3">
        <v>82.59</v>
      </c>
      <c r="M2040" s="2">
        <v>2.34</v>
      </c>
    </row>
    <row r="2041" spans="1:13">
      <c r="A2041" s="9">
        <v>42992</v>
      </c>
      <c r="B2041" s="1">
        <f t="shared" si="62"/>
        <v>42979</v>
      </c>
      <c r="C2041" s="5" t="str">
        <f t="shared" si="63"/>
        <v>2017-09</v>
      </c>
      <c r="D2041" s="3">
        <v>250.09</v>
      </c>
      <c r="E2041" s="3">
        <v>141.83000000000001</v>
      </c>
      <c r="F2041" s="3">
        <v>126.81</v>
      </c>
      <c r="G2041" s="3">
        <v>126.16</v>
      </c>
      <c r="H2041" s="3">
        <v>85.18</v>
      </c>
      <c r="I2041" s="2">
        <v>52.79</v>
      </c>
      <c r="J2041" s="2">
        <v>425.69</v>
      </c>
      <c r="K2041" s="2">
        <v>301.33999999999997</v>
      </c>
      <c r="L2041" s="3">
        <v>83.16</v>
      </c>
      <c r="M2041" s="2">
        <v>2.5299999999999998</v>
      </c>
    </row>
    <row r="2042" spans="1:13">
      <c r="A2042" s="9">
        <v>42991</v>
      </c>
      <c r="B2042" s="1">
        <f t="shared" si="62"/>
        <v>42979</v>
      </c>
      <c r="C2042" s="5" t="str">
        <f t="shared" si="63"/>
        <v>2017-09</v>
      </c>
      <c r="D2042" s="3">
        <v>250.17</v>
      </c>
      <c r="E2042" s="3">
        <v>141.96</v>
      </c>
      <c r="F2042" s="3">
        <v>126.29</v>
      </c>
      <c r="G2042" s="3">
        <v>125.61</v>
      </c>
      <c r="H2042" s="3">
        <v>84.48</v>
      </c>
      <c r="I2042" s="2">
        <v>52.8</v>
      </c>
      <c r="J2042" s="2">
        <v>425.52</v>
      </c>
      <c r="K2042" s="2">
        <v>300.2</v>
      </c>
      <c r="L2042" s="3">
        <v>83.05</v>
      </c>
      <c r="M2042" s="2">
        <v>2.56</v>
      </c>
    </row>
    <row r="2043" spans="1:13">
      <c r="A2043" s="9">
        <v>42990</v>
      </c>
      <c r="B2043" s="1">
        <f t="shared" si="62"/>
        <v>42979</v>
      </c>
      <c r="C2043" s="5" t="str">
        <f t="shared" si="63"/>
        <v>2017-09</v>
      </c>
      <c r="D2043" s="3">
        <v>250.05</v>
      </c>
      <c r="E2043" s="3">
        <v>141.54</v>
      </c>
      <c r="F2043" s="3">
        <v>126.79</v>
      </c>
      <c r="G2043" s="3">
        <v>126.56</v>
      </c>
      <c r="H2043" s="3">
        <v>84.7</v>
      </c>
      <c r="I2043" s="2">
        <v>52.77</v>
      </c>
      <c r="J2043" s="2">
        <v>428.57</v>
      </c>
      <c r="K2043" s="2">
        <v>303.73</v>
      </c>
      <c r="L2043" s="3">
        <v>83.36</v>
      </c>
      <c r="M2043" s="2">
        <v>2.58</v>
      </c>
    </row>
    <row r="2044" spans="1:13">
      <c r="A2044" s="9">
        <v>42989</v>
      </c>
      <c r="B2044" s="1">
        <f t="shared" si="62"/>
        <v>42979</v>
      </c>
      <c r="C2044" s="5" t="str">
        <f t="shared" si="63"/>
        <v>2017-09</v>
      </c>
      <c r="D2044" s="3">
        <v>249.21</v>
      </c>
      <c r="E2044" s="3">
        <v>140.68</v>
      </c>
      <c r="F2044" s="3">
        <v>127.46</v>
      </c>
      <c r="G2044" s="3">
        <v>126.19</v>
      </c>
      <c r="H2044" s="3">
        <v>85.71</v>
      </c>
      <c r="I2044" s="2">
        <v>52.49</v>
      </c>
      <c r="J2044" s="2">
        <v>424.04</v>
      </c>
      <c r="K2044" s="2">
        <v>304.48</v>
      </c>
      <c r="L2044" s="3">
        <v>83.18</v>
      </c>
      <c r="M2044" s="2">
        <v>2.6</v>
      </c>
    </row>
    <row r="2045" spans="1:13">
      <c r="A2045" s="9">
        <v>42986</v>
      </c>
      <c r="B2045" s="1">
        <f t="shared" si="62"/>
        <v>42979</v>
      </c>
      <c r="C2045" s="5" t="str">
        <f t="shared" si="63"/>
        <v>2017-09</v>
      </c>
      <c r="D2045" s="3">
        <v>246.58</v>
      </c>
      <c r="E2045" s="3">
        <v>139.22</v>
      </c>
      <c r="F2045" s="3">
        <v>129</v>
      </c>
      <c r="G2045" s="3">
        <v>127.97</v>
      </c>
      <c r="H2045" s="3">
        <v>84.93</v>
      </c>
      <c r="I2045" s="2">
        <v>51.58</v>
      </c>
      <c r="J2045" s="2">
        <v>415.95</v>
      </c>
      <c r="K2045" s="2">
        <v>302.89999999999998</v>
      </c>
      <c r="L2045" s="3">
        <v>82.54</v>
      </c>
      <c r="M2045" s="2">
        <v>2.58</v>
      </c>
    </row>
    <row r="2046" spans="1:13">
      <c r="A2046" s="9">
        <v>42985</v>
      </c>
      <c r="B2046" s="1">
        <f t="shared" si="62"/>
        <v>42979</v>
      </c>
      <c r="C2046" s="5" t="str">
        <f t="shared" si="63"/>
        <v>2017-09</v>
      </c>
      <c r="D2046" s="3">
        <v>246.87</v>
      </c>
      <c r="E2046" s="3">
        <v>139.11000000000001</v>
      </c>
      <c r="F2046" s="3">
        <v>129.28</v>
      </c>
      <c r="G2046" s="3">
        <v>128.13</v>
      </c>
      <c r="H2046" s="3">
        <v>84.86</v>
      </c>
      <c r="I2046" s="2">
        <v>51.73</v>
      </c>
      <c r="J2046" s="2">
        <v>414.25</v>
      </c>
      <c r="K2046" s="2">
        <v>302.35000000000002</v>
      </c>
      <c r="L2046" s="3">
        <v>82.17</v>
      </c>
      <c r="M2046" s="2">
        <v>2.62</v>
      </c>
    </row>
    <row r="2047" spans="1:13">
      <c r="A2047" s="9">
        <v>42984</v>
      </c>
      <c r="B2047" s="1">
        <f t="shared" si="62"/>
        <v>42979</v>
      </c>
      <c r="C2047" s="5" t="str">
        <f t="shared" si="63"/>
        <v>2017-09</v>
      </c>
      <c r="D2047" s="3">
        <v>246.9</v>
      </c>
      <c r="E2047" s="3">
        <v>139.46</v>
      </c>
      <c r="F2047" s="3">
        <v>127.97</v>
      </c>
      <c r="G2047" s="3">
        <v>126.81</v>
      </c>
      <c r="H2047" s="3">
        <v>84.32</v>
      </c>
      <c r="I2047" s="2">
        <v>51.01</v>
      </c>
      <c r="J2047" s="2">
        <v>412.19</v>
      </c>
      <c r="K2047" s="2">
        <v>301.45</v>
      </c>
      <c r="L2047" s="3">
        <v>81.27</v>
      </c>
      <c r="M2047" s="2">
        <v>2.66</v>
      </c>
    </row>
    <row r="2048" spans="1:13">
      <c r="A2048" s="9">
        <v>42983</v>
      </c>
      <c r="B2048" s="1">
        <f t="shared" si="62"/>
        <v>42979</v>
      </c>
      <c r="C2048" s="5" t="str">
        <f t="shared" si="63"/>
        <v>2017-09</v>
      </c>
      <c r="D2048" s="3">
        <v>246.06</v>
      </c>
      <c r="E2048" s="3">
        <v>139.16999999999999</v>
      </c>
      <c r="F2048" s="3">
        <v>128.76</v>
      </c>
      <c r="G2048" s="3">
        <v>127.46</v>
      </c>
      <c r="H2048" s="3">
        <v>84.1</v>
      </c>
      <c r="I2048" s="2">
        <v>50.93</v>
      </c>
      <c r="J2048" s="2">
        <v>413.65</v>
      </c>
      <c r="K2048" s="2">
        <v>302.2</v>
      </c>
      <c r="L2048" s="3">
        <v>80.88</v>
      </c>
      <c r="M2048" s="2">
        <v>2.66</v>
      </c>
    </row>
    <row r="2049" spans="1:13">
      <c r="A2049" s="9">
        <v>42979</v>
      </c>
      <c r="B2049" s="1">
        <f t="shared" si="62"/>
        <v>42979</v>
      </c>
      <c r="C2049" s="5" t="str">
        <f t="shared" si="63"/>
        <v>2017-09</v>
      </c>
      <c r="D2049" s="3">
        <v>247.84</v>
      </c>
      <c r="E2049" s="3">
        <v>140.52000000000001</v>
      </c>
      <c r="F2049" s="3">
        <v>126.75</v>
      </c>
      <c r="G2049" s="3">
        <v>126.06</v>
      </c>
      <c r="H2049" s="3">
        <v>84.33</v>
      </c>
      <c r="I2049" s="2">
        <v>50.62</v>
      </c>
      <c r="J2049" s="2">
        <v>421.78</v>
      </c>
      <c r="K2049" s="2">
        <v>302.19</v>
      </c>
      <c r="L2049" s="3">
        <v>81.23</v>
      </c>
      <c r="M2049" s="2">
        <v>2.68</v>
      </c>
    </row>
    <row r="2050" spans="1:13">
      <c r="A2050" s="9">
        <v>42978</v>
      </c>
      <c r="B2050" s="1">
        <f t="shared" ref="B2050:B2113" si="64">EOMONTH(A2050,-1)+1</f>
        <v>42948</v>
      </c>
      <c r="C2050" s="5" t="str">
        <f t="shared" si="63"/>
        <v>2017-08</v>
      </c>
      <c r="D2050" s="3">
        <v>247.49</v>
      </c>
      <c r="E2050" s="3">
        <v>139.72999999999999</v>
      </c>
      <c r="F2050" s="3">
        <v>127.99</v>
      </c>
      <c r="G2050" s="3">
        <v>125.82</v>
      </c>
      <c r="H2050" s="3">
        <v>84.04</v>
      </c>
      <c r="I2050" s="2">
        <v>50.33</v>
      </c>
      <c r="J2050" s="2">
        <v>419.01</v>
      </c>
      <c r="K2050" s="2">
        <v>305.39</v>
      </c>
      <c r="L2050" s="3">
        <v>81.290000000000006</v>
      </c>
      <c r="M2050" s="2">
        <v>2.66</v>
      </c>
    </row>
    <row r="2051" spans="1:13">
      <c r="A2051" s="9">
        <v>42977</v>
      </c>
      <c r="B2051" s="1">
        <f t="shared" si="64"/>
        <v>42948</v>
      </c>
      <c r="C2051" s="5" t="str">
        <f t="shared" ref="C2051:C2114" si="65">TEXT(A2051, "yyyy-mm")</f>
        <v>2017-08</v>
      </c>
      <c r="D2051" s="3">
        <v>246.01</v>
      </c>
      <c r="E2051" s="3">
        <v>138.37</v>
      </c>
      <c r="F2051" s="3">
        <v>127.61</v>
      </c>
      <c r="G2051" s="3">
        <v>124.36</v>
      </c>
      <c r="H2051" s="3">
        <v>83.56</v>
      </c>
      <c r="I2051" s="2">
        <v>49.8</v>
      </c>
      <c r="J2051" s="2">
        <v>416.2</v>
      </c>
      <c r="K2051" s="2">
        <v>306.3</v>
      </c>
      <c r="L2051" s="3">
        <v>79.930000000000007</v>
      </c>
      <c r="M2051" s="2">
        <v>2.59</v>
      </c>
    </row>
    <row r="2052" spans="1:13">
      <c r="A2052" s="9">
        <v>42976</v>
      </c>
      <c r="B2052" s="1">
        <f t="shared" si="64"/>
        <v>42948</v>
      </c>
      <c r="C2052" s="5" t="str">
        <f t="shared" si="65"/>
        <v>2017-08</v>
      </c>
      <c r="D2052" s="3">
        <v>244.85</v>
      </c>
      <c r="E2052" s="3">
        <v>137.49</v>
      </c>
      <c r="F2052" s="3">
        <v>127.65</v>
      </c>
      <c r="G2052" s="3">
        <v>124.42</v>
      </c>
      <c r="H2052" s="3">
        <v>83.09</v>
      </c>
      <c r="I2052" s="2">
        <v>49.45</v>
      </c>
      <c r="J2052" s="2">
        <v>414.13</v>
      </c>
      <c r="K2052" s="2">
        <v>308.14</v>
      </c>
      <c r="L2052" s="3">
        <v>79.52</v>
      </c>
      <c r="M2052" s="2">
        <v>2.72</v>
      </c>
    </row>
    <row r="2053" spans="1:13">
      <c r="A2053" s="9">
        <v>42975</v>
      </c>
      <c r="B2053" s="1">
        <f t="shared" si="64"/>
        <v>42948</v>
      </c>
      <c r="C2053" s="5" t="str">
        <f t="shared" si="65"/>
        <v>2017-08</v>
      </c>
      <c r="D2053" s="3">
        <v>244.57</v>
      </c>
      <c r="E2053" s="3">
        <v>137.46</v>
      </c>
      <c r="F2053" s="3">
        <v>127.24</v>
      </c>
      <c r="G2053" s="3">
        <v>124.69</v>
      </c>
      <c r="H2053" s="3">
        <v>83.18</v>
      </c>
      <c r="I2053" s="2">
        <v>49.24</v>
      </c>
      <c r="J2053" s="2">
        <v>414.34</v>
      </c>
      <c r="K2053" s="2">
        <v>303.61</v>
      </c>
      <c r="L2053" s="3">
        <v>79.37</v>
      </c>
      <c r="M2053" s="2">
        <v>2.74</v>
      </c>
    </row>
    <row r="2054" spans="1:13">
      <c r="A2054" s="9">
        <v>42972</v>
      </c>
      <c r="B2054" s="1">
        <f t="shared" si="64"/>
        <v>42948</v>
      </c>
      <c r="C2054" s="5" t="str">
        <f t="shared" si="65"/>
        <v>2017-08</v>
      </c>
      <c r="D2054" s="3">
        <v>244.56</v>
      </c>
      <c r="E2054" s="3">
        <v>136.88</v>
      </c>
      <c r="F2054" s="3">
        <v>127.32</v>
      </c>
      <c r="G2054" s="3">
        <v>122.74</v>
      </c>
      <c r="H2054" s="3">
        <v>83.82</v>
      </c>
      <c r="I2054" s="2">
        <v>49.24</v>
      </c>
      <c r="J2054" s="2">
        <v>416.37</v>
      </c>
      <c r="K2054" s="2">
        <v>302.8</v>
      </c>
      <c r="L2054" s="3">
        <v>78.95</v>
      </c>
      <c r="M2054" s="2">
        <v>2.75</v>
      </c>
    </row>
    <row r="2055" spans="1:13">
      <c r="A2055" s="9">
        <v>42971</v>
      </c>
      <c r="B2055" s="1">
        <f t="shared" si="64"/>
        <v>42948</v>
      </c>
      <c r="C2055" s="5" t="str">
        <f t="shared" si="65"/>
        <v>2017-08</v>
      </c>
      <c r="D2055" s="3">
        <v>243.99</v>
      </c>
      <c r="E2055" s="3">
        <v>136.49</v>
      </c>
      <c r="F2055" s="3">
        <v>126.83</v>
      </c>
      <c r="G2055" s="3">
        <v>122.29</v>
      </c>
      <c r="H2055" s="3">
        <v>83.42</v>
      </c>
      <c r="I2055" s="2">
        <v>49.19</v>
      </c>
      <c r="J2055" s="2">
        <v>415.94</v>
      </c>
      <c r="K2055" s="2">
        <v>302.60000000000002</v>
      </c>
      <c r="L2055" s="3">
        <v>78.930000000000007</v>
      </c>
      <c r="M2055" s="2">
        <v>2.73</v>
      </c>
    </row>
    <row r="2056" spans="1:13">
      <c r="A2056" s="9">
        <v>42970</v>
      </c>
      <c r="B2056" s="1">
        <f t="shared" si="64"/>
        <v>42948</v>
      </c>
      <c r="C2056" s="5" t="str">
        <f t="shared" si="65"/>
        <v>2017-08</v>
      </c>
      <c r="D2056" s="3">
        <v>244.56</v>
      </c>
      <c r="E2056" s="3">
        <v>136.07</v>
      </c>
      <c r="F2056" s="3">
        <v>127.3</v>
      </c>
      <c r="G2056" s="3">
        <v>122.67</v>
      </c>
      <c r="H2056" s="3">
        <v>83.68</v>
      </c>
      <c r="I2056" s="2">
        <v>49.07</v>
      </c>
      <c r="J2056" s="2">
        <v>418.07</v>
      </c>
      <c r="K2056" s="2">
        <v>302.83999999999997</v>
      </c>
      <c r="L2056" s="3">
        <v>78.7</v>
      </c>
      <c r="M2056" s="2">
        <v>2.71</v>
      </c>
    </row>
    <row r="2057" spans="1:13">
      <c r="A2057" s="9">
        <v>42969</v>
      </c>
      <c r="B2057" s="1">
        <f t="shared" si="64"/>
        <v>42948</v>
      </c>
      <c r="C2057" s="5" t="str">
        <f t="shared" si="65"/>
        <v>2017-08</v>
      </c>
      <c r="D2057" s="3">
        <v>245.44</v>
      </c>
      <c r="E2057" s="3">
        <v>136.29</v>
      </c>
      <c r="F2057" s="3">
        <v>126.44</v>
      </c>
      <c r="G2057" s="3">
        <v>122.21</v>
      </c>
      <c r="H2057" s="3">
        <v>82.83</v>
      </c>
      <c r="I2057" s="2">
        <v>49.26</v>
      </c>
      <c r="J2057" s="2">
        <v>421.37</v>
      </c>
      <c r="K2057" s="2">
        <v>304.8</v>
      </c>
      <c r="L2057" s="3">
        <v>79.3</v>
      </c>
      <c r="M2057" s="2">
        <v>2.67</v>
      </c>
    </row>
    <row r="2058" spans="1:13">
      <c r="A2058" s="9">
        <v>42968</v>
      </c>
      <c r="B2058" s="1">
        <f t="shared" si="64"/>
        <v>42948</v>
      </c>
      <c r="C2058" s="5" t="str">
        <f t="shared" si="65"/>
        <v>2017-08</v>
      </c>
      <c r="D2058" s="3">
        <v>242.9</v>
      </c>
      <c r="E2058" s="3">
        <v>134.83000000000001</v>
      </c>
      <c r="F2058" s="3">
        <v>126.93</v>
      </c>
      <c r="G2058" s="3">
        <v>122.76</v>
      </c>
      <c r="H2058" s="3">
        <v>83.07</v>
      </c>
      <c r="I2058" s="2">
        <v>48.9</v>
      </c>
      <c r="J2058" s="2">
        <v>415.37</v>
      </c>
      <c r="K2058" s="2">
        <v>301.88</v>
      </c>
      <c r="L2058" s="3">
        <v>78.349999999999994</v>
      </c>
      <c r="M2058" s="2">
        <v>2.64</v>
      </c>
    </row>
    <row r="2059" spans="1:13">
      <c r="A2059" s="9">
        <v>42965</v>
      </c>
      <c r="B2059" s="1">
        <f t="shared" si="64"/>
        <v>42948</v>
      </c>
      <c r="C2059" s="5" t="str">
        <f t="shared" si="65"/>
        <v>2017-08</v>
      </c>
      <c r="D2059" s="3">
        <v>242.71</v>
      </c>
      <c r="E2059" s="3">
        <v>134.91999999999999</v>
      </c>
      <c r="F2059" s="3">
        <v>126.62</v>
      </c>
      <c r="G2059" s="3">
        <v>122.3</v>
      </c>
      <c r="H2059" s="3">
        <v>82.19</v>
      </c>
      <c r="I2059" s="2">
        <v>48.62</v>
      </c>
      <c r="J2059" s="2">
        <v>416.55</v>
      </c>
      <c r="K2059" s="2">
        <v>299.2</v>
      </c>
      <c r="L2059" s="3">
        <v>78</v>
      </c>
      <c r="M2059" s="2">
        <v>2.68</v>
      </c>
    </row>
    <row r="2060" spans="1:13">
      <c r="A2060" s="9">
        <v>42964</v>
      </c>
      <c r="B2060" s="1">
        <f t="shared" si="64"/>
        <v>42948</v>
      </c>
      <c r="C2060" s="5" t="str">
        <f t="shared" si="65"/>
        <v>2017-08</v>
      </c>
      <c r="D2060" s="3">
        <v>243.09</v>
      </c>
      <c r="E2060" s="3">
        <v>134.93</v>
      </c>
      <c r="F2060" s="3">
        <v>126.65</v>
      </c>
      <c r="G2060" s="3">
        <v>122.49</v>
      </c>
      <c r="H2060" s="3">
        <v>83.03</v>
      </c>
      <c r="I2060" s="2">
        <v>48.55</v>
      </c>
      <c r="J2060" s="2">
        <v>419.94</v>
      </c>
      <c r="K2060" s="2">
        <v>301.42</v>
      </c>
      <c r="L2060" s="3">
        <v>78.36</v>
      </c>
      <c r="M2060" s="2">
        <v>2.69</v>
      </c>
    </row>
    <row r="2061" spans="1:13">
      <c r="A2061" s="9">
        <v>42963</v>
      </c>
      <c r="B2061" s="1">
        <f t="shared" si="64"/>
        <v>42948</v>
      </c>
      <c r="C2061" s="5" t="str">
        <f t="shared" si="65"/>
        <v>2017-08</v>
      </c>
      <c r="D2061" s="3">
        <v>246.94</v>
      </c>
      <c r="E2061" s="3">
        <v>137.44</v>
      </c>
      <c r="F2061" s="3">
        <v>125.71</v>
      </c>
      <c r="G2061" s="3">
        <v>121.87</v>
      </c>
      <c r="H2061" s="3">
        <v>83.55</v>
      </c>
      <c r="I2061" s="2">
        <v>49.25</v>
      </c>
      <c r="J2061" s="2">
        <v>427.07</v>
      </c>
      <c r="K2061" s="2">
        <v>305.8</v>
      </c>
      <c r="L2061" s="3">
        <v>79.349999999999994</v>
      </c>
      <c r="M2061" s="2">
        <v>2.72</v>
      </c>
    </row>
    <row r="2062" spans="1:13">
      <c r="A2062" s="9">
        <v>42962</v>
      </c>
      <c r="B2062" s="1">
        <f t="shared" si="64"/>
        <v>42948</v>
      </c>
      <c r="C2062" s="5" t="str">
        <f t="shared" si="65"/>
        <v>2017-08</v>
      </c>
      <c r="D2062" s="3">
        <v>246.51</v>
      </c>
      <c r="E2062" s="3">
        <v>137.4</v>
      </c>
      <c r="F2062" s="3">
        <v>125.25</v>
      </c>
      <c r="G2062" s="3">
        <v>120.98</v>
      </c>
      <c r="H2062" s="3">
        <v>83.22</v>
      </c>
      <c r="I2062" s="2">
        <v>48.83</v>
      </c>
      <c r="J2062" s="2">
        <v>428.25</v>
      </c>
      <c r="K2062" s="2">
        <v>306.2</v>
      </c>
      <c r="L2062" s="3">
        <v>79.13</v>
      </c>
      <c r="M2062" s="2">
        <v>2.73</v>
      </c>
    </row>
    <row r="2063" spans="1:13">
      <c r="A2063" s="9">
        <v>42961</v>
      </c>
      <c r="B2063" s="1">
        <f t="shared" si="64"/>
        <v>42948</v>
      </c>
      <c r="C2063" s="5" t="str">
        <f t="shared" si="65"/>
        <v>2017-08</v>
      </c>
      <c r="D2063" s="3">
        <v>246.54</v>
      </c>
      <c r="E2063" s="3">
        <v>138.54</v>
      </c>
      <c r="F2063" s="3">
        <v>125.78</v>
      </c>
      <c r="G2063" s="3">
        <v>121.92</v>
      </c>
      <c r="H2063" s="3">
        <v>83.47</v>
      </c>
      <c r="I2063" s="2">
        <v>48.85</v>
      </c>
      <c r="J2063" s="2">
        <v>428.06</v>
      </c>
      <c r="K2063" s="2">
        <v>307.58</v>
      </c>
      <c r="L2063" s="3">
        <v>79.13</v>
      </c>
      <c r="M2063" s="2">
        <v>2.74</v>
      </c>
    </row>
    <row r="2064" spans="1:13">
      <c r="A2064" s="9">
        <v>42958</v>
      </c>
      <c r="B2064" s="1">
        <f t="shared" si="64"/>
        <v>42948</v>
      </c>
      <c r="C2064" s="5" t="str">
        <f t="shared" si="65"/>
        <v>2017-08</v>
      </c>
      <c r="D2064" s="3">
        <v>244.12</v>
      </c>
      <c r="E2064" s="3">
        <v>136.47</v>
      </c>
      <c r="F2064" s="3">
        <v>126.43</v>
      </c>
      <c r="G2064" s="3">
        <v>122.79</v>
      </c>
      <c r="H2064" s="3">
        <v>82.1</v>
      </c>
      <c r="I2064" s="2">
        <v>48.24</v>
      </c>
      <c r="J2064" s="2">
        <v>424.16</v>
      </c>
      <c r="K2064" s="2">
        <v>303.75</v>
      </c>
      <c r="L2064" s="3">
        <v>78.599999999999994</v>
      </c>
      <c r="M2064" s="2">
        <v>2.69</v>
      </c>
    </row>
    <row r="2065" spans="1:13">
      <c r="A2065" s="9">
        <v>42957</v>
      </c>
      <c r="B2065" s="1">
        <f t="shared" si="64"/>
        <v>42948</v>
      </c>
      <c r="C2065" s="5" t="str">
        <f t="shared" si="65"/>
        <v>2017-08</v>
      </c>
      <c r="D2065" s="3">
        <v>243.76</v>
      </c>
      <c r="E2065" s="3">
        <v>136.27000000000001</v>
      </c>
      <c r="F2065" s="3">
        <v>126.37</v>
      </c>
      <c r="G2065" s="3">
        <v>122.21</v>
      </c>
      <c r="H2065" s="3">
        <v>82.61</v>
      </c>
      <c r="I2065" s="2">
        <v>48.1</v>
      </c>
      <c r="J2065" s="2">
        <v>422.69</v>
      </c>
      <c r="K2065" s="2">
        <v>303.25</v>
      </c>
      <c r="L2065" s="3">
        <v>78.38</v>
      </c>
      <c r="M2065" s="2">
        <v>2.66</v>
      </c>
    </row>
    <row r="2066" spans="1:13">
      <c r="A2066" s="9">
        <v>42956</v>
      </c>
      <c r="B2066" s="1">
        <f t="shared" si="64"/>
        <v>42948</v>
      </c>
      <c r="C2066" s="5" t="str">
        <f t="shared" si="65"/>
        <v>2017-08</v>
      </c>
      <c r="D2066" s="3">
        <v>247.25</v>
      </c>
      <c r="E2066" s="3">
        <v>138.79</v>
      </c>
      <c r="F2066" s="3">
        <v>125.3</v>
      </c>
      <c r="G2066" s="3">
        <v>121.31</v>
      </c>
      <c r="H2066" s="3">
        <v>83.21</v>
      </c>
      <c r="I2066" s="2">
        <v>49.06</v>
      </c>
      <c r="J2066" s="2">
        <v>431.34</v>
      </c>
      <c r="K2066" s="2">
        <v>305.22000000000003</v>
      </c>
      <c r="L2066" s="3">
        <v>79.37</v>
      </c>
      <c r="M2066" s="2">
        <v>2.68</v>
      </c>
    </row>
    <row r="2067" spans="1:13">
      <c r="A2067" s="9">
        <v>42955</v>
      </c>
      <c r="B2067" s="1">
        <f t="shared" si="64"/>
        <v>42948</v>
      </c>
      <c r="C2067" s="5" t="str">
        <f t="shared" si="65"/>
        <v>2017-08</v>
      </c>
      <c r="D2067" s="3">
        <v>247.26</v>
      </c>
      <c r="E2067" s="3">
        <v>140</v>
      </c>
      <c r="F2067" s="3">
        <v>124.62</v>
      </c>
      <c r="G2067" s="3">
        <v>119.86</v>
      </c>
      <c r="H2067" s="3">
        <v>83.49</v>
      </c>
      <c r="I2067" s="2">
        <v>49.1</v>
      </c>
      <c r="J2067" s="2">
        <v>428.82</v>
      </c>
      <c r="K2067" s="2">
        <v>300.10000000000002</v>
      </c>
      <c r="L2067" s="3">
        <v>79.28</v>
      </c>
      <c r="M2067" s="2">
        <v>2.68</v>
      </c>
    </row>
    <row r="2068" spans="1:13">
      <c r="A2068" s="9">
        <v>42954</v>
      </c>
      <c r="B2068" s="1">
        <f t="shared" si="64"/>
        <v>42948</v>
      </c>
      <c r="C2068" s="5" t="str">
        <f t="shared" si="65"/>
        <v>2017-08</v>
      </c>
      <c r="D2068" s="3">
        <v>247.87</v>
      </c>
      <c r="E2068" s="3">
        <v>140.44</v>
      </c>
      <c r="F2068" s="3">
        <v>125.07</v>
      </c>
      <c r="G2068" s="3">
        <v>119.51</v>
      </c>
      <c r="H2068" s="3">
        <v>83.89</v>
      </c>
      <c r="I2068" s="2">
        <v>49.64</v>
      </c>
      <c r="J2068" s="2">
        <v>427.87</v>
      </c>
      <c r="K2068" s="2">
        <v>297.14999999999998</v>
      </c>
      <c r="L2068" s="3">
        <v>79.650000000000006</v>
      </c>
      <c r="M2068" s="2">
        <v>2.7</v>
      </c>
    </row>
    <row r="2069" spans="1:13">
      <c r="A2069" s="9">
        <v>42951</v>
      </c>
      <c r="B2069" s="1">
        <f t="shared" si="64"/>
        <v>42948</v>
      </c>
      <c r="C2069" s="5" t="str">
        <f t="shared" si="65"/>
        <v>2017-08</v>
      </c>
      <c r="D2069" s="3">
        <v>247.41</v>
      </c>
      <c r="E2069" s="3">
        <v>140.21</v>
      </c>
      <c r="F2069" s="3">
        <v>124.93</v>
      </c>
      <c r="G2069" s="3">
        <v>119.65</v>
      </c>
      <c r="H2069" s="3">
        <v>83.98</v>
      </c>
      <c r="I2069" s="2">
        <v>49.96</v>
      </c>
      <c r="J2069" s="2">
        <v>426.51</v>
      </c>
      <c r="K2069" s="2">
        <v>297</v>
      </c>
      <c r="L2069" s="3">
        <v>79.48</v>
      </c>
      <c r="M2069" s="2">
        <v>2.71</v>
      </c>
    </row>
    <row r="2070" spans="1:13">
      <c r="A2070" s="9">
        <v>42950</v>
      </c>
      <c r="B2070" s="1">
        <f t="shared" si="64"/>
        <v>42948</v>
      </c>
      <c r="C2070" s="5" t="str">
        <f t="shared" si="65"/>
        <v>2017-08</v>
      </c>
      <c r="D2070" s="3">
        <v>246.96</v>
      </c>
      <c r="E2070" s="3">
        <v>139.53</v>
      </c>
      <c r="F2070" s="3">
        <v>126</v>
      </c>
      <c r="G2070" s="3">
        <v>120.59</v>
      </c>
      <c r="H2070" s="3">
        <v>83.7</v>
      </c>
      <c r="I2070" s="2">
        <v>50.23</v>
      </c>
      <c r="J2070" s="2">
        <v>426.01</v>
      </c>
      <c r="K2070" s="2">
        <v>295.82</v>
      </c>
      <c r="L2070" s="3">
        <v>79.66</v>
      </c>
      <c r="M2070" s="2">
        <v>2.71</v>
      </c>
    </row>
    <row r="2071" spans="1:13">
      <c r="A2071" s="9">
        <v>42949</v>
      </c>
      <c r="B2071" s="1">
        <f t="shared" si="64"/>
        <v>42948</v>
      </c>
      <c r="C2071" s="5" t="str">
        <f t="shared" si="65"/>
        <v>2017-08</v>
      </c>
      <c r="D2071" s="3">
        <v>247.44</v>
      </c>
      <c r="E2071" s="3">
        <v>140.22999999999999</v>
      </c>
      <c r="F2071" s="3">
        <v>124.71</v>
      </c>
      <c r="G2071" s="3">
        <v>120.4</v>
      </c>
      <c r="H2071" s="3">
        <v>83.87</v>
      </c>
      <c r="I2071" s="2">
        <v>49.77</v>
      </c>
      <c r="J2071" s="2">
        <v>425.55</v>
      </c>
      <c r="K2071" s="2">
        <v>294.7</v>
      </c>
      <c r="L2071" s="3">
        <v>79.53</v>
      </c>
      <c r="M2071" s="2">
        <v>2.7</v>
      </c>
    </row>
    <row r="2072" spans="1:13">
      <c r="A2072" s="9">
        <v>42948</v>
      </c>
      <c r="B2072" s="1">
        <f t="shared" si="64"/>
        <v>42948</v>
      </c>
      <c r="C2072" s="5" t="str">
        <f t="shared" si="65"/>
        <v>2017-08</v>
      </c>
      <c r="D2072" s="3">
        <v>247.32</v>
      </c>
      <c r="E2072" s="3">
        <v>141.78</v>
      </c>
      <c r="F2072" s="3">
        <v>124.64</v>
      </c>
      <c r="G2072" s="3">
        <v>120.65</v>
      </c>
      <c r="H2072" s="3">
        <v>84.64</v>
      </c>
      <c r="I2072" s="2">
        <v>50.16</v>
      </c>
      <c r="J2072" s="2">
        <v>429.98</v>
      </c>
      <c r="K2072" s="2">
        <v>292.64999999999998</v>
      </c>
      <c r="L2072" s="3">
        <v>79.709999999999994</v>
      </c>
      <c r="M2072" s="2">
        <v>2.71</v>
      </c>
    </row>
    <row r="2073" spans="1:13">
      <c r="A2073" s="9">
        <v>42947</v>
      </c>
      <c r="B2073" s="1">
        <f t="shared" si="64"/>
        <v>42917</v>
      </c>
      <c r="C2073" s="5" t="str">
        <f t="shared" si="65"/>
        <v>2017-07</v>
      </c>
      <c r="D2073" s="3">
        <v>246.77</v>
      </c>
      <c r="E2073" s="3">
        <v>141.51</v>
      </c>
      <c r="F2073" s="3">
        <v>124.04</v>
      </c>
      <c r="G2073" s="3">
        <v>120.75</v>
      </c>
      <c r="H2073" s="3">
        <v>84.26</v>
      </c>
      <c r="I2073" s="2">
        <v>49.93</v>
      </c>
      <c r="J2073" s="2">
        <v>426.53</v>
      </c>
      <c r="K2073" s="2">
        <v>292.13</v>
      </c>
      <c r="L2073" s="3">
        <v>79.89</v>
      </c>
      <c r="M2073" s="2">
        <v>2.69</v>
      </c>
    </row>
    <row r="2074" spans="1:13">
      <c r="A2074" s="9">
        <v>42944</v>
      </c>
      <c r="B2074" s="1">
        <f t="shared" si="64"/>
        <v>42917</v>
      </c>
      <c r="C2074" s="5" t="str">
        <f t="shared" si="65"/>
        <v>2017-07</v>
      </c>
      <c r="D2074" s="3">
        <v>246.91</v>
      </c>
      <c r="E2074" s="3">
        <v>141.96</v>
      </c>
      <c r="F2074" s="3">
        <v>123.89</v>
      </c>
      <c r="G2074" s="3">
        <v>120.69</v>
      </c>
      <c r="H2074" s="3">
        <v>84.15</v>
      </c>
      <c r="I2074" s="2">
        <v>50.3</v>
      </c>
      <c r="J2074" s="2">
        <v>424</v>
      </c>
      <c r="K2074" s="2">
        <v>290.41000000000003</v>
      </c>
      <c r="L2074" s="3">
        <v>79.959999999999994</v>
      </c>
      <c r="M2074" s="2">
        <v>2.68</v>
      </c>
    </row>
    <row r="2075" spans="1:13">
      <c r="A2075" s="9">
        <v>42943</v>
      </c>
      <c r="B2075" s="1">
        <f t="shared" si="64"/>
        <v>42917</v>
      </c>
      <c r="C2075" s="5" t="str">
        <f t="shared" si="65"/>
        <v>2017-07</v>
      </c>
      <c r="D2075" s="3">
        <v>247.2</v>
      </c>
      <c r="E2075" s="3">
        <v>142.34</v>
      </c>
      <c r="F2075" s="3">
        <v>123.16</v>
      </c>
      <c r="G2075" s="3">
        <v>119.79</v>
      </c>
      <c r="H2075" s="3">
        <v>84.38</v>
      </c>
      <c r="I2075" s="2">
        <v>50.45</v>
      </c>
      <c r="J2075" s="2">
        <v>425.51</v>
      </c>
      <c r="K2075" s="2">
        <v>288.13</v>
      </c>
      <c r="L2075" s="3">
        <v>79.56</v>
      </c>
      <c r="M2075" s="2">
        <v>2.71</v>
      </c>
    </row>
    <row r="2076" spans="1:13">
      <c r="A2076" s="9">
        <v>42942</v>
      </c>
      <c r="B2076" s="1">
        <f t="shared" si="64"/>
        <v>42917</v>
      </c>
      <c r="C2076" s="5" t="str">
        <f t="shared" si="65"/>
        <v>2017-07</v>
      </c>
      <c r="D2076" s="3">
        <v>247.43</v>
      </c>
      <c r="E2076" s="3">
        <v>143.25</v>
      </c>
      <c r="F2076" s="3">
        <v>123.77</v>
      </c>
      <c r="G2076" s="3">
        <v>119.88</v>
      </c>
      <c r="H2076" s="3">
        <v>84.28</v>
      </c>
      <c r="I2076" s="2">
        <v>51.17</v>
      </c>
      <c r="J2076" s="2">
        <v>432.71</v>
      </c>
      <c r="K2076" s="2">
        <v>289.85000000000002</v>
      </c>
      <c r="L2076" s="3">
        <v>80.11</v>
      </c>
      <c r="M2076" s="2">
        <v>2.69</v>
      </c>
    </row>
    <row r="2077" spans="1:13">
      <c r="A2077" s="9">
        <v>42941</v>
      </c>
      <c r="B2077" s="1">
        <f t="shared" si="64"/>
        <v>42917</v>
      </c>
      <c r="C2077" s="5" t="str">
        <f t="shared" si="65"/>
        <v>2017-07</v>
      </c>
      <c r="D2077" s="3">
        <v>247.42</v>
      </c>
      <c r="E2077" s="3">
        <v>144.05000000000001</v>
      </c>
      <c r="F2077" s="3">
        <v>123.57</v>
      </c>
      <c r="G2077" s="3">
        <v>118.92</v>
      </c>
      <c r="H2077" s="3">
        <v>83.7</v>
      </c>
      <c r="I2077" s="2">
        <v>51.17</v>
      </c>
      <c r="J2077" s="2">
        <v>431.35</v>
      </c>
      <c r="K2077" s="2">
        <v>289.83</v>
      </c>
      <c r="L2077" s="3">
        <v>80.38</v>
      </c>
      <c r="M2077" s="2">
        <v>2.65</v>
      </c>
    </row>
    <row r="2078" spans="1:13">
      <c r="A2078" s="9">
        <v>42940</v>
      </c>
      <c r="B2078" s="1">
        <f t="shared" si="64"/>
        <v>42917</v>
      </c>
      <c r="C2078" s="5" t="str">
        <f t="shared" si="65"/>
        <v>2017-07</v>
      </c>
      <c r="D2078" s="3">
        <v>246.82</v>
      </c>
      <c r="E2078" s="3">
        <v>142.75</v>
      </c>
      <c r="F2078" s="3">
        <v>125.2</v>
      </c>
      <c r="G2078" s="3">
        <v>119.31</v>
      </c>
      <c r="H2078" s="3">
        <v>83.59</v>
      </c>
      <c r="I2078" s="2">
        <v>50.76</v>
      </c>
      <c r="J2078" s="2">
        <v>428.32</v>
      </c>
      <c r="K2078" s="2">
        <v>290.27999999999997</v>
      </c>
      <c r="L2078" s="3">
        <v>80.959999999999994</v>
      </c>
      <c r="M2078" s="2">
        <v>2.5299999999999998</v>
      </c>
    </row>
    <row r="2079" spans="1:13">
      <c r="A2079" s="9">
        <v>42937</v>
      </c>
      <c r="B2079" s="1">
        <f t="shared" si="64"/>
        <v>42917</v>
      </c>
      <c r="C2079" s="5" t="str">
        <f t="shared" si="65"/>
        <v>2017-07</v>
      </c>
      <c r="D2079" s="3">
        <v>246.88</v>
      </c>
      <c r="E2079" s="3">
        <v>142.55000000000001</v>
      </c>
      <c r="F2079" s="3">
        <v>125.69</v>
      </c>
      <c r="G2079" s="3">
        <v>119.26</v>
      </c>
      <c r="H2079" s="3">
        <v>83.75</v>
      </c>
      <c r="I2079" s="2">
        <v>50.8</v>
      </c>
      <c r="J2079" s="2">
        <v>428.65</v>
      </c>
      <c r="K2079" s="2">
        <v>289.12</v>
      </c>
      <c r="L2079" s="3">
        <v>80.989999999999995</v>
      </c>
      <c r="M2079" s="2">
        <v>2.57</v>
      </c>
    </row>
    <row r="2080" spans="1:13">
      <c r="A2080" s="9">
        <v>42936</v>
      </c>
      <c r="B2080" s="1">
        <f t="shared" si="64"/>
        <v>42917</v>
      </c>
      <c r="C2080" s="5" t="str">
        <f t="shared" si="65"/>
        <v>2017-07</v>
      </c>
      <c r="D2080" s="3">
        <v>247.1</v>
      </c>
      <c r="E2080" s="3">
        <v>143.19999999999999</v>
      </c>
      <c r="F2080" s="3">
        <v>125.16</v>
      </c>
      <c r="G2080" s="3">
        <v>118.24</v>
      </c>
      <c r="H2080" s="3">
        <v>83.81</v>
      </c>
      <c r="I2080" s="2">
        <v>51.13</v>
      </c>
      <c r="J2080" s="2">
        <v>427.28</v>
      </c>
      <c r="K2080" s="2">
        <v>289.67</v>
      </c>
      <c r="L2080" s="3">
        <v>81.08</v>
      </c>
      <c r="M2080" s="2">
        <v>2.71</v>
      </c>
    </row>
    <row r="2081" spans="1:13">
      <c r="A2081" s="9">
        <v>42935</v>
      </c>
      <c r="B2081" s="1">
        <f t="shared" si="64"/>
        <v>42917</v>
      </c>
      <c r="C2081" s="5" t="str">
        <f t="shared" si="65"/>
        <v>2017-07</v>
      </c>
      <c r="D2081" s="3">
        <v>246.99</v>
      </c>
      <c r="E2081" s="3">
        <v>143.1</v>
      </c>
      <c r="F2081" s="3">
        <v>124.8</v>
      </c>
      <c r="G2081" s="3">
        <v>118.08</v>
      </c>
      <c r="H2081" s="3">
        <v>84.2</v>
      </c>
      <c r="I2081" s="2">
        <v>51</v>
      </c>
      <c r="J2081" s="2">
        <v>426.46</v>
      </c>
      <c r="K2081" s="2">
        <v>290.67</v>
      </c>
      <c r="L2081" s="3">
        <v>80.55</v>
      </c>
      <c r="M2081" s="2">
        <v>2.65</v>
      </c>
    </row>
    <row r="2082" spans="1:13">
      <c r="A2082" s="9">
        <v>42934</v>
      </c>
      <c r="B2082" s="1">
        <f t="shared" si="64"/>
        <v>42917</v>
      </c>
      <c r="C2082" s="5" t="str">
        <f t="shared" si="65"/>
        <v>2017-07</v>
      </c>
      <c r="D2082" s="3">
        <v>245.66</v>
      </c>
      <c r="E2082" s="3">
        <v>141.69</v>
      </c>
      <c r="F2082" s="3">
        <v>124.75</v>
      </c>
      <c r="G2082" s="3">
        <v>118.11</v>
      </c>
      <c r="H2082" s="3">
        <v>83.57</v>
      </c>
      <c r="I2082" s="2">
        <v>50.45</v>
      </c>
      <c r="J2082" s="2">
        <v>426.88</v>
      </c>
      <c r="K2082" s="2">
        <v>286.79000000000002</v>
      </c>
      <c r="L2082" s="3">
        <v>79.900000000000006</v>
      </c>
      <c r="M2082" s="2">
        <v>2.65</v>
      </c>
    </row>
    <row r="2083" spans="1:13">
      <c r="A2083" s="9">
        <v>42933</v>
      </c>
      <c r="B2083" s="1">
        <f t="shared" si="64"/>
        <v>42917</v>
      </c>
      <c r="C2083" s="5" t="str">
        <f t="shared" si="65"/>
        <v>2017-07</v>
      </c>
      <c r="D2083" s="3">
        <v>245.53</v>
      </c>
      <c r="E2083" s="3">
        <v>142.06</v>
      </c>
      <c r="F2083" s="3">
        <v>123.67</v>
      </c>
      <c r="G2083" s="3">
        <v>117.29</v>
      </c>
      <c r="H2083" s="3">
        <v>83.75</v>
      </c>
      <c r="I2083" s="2">
        <v>50.44</v>
      </c>
      <c r="J2083" s="2">
        <v>424.63</v>
      </c>
      <c r="K2083" s="2">
        <v>288.49</v>
      </c>
      <c r="L2083" s="3">
        <v>79.84</v>
      </c>
      <c r="M2083" s="2">
        <v>2.64</v>
      </c>
    </row>
    <row r="2084" spans="1:13">
      <c r="A2084" s="9">
        <v>42930</v>
      </c>
      <c r="B2084" s="1">
        <f t="shared" si="64"/>
        <v>42917</v>
      </c>
      <c r="C2084" s="5" t="str">
        <f t="shared" si="65"/>
        <v>2017-07</v>
      </c>
      <c r="D2084" s="3">
        <v>245.56</v>
      </c>
      <c r="E2084" s="3">
        <v>141.72999999999999</v>
      </c>
      <c r="F2084" s="3">
        <v>123.33</v>
      </c>
      <c r="G2084" s="3">
        <v>116.77</v>
      </c>
      <c r="H2084" s="3">
        <v>83.08</v>
      </c>
      <c r="I2084" s="2">
        <v>50.56</v>
      </c>
      <c r="J2084" s="2">
        <v>438.34</v>
      </c>
      <c r="K2084" s="2">
        <v>288.13</v>
      </c>
      <c r="L2084" s="3">
        <v>80.13</v>
      </c>
      <c r="M2084" s="2">
        <v>2.69</v>
      </c>
    </row>
    <row r="2085" spans="1:13">
      <c r="A2085" s="9">
        <v>42929</v>
      </c>
      <c r="B2085" s="1">
        <f t="shared" si="64"/>
        <v>42917</v>
      </c>
      <c r="C2085" s="5" t="str">
        <f t="shared" si="65"/>
        <v>2017-07</v>
      </c>
      <c r="D2085" s="3">
        <v>244.42</v>
      </c>
      <c r="E2085" s="3">
        <v>141.49</v>
      </c>
      <c r="F2085" s="3">
        <v>123.18</v>
      </c>
      <c r="G2085" s="3">
        <v>115.82</v>
      </c>
      <c r="H2085" s="3">
        <v>82.29</v>
      </c>
      <c r="I2085" s="2">
        <v>50.35</v>
      </c>
      <c r="J2085" s="2">
        <v>437.88</v>
      </c>
      <c r="K2085" s="2">
        <v>286.76</v>
      </c>
      <c r="L2085" s="3">
        <v>79.59</v>
      </c>
      <c r="M2085" s="2">
        <v>2.64</v>
      </c>
    </row>
    <row r="2086" spans="1:13">
      <c r="A2086" s="9">
        <v>42928</v>
      </c>
      <c r="B2086" s="1">
        <f t="shared" si="64"/>
        <v>42917</v>
      </c>
      <c r="C2086" s="5" t="str">
        <f t="shared" si="65"/>
        <v>2017-07</v>
      </c>
      <c r="D2086" s="3">
        <v>244.01</v>
      </c>
      <c r="E2086" s="3">
        <v>141.37</v>
      </c>
      <c r="F2086" s="3">
        <v>123.96</v>
      </c>
      <c r="G2086" s="3">
        <v>116.03</v>
      </c>
      <c r="H2086" s="3">
        <v>82.16</v>
      </c>
      <c r="I2086" s="2">
        <v>50.45</v>
      </c>
      <c r="J2086" s="2">
        <v>435.29</v>
      </c>
      <c r="K2086" s="2">
        <v>286.36</v>
      </c>
      <c r="L2086" s="3">
        <v>79.52</v>
      </c>
      <c r="M2086" s="2">
        <v>2.57</v>
      </c>
    </row>
    <row r="2087" spans="1:13">
      <c r="A2087" s="9">
        <v>42927</v>
      </c>
      <c r="B2087" s="1">
        <f t="shared" si="64"/>
        <v>42917</v>
      </c>
      <c r="C2087" s="5" t="str">
        <f t="shared" si="65"/>
        <v>2017-07</v>
      </c>
      <c r="D2087" s="3">
        <v>242.19</v>
      </c>
      <c r="E2087" s="3">
        <v>140.29</v>
      </c>
      <c r="F2087" s="3">
        <v>123.11</v>
      </c>
      <c r="G2087" s="3">
        <v>115.62</v>
      </c>
      <c r="H2087" s="3">
        <v>81.16</v>
      </c>
      <c r="I2087" s="2">
        <v>49.88</v>
      </c>
      <c r="J2087" s="2">
        <v>431.91</v>
      </c>
      <c r="K2087" s="2">
        <v>286.42</v>
      </c>
      <c r="L2087" s="3">
        <v>78.98</v>
      </c>
      <c r="M2087" s="2">
        <v>2.46</v>
      </c>
    </row>
    <row r="2088" spans="1:13">
      <c r="A2088" s="9">
        <v>42926</v>
      </c>
      <c r="B2088" s="1">
        <f t="shared" si="64"/>
        <v>42917</v>
      </c>
      <c r="C2088" s="5" t="str">
        <f t="shared" si="65"/>
        <v>2017-07</v>
      </c>
      <c r="D2088" s="3">
        <v>242.37</v>
      </c>
      <c r="E2088" s="3">
        <v>139.88</v>
      </c>
      <c r="F2088" s="3">
        <v>122.9</v>
      </c>
      <c r="G2088" s="3">
        <v>115.47</v>
      </c>
      <c r="H2088" s="3">
        <v>81.25</v>
      </c>
      <c r="I2088" s="2">
        <v>49.62</v>
      </c>
      <c r="J2088" s="2">
        <v>436.24</v>
      </c>
      <c r="K2088" s="2">
        <v>285.57</v>
      </c>
      <c r="L2088" s="3">
        <v>79.069999999999993</v>
      </c>
      <c r="M2088" s="2">
        <v>2.44</v>
      </c>
    </row>
    <row r="2089" spans="1:13">
      <c r="A2089" s="9">
        <v>42923</v>
      </c>
      <c r="B2089" s="1">
        <f t="shared" si="64"/>
        <v>42917</v>
      </c>
      <c r="C2089" s="5" t="str">
        <f t="shared" si="65"/>
        <v>2017-07</v>
      </c>
      <c r="D2089" s="3">
        <v>242.11</v>
      </c>
      <c r="E2089" s="3">
        <v>140.49</v>
      </c>
      <c r="F2089" s="3">
        <v>122.72</v>
      </c>
      <c r="G2089" s="3">
        <v>115.28</v>
      </c>
      <c r="H2089" s="3">
        <v>82</v>
      </c>
      <c r="I2089" s="2">
        <v>49.35</v>
      </c>
      <c r="J2089" s="2">
        <v>432.38</v>
      </c>
      <c r="K2089" s="2">
        <v>285.2</v>
      </c>
      <c r="L2089" s="3">
        <v>79.22</v>
      </c>
      <c r="M2089" s="2">
        <v>2.4500000000000002</v>
      </c>
    </row>
    <row r="2090" spans="1:13">
      <c r="A2090" s="9">
        <v>42922</v>
      </c>
      <c r="B2090" s="1">
        <f t="shared" si="64"/>
        <v>42917</v>
      </c>
      <c r="C2090" s="5" t="str">
        <f t="shared" si="65"/>
        <v>2017-07</v>
      </c>
      <c r="D2090" s="3">
        <v>240.55</v>
      </c>
      <c r="E2090" s="3">
        <v>139.13999999999999</v>
      </c>
      <c r="F2090" s="3">
        <v>123.46</v>
      </c>
      <c r="G2090" s="3">
        <v>116.47</v>
      </c>
      <c r="H2090" s="3">
        <v>81.540000000000006</v>
      </c>
      <c r="I2090" s="2">
        <v>48.85</v>
      </c>
      <c r="J2090" s="2">
        <v>425.19</v>
      </c>
      <c r="K2090" s="2">
        <v>280.95999999999998</v>
      </c>
      <c r="L2090" s="3">
        <v>78.819999999999993</v>
      </c>
      <c r="M2090" s="2">
        <v>2.4</v>
      </c>
    </row>
    <row r="2091" spans="1:13">
      <c r="A2091" s="9">
        <v>42921</v>
      </c>
      <c r="B2091" s="1">
        <f t="shared" si="64"/>
        <v>42917</v>
      </c>
      <c r="C2091" s="5" t="str">
        <f t="shared" si="65"/>
        <v>2017-07</v>
      </c>
      <c r="D2091" s="3">
        <v>242.77</v>
      </c>
      <c r="E2091" s="3">
        <v>141.59</v>
      </c>
      <c r="F2091" s="3">
        <v>124.49</v>
      </c>
      <c r="G2091" s="3">
        <v>116.52</v>
      </c>
      <c r="H2091" s="3">
        <v>83.1</v>
      </c>
      <c r="I2091" s="2">
        <v>49.46</v>
      </c>
      <c r="J2091" s="2">
        <v>428.77</v>
      </c>
      <c r="K2091" s="2">
        <v>282.39999999999998</v>
      </c>
      <c r="L2091" s="3">
        <v>79.849999999999994</v>
      </c>
      <c r="M2091" s="2">
        <v>2.44</v>
      </c>
    </row>
    <row r="2092" spans="1:13">
      <c r="A2092" s="9">
        <v>42919</v>
      </c>
      <c r="B2092" s="1">
        <f t="shared" si="64"/>
        <v>42917</v>
      </c>
      <c r="C2092" s="5" t="str">
        <f t="shared" si="65"/>
        <v>2017-07</v>
      </c>
      <c r="D2092" s="3">
        <v>242.21</v>
      </c>
      <c r="E2092" s="3">
        <v>142.1</v>
      </c>
      <c r="F2092" s="3">
        <v>124.46</v>
      </c>
      <c r="G2092" s="3">
        <v>116.09</v>
      </c>
      <c r="H2092" s="3">
        <v>84.29</v>
      </c>
      <c r="I2092" s="2">
        <v>49.36</v>
      </c>
      <c r="J2092" s="2">
        <v>428.82</v>
      </c>
      <c r="K2092" s="2">
        <v>278.92</v>
      </c>
      <c r="L2092" s="3">
        <v>79.38</v>
      </c>
      <c r="M2092" s="2">
        <v>2.4500000000000002</v>
      </c>
    </row>
    <row r="2093" spans="1:13">
      <c r="A2093" s="9">
        <v>42916</v>
      </c>
      <c r="B2093" s="1">
        <f t="shared" si="64"/>
        <v>42887</v>
      </c>
      <c r="C2093" s="5" t="str">
        <f t="shared" si="65"/>
        <v>2017-06</v>
      </c>
      <c r="D2093" s="3">
        <v>241.8</v>
      </c>
      <c r="E2093" s="3">
        <v>140.91999999999999</v>
      </c>
      <c r="F2093" s="3">
        <v>125.12</v>
      </c>
      <c r="G2093" s="3">
        <v>118.02</v>
      </c>
      <c r="H2093" s="3">
        <v>83.23</v>
      </c>
      <c r="I2093" s="2">
        <v>50.14</v>
      </c>
      <c r="J2093" s="2">
        <v>422.41</v>
      </c>
      <c r="K2093" s="2">
        <v>277.61</v>
      </c>
      <c r="L2093" s="3">
        <v>79.239999999999995</v>
      </c>
      <c r="M2093" s="2">
        <v>2.4700000000000002</v>
      </c>
    </row>
    <row r="2094" spans="1:13">
      <c r="A2094" s="9">
        <v>42915</v>
      </c>
      <c r="B2094" s="1">
        <f t="shared" si="64"/>
        <v>42887</v>
      </c>
      <c r="C2094" s="5" t="str">
        <f t="shared" si="65"/>
        <v>2017-06</v>
      </c>
      <c r="D2094" s="3">
        <v>241.35</v>
      </c>
      <c r="E2094" s="3">
        <v>141.13999999999999</v>
      </c>
      <c r="F2094" s="3">
        <v>125.41</v>
      </c>
      <c r="G2094" s="3">
        <v>118.32</v>
      </c>
      <c r="H2094" s="3">
        <v>83.23</v>
      </c>
      <c r="I2094" s="2">
        <v>50.2</v>
      </c>
      <c r="J2094" s="2">
        <v>423.24</v>
      </c>
      <c r="K2094" s="2">
        <v>276.73</v>
      </c>
      <c r="L2094" s="3">
        <v>79.349999999999994</v>
      </c>
      <c r="M2094" s="2">
        <v>2.42</v>
      </c>
    </row>
    <row r="2095" spans="1:13">
      <c r="A2095" s="9">
        <v>42914</v>
      </c>
      <c r="B2095" s="1">
        <f t="shared" si="64"/>
        <v>42887</v>
      </c>
      <c r="C2095" s="5" t="str">
        <f t="shared" si="65"/>
        <v>2017-06</v>
      </c>
      <c r="D2095" s="3">
        <v>243.49</v>
      </c>
      <c r="E2095" s="3">
        <v>141.97999999999999</v>
      </c>
      <c r="F2095" s="3">
        <v>126.47</v>
      </c>
      <c r="G2095" s="3">
        <v>118.9</v>
      </c>
      <c r="H2095" s="3">
        <v>84.19</v>
      </c>
      <c r="I2095" s="2">
        <v>50.87</v>
      </c>
      <c r="J2095" s="2">
        <v>426.85</v>
      </c>
      <c r="K2095" s="2">
        <v>280.02</v>
      </c>
      <c r="L2095" s="3">
        <v>80.08</v>
      </c>
      <c r="M2095" s="2">
        <v>2.4300000000000002</v>
      </c>
    </row>
    <row r="2096" spans="1:13">
      <c r="A2096" s="9">
        <v>42913</v>
      </c>
      <c r="B2096" s="1">
        <f t="shared" si="64"/>
        <v>42887</v>
      </c>
      <c r="C2096" s="5" t="str">
        <f t="shared" si="65"/>
        <v>2017-06</v>
      </c>
      <c r="D2096" s="3">
        <v>241.33</v>
      </c>
      <c r="E2096" s="3">
        <v>139.84</v>
      </c>
      <c r="F2096" s="3">
        <v>126.89</v>
      </c>
      <c r="G2096" s="3">
        <v>118.81</v>
      </c>
      <c r="H2096" s="3">
        <v>83.99</v>
      </c>
      <c r="I2096" s="2">
        <v>50.75</v>
      </c>
      <c r="J2096" s="2">
        <v>422.13</v>
      </c>
      <c r="K2096" s="2">
        <v>277.83</v>
      </c>
      <c r="L2096" s="3">
        <v>79.66</v>
      </c>
      <c r="M2096" s="2">
        <v>2.4</v>
      </c>
    </row>
    <row r="2097" spans="1:13">
      <c r="A2097" s="9">
        <v>42912</v>
      </c>
      <c r="B2097" s="1">
        <f t="shared" si="64"/>
        <v>42887</v>
      </c>
      <c r="C2097" s="5" t="str">
        <f t="shared" si="65"/>
        <v>2017-06</v>
      </c>
      <c r="D2097" s="3">
        <v>243.29</v>
      </c>
      <c r="E2097" s="3">
        <v>141.08000000000001</v>
      </c>
      <c r="F2097" s="3">
        <v>128.26</v>
      </c>
      <c r="G2097" s="3">
        <v>118.36</v>
      </c>
      <c r="H2097" s="3">
        <v>84.75</v>
      </c>
      <c r="I2097" s="2">
        <v>50.86</v>
      </c>
      <c r="J2097" s="2">
        <v>424.69</v>
      </c>
      <c r="K2097" s="2">
        <v>279.7</v>
      </c>
      <c r="L2097" s="3">
        <v>80.39</v>
      </c>
      <c r="M2097" s="2">
        <v>2.44</v>
      </c>
    </row>
    <row r="2098" spans="1:13">
      <c r="A2098" s="9">
        <v>42909</v>
      </c>
      <c r="B2098" s="1">
        <f t="shared" si="64"/>
        <v>42887</v>
      </c>
      <c r="C2098" s="5" t="str">
        <f t="shared" si="65"/>
        <v>2017-06</v>
      </c>
      <c r="D2098" s="3">
        <v>243.13</v>
      </c>
      <c r="E2098" s="3">
        <v>140.91</v>
      </c>
      <c r="F2098" s="3">
        <v>127.78</v>
      </c>
      <c r="G2098" s="3">
        <v>119.43</v>
      </c>
      <c r="H2098" s="3">
        <v>84.15</v>
      </c>
      <c r="I2098" s="2">
        <v>50.95</v>
      </c>
      <c r="J2098" s="2">
        <v>421.62</v>
      </c>
      <c r="K2098" s="2">
        <v>280.64</v>
      </c>
      <c r="L2098" s="3">
        <v>80.47</v>
      </c>
      <c r="M2098" s="2">
        <v>2.46</v>
      </c>
    </row>
    <row r="2099" spans="1:13">
      <c r="A2099" s="9">
        <v>42908</v>
      </c>
      <c r="B2099" s="1">
        <f t="shared" si="64"/>
        <v>42887</v>
      </c>
      <c r="C2099" s="5" t="str">
        <f t="shared" si="65"/>
        <v>2017-06</v>
      </c>
      <c r="D2099" s="3">
        <v>242.84</v>
      </c>
      <c r="E2099" s="3">
        <v>139.97999999999999</v>
      </c>
      <c r="F2099" s="3">
        <v>127.84</v>
      </c>
      <c r="G2099" s="3">
        <v>118.92</v>
      </c>
      <c r="H2099" s="3">
        <v>84.66</v>
      </c>
      <c r="I2099" s="2">
        <v>50.3</v>
      </c>
      <c r="J2099" s="2">
        <v>423.17</v>
      </c>
      <c r="K2099" s="2">
        <v>280.43</v>
      </c>
      <c r="L2099" s="3">
        <v>80.59</v>
      </c>
      <c r="M2099" s="2">
        <v>2.4300000000000002</v>
      </c>
    </row>
    <row r="2100" spans="1:13">
      <c r="A2100" s="9">
        <v>42907</v>
      </c>
      <c r="B2100" s="1">
        <f t="shared" si="64"/>
        <v>42887</v>
      </c>
      <c r="C2100" s="5" t="str">
        <f t="shared" si="65"/>
        <v>2017-06</v>
      </c>
      <c r="D2100" s="3">
        <v>242.95</v>
      </c>
      <c r="E2100" s="3">
        <v>139.44999999999999</v>
      </c>
      <c r="F2100" s="3">
        <v>127.56</v>
      </c>
      <c r="G2100" s="3">
        <v>118.52</v>
      </c>
      <c r="H2100" s="3">
        <v>84.58</v>
      </c>
      <c r="I2100" s="2">
        <v>46.33</v>
      </c>
      <c r="J2100" s="2">
        <v>420.74</v>
      </c>
      <c r="K2100" s="2">
        <v>282.99</v>
      </c>
      <c r="L2100" s="3">
        <v>79.760000000000005</v>
      </c>
      <c r="M2100" s="2">
        <v>2.41</v>
      </c>
    </row>
    <row r="2101" spans="1:13">
      <c r="A2101" s="9">
        <v>42906</v>
      </c>
      <c r="B2101" s="1">
        <f t="shared" si="64"/>
        <v>42887</v>
      </c>
      <c r="C2101" s="5" t="str">
        <f t="shared" si="65"/>
        <v>2017-06</v>
      </c>
      <c r="D2101" s="3">
        <v>243.01</v>
      </c>
      <c r="E2101" s="3">
        <v>139.80000000000001</v>
      </c>
      <c r="F2101" s="3">
        <v>127.3</v>
      </c>
      <c r="G2101" s="3">
        <v>118.18</v>
      </c>
      <c r="H2101" s="3">
        <v>84.75</v>
      </c>
      <c r="I2101" s="2">
        <v>45.84</v>
      </c>
      <c r="J2101" s="2">
        <v>424.69</v>
      </c>
      <c r="K2101" s="2">
        <v>282.89</v>
      </c>
      <c r="L2101" s="3">
        <v>78.760000000000005</v>
      </c>
      <c r="M2101" s="2">
        <v>2.46</v>
      </c>
    </row>
    <row r="2102" spans="1:13">
      <c r="A2102" s="9">
        <v>42905</v>
      </c>
      <c r="B2102" s="1">
        <f t="shared" si="64"/>
        <v>42887</v>
      </c>
      <c r="C2102" s="5" t="str">
        <f t="shared" si="65"/>
        <v>2017-06</v>
      </c>
      <c r="D2102" s="3">
        <v>244.66</v>
      </c>
      <c r="E2102" s="3">
        <v>141.22999999999999</v>
      </c>
      <c r="F2102" s="3">
        <v>126.17</v>
      </c>
      <c r="G2102" s="3">
        <v>118.43</v>
      </c>
      <c r="H2102" s="3">
        <v>84.95</v>
      </c>
      <c r="I2102" s="2">
        <v>45.73</v>
      </c>
      <c r="J2102" s="2">
        <v>428.38</v>
      </c>
      <c r="K2102" s="2">
        <v>282.3</v>
      </c>
      <c r="L2102" s="3">
        <v>78.5</v>
      </c>
      <c r="M2102" s="2">
        <v>2.4700000000000002</v>
      </c>
    </row>
    <row r="2103" spans="1:13">
      <c r="A2103" s="9">
        <v>42902</v>
      </c>
      <c r="B2103" s="1">
        <f t="shared" si="64"/>
        <v>42887</v>
      </c>
      <c r="C2103" s="5" t="str">
        <f t="shared" si="65"/>
        <v>2017-06</v>
      </c>
      <c r="D2103" s="3">
        <v>242.64</v>
      </c>
      <c r="E2103" s="3">
        <v>140.19</v>
      </c>
      <c r="F2103" s="3">
        <v>126.35</v>
      </c>
      <c r="G2103" s="3">
        <v>119.34</v>
      </c>
      <c r="H2103" s="3">
        <v>84.94</v>
      </c>
      <c r="I2103" s="2">
        <v>45.09</v>
      </c>
      <c r="J2103" s="2">
        <v>420.51</v>
      </c>
      <c r="K2103" s="2">
        <v>281.11</v>
      </c>
      <c r="L2103" s="3">
        <v>77.69</v>
      </c>
      <c r="M2103" s="2">
        <v>2.5</v>
      </c>
    </row>
    <row r="2104" spans="1:13">
      <c r="A2104" s="9">
        <v>42901</v>
      </c>
      <c r="B2104" s="1">
        <f t="shared" si="64"/>
        <v>42887</v>
      </c>
      <c r="C2104" s="5" t="str">
        <f t="shared" si="65"/>
        <v>2017-06</v>
      </c>
      <c r="D2104" s="3">
        <v>243.77</v>
      </c>
      <c r="E2104" s="3">
        <v>140.54</v>
      </c>
      <c r="F2104" s="3">
        <v>126.1</v>
      </c>
      <c r="G2104" s="3">
        <v>119.32</v>
      </c>
      <c r="H2104" s="3">
        <v>85.16</v>
      </c>
      <c r="I2104" s="2">
        <v>44.68</v>
      </c>
      <c r="J2104" s="2">
        <v>422.37</v>
      </c>
      <c r="K2104" s="2">
        <v>280.93</v>
      </c>
      <c r="L2104" s="3">
        <v>77.87</v>
      </c>
      <c r="M2104" s="2">
        <v>2.4700000000000002</v>
      </c>
    </row>
    <row r="2105" spans="1:13">
      <c r="A2105" s="9">
        <v>42900</v>
      </c>
      <c r="B2105" s="1">
        <f t="shared" si="64"/>
        <v>42887</v>
      </c>
      <c r="C2105" s="5" t="str">
        <f t="shared" si="65"/>
        <v>2017-06</v>
      </c>
      <c r="D2105" s="3">
        <v>244.24</v>
      </c>
      <c r="E2105" s="3">
        <v>141.26</v>
      </c>
      <c r="F2105" s="3">
        <v>126.3</v>
      </c>
      <c r="G2105" s="3">
        <v>119.82</v>
      </c>
      <c r="H2105" s="3">
        <v>84.73</v>
      </c>
      <c r="I2105" s="2">
        <v>44.81</v>
      </c>
      <c r="J2105" s="2">
        <v>421.49</v>
      </c>
      <c r="K2105" s="2">
        <v>280.3</v>
      </c>
      <c r="L2105" s="3">
        <v>77.95</v>
      </c>
      <c r="M2105" s="2">
        <v>2.5</v>
      </c>
    </row>
    <row r="2106" spans="1:13">
      <c r="A2106" s="9">
        <v>42899</v>
      </c>
      <c r="B2106" s="1">
        <f t="shared" si="64"/>
        <v>42887</v>
      </c>
      <c r="C2106" s="5" t="str">
        <f t="shared" si="65"/>
        <v>2017-06</v>
      </c>
      <c r="D2106" s="3">
        <v>244.55</v>
      </c>
      <c r="E2106" s="3">
        <v>142.1</v>
      </c>
      <c r="F2106" s="3">
        <v>124.38</v>
      </c>
      <c r="G2106" s="3">
        <v>120.48</v>
      </c>
      <c r="H2106" s="3">
        <v>84.61</v>
      </c>
      <c r="I2106" s="2">
        <v>44.98</v>
      </c>
      <c r="J2106" s="2">
        <v>419.31</v>
      </c>
      <c r="K2106" s="2">
        <v>278.36</v>
      </c>
      <c r="L2106" s="3">
        <v>77.58</v>
      </c>
      <c r="M2106" s="2">
        <v>2.5299999999999998</v>
      </c>
    </row>
    <row r="2107" spans="1:13">
      <c r="A2107" s="9">
        <v>42898</v>
      </c>
      <c r="B2107" s="1">
        <f t="shared" si="64"/>
        <v>42887</v>
      </c>
      <c r="C2107" s="5" t="str">
        <f t="shared" si="65"/>
        <v>2017-06</v>
      </c>
      <c r="D2107" s="3">
        <v>243.36</v>
      </c>
      <c r="E2107" s="3">
        <v>141.38</v>
      </c>
      <c r="F2107" s="3">
        <v>124.36</v>
      </c>
      <c r="G2107" s="3">
        <v>120.36</v>
      </c>
      <c r="H2107" s="3">
        <v>84.42</v>
      </c>
      <c r="I2107" s="2">
        <v>44.85</v>
      </c>
      <c r="J2107" s="2">
        <v>418.31</v>
      </c>
      <c r="K2107" s="2">
        <v>276.89</v>
      </c>
      <c r="L2107" s="3">
        <v>77.42</v>
      </c>
      <c r="M2107" s="2">
        <v>2.4900000000000002</v>
      </c>
    </row>
    <row r="2108" spans="1:13">
      <c r="A2108" s="9">
        <v>42895</v>
      </c>
      <c r="B2108" s="1">
        <f t="shared" si="64"/>
        <v>42887</v>
      </c>
      <c r="C2108" s="5" t="str">
        <f t="shared" si="65"/>
        <v>2017-06</v>
      </c>
      <c r="D2108" s="3">
        <v>243.41</v>
      </c>
      <c r="E2108" s="3">
        <v>141.61000000000001</v>
      </c>
      <c r="F2108" s="3">
        <v>124.4</v>
      </c>
      <c r="G2108" s="3">
        <v>120.54</v>
      </c>
      <c r="H2108" s="3">
        <v>83.67</v>
      </c>
      <c r="I2108" s="2">
        <v>45.03</v>
      </c>
      <c r="J2108" s="2">
        <v>418.5</v>
      </c>
      <c r="K2108" s="2">
        <v>277</v>
      </c>
      <c r="L2108" s="3">
        <v>77.52</v>
      </c>
      <c r="M2108" s="2">
        <v>2.48</v>
      </c>
    </row>
    <row r="2109" spans="1:13">
      <c r="A2109" s="9">
        <v>42894</v>
      </c>
      <c r="B2109" s="1">
        <f t="shared" si="64"/>
        <v>42887</v>
      </c>
      <c r="C2109" s="5" t="str">
        <f t="shared" si="65"/>
        <v>2017-06</v>
      </c>
      <c r="D2109" s="3">
        <v>243.78</v>
      </c>
      <c r="E2109" s="3">
        <v>140.88</v>
      </c>
      <c r="F2109" s="3">
        <v>124.59</v>
      </c>
      <c r="G2109" s="3">
        <v>121.65</v>
      </c>
      <c r="H2109" s="3">
        <v>83.09</v>
      </c>
      <c r="I2109" s="2">
        <v>45.42</v>
      </c>
      <c r="J2109" s="2">
        <v>415.23</v>
      </c>
      <c r="K2109" s="2">
        <v>277.62</v>
      </c>
      <c r="L2109" s="3">
        <v>77</v>
      </c>
      <c r="M2109" s="2">
        <v>2.46</v>
      </c>
    </row>
    <row r="2110" spans="1:13">
      <c r="A2110" s="9">
        <v>42893</v>
      </c>
      <c r="B2110" s="1">
        <f t="shared" si="64"/>
        <v>42887</v>
      </c>
      <c r="C2110" s="5" t="str">
        <f t="shared" si="65"/>
        <v>2017-06</v>
      </c>
      <c r="D2110" s="3">
        <v>243.66</v>
      </c>
      <c r="E2110" s="3">
        <v>138.97999999999999</v>
      </c>
      <c r="F2110" s="3">
        <v>124.92</v>
      </c>
      <c r="G2110" s="3">
        <v>122.45</v>
      </c>
      <c r="H2110" s="3">
        <v>83.29</v>
      </c>
      <c r="I2110" s="2">
        <v>45.4</v>
      </c>
      <c r="J2110" s="2">
        <v>413.8</v>
      </c>
      <c r="K2110" s="2">
        <v>277.38</v>
      </c>
      <c r="L2110" s="3">
        <v>77.22</v>
      </c>
      <c r="M2110" s="2">
        <v>2.39</v>
      </c>
    </row>
    <row r="2111" spans="1:13">
      <c r="A2111" s="9">
        <v>42892</v>
      </c>
      <c r="B2111" s="1">
        <f t="shared" si="64"/>
        <v>42887</v>
      </c>
      <c r="C2111" s="5" t="str">
        <f t="shared" si="65"/>
        <v>2017-06</v>
      </c>
      <c r="D2111" s="3">
        <v>243.21</v>
      </c>
      <c r="E2111" s="3">
        <v>138.85</v>
      </c>
      <c r="F2111" s="3">
        <v>125.52</v>
      </c>
      <c r="G2111" s="3">
        <v>123.1</v>
      </c>
      <c r="H2111" s="3">
        <v>82.71</v>
      </c>
      <c r="I2111" s="2">
        <v>45.61</v>
      </c>
      <c r="J2111" s="2">
        <v>413.83</v>
      </c>
      <c r="K2111" s="2">
        <v>276.88</v>
      </c>
      <c r="L2111" s="3">
        <v>77.010000000000005</v>
      </c>
      <c r="M2111" s="2">
        <v>2.4</v>
      </c>
    </row>
    <row r="2112" spans="1:13">
      <c r="A2112" s="9">
        <v>42891</v>
      </c>
      <c r="B2112" s="1">
        <f t="shared" si="64"/>
        <v>42887</v>
      </c>
      <c r="C2112" s="5" t="str">
        <f t="shared" si="65"/>
        <v>2017-06</v>
      </c>
      <c r="D2112" s="3">
        <v>243.99</v>
      </c>
      <c r="E2112" s="3">
        <v>138.97999999999999</v>
      </c>
      <c r="F2112" s="3">
        <v>124.84</v>
      </c>
      <c r="G2112" s="3">
        <v>121.73</v>
      </c>
      <c r="H2112" s="3">
        <v>83.11</v>
      </c>
      <c r="I2112" s="2">
        <v>45.92</v>
      </c>
      <c r="J2112" s="2">
        <v>414.22</v>
      </c>
      <c r="K2112" s="2">
        <v>280.13</v>
      </c>
      <c r="L2112" s="3">
        <v>77.2</v>
      </c>
      <c r="M2112" s="2">
        <v>2.44</v>
      </c>
    </row>
    <row r="2113" spans="1:13">
      <c r="A2113" s="9">
        <v>42888</v>
      </c>
      <c r="B2113" s="1">
        <f t="shared" si="64"/>
        <v>42887</v>
      </c>
      <c r="C2113" s="5" t="str">
        <f t="shared" si="65"/>
        <v>2017-06</v>
      </c>
      <c r="D2113" s="3">
        <v>244.17</v>
      </c>
      <c r="E2113" s="3">
        <v>139.85</v>
      </c>
      <c r="F2113" s="3">
        <v>125.62</v>
      </c>
      <c r="G2113" s="3">
        <v>121.61</v>
      </c>
      <c r="H2113" s="3">
        <v>83.47</v>
      </c>
      <c r="I2113" s="2">
        <v>45.66</v>
      </c>
      <c r="J2113" s="2">
        <v>414.71</v>
      </c>
      <c r="K2113" s="2">
        <v>281.76</v>
      </c>
      <c r="L2113" s="3">
        <v>77.42</v>
      </c>
      <c r="M2113" s="2">
        <v>2.46</v>
      </c>
    </row>
    <row r="2114" spans="1:13">
      <c r="A2114" s="9">
        <v>42887</v>
      </c>
      <c r="B2114" s="1">
        <f t="shared" ref="B2114:B2177" si="66">EOMONTH(A2114,-1)+1</f>
        <v>42887</v>
      </c>
      <c r="C2114" s="5" t="str">
        <f t="shared" si="65"/>
        <v>2017-06</v>
      </c>
      <c r="D2114" s="3">
        <v>243.36</v>
      </c>
      <c r="E2114" s="3">
        <v>138.94999999999999</v>
      </c>
      <c r="F2114" s="3">
        <v>124.15</v>
      </c>
      <c r="G2114" s="3">
        <v>120.72</v>
      </c>
      <c r="H2114" s="3">
        <v>82.62</v>
      </c>
      <c r="I2114" s="2">
        <v>45.79</v>
      </c>
      <c r="J2114" s="2">
        <v>413.38</v>
      </c>
      <c r="K2114" s="2">
        <v>280.95999999999998</v>
      </c>
      <c r="L2114" s="3">
        <v>76.92</v>
      </c>
      <c r="M2114" s="2">
        <v>2.4700000000000002</v>
      </c>
    </row>
    <row r="2115" spans="1:13">
      <c r="A2115" s="9">
        <v>42886</v>
      </c>
      <c r="B2115" s="1">
        <f t="shared" si="66"/>
        <v>42856</v>
      </c>
      <c r="C2115" s="5" t="str">
        <f t="shared" ref="C2115:C2178" si="67">TEXT(A2115, "yyyy-mm")</f>
        <v>2017-05</v>
      </c>
      <c r="D2115" s="3">
        <v>241.44</v>
      </c>
      <c r="E2115" s="3">
        <v>136.32</v>
      </c>
      <c r="F2115" s="3">
        <v>124.4</v>
      </c>
      <c r="G2115" s="3">
        <v>120.62</v>
      </c>
      <c r="H2115" s="3">
        <v>82.19</v>
      </c>
      <c r="I2115" s="2">
        <v>45.39</v>
      </c>
      <c r="J2115" s="2">
        <v>409.24</v>
      </c>
      <c r="K2115" s="2">
        <v>281.13</v>
      </c>
      <c r="L2115" s="3">
        <v>76.08</v>
      </c>
      <c r="M2115" s="2">
        <v>2.46</v>
      </c>
    </row>
    <row r="2116" spans="1:13">
      <c r="A2116" s="9">
        <v>42885</v>
      </c>
      <c r="B2116" s="1">
        <f t="shared" si="66"/>
        <v>42856</v>
      </c>
      <c r="C2116" s="5" t="str">
        <f t="shared" si="67"/>
        <v>2017-05</v>
      </c>
      <c r="D2116" s="3">
        <v>241.5</v>
      </c>
      <c r="E2116" s="3">
        <v>136.46</v>
      </c>
      <c r="F2116" s="3">
        <v>124.09</v>
      </c>
      <c r="G2116" s="3">
        <v>120.14</v>
      </c>
      <c r="H2116" s="3">
        <v>82.14</v>
      </c>
      <c r="I2116" s="2">
        <v>45.42</v>
      </c>
      <c r="J2116" s="2">
        <v>406.82</v>
      </c>
      <c r="K2116" s="2">
        <v>280.08999999999997</v>
      </c>
      <c r="L2116" s="3">
        <v>75.78</v>
      </c>
      <c r="M2116" s="2">
        <v>2.42</v>
      </c>
    </row>
    <row r="2117" spans="1:13">
      <c r="A2117" s="9">
        <v>42881</v>
      </c>
      <c r="B2117" s="1">
        <f t="shared" si="66"/>
        <v>42856</v>
      </c>
      <c r="C2117" s="5" t="str">
        <f t="shared" si="67"/>
        <v>2017-05</v>
      </c>
      <c r="D2117" s="3">
        <v>241.71</v>
      </c>
      <c r="E2117" s="3">
        <v>137.54</v>
      </c>
      <c r="F2117" s="3">
        <v>123.48</v>
      </c>
      <c r="G2117" s="3">
        <v>120.54</v>
      </c>
      <c r="H2117" s="3">
        <v>82.66</v>
      </c>
      <c r="I2117" s="2">
        <v>45.26</v>
      </c>
      <c r="J2117" s="2">
        <v>407.02</v>
      </c>
      <c r="K2117" s="2">
        <v>283.64999999999998</v>
      </c>
      <c r="L2117" s="3">
        <v>75.89</v>
      </c>
      <c r="M2117" s="2">
        <v>2.4300000000000002</v>
      </c>
    </row>
    <row r="2118" spans="1:13">
      <c r="A2118" s="9">
        <v>42880</v>
      </c>
      <c r="B2118" s="1">
        <f t="shared" si="66"/>
        <v>42856</v>
      </c>
      <c r="C2118" s="5" t="str">
        <f t="shared" si="67"/>
        <v>2017-05</v>
      </c>
      <c r="D2118" s="3">
        <v>241.76</v>
      </c>
      <c r="E2118" s="3">
        <v>137.58000000000001</v>
      </c>
      <c r="F2118" s="3">
        <v>123.27</v>
      </c>
      <c r="G2118" s="3">
        <v>119.48</v>
      </c>
      <c r="H2118" s="3">
        <v>83.26</v>
      </c>
      <c r="I2118" s="2">
        <v>45.2</v>
      </c>
      <c r="J2118" s="2">
        <v>406.36</v>
      </c>
      <c r="K2118" s="2">
        <v>282.06</v>
      </c>
      <c r="L2118" s="3">
        <v>76.03</v>
      </c>
      <c r="M2118" s="2">
        <v>2.4500000000000002</v>
      </c>
    </row>
    <row r="2119" spans="1:13">
      <c r="A2119" s="9">
        <v>42879</v>
      </c>
      <c r="B2119" s="1">
        <f t="shared" si="66"/>
        <v>42856</v>
      </c>
      <c r="C2119" s="5" t="str">
        <f t="shared" si="67"/>
        <v>2017-05</v>
      </c>
      <c r="D2119" s="3">
        <v>240.61</v>
      </c>
      <c r="E2119" s="3">
        <v>137.49</v>
      </c>
      <c r="F2119" s="3">
        <v>123.23</v>
      </c>
      <c r="G2119" s="3">
        <v>119.61</v>
      </c>
      <c r="H2119" s="3">
        <v>83.25</v>
      </c>
      <c r="I2119" s="2">
        <v>44.83</v>
      </c>
      <c r="J2119" s="2">
        <v>396.31</v>
      </c>
      <c r="K2119" s="2">
        <v>280.05</v>
      </c>
      <c r="L2119" s="3">
        <v>75.67</v>
      </c>
      <c r="M2119" s="2">
        <v>2.4300000000000002</v>
      </c>
    </row>
    <row r="2120" spans="1:13">
      <c r="A2120" s="9">
        <v>42878</v>
      </c>
      <c r="B2120" s="1">
        <f t="shared" si="66"/>
        <v>42856</v>
      </c>
      <c r="C2120" s="5" t="str">
        <f t="shared" si="67"/>
        <v>2017-05</v>
      </c>
      <c r="D2120" s="3">
        <v>240.05</v>
      </c>
      <c r="E2120" s="3">
        <v>137.4</v>
      </c>
      <c r="F2120" s="3">
        <v>122.54</v>
      </c>
      <c r="G2120" s="3">
        <v>119.14</v>
      </c>
      <c r="H2120" s="3">
        <v>82.58</v>
      </c>
      <c r="I2120" s="2">
        <v>44.56</v>
      </c>
      <c r="J2120" s="2">
        <v>395.97</v>
      </c>
      <c r="K2120" s="2">
        <v>278.36</v>
      </c>
      <c r="L2120" s="3">
        <v>75.48</v>
      </c>
      <c r="M2120" s="2">
        <v>2.41</v>
      </c>
    </row>
    <row r="2121" spans="1:13">
      <c r="A2121" s="9">
        <v>42877</v>
      </c>
      <c r="B2121" s="1">
        <f t="shared" si="66"/>
        <v>42856</v>
      </c>
      <c r="C2121" s="5" t="str">
        <f t="shared" si="67"/>
        <v>2017-05</v>
      </c>
      <c r="D2121" s="3">
        <v>239.52</v>
      </c>
      <c r="E2121" s="3">
        <v>136.94999999999999</v>
      </c>
      <c r="F2121" s="3">
        <v>123.37</v>
      </c>
      <c r="G2121" s="3">
        <v>119.9</v>
      </c>
      <c r="H2121" s="3">
        <v>82.51</v>
      </c>
      <c r="I2121" s="2">
        <v>44.63</v>
      </c>
      <c r="J2121" s="2">
        <v>396.28</v>
      </c>
      <c r="K2121" s="2">
        <v>277.02999999999997</v>
      </c>
      <c r="L2121" s="3">
        <v>75.23</v>
      </c>
      <c r="M2121" s="2">
        <v>2.44</v>
      </c>
    </row>
    <row r="2122" spans="1:13">
      <c r="A2122" s="9">
        <v>42874</v>
      </c>
      <c r="B2122" s="1">
        <f t="shared" si="66"/>
        <v>42856</v>
      </c>
      <c r="C2122" s="5" t="str">
        <f t="shared" si="67"/>
        <v>2017-05</v>
      </c>
      <c r="D2122" s="3">
        <v>238.31</v>
      </c>
      <c r="E2122" s="3">
        <v>136.03</v>
      </c>
      <c r="F2122" s="3">
        <v>123.71</v>
      </c>
      <c r="G2122" s="3">
        <v>119.4</v>
      </c>
      <c r="H2122" s="3">
        <v>82.19</v>
      </c>
      <c r="I2122" s="2">
        <v>44.31</v>
      </c>
      <c r="J2122" s="2">
        <v>393.32</v>
      </c>
      <c r="K2122" s="2">
        <v>272.79000000000002</v>
      </c>
      <c r="L2122" s="3">
        <v>75.03</v>
      </c>
      <c r="M2122" s="2">
        <v>2.42</v>
      </c>
    </row>
    <row r="2123" spans="1:13">
      <c r="A2123" s="9">
        <v>42873</v>
      </c>
      <c r="B2123" s="1">
        <f t="shared" si="66"/>
        <v>42856</v>
      </c>
      <c r="C2123" s="5" t="str">
        <f t="shared" si="67"/>
        <v>2017-05</v>
      </c>
      <c r="D2123" s="3">
        <v>236.77</v>
      </c>
      <c r="E2123" s="3">
        <v>135.38</v>
      </c>
      <c r="F2123" s="3">
        <v>123.42</v>
      </c>
      <c r="G2123" s="3">
        <v>118.81</v>
      </c>
      <c r="H2123" s="3">
        <v>81.75</v>
      </c>
      <c r="I2123" s="2">
        <v>44.17</v>
      </c>
      <c r="J2123" s="2">
        <v>388.48</v>
      </c>
      <c r="K2123" s="2">
        <v>267.32</v>
      </c>
      <c r="L2123" s="3">
        <v>74.819999999999993</v>
      </c>
      <c r="M2123" s="2">
        <v>2.36</v>
      </c>
    </row>
    <row r="2124" spans="1:13">
      <c r="A2124" s="9">
        <v>42872</v>
      </c>
      <c r="B2124" s="1">
        <f t="shared" si="66"/>
        <v>42856</v>
      </c>
      <c r="C2124" s="5" t="str">
        <f t="shared" si="67"/>
        <v>2017-05</v>
      </c>
      <c r="D2124" s="3">
        <v>235.82</v>
      </c>
      <c r="E2124" s="3">
        <v>134.88999999999999</v>
      </c>
      <c r="F2124" s="3">
        <v>123.28</v>
      </c>
      <c r="G2124" s="3">
        <v>119.79</v>
      </c>
      <c r="H2124" s="3">
        <v>81.3</v>
      </c>
      <c r="I2124" s="2">
        <v>44.23</v>
      </c>
      <c r="J2124" s="2">
        <v>383.67</v>
      </c>
      <c r="K2124" s="2">
        <v>269.24</v>
      </c>
      <c r="L2124" s="3">
        <v>74.489999999999995</v>
      </c>
      <c r="M2124" s="2">
        <v>2.37</v>
      </c>
    </row>
    <row r="2125" spans="1:13">
      <c r="A2125" s="9">
        <v>42871</v>
      </c>
      <c r="B2125" s="1">
        <f t="shared" si="66"/>
        <v>42856</v>
      </c>
      <c r="C2125" s="5" t="str">
        <f t="shared" si="67"/>
        <v>2017-05</v>
      </c>
      <c r="D2125" s="3">
        <v>240.08</v>
      </c>
      <c r="E2125" s="3">
        <v>138.63</v>
      </c>
      <c r="F2125" s="3">
        <v>121.51</v>
      </c>
      <c r="G2125" s="3">
        <v>117.65</v>
      </c>
      <c r="H2125" s="3">
        <v>80.97</v>
      </c>
      <c r="I2125" s="2">
        <v>45.29</v>
      </c>
      <c r="J2125" s="2">
        <v>391.3</v>
      </c>
      <c r="K2125" s="2">
        <v>271.64999999999998</v>
      </c>
      <c r="L2125" s="3">
        <v>75.48</v>
      </c>
      <c r="M2125" s="2">
        <v>2.44</v>
      </c>
    </row>
    <row r="2126" spans="1:13">
      <c r="A2126" s="9">
        <v>42870</v>
      </c>
      <c r="B2126" s="1">
        <f t="shared" si="66"/>
        <v>42856</v>
      </c>
      <c r="C2126" s="5" t="str">
        <f t="shared" si="67"/>
        <v>2017-05</v>
      </c>
      <c r="D2126" s="3">
        <v>240.3</v>
      </c>
      <c r="E2126" s="3">
        <v>138.58000000000001</v>
      </c>
      <c r="F2126" s="3">
        <v>121.06</v>
      </c>
      <c r="G2126" s="3">
        <v>117.14</v>
      </c>
      <c r="H2126" s="3">
        <v>81.52</v>
      </c>
      <c r="I2126" s="2">
        <v>45.32</v>
      </c>
      <c r="J2126" s="2">
        <v>389.36</v>
      </c>
      <c r="K2126" s="2">
        <v>272.35000000000002</v>
      </c>
      <c r="L2126" s="3">
        <v>75.77</v>
      </c>
      <c r="M2126" s="2">
        <v>2.4500000000000002</v>
      </c>
    </row>
    <row r="2127" spans="1:13">
      <c r="A2127" s="9">
        <v>42867</v>
      </c>
      <c r="B2127" s="1">
        <f t="shared" si="66"/>
        <v>42856</v>
      </c>
      <c r="C2127" s="5" t="str">
        <f t="shared" si="67"/>
        <v>2017-05</v>
      </c>
      <c r="D2127" s="3">
        <v>238.98</v>
      </c>
      <c r="E2127" s="3">
        <v>137.51</v>
      </c>
      <c r="F2127" s="3">
        <v>121.39</v>
      </c>
      <c r="G2127" s="3">
        <v>116.83</v>
      </c>
      <c r="H2127" s="3">
        <v>81.28</v>
      </c>
      <c r="I2127" s="2">
        <v>45.08</v>
      </c>
      <c r="J2127" s="2">
        <v>385.12</v>
      </c>
      <c r="K2127" s="2">
        <v>271.26</v>
      </c>
      <c r="L2127" s="3">
        <v>75.28</v>
      </c>
      <c r="M2127" s="2">
        <v>2.42</v>
      </c>
    </row>
    <row r="2128" spans="1:13">
      <c r="A2128" s="9">
        <v>42866</v>
      </c>
      <c r="B2128" s="1">
        <f t="shared" si="66"/>
        <v>42856</v>
      </c>
      <c r="C2128" s="5" t="str">
        <f t="shared" si="67"/>
        <v>2017-05</v>
      </c>
      <c r="D2128" s="3">
        <v>239.38</v>
      </c>
      <c r="E2128" s="3">
        <v>138.24</v>
      </c>
      <c r="F2128" s="3">
        <v>120.48</v>
      </c>
      <c r="G2128" s="3">
        <v>116.5</v>
      </c>
      <c r="H2128" s="3">
        <v>81.61</v>
      </c>
      <c r="I2128" s="2">
        <v>45.16</v>
      </c>
      <c r="J2128" s="2">
        <v>382.87</v>
      </c>
      <c r="K2128" s="2">
        <v>272.08999999999997</v>
      </c>
      <c r="L2128" s="3">
        <v>75.41</v>
      </c>
      <c r="M2128" s="2">
        <v>2.41</v>
      </c>
    </row>
    <row r="2129" spans="1:13">
      <c r="A2129" s="9">
        <v>42865</v>
      </c>
      <c r="B2129" s="1">
        <f t="shared" si="66"/>
        <v>42856</v>
      </c>
      <c r="C2129" s="5" t="str">
        <f t="shared" si="67"/>
        <v>2017-05</v>
      </c>
      <c r="D2129" s="3">
        <v>239.87</v>
      </c>
      <c r="E2129" s="3">
        <v>139.21</v>
      </c>
      <c r="F2129" s="3">
        <v>120.48</v>
      </c>
      <c r="G2129" s="3">
        <v>116.04</v>
      </c>
      <c r="H2129" s="3">
        <v>82.02</v>
      </c>
      <c r="I2129" s="2">
        <v>45.53</v>
      </c>
      <c r="J2129" s="2">
        <v>382.27</v>
      </c>
      <c r="K2129" s="2">
        <v>271.74</v>
      </c>
      <c r="L2129" s="3">
        <v>75.37</v>
      </c>
      <c r="M2129" s="2">
        <v>2.42</v>
      </c>
    </row>
    <row r="2130" spans="1:13">
      <c r="A2130" s="9">
        <v>42864</v>
      </c>
      <c r="B2130" s="1">
        <f t="shared" si="66"/>
        <v>42856</v>
      </c>
      <c r="C2130" s="5" t="str">
        <f t="shared" si="67"/>
        <v>2017-05</v>
      </c>
      <c r="D2130" s="3">
        <v>239.44</v>
      </c>
      <c r="E2130" s="3">
        <v>138.35</v>
      </c>
      <c r="F2130" s="3">
        <v>120.62</v>
      </c>
      <c r="G2130" s="3">
        <v>116.05</v>
      </c>
      <c r="H2130" s="3">
        <v>81.38</v>
      </c>
      <c r="I2130" s="2">
        <v>45.48</v>
      </c>
      <c r="J2130" s="2">
        <v>380.5</v>
      </c>
      <c r="K2130" s="2">
        <v>273.87</v>
      </c>
      <c r="L2130" s="3">
        <v>75.59</v>
      </c>
      <c r="M2130" s="2">
        <v>2.37</v>
      </c>
    </row>
    <row r="2131" spans="1:13">
      <c r="A2131" s="9">
        <v>42863</v>
      </c>
      <c r="B2131" s="1">
        <f t="shared" si="66"/>
        <v>42856</v>
      </c>
      <c r="C2131" s="5" t="str">
        <f t="shared" si="67"/>
        <v>2017-05</v>
      </c>
      <c r="D2131" s="3">
        <v>239.66</v>
      </c>
      <c r="E2131" s="3">
        <v>138.41</v>
      </c>
      <c r="F2131" s="3">
        <v>120.63</v>
      </c>
      <c r="G2131" s="3">
        <v>116.75</v>
      </c>
      <c r="H2131" s="3">
        <v>81.819999999999993</v>
      </c>
      <c r="I2131" s="2">
        <v>45.56</v>
      </c>
      <c r="J2131" s="2">
        <v>382.38</v>
      </c>
      <c r="K2131" s="2">
        <v>272.5</v>
      </c>
      <c r="L2131" s="3">
        <v>75.5</v>
      </c>
      <c r="M2131" s="2">
        <v>2.39</v>
      </c>
    </row>
    <row r="2132" spans="1:13">
      <c r="A2132" s="9">
        <v>42860</v>
      </c>
      <c r="B2132" s="1">
        <f t="shared" si="66"/>
        <v>42856</v>
      </c>
      <c r="C2132" s="5" t="str">
        <f t="shared" si="67"/>
        <v>2017-05</v>
      </c>
      <c r="D2132" s="3">
        <v>239.7</v>
      </c>
      <c r="E2132" s="3">
        <v>138.99</v>
      </c>
      <c r="F2132" s="3">
        <v>121.29</v>
      </c>
      <c r="G2132" s="3">
        <v>117.01</v>
      </c>
      <c r="H2132" s="3">
        <v>82.4</v>
      </c>
      <c r="I2132" s="2">
        <v>45.58</v>
      </c>
      <c r="J2132" s="2">
        <v>383.76</v>
      </c>
      <c r="K2132" s="2">
        <v>273.02999999999997</v>
      </c>
      <c r="L2132" s="3">
        <v>75.97</v>
      </c>
      <c r="M2132" s="2">
        <v>2.42</v>
      </c>
    </row>
    <row r="2133" spans="1:13">
      <c r="A2133" s="9">
        <v>42859</v>
      </c>
      <c r="B2133" s="1">
        <f t="shared" si="66"/>
        <v>42856</v>
      </c>
      <c r="C2133" s="5" t="str">
        <f t="shared" si="67"/>
        <v>2017-05</v>
      </c>
      <c r="D2133" s="3">
        <v>238.76</v>
      </c>
      <c r="E2133" s="3">
        <v>138.1</v>
      </c>
      <c r="F2133" s="3">
        <v>121.18</v>
      </c>
      <c r="G2133" s="3">
        <v>116.79</v>
      </c>
      <c r="H2133" s="3">
        <v>81.63</v>
      </c>
      <c r="I2133" s="2">
        <v>45.47</v>
      </c>
      <c r="J2133" s="2">
        <v>383.31</v>
      </c>
      <c r="K2133" s="2">
        <v>270.51</v>
      </c>
      <c r="L2133" s="3">
        <v>76.010000000000005</v>
      </c>
      <c r="M2133" s="2">
        <v>2.42</v>
      </c>
    </row>
    <row r="2134" spans="1:13">
      <c r="A2134" s="9">
        <v>42858</v>
      </c>
      <c r="B2134" s="1">
        <f t="shared" si="66"/>
        <v>42856</v>
      </c>
      <c r="C2134" s="5" t="str">
        <f t="shared" si="67"/>
        <v>2017-05</v>
      </c>
      <c r="D2134" s="3">
        <v>238.48</v>
      </c>
      <c r="E2134" s="3">
        <v>138.29</v>
      </c>
      <c r="F2134" s="3">
        <v>121.78</v>
      </c>
      <c r="G2134" s="3">
        <v>117.98</v>
      </c>
      <c r="H2134" s="3">
        <v>82.03</v>
      </c>
      <c r="I2134" s="2">
        <v>44.89</v>
      </c>
      <c r="J2134" s="2">
        <v>384.29</v>
      </c>
      <c r="K2134" s="2">
        <v>269.60000000000002</v>
      </c>
      <c r="L2134" s="3">
        <v>75.510000000000005</v>
      </c>
      <c r="M2134" s="2">
        <v>2.36</v>
      </c>
    </row>
    <row r="2135" spans="1:13">
      <c r="A2135" s="9">
        <v>42857</v>
      </c>
      <c r="B2135" s="1">
        <f t="shared" si="66"/>
        <v>42856</v>
      </c>
      <c r="C2135" s="5" t="str">
        <f t="shared" si="67"/>
        <v>2017-05</v>
      </c>
      <c r="D2135" s="3">
        <v>238.77</v>
      </c>
      <c r="E2135" s="3">
        <v>139.15</v>
      </c>
      <c r="F2135" s="3">
        <v>121.7</v>
      </c>
      <c r="G2135" s="3">
        <v>119.65</v>
      </c>
      <c r="H2135" s="3">
        <v>83.14</v>
      </c>
      <c r="I2135" s="2">
        <v>45.13</v>
      </c>
      <c r="J2135" s="2">
        <v>384.5</v>
      </c>
      <c r="K2135" s="2">
        <v>269.49</v>
      </c>
      <c r="L2135" s="3">
        <v>75.88</v>
      </c>
      <c r="M2135" s="2">
        <v>2.38</v>
      </c>
    </row>
    <row r="2136" spans="1:13">
      <c r="A2136" s="9">
        <v>42856</v>
      </c>
      <c r="B2136" s="1">
        <f t="shared" si="66"/>
        <v>42856</v>
      </c>
      <c r="C2136" s="5" t="str">
        <f t="shared" si="67"/>
        <v>2017-05</v>
      </c>
      <c r="D2136" s="3">
        <v>238.68</v>
      </c>
      <c r="E2136" s="3">
        <v>139.86000000000001</v>
      </c>
      <c r="F2136" s="3">
        <v>121.08</v>
      </c>
      <c r="G2136" s="3">
        <v>119.67</v>
      </c>
      <c r="H2136" s="3">
        <v>83.28</v>
      </c>
      <c r="I2136" s="2">
        <v>45.05</v>
      </c>
      <c r="J2136" s="2">
        <v>383</v>
      </c>
      <c r="K2136" s="2">
        <v>268.43</v>
      </c>
      <c r="L2136" s="3">
        <v>75.67</v>
      </c>
      <c r="M2136" s="2">
        <v>2.4500000000000002</v>
      </c>
    </row>
    <row r="2137" spans="1:13">
      <c r="A2137" s="9">
        <v>42853</v>
      </c>
      <c r="B2137" s="1">
        <f t="shared" si="66"/>
        <v>42826</v>
      </c>
      <c r="C2137" s="5" t="str">
        <f t="shared" si="67"/>
        <v>2017-04</v>
      </c>
      <c r="D2137" s="3">
        <v>238.08</v>
      </c>
      <c r="E2137" s="3">
        <v>139.06</v>
      </c>
      <c r="F2137" s="3">
        <v>122.35</v>
      </c>
      <c r="G2137" s="3">
        <v>120.77</v>
      </c>
      <c r="H2137" s="3">
        <v>82.79</v>
      </c>
      <c r="I2137" s="2">
        <v>44.96</v>
      </c>
      <c r="J2137" s="2">
        <v>384.57</v>
      </c>
      <c r="K2137" s="2">
        <v>269.45</v>
      </c>
      <c r="L2137" s="3">
        <v>75.5</v>
      </c>
      <c r="M2137" s="2">
        <v>2.44</v>
      </c>
    </row>
    <row r="2138" spans="1:13">
      <c r="A2138" s="9">
        <v>42852</v>
      </c>
      <c r="B2138" s="1">
        <f t="shared" si="66"/>
        <v>42826</v>
      </c>
      <c r="C2138" s="5" t="str">
        <f t="shared" si="67"/>
        <v>2017-04</v>
      </c>
      <c r="D2138" s="3">
        <v>238.6</v>
      </c>
      <c r="E2138" s="3">
        <v>140.94999999999999</v>
      </c>
      <c r="F2138" s="3">
        <v>122.08</v>
      </c>
      <c r="G2138" s="3">
        <v>120.39</v>
      </c>
      <c r="H2138" s="3">
        <v>83.66</v>
      </c>
      <c r="I2138" s="2">
        <v>44.77</v>
      </c>
      <c r="J2138" s="2">
        <v>390.71</v>
      </c>
      <c r="K2138" s="2">
        <v>271.14</v>
      </c>
      <c r="L2138" s="3">
        <v>75.3</v>
      </c>
      <c r="M2138" s="2">
        <v>2.4300000000000002</v>
      </c>
    </row>
    <row r="2139" spans="1:13">
      <c r="A2139" s="9">
        <v>42851</v>
      </c>
      <c r="B2139" s="1">
        <f t="shared" si="66"/>
        <v>42826</v>
      </c>
      <c r="C2139" s="5" t="str">
        <f t="shared" si="67"/>
        <v>2017-04</v>
      </c>
      <c r="D2139" s="3">
        <v>238.4</v>
      </c>
      <c r="E2139" s="3">
        <v>140.99</v>
      </c>
      <c r="F2139" s="3">
        <v>122.12</v>
      </c>
      <c r="G2139" s="3">
        <v>120.84</v>
      </c>
      <c r="H2139" s="3">
        <v>83.88</v>
      </c>
      <c r="I2139" s="2">
        <v>44.69</v>
      </c>
      <c r="J2139" s="2">
        <v>388.87</v>
      </c>
      <c r="K2139" s="2">
        <v>270.35000000000002</v>
      </c>
      <c r="L2139" s="3">
        <v>75.14</v>
      </c>
      <c r="M2139" s="2">
        <v>2.4700000000000002</v>
      </c>
    </row>
    <row r="2140" spans="1:13">
      <c r="A2140" s="9">
        <v>42850</v>
      </c>
      <c r="B2140" s="1">
        <f t="shared" si="66"/>
        <v>42826</v>
      </c>
      <c r="C2140" s="5" t="str">
        <f t="shared" si="67"/>
        <v>2017-04</v>
      </c>
      <c r="D2140" s="3">
        <v>238.55</v>
      </c>
      <c r="E2140" s="3">
        <v>140.27000000000001</v>
      </c>
      <c r="F2140" s="3">
        <v>121.45</v>
      </c>
      <c r="G2140" s="3">
        <v>120.25</v>
      </c>
      <c r="H2140" s="3">
        <v>84.51</v>
      </c>
      <c r="I2140" s="2">
        <v>44.72</v>
      </c>
      <c r="J2140" s="2">
        <v>388.19</v>
      </c>
      <c r="K2140" s="2">
        <v>270.02</v>
      </c>
      <c r="L2140" s="3">
        <v>74.73</v>
      </c>
      <c r="M2140" s="2">
        <v>2.4900000000000002</v>
      </c>
    </row>
    <row r="2141" spans="1:13">
      <c r="A2141" s="9">
        <v>42849</v>
      </c>
      <c r="B2141" s="1">
        <f t="shared" si="66"/>
        <v>42826</v>
      </c>
      <c r="C2141" s="5" t="str">
        <f t="shared" si="67"/>
        <v>2017-04</v>
      </c>
      <c r="D2141" s="3">
        <v>237.17</v>
      </c>
      <c r="E2141" s="3">
        <v>138.91999999999999</v>
      </c>
      <c r="F2141" s="3">
        <v>122.93</v>
      </c>
      <c r="G2141" s="3">
        <v>121.48</v>
      </c>
      <c r="H2141" s="3">
        <v>84.16</v>
      </c>
      <c r="I2141" s="2">
        <v>44.84</v>
      </c>
      <c r="J2141" s="2">
        <v>386.65</v>
      </c>
      <c r="K2141" s="2">
        <v>276.20999999999998</v>
      </c>
      <c r="L2141" s="3">
        <v>74.41</v>
      </c>
      <c r="M2141" s="2">
        <v>2.48</v>
      </c>
    </row>
    <row r="2142" spans="1:13">
      <c r="A2142" s="9">
        <v>42846</v>
      </c>
      <c r="B2142" s="1">
        <f t="shared" si="66"/>
        <v>42826</v>
      </c>
      <c r="C2142" s="5" t="str">
        <f t="shared" si="67"/>
        <v>2017-04</v>
      </c>
      <c r="D2142" s="3">
        <v>234.59</v>
      </c>
      <c r="E2142" s="3">
        <v>137.21</v>
      </c>
      <c r="F2142" s="3">
        <v>123.54</v>
      </c>
      <c r="G2142" s="3">
        <v>122.31</v>
      </c>
      <c r="H2142" s="3">
        <v>85.1</v>
      </c>
      <c r="I2142" s="2">
        <v>44.43</v>
      </c>
      <c r="J2142" s="2">
        <v>378.06</v>
      </c>
      <c r="K2142" s="2">
        <v>273.08999999999997</v>
      </c>
      <c r="L2142" s="3">
        <v>73.680000000000007</v>
      </c>
      <c r="M2142" s="2">
        <v>2.46</v>
      </c>
    </row>
    <row r="2143" spans="1:13">
      <c r="A2143" s="9">
        <v>42845</v>
      </c>
      <c r="B2143" s="1">
        <f t="shared" si="66"/>
        <v>42826</v>
      </c>
      <c r="C2143" s="5" t="str">
        <f t="shared" si="67"/>
        <v>2017-04</v>
      </c>
      <c r="D2143" s="3">
        <v>235.34</v>
      </c>
      <c r="E2143" s="3">
        <v>137.52000000000001</v>
      </c>
      <c r="F2143" s="3">
        <v>123.54</v>
      </c>
      <c r="G2143" s="3">
        <v>121.96</v>
      </c>
      <c r="H2143" s="3">
        <v>85.41</v>
      </c>
      <c r="I2143" s="2">
        <v>44.53</v>
      </c>
      <c r="J2143" s="2">
        <v>381.59</v>
      </c>
      <c r="K2143" s="2">
        <v>271.85000000000002</v>
      </c>
      <c r="L2143" s="3">
        <v>74.12</v>
      </c>
      <c r="M2143" s="2">
        <v>2.48</v>
      </c>
    </row>
    <row r="2144" spans="1:13">
      <c r="A2144" s="9">
        <v>42844</v>
      </c>
      <c r="B2144" s="1">
        <f t="shared" si="66"/>
        <v>42826</v>
      </c>
      <c r="C2144" s="5" t="str">
        <f t="shared" si="67"/>
        <v>2017-04</v>
      </c>
      <c r="D2144" s="3">
        <v>233.44</v>
      </c>
      <c r="E2144" s="3">
        <v>135.79</v>
      </c>
      <c r="F2144" s="3">
        <v>124.02</v>
      </c>
      <c r="G2144" s="3">
        <v>121.73</v>
      </c>
      <c r="H2144" s="3">
        <v>85.4</v>
      </c>
      <c r="I2144" s="2">
        <v>44.19</v>
      </c>
      <c r="J2144" s="2">
        <v>377.1</v>
      </c>
      <c r="K2144" s="2">
        <v>269.63</v>
      </c>
      <c r="L2144" s="3">
        <v>73.66</v>
      </c>
      <c r="M2144" s="2">
        <v>2.4500000000000002</v>
      </c>
    </row>
    <row r="2145" spans="1:13">
      <c r="A2145" s="9">
        <v>42843</v>
      </c>
      <c r="B2145" s="1">
        <f t="shared" si="66"/>
        <v>42826</v>
      </c>
      <c r="C2145" s="5" t="str">
        <f t="shared" si="67"/>
        <v>2017-04</v>
      </c>
      <c r="D2145" s="3">
        <v>233.87</v>
      </c>
      <c r="E2145" s="3">
        <v>135.32</v>
      </c>
      <c r="F2145" s="3">
        <v>124.7</v>
      </c>
      <c r="G2145" s="3">
        <v>122.82</v>
      </c>
      <c r="H2145" s="3">
        <v>85.52</v>
      </c>
      <c r="I2145" s="2">
        <v>44.52</v>
      </c>
      <c r="J2145" s="2">
        <v>383.61</v>
      </c>
      <c r="K2145" s="2">
        <v>268.77999999999997</v>
      </c>
      <c r="L2145" s="3">
        <v>73.44</v>
      </c>
      <c r="M2145" s="2">
        <v>2.44</v>
      </c>
    </row>
    <row r="2146" spans="1:13">
      <c r="A2146" s="9">
        <v>42842</v>
      </c>
      <c r="B2146" s="1">
        <f t="shared" si="66"/>
        <v>42826</v>
      </c>
      <c r="C2146" s="5" t="str">
        <f t="shared" si="67"/>
        <v>2017-04</v>
      </c>
      <c r="D2146" s="3">
        <v>234.57</v>
      </c>
      <c r="E2146" s="3">
        <v>135.29</v>
      </c>
      <c r="F2146" s="3">
        <v>123.09</v>
      </c>
      <c r="G2146" s="3">
        <v>122.24</v>
      </c>
      <c r="H2146" s="3">
        <v>85.29</v>
      </c>
      <c r="I2146" s="2">
        <v>44.29</v>
      </c>
      <c r="J2146" s="2">
        <v>383.8</v>
      </c>
      <c r="K2146" s="2">
        <v>269.88</v>
      </c>
      <c r="L2146" s="3">
        <v>74.25</v>
      </c>
      <c r="M2146" s="2">
        <v>2.52</v>
      </c>
    </row>
    <row r="2147" spans="1:13">
      <c r="A2147" s="9">
        <v>42838</v>
      </c>
      <c r="B2147" s="1">
        <f t="shared" si="66"/>
        <v>42826</v>
      </c>
      <c r="C2147" s="5" t="str">
        <f t="shared" si="67"/>
        <v>2017-04</v>
      </c>
      <c r="D2147" s="3">
        <v>232.51</v>
      </c>
      <c r="E2147" s="3">
        <v>133.72</v>
      </c>
      <c r="F2147" s="3">
        <v>123.47</v>
      </c>
      <c r="G2147" s="3">
        <v>122.6</v>
      </c>
      <c r="H2147" s="3">
        <v>84.27</v>
      </c>
      <c r="I2147" s="2">
        <v>44</v>
      </c>
      <c r="J2147" s="2">
        <v>379</v>
      </c>
      <c r="K2147" s="2">
        <v>268</v>
      </c>
      <c r="L2147" s="3">
        <v>73.98</v>
      </c>
      <c r="M2147" s="2">
        <v>2.4500000000000002</v>
      </c>
    </row>
    <row r="2148" spans="1:13">
      <c r="A2148" s="9">
        <v>42837</v>
      </c>
      <c r="B2148" s="1">
        <f t="shared" si="66"/>
        <v>42826</v>
      </c>
      <c r="C2148" s="5" t="str">
        <f t="shared" si="67"/>
        <v>2017-04</v>
      </c>
      <c r="D2148" s="3">
        <v>234.03</v>
      </c>
      <c r="E2148" s="3">
        <v>135.04</v>
      </c>
      <c r="F2148" s="3">
        <v>123.09</v>
      </c>
      <c r="G2148" s="3">
        <v>122.02</v>
      </c>
      <c r="H2148" s="3">
        <v>84.46</v>
      </c>
      <c r="I2148" s="2">
        <v>44.18</v>
      </c>
      <c r="J2148" s="2">
        <v>381.44</v>
      </c>
      <c r="K2148" s="2">
        <v>268.51</v>
      </c>
      <c r="L2148" s="3">
        <v>74.17</v>
      </c>
      <c r="M2148" s="2">
        <v>2.4700000000000002</v>
      </c>
    </row>
    <row r="2149" spans="1:13">
      <c r="A2149" s="9">
        <v>42836</v>
      </c>
      <c r="B2149" s="1">
        <f t="shared" si="66"/>
        <v>42826</v>
      </c>
      <c r="C2149" s="5" t="str">
        <f t="shared" si="67"/>
        <v>2017-04</v>
      </c>
      <c r="D2149" s="3">
        <v>235.06</v>
      </c>
      <c r="E2149" s="3">
        <v>136.9</v>
      </c>
      <c r="F2149" s="3">
        <v>122.42</v>
      </c>
      <c r="G2149" s="3">
        <v>121.19</v>
      </c>
      <c r="H2149" s="3">
        <v>84.61</v>
      </c>
      <c r="I2149" s="2">
        <v>44.17</v>
      </c>
      <c r="J2149" s="2">
        <v>384.05</v>
      </c>
      <c r="K2149" s="2">
        <v>270.27</v>
      </c>
      <c r="L2149" s="3">
        <v>74.17</v>
      </c>
      <c r="M2149" s="2">
        <v>2.4900000000000002</v>
      </c>
    </row>
    <row r="2150" spans="1:13">
      <c r="A2150" s="9">
        <v>42835</v>
      </c>
      <c r="B2150" s="1">
        <f t="shared" si="66"/>
        <v>42826</v>
      </c>
      <c r="C2150" s="5" t="str">
        <f t="shared" si="67"/>
        <v>2017-04</v>
      </c>
      <c r="D2150" s="3">
        <v>235.34</v>
      </c>
      <c r="E2150" s="3">
        <v>135.82</v>
      </c>
      <c r="F2150" s="3">
        <v>121.27</v>
      </c>
      <c r="G2150" s="3">
        <v>119.46</v>
      </c>
      <c r="H2150" s="3">
        <v>84.03</v>
      </c>
      <c r="I2150" s="2">
        <v>44</v>
      </c>
      <c r="J2150" s="2">
        <v>385.89</v>
      </c>
      <c r="K2150" s="2">
        <v>269.02999999999997</v>
      </c>
      <c r="L2150" s="3">
        <v>74.27</v>
      </c>
      <c r="M2150" s="2">
        <v>2.46</v>
      </c>
    </row>
    <row r="2151" spans="1:13">
      <c r="A2151" s="9">
        <v>42832</v>
      </c>
      <c r="B2151" s="1">
        <f t="shared" si="66"/>
        <v>42826</v>
      </c>
      <c r="C2151" s="5" t="str">
        <f t="shared" si="67"/>
        <v>2017-04</v>
      </c>
      <c r="D2151" s="3">
        <v>235.2</v>
      </c>
      <c r="E2151" s="3">
        <v>135.52000000000001</v>
      </c>
      <c r="F2151" s="3">
        <v>120.71</v>
      </c>
      <c r="G2151" s="3">
        <v>119.46</v>
      </c>
      <c r="H2151" s="3">
        <v>83.51</v>
      </c>
      <c r="I2151" s="2">
        <v>44.29</v>
      </c>
      <c r="J2151" s="2">
        <v>386.02</v>
      </c>
      <c r="K2151" s="2">
        <v>270.23</v>
      </c>
      <c r="L2151" s="3">
        <v>74.41</v>
      </c>
      <c r="M2151" s="2">
        <v>2.48</v>
      </c>
    </row>
    <row r="2152" spans="1:13">
      <c r="A2152" s="9">
        <v>42831</v>
      </c>
      <c r="B2152" s="1">
        <f t="shared" si="66"/>
        <v>42826</v>
      </c>
      <c r="C2152" s="5" t="str">
        <f t="shared" si="67"/>
        <v>2017-04</v>
      </c>
      <c r="D2152" s="3">
        <v>235.44</v>
      </c>
      <c r="E2152" s="3">
        <v>135.58000000000001</v>
      </c>
      <c r="F2152" s="3">
        <v>121.2</v>
      </c>
      <c r="G2152" s="3">
        <v>119.18</v>
      </c>
      <c r="H2152" s="3">
        <v>83.39</v>
      </c>
      <c r="I2152" s="2">
        <v>44.18</v>
      </c>
      <c r="J2152" s="2">
        <v>384.1</v>
      </c>
      <c r="K2152" s="2">
        <v>267.11</v>
      </c>
      <c r="L2152" s="3">
        <v>74.28</v>
      </c>
      <c r="M2152" s="2">
        <v>2.48</v>
      </c>
    </row>
    <row r="2153" spans="1:13">
      <c r="A2153" s="9">
        <v>42830</v>
      </c>
      <c r="B2153" s="1">
        <f t="shared" si="66"/>
        <v>42826</v>
      </c>
      <c r="C2153" s="5" t="str">
        <f t="shared" si="67"/>
        <v>2017-04</v>
      </c>
      <c r="D2153" s="3">
        <v>234.78</v>
      </c>
      <c r="E2153" s="3">
        <v>134.33000000000001</v>
      </c>
      <c r="F2153" s="3">
        <v>121.38</v>
      </c>
      <c r="G2153" s="3">
        <v>119.62</v>
      </c>
      <c r="H2153" s="3">
        <v>82.95</v>
      </c>
      <c r="I2153" s="2">
        <v>44.49</v>
      </c>
      <c r="J2153" s="2">
        <v>380.91</v>
      </c>
      <c r="K2153" s="2">
        <v>266.98</v>
      </c>
      <c r="L2153" s="3">
        <v>74.150000000000006</v>
      </c>
      <c r="M2153" s="2">
        <v>2.46</v>
      </c>
    </row>
    <row r="2154" spans="1:13">
      <c r="A2154" s="9">
        <v>42829</v>
      </c>
      <c r="B2154" s="1">
        <f t="shared" si="66"/>
        <v>42826</v>
      </c>
      <c r="C2154" s="5" t="str">
        <f t="shared" si="67"/>
        <v>2017-04</v>
      </c>
      <c r="D2154" s="3">
        <v>235.48</v>
      </c>
      <c r="E2154" s="3">
        <v>135.87</v>
      </c>
      <c r="F2154" s="3">
        <v>121.01</v>
      </c>
      <c r="G2154" s="3">
        <v>119.62</v>
      </c>
      <c r="H2154" s="3">
        <v>82.83</v>
      </c>
      <c r="I2154" s="2">
        <v>44.59</v>
      </c>
      <c r="J2154" s="2">
        <v>380.8</v>
      </c>
      <c r="K2154" s="2">
        <v>269.56</v>
      </c>
      <c r="L2154" s="3">
        <v>74.38</v>
      </c>
      <c r="M2154" s="2">
        <v>2.5</v>
      </c>
    </row>
    <row r="2155" spans="1:13">
      <c r="A2155" s="9">
        <v>42828</v>
      </c>
      <c r="B2155" s="1">
        <f t="shared" si="66"/>
        <v>42826</v>
      </c>
      <c r="C2155" s="5" t="str">
        <f t="shared" si="67"/>
        <v>2017-04</v>
      </c>
      <c r="D2155" s="3">
        <v>235.33</v>
      </c>
      <c r="E2155" s="3">
        <v>136.03</v>
      </c>
      <c r="F2155" s="3">
        <v>121.67</v>
      </c>
      <c r="G2155" s="3">
        <v>119.35</v>
      </c>
      <c r="H2155" s="3">
        <v>82.83</v>
      </c>
      <c r="I2155" s="2">
        <v>44.61</v>
      </c>
      <c r="J2155" s="2">
        <v>382.09</v>
      </c>
      <c r="K2155" s="2">
        <v>268.68</v>
      </c>
      <c r="L2155" s="3">
        <v>74.42</v>
      </c>
      <c r="M2155" s="2">
        <v>2.5099999999999998</v>
      </c>
    </row>
    <row r="2156" spans="1:13">
      <c r="A2156" s="9">
        <v>42825</v>
      </c>
      <c r="B2156" s="1">
        <f t="shared" si="66"/>
        <v>42795</v>
      </c>
      <c r="C2156" s="5" t="str">
        <f t="shared" si="67"/>
        <v>2017-03</v>
      </c>
      <c r="D2156" s="3">
        <v>235.74</v>
      </c>
      <c r="E2156" s="3">
        <v>137.47999999999999</v>
      </c>
      <c r="F2156" s="3">
        <v>120.71</v>
      </c>
      <c r="G2156" s="3">
        <v>118.72</v>
      </c>
      <c r="H2156" s="3">
        <v>82.59</v>
      </c>
      <c r="I2156" s="2">
        <v>44.61</v>
      </c>
      <c r="J2156" s="2">
        <v>383.51</v>
      </c>
      <c r="K2156" s="2">
        <v>267.60000000000002</v>
      </c>
      <c r="L2156" s="3">
        <v>74.36</v>
      </c>
      <c r="M2156" s="2">
        <v>2.54</v>
      </c>
    </row>
    <row r="2157" spans="1:13">
      <c r="A2157" s="9">
        <v>42824</v>
      </c>
      <c r="B2157" s="1">
        <f t="shared" si="66"/>
        <v>42795</v>
      </c>
      <c r="C2157" s="5" t="str">
        <f t="shared" si="67"/>
        <v>2017-03</v>
      </c>
      <c r="D2157" s="3">
        <v>236.29</v>
      </c>
      <c r="E2157" s="3">
        <v>137.26</v>
      </c>
      <c r="F2157" s="3">
        <v>120.36</v>
      </c>
      <c r="G2157" s="3">
        <v>118.47</v>
      </c>
      <c r="H2157" s="3">
        <v>82.1</v>
      </c>
      <c r="I2157" s="2">
        <v>44.68</v>
      </c>
      <c r="J2157" s="2">
        <v>383.04</v>
      </c>
      <c r="K2157" s="2">
        <v>270.54000000000002</v>
      </c>
      <c r="L2157" s="3">
        <v>74.569999999999993</v>
      </c>
      <c r="M2157" s="2">
        <v>2.54</v>
      </c>
    </row>
    <row r="2158" spans="1:13">
      <c r="A2158" s="9">
        <v>42823</v>
      </c>
      <c r="B2158" s="1">
        <f t="shared" si="66"/>
        <v>42795</v>
      </c>
      <c r="C2158" s="5" t="str">
        <f t="shared" si="67"/>
        <v>2017-03</v>
      </c>
      <c r="D2158" s="3">
        <v>235.54</v>
      </c>
      <c r="E2158" s="3">
        <v>136.22999999999999</v>
      </c>
      <c r="F2158" s="3">
        <v>121.34</v>
      </c>
      <c r="G2158" s="3">
        <v>119.33</v>
      </c>
      <c r="H2158" s="3">
        <v>81.95</v>
      </c>
      <c r="I2158" s="2">
        <v>44.52</v>
      </c>
      <c r="J2158" s="2">
        <v>379.41</v>
      </c>
      <c r="K2158" s="2">
        <v>268.24</v>
      </c>
      <c r="L2158" s="3">
        <v>74.56</v>
      </c>
      <c r="M2158" s="2">
        <v>2.57</v>
      </c>
    </row>
    <row r="2159" spans="1:13">
      <c r="A2159" s="9">
        <v>42822</v>
      </c>
      <c r="B2159" s="1">
        <f t="shared" si="66"/>
        <v>42795</v>
      </c>
      <c r="C2159" s="5" t="str">
        <f t="shared" si="67"/>
        <v>2017-03</v>
      </c>
      <c r="D2159" s="3">
        <v>235.32</v>
      </c>
      <c r="E2159" s="3">
        <v>135.79</v>
      </c>
      <c r="F2159" s="3">
        <v>120.62</v>
      </c>
      <c r="G2159" s="3">
        <v>119.04</v>
      </c>
      <c r="H2159" s="3">
        <v>81.489999999999995</v>
      </c>
      <c r="I2159" s="2">
        <v>44.69</v>
      </c>
      <c r="J2159" s="2">
        <v>380.63</v>
      </c>
      <c r="K2159" s="2">
        <v>269.12</v>
      </c>
      <c r="L2159" s="3">
        <v>74.540000000000006</v>
      </c>
      <c r="M2159" s="2">
        <v>2.5</v>
      </c>
    </row>
    <row r="2160" spans="1:13">
      <c r="A2160" s="9">
        <v>42821</v>
      </c>
      <c r="B2160" s="1">
        <f t="shared" si="66"/>
        <v>42795</v>
      </c>
      <c r="C2160" s="5" t="str">
        <f t="shared" si="67"/>
        <v>2017-03</v>
      </c>
      <c r="D2160" s="3">
        <v>233.62</v>
      </c>
      <c r="E2160" s="3">
        <v>134.74</v>
      </c>
      <c r="F2160" s="3">
        <v>121.43</v>
      </c>
      <c r="G2160" s="3">
        <v>119.53</v>
      </c>
      <c r="H2160" s="3">
        <v>81.14</v>
      </c>
      <c r="I2160" s="2">
        <v>44.84</v>
      </c>
      <c r="J2160" s="2">
        <v>375</v>
      </c>
      <c r="K2160" s="2">
        <v>267.16000000000003</v>
      </c>
      <c r="L2160" s="3">
        <v>74.489999999999995</v>
      </c>
      <c r="M2160" s="2">
        <v>2.5299999999999998</v>
      </c>
    </row>
    <row r="2161" spans="1:13">
      <c r="A2161" s="9">
        <v>42818</v>
      </c>
      <c r="B2161" s="1">
        <f t="shared" si="66"/>
        <v>42795</v>
      </c>
      <c r="C2161" s="5" t="str">
        <f t="shared" si="67"/>
        <v>2017-03</v>
      </c>
      <c r="D2161" s="3">
        <v>233.86</v>
      </c>
      <c r="E2161" s="3">
        <v>134.49</v>
      </c>
      <c r="F2161" s="3">
        <v>120.88</v>
      </c>
      <c r="G2161" s="3">
        <v>118.86</v>
      </c>
      <c r="H2161" s="3">
        <v>81.88</v>
      </c>
      <c r="I2161" s="2">
        <v>44.65</v>
      </c>
      <c r="J2161" s="2">
        <v>374.41</v>
      </c>
      <c r="K2161" s="2">
        <v>267.42</v>
      </c>
      <c r="L2161" s="3">
        <v>74.290000000000006</v>
      </c>
      <c r="M2161" s="2">
        <v>2.5499999999999998</v>
      </c>
    </row>
    <row r="2162" spans="1:13">
      <c r="A2162" s="9">
        <v>42817</v>
      </c>
      <c r="B2162" s="1">
        <f t="shared" si="66"/>
        <v>42795</v>
      </c>
      <c r="C2162" s="5" t="str">
        <f t="shared" si="67"/>
        <v>2017-03</v>
      </c>
      <c r="D2162" s="3">
        <v>234.03</v>
      </c>
      <c r="E2162" s="3">
        <v>134.78</v>
      </c>
      <c r="F2162" s="3">
        <v>120.45</v>
      </c>
      <c r="G2162" s="3">
        <v>118.67</v>
      </c>
      <c r="H2162" s="3">
        <v>81.97</v>
      </c>
      <c r="I2162" s="2">
        <v>44.95</v>
      </c>
      <c r="J2162" s="2">
        <v>375.4</v>
      </c>
      <c r="K2162" s="2">
        <v>269.5</v>
      </c>
      <c r="L2162" s="3">
        <v>74.25</v>
      </c>
      <c r="M2162" s="2">
        <v>2.56</v>
      </c>
    </row>
    <row r="2163" spans="1:13">
      <c r="A2163" s="9">
        <v>42816</v>
      </c>
      <c r="B2163" s="1">
        <f t="shared" si="66"/>
        <v>42795</v>
      </c>
      <c r="C2163" s="5" t="str">
        <f t="shared" si="67"/>
        <v>2017-03</v>
      </c>
      <c r="D2163" s="3">
        <v>234.28</v>
      </c>
      <c r="E2163" s="3">
        <v>134</v>
      </c>
      <c r="F2163" s="3">
        <v>120.62</v>
      </c>
      <c r="G2163" s="3">
        <v>118.83</v>
      </c>
      <c r="H2163" s="3">
        <v>81.37</v>
      </c>
      <c r="I2163" s="2">
        <v>44.79</v>
      </c>
      <c r="J2163" s="2">
        <v>375.47</v>
      </c>
      <c r="K2163" s="2">
        <v>269.42</v>
      </c>
      <c r="L2163" s="3">
        <v>74.48</v>
      </c>
      <c r="M2163" s="2">
        <v>2.54</v>
      </c>
    </row>
    <row r="2164" spans="1:13">
      <c r="A2164" s="9">
        <v>42815</v>
      </c>
      <c r="B2164" s="1">
        <f t="shared" si="66"/>
        <v>42795</v>
      </c>
      <c r="C2164" s="5" t="str">
        <f t="shared" si="67"/>
        <v>2017-03</v>
      </c>
      <c r="D2164" s="3">
        <v>233.73</v>
      </c>
      <c r="E2164" s="3">
        <v>133.97</v>
      </c>
      <c r="F2164" s="3">
        <v>120.14</v>
      </c>
      <c r="G2164" s="3">
        <v>118.54</v>
      </c>
      <c r="H2164" s="3">
        <v>82.01</v>
      </c>
      <c r="I2164" s="2">
        <v>44.84</v>
      </c>
      <c r="J2164" s="2">
        <v>375.16</v>
      </c>
      <c r="K2164" s="2">
        <v>269</v>
      </c>
      <c r="L2164" s="3">
        <v>74.459999999999994</v>
      </c>
      <c r="M2164" s="2">
        <v>2.4700000000000002</v>
      </c>
    </row>
    <row r="2165" spans="1:13">
      <c r="A2165" s="9">
        <v>42814</v>
      </c>
      <c r="B2165" s="1">
        <f t="shared" si="66"/>
        <v>42795</v>
      </c>
      <c r="C2165" s="5" t="str">
        <f t="shared" si="67"/>
        <v>2017-03</v>
      </c>
      <c r="D2165" s="3">
        <v>236.77</v>
      </c>
      <c r="E2165" s="3">
        <v>137.75120000000001</v>
      </c>
      <c r="F2165" s="3">
        <v>119.15</v>
      </c>
      <c r="G2165" s="3">
        <v>117.5645</v>
      </c>
      <c r="H2165" s="3">
        <v>82.299099999999996</v>
      </c>
      <c r="I2165" s="2">
        <v>45.23</v>
      </c>
      <c r="J2165" s="2">
        <v>380.45</v>
      </c>
      <c r="K2165" s="2">
        <v>272.02999999999997</v>
      </c>
      <c r="L2165" s="3">
        <v>75.035899999999998</v>
      </c>
      <c r="M2165" s="2">
        <v>2.56</v>
      </c>
    </row>
    <row r="2166" spans="1:13">
      <c r="A2166" s="9">
        <v>42811</v>
      </c>
      <c r="B2166" s="1">
        <f t="shared" si="66"/>
        <v>42795</v>
      </c>
      <c r="C2166" s="5" t="str">
        <f t="shared" si="67"/>
        <v>2017-03</v>
      </c>
      <c r="D2166" s="3">
        <v>237.03</v>
      </c>
      <c r="E2166" s="3">
        <v>138.46</v>
      </c>
      <c r="F2166" s="3">
        <v>118.64</v>
      </c>
      <c r="G2166" s="3">
        <v>116.99</v>
      </c>
      <c r="H2166" s="3">
        <v>82.44</v>
      </c>
      <c r="I2166" s="2">
        <v>45.66</v>
      </c>
      <c r="J2166" s="2">
        <v>382.85</v>
      </c>
      <c r="K2166" s="2">
        <v>271.98</v>
      </c>
      <c r="L2166" s="3">
        <v>75.16</v>
      </c>
      <c r="M2166" s="2">
        <v>2.5299999999999998</v>
      </c>
    </row>
    <row r="2167" spans="1:13">
      <c r="A2167" s="9">
        <v>42810</v>
      </c>
      <c r="B2167" s="1">
        <f t="shared" si="66"/>
        <v>42795</v>
      </c>
      <c r="C2167" s="5" t="str">
        <f t="shared" si="67"/>
        <v>2017-03</v>
      </c>
      <c r="D2167" s="3">
        <v>238.48</v>
      </c>
      <c r="E2167" s="3">
        <v>137.91</v>
      </c>
      <c r="F2167" s="3">
        <v>117.9</v>
      </c>
      <c r="G2167" s="3">
        <v>116.73</v>
      </c>
      <c r="H2167" s="3">
        <v>82.06</v>
      </c>
      <c r="I2167" s="2">
        <v>45.73</v>
      </c>
      <c r="J2167" s="2">
        <v>390</v>
      </c>
      <c r="K2167" s="2">
        <v>267.94</v>
      </c>
      <c r="L2167" s="3">
        <v>75.849999999999994</v>
      </c>
      <c r="M2167" s="2">
        <v>2.52</v>
      </c>
    </row>
    <row r="2168" spans="1:13">
      <c r="A2168" s="9">
        <v>42809</v>
      </c>
      <c r="B2168" s="1">
        <f t="shared" si="66"/>
        <v>42795</v>
      </c>
      <c r="C2168" s="5" t="str">
        <f t="shared" si="67"/>
        <v>2017-03</v>
      </c>
      <c r="D2168" s="3">
        <v>238.95</v>
      </c>
      <c r="E2168" s="3">
        <v>137.72999999999999</v>
      </c>
      <c r="F2168" s="3">
        <v>118.5</v>
      </c>
      <c r="G2168" s="3">
        <v>116.25</v>
      </c>
      <c r="H2168" s="3">
        <v>82.22</v>
      </c>
      <c r="I2168" s="2">
        <v>43.05</v>
      </c>
      <c r="J2168" s="2">
        <v>388.22</v>
      </c>
      <c r="K2168" s="2">
        <v>269.44</v>
      </c>
      <c r="L2168" s="3">
        <v>76.59</v>
      </c>
      <c r="M2168" s="2">
        <v>2.52</v>
      </c>
    </row>
    <row r="2169" spans="1:13">
      <c r="A2169" s="9">
        <v>42808</v>
      </c>
      <c r="B2169" s="1">
        <f t="shared" si="66"/>
        <v>42795</v>
      </c>
      <c r="C2169" s="5" t="str">
        <f t="shared" si="67"/>
        <v>2017-03</v>
      </c>
      <c r="D2169" s="3">
        <v>236.9</v>
      </c>
      <c r="E2169" s="3">
        <v>135.63</v>
      </c>
      <c r="F2169" s="3">
        <v>117.07</v>
      </c>
      <c r="G2169" s="3">
        <v>114.12</v>
      </c>
      <c r="H2169" s="3">
        <v>80.59</v>
      </c>
      <c r="I2169" s="2">
        <v>42.79</v>
      </c>
      <c r="J2169" s="2">
        <v>383.29</v>
      </c>
      <c r="K2169" s="2">
        <v>268</v>
      </c>
      <c r="L2169" s="3">
        <v>75.64</v>
      </c>
      <c r="M2169" s="2">
        <v>2.5099999999999998</v>
      </c>
    </row>
    <row r="2170" spans="1:13">
      <c r="A2170" s="9">
        <v>42807</v>
      </c>
      <c r="B2170" s="1">
        <f t="shared" si="66"/>
        <v>42795</v>
      </c>
      <c r="C2170" s="5" t="str">
        <f t="shared" si="67"/>
        <v>2017-03</v>
      </c>
      <c r="D2170" s="3">
        <v>237.81</v>
      </c>
      <c r="E2170" s="3">
        <v>136.28</v>
      </c>
      <c r="F2170" s="3">
        <v>116.51</v>
      </c>
      <c r="G2170" s="3">
        <v>114.74</v>
      </c>
      <c r="H2170" s="3">
        <v>80.61</v>
      </c>
      <c r="I2170" s="2">
        <v>42.58</v>
      </c>
      <c r="J2170" s="2">
        <v>384.89</v>
      </c>
      <c r="K2170" s="2">
        <v>269.19</v>
      </c>
      <c r="L2170" s="3">
        <v>75.92</v>
      </c>
      <c r="M2170" s="2">
        <v>2.5</v>
      </c>
    </row>
    <row r="2171" spans="1:13">
      <c r="A2171" s="9">
        <v>42804</v>
      </c>
      <c r="B2171" s="1">
        <f t="shared" si="66"/>
        <v>42795</v>
      </c>
      <c r="C2171" s="5" t="str">
        <f t="shared" si="67"/>
        <v>2017-03</v>
      </c>
      <c r="D2171" s="3">
        <v>237.69</v>
      </c>
      <c r="E2171" s="3">
        <v>135.96</v>
      </c>
      <c r="F2171" s="3">
        <v>117.25</v>
      </c>
      <c r="G2171" s="3">
        <v>114.72</v>
      </c>
      <c r="H2171" s="3">
        <v>80.41</v>
      </c>
      <c r="I2171" s="2">
        <v>42.68</v>
      </c>
      <c r="J2171" s="2">
        <v>384.58</v>
      </c>
      <c r="K2171" s="2">
        <v>268.66000000000003</v>
      </c>
      <c r="L2171" s="3">
        <v>75.98</v>
      </c>
      <c r="M2171" s="2">
        <v>2.5</v>
      </c>
    </row>
    <row r="2172" spans="1:13">
      <c r="A2172" s="9">
        <v>42803</v>
      </c>
      <c r="B2172" s="1">
        <f t="shared" si="66"/>
        <v>42795</v>
      </c>
      <c r="C2172" s="5" t="str">
        <f t="shared" si="67"/>
        <v>2017-03</v>
      </c>
      <c r="D2172" s="3">
        <v>236.86</v>
      </c>
      <c r="E2172" s="3">
        <v>135.36000000000001</v>
      </c>
      <c r="F2172" s="3">
        <v>116.84</v>
      </c>
      <c r="G2172" s="3">
        <v>114.47</v>
      </c>
      <c r="H2172" s="3">
        <v>80.66</v>
      </c>
      <c r="I2172" s="2">
        <v>42.44</v>
      </c>
      <c r="J2172" s="2">
        <v>384.27</v>
      </c>
      <c r="K2172" s="2">
        <v>268.68</v>
      </c>
      <c r="L2172" s="3">
        <v>75.69</v>
      </c>
      <c r="M2172" s="2">
        <v>2.46</v>
      </c>
    </row>
    <row r="2173" spans="1:13">
      <c r="A2173" s="9">
        <v>42802</v>
      </c>
      <c r="B2173" s="1">
        <f t="shared" si="66"/>
        <v>42795</v>
      </c>
      <c r="C2173" s="5" t="str">
        <f t="shared" si="67"/>
        <v>2017-03</v>
      </c>
      <c r="D2173" s="3">
        <v>236.56</v>
      </c>
      <c r="E2173" s="3">
        <v>135.9</v>
      </c>
      <c r="F2173" s="3">
        <v>117.78</v>
      </c>
      <c r="G2173" s="3">
        <v>115.06</v>
      </c>
      <c r="H2173" s="3">
        <v>81.89</v>
      </c>
      <c r="I2173" s="2">
        <v>42.61</v>
      </c>
      <c r="J2173" s="2">
        <v>384.55</v>
      </c>
      <c r="K2173" s="2">
        <v>267.72000000000003</v>
      </c>
      <c r="L2173" s="3">
        <v>75.28</v>
      </c>
      <c r="M2173" s="2">
        <v>2.4700000000000002</v>
      </c>
    </row>
    <row r="2174" spans="1:13">
      <c r="A2174" s="9">
        <v>42801</v>
      </c>
      <c r="B2174" s="1">
        <f t="shared" si="66"/>
        <v>42795</v>
      </c>
      <c r="C2174" s="5" t="str">
        <f t="shared" si="67"/>
        <v>2017-03</v>
      </c>
      <c r="D2174" s="3">
        <v>237</v>
      </c>
      <c r="E2174" s="3">
        <v>136.80000000000001</v>
      </c>
      <c r="F2174" s="3">
        <v>118.42</v>
      </c>
      <c r="G2174" s="3">
        <v>115.78</v>
      </c>
      <c r="H2174" s="3">
        <v>83.43</v>
      </c>
      <c r="I2174" s="2">
        <v>42.6</v>
      </c>
      <c r="J2174" s="2">
        <v>385.35</v>
      </c>
      <c r="K2174" s="2">
        <v>269.04000000000002</v>
      </c>
      <c r="L2174" s="3">
        <v>74.98</v>
      </c>
      <c r="M2174" s="2">
        <v>2.52</v>
      </c>
    </row>
    <row r="2175" spans="1:13">
      <c r="A2175" s="9">
        <v>42800</v>
      </c>
      <c r="B2175" s="1">
        <f t="shared" si="66"/>
        <v>42795</v>
      </c>
      <c r="C2175" s="5" t="str">
        <f t="shared" si="67"/>
        <v>2017-03</v>
      </c>
      <c r="D2175" s="3">
        <v>237.71</v>
      </c>
      <c r="E2175" s="3">
        <v>137.69999999999999</v>
      </c>
      <c r="F2175" s="3">
        <v>118.78</v>
      </c>
      <c r="G2175" s="3">
        <v>116.72</v>
      </c>
      <c r="H2175" s="3">
        <v>83.83</v>
      </c>
      <c r="I2175" s="2">
        <v>42.57</v>
      </c>
      <c r="J2175" s="2">
        <v>387.66</v>
      </c>
      <c r="K2175" s="2">
        <v>267.72000000000003</v>
      </c>
      <c r="L2175" s="3">
        <v>75.510000000000005</v>
      </c>
      <c r="M2175" s="2">
        <v>2.5099999999999998</v>
      </c>
    </row>
    <row r="2176" spans="1:13">
      <c r="A2176" s="9">
        <v>42797</v>
      </c>
      <c r="B2176" s="1">
        <f t="shared" si="66"/>
        <v>42795</v>
      </c>
      <c r="C2176" s="5" t="str">
        <f t="shared" si="67"/>
        <v>2017-03</v>
      </c>
      <c r="D2176" s="3">
        <v>238.42</v>
      </c>
      <c r="E2176" s="3">
        <v>138.65</v>
      </c>
      <c r="F2176" s="3">
        <v>119.35</v>
      </c>
      <c r="G2176" s="3">
        <v>117.51</v>
      </c>
      <c r="H2176" s="3">
        <v>84.21</v>
      </c>
      <c r="I2176" s="2">
        <v>42.69</v>
      </c>
      <c r="J2176" s="2">
        <v>390.17</v>
      </c>
      <c r="K2176" s="2">
        <v>267.76</v>
      </c>
      <c r="L2176" s="3">
        <v>75.8</v>
      </c>
      <c r="M2176" s="2">
        <v>2.5299999999999998</v>
      </c>
    </row>
    <row r="2177" spans="1:13">
      <c r="A2177" s="9">
        <v>42796</v>
      </c>
      <c r="B2177" s="1">
        <f t="shared" si="66"/>
        <v>42795</v>
      </c>
      <c r="C2177" s="5" t="str">
        <f t="shared" si="67"/>
        <v>2017-03</v>
      </c>
      <c r="D2177" s="3">
        <v>238.27</v>
      </c>
      <c r="E2177" s="3">
        <v>138.75</v>
      </c>
      <c r="F2177" s="3">
        <v>119.04</v>
      </c>
      <c r="G2177" s="3">
        <v>117.58</v>
      </c>
      <c r="H2177" s="3">
        <v>84.54</v>
      </c>
      <c r="I2177" s="2">
        <v>42.89</v>
      </c>
      <c r="J2177" s="2">
        <v>391.65</v>
      </c>
      <c r="K2177" s="2">
        <v>266.99</v>
      </c>
      <c r="L2177" s="3">
        <v>75.5</v>
      </c>
      <c r="M2177" s="2">
        <v>2.66</v>
      </c>
    </row>
    <row r="2178" spans="1:13">
      <c r="A2178" s="9">
        <v>42795</v>
      </c>
      <c r="B2178" s="1">
        <f t="shared" ref="B2178:B2241" si="68">EOMONTH(A2178,-1)+1</f>
        <v>42795</v>
      </c>
      <c r="C2178" s="5" t="str">
        <f t="shared" si="67"/>
        <v>2017-03</v>
      </c>
      <c r="D2178" s="3">
        <v>239.78</v>
      </c>
      <c r="E2178" s="3">
        <v>140.36000000000001</v>
      </c>
      <c r="F2178" s="3">
        <v>119.47</v>
      </c>
      <c r="G2178" s="3">
        <v>119.06</v>
      </c>
      <c r="H2178" s="3">
        <v>85</v>
      </c>
      <c r="I2178" s="2">
        <v>42.92</v>
      </c>
      <c r="J2178" s="2">
        <v>397.81</v>
      </c>
      <c r="K2178" s="2">
        <v>268.38</v>
      </c>
      <c r="L2178" s="3">
        <v>75.739999999999995</v>
      </c>
      <c r="M2178" s="2">
        <v>2.66</v>
      </c>
    </row>
    <row r="2179" spans="1:13">
      <c r="A2179" s="9">
        <v>42794</v>
      </c>
      <c r="B2179" s="1">
        <f t="shared" si="68"/>
        <v>42767</v>
      </c>
      <c r="C2179" s="5" t="str">
        <f t="shared" ref="C2179:C2242" si="69">TEXT(A2179, "yyyy-mm")</f>
        <v>2017-02</v>
      </c>
      <c r="D2179" s="3">
        <v>236.47</v>
      </c>
      <c r="E2179" s="3">
        <v>137.84</v>
      </c>
      <c r="F2179" s="3">
        <v>121.74</v>
      </c>
      <c r="G2179" s="3">
        <v>119.23</v>
      </c>
      <c r="H2179" s="3">
        <v>85.26</v>
      </c>
      <c r="I2179" s="2">
        <v>42.59</v>
      </c>
      <c r="J2179" s="2">
        <v>387.46</v>
      </c>
      <c r="K2179" s="2">
        <v>266.58</v>
      </c>
      <c r="L2179" s="3">
        <v>74.989999999999995</v>
      </c>
      <c r="M2179" s="2">
        <v>2.6</v>
      </c>
    </row>
    <row r="2180" spans="1:13">
      <c r="A2180" s="9">
        <v>42793</v>
      </c>
      <c r="B2180" s="1">
        <f t="shared" si="68"/>
        <v>42767</v>
      </c>
      <c r="C2180" s="5" t="str">
        <f t="shared" si="69"/>
        <v>2017-02</v>
      </c>
      <c r="D2180" s="3">
        <v>237.11</v>
      </c>
      <c r="E2180" s="3">
        <v>140</v>
      </c>
      <c r="F2180" s="3">
        <v>121.29</v>
      </c>
      <c r="G2180" s="3">
        <v>119.12</v>
      </c>
      <c r="H2180" s="3">
        <v>85.85</v>
      </c>
      <c r="I2180" s="2">
        <v>42.7</v>
      </c>
      <c r="J2180" s="2">
        <v>391</v>
      </c>
      <c r="K2180" s="2">
        <v>269.36</v>
      </c>
      <c r="L2180" s="3">
        <v>75.14</v>
      </c>
      <c r="M2180" s="2">
        <v>2.62</v>
      </c>
    </row>
    <row r="2181" spans="1:13">
      <c r="A2181" s="9">
        <v>42790</v>
      </c>
      <c r="B2181" s="1">
        <f t="shared" si="68"/>
        <v>42767</v>
      </c>
      <c r="C2181" s="5" t="str">
        <f t="shared" si="69"/>
        <v>2017-02</v>
      </c>
      <c r="D2181" s="3">
        <v>236.74</v>
      </c>
      <c r="E2181" s="3">
        <v>138.65</v>
      </c>
      <c r="F2181" s="3">
        <v>122.01</v>
      </c>
      <c r="G2181" s="3">
        <v>119.7</v>
      </c>
      <c r="H2181" s="3">
        <v>85.4</v>
      </c>
      <c r="I2181" s="2">
        <v>43.17</v>
      </c>
      <c r="J2181" s="2">
        <v>389.16</v>
      </c>
      <c r="K2181" s="2">
        <v>266</v>
      </c>
      <c r="L2181" s="3">
        <v>74.78</v>
      </c>
      <c r="M2181" s="2">
        <v>2.7</v>
      </c>
    </row>
    <row r="2182" spans="1:13">
      <c r="A2182" s="9">
        <v>42789</v>
      </c>
      <c r="B2182" s="1">
        <f t="shared" si="68"/>
        <v>42767</v>
      </c>
      <c r="C2182" s="5" t="str">
        <f t="shared" si="69"/>
        <v>2017-02</v>
      </c>
      <c r="D2182" s="3">
        <v>236.44</v>
      </c>
      <c r="E2182" s="3">
        <v>138.75</v>
      </c>
      <c r="F2182" s="3">
        <v>120.67</v>
      </c>
      <c r="G2182" s="3">
        <v>118.94</v>
      </c>
      <c r="H2182" s="3">
        <v>85</v>
      </c>
      <c r="I2182" s="2">
        <v>42.96</v>
      </c>
      <c r="J2182" s="2">
        <v>390.61</v>
      </c>
      <c r="K2182" s="2">
        <v>264.85000000000002</v>
      </c>
      <c r="L2182" s="3">
        <v>74.42</v>
      </c>
      <c r="M2182" s="2">
        <v>2.74</v>
      </c>
    </row>
    <row r="2183" spans="1:13">
      <c r="A2183" s="9">
        <v>42788</v>
      </c>
      <c r="B2183" s="1">
        <f t="shared" si="68"/>
        <v>42767</v>
      </c>
      <c r="C2183" s="5" t="str">
        <f t="shared" si="69"/>
        <v>2017-02</v>
      </c>
      <c r="D2183" s="3">
        <v>236.28</v>
      </c>
      <c r="E2183" s="3">
        <v>139.58000000000001</v>
      </c>
      <c r="F2183" s="3">
        <v>120.31</v>
      </c>
      <c r="G2183" s="3">
        <v>117.91</v>
      </c>
      <c r="H2183" s="3">
        <v>84.56</v>
      </c>
      <c r="I2183" s="2">
        <v>42.51</v>
      </c>
      <c r="J2183" s="2">
        <v>390.71</v>
      </c>
      <c r="K2183" s="2">
        <v>265.92</v>
      </c>
      <c r="L2183" s="3">
        <v>73.88</v>
      </c>
      <c r="M2183" s="2">
        <v>2.71</v>
      </c>
    </row>
    <row r="2184" spans="1:13">
      <c r="A2184" s="9">
        <v>42787</v>
      </c>
      <c r="B2184" s="1">
        <f t="shared" si="68"/>
        <v>42767</v>
      </c>
      <c r="C2184" s="5" t="str">
        <f t="shared" si="69"/>
        <v>2017-02</v>
      </c>
      <c r="D2184" s="3">
        <v>236.49</v>
      </c>
      <c r="E2184" s="3">
        <v>140.19999999999999</v>
      </c>
      <c r="F2184" s="3">
        <v>120.11</v>
      </c>
      <c r="G2184" s="3">
        <v>117.75</v>
      </c>
      <c r="H2184" s="3">
        <v>84.84</v>
      </c>
      <c r="I2184" s="2">
        <v>42.27</v>
      </c>
      <c r="J2184" s="2">
        <v>390.1</v>
      </c>
      <c r="K2184" s="2">
        <v>265.66000000000003</v>
      </c>
      <c r="L2184" s="3">
        <v>73.989999999999995</v>
      </c>
      <c r="M2184" s="2">
        <v>2.71</v>
      </c>
    </row>
    <row r="2185" spans="1:13">
      <c r="A2185" s="9">
        <v>42783</v>
      </c>
      <c r="B2185" s="1">
        <f t="shared" si="68"/>
        <v>42767</v>
      </c>
      <c r="C2185" s="5" t="str">
        <f t="shared" si="69"/>
        <v>2017-02</v>
      </c>
      <c r="D2185" s="3">
        <v>235.09</v>
      </c>
      <c r="E2185" s="3">
        <v>139.11000000000001</v>
      </c>
      <c r="F2185" s="3">
        <v>120.32</v>
      </c>
      <c r="G2185" s="3">
        <v>117.68</v>
      </c>
      <c r="H2185" s="3">
        <v>83.77</v>
      </c>
      <c r="I2185" s="2">
        <v>42.06</v>
      </c>
      <c r="J2185" s="2">
        <v>388.76</v>
      </c>
      <c r="K2185" s="2">
        <v>265.35000000000002</v>
      </c>
      <c r="L2185" s="3">
        <v>73.66</v>
      </c>
      <c r="M2185" s="2">
        <v>2.71</v>
      </c>
    </row>
    <row r="2186" spans="1:13">
      <c r="A2186" s="9">
        <v>42782</v>
      </c>
      <c r="B2186" s="1">
        <f t="shared" si="68"/>
        <v>42767</v>
      </c>
      <c r="C2186" s="5" t="str">
        <f t="shared" si="69"/>
        <v>2017-02</v>
      </c>
      <c r="D2186" s="3">
        <v>234.72</v>
      </c>
      <c r="E2186" s="3">
        <v>139.19999999999999</v>
      </c>
      <c r="F2186" s="3">
        <v>119.61</v>
      </c>
      <c r="G2186" s="3">
        <v>118.08</v>
      </c>
      <c r="H2186" s="3">
        <v>83.61</v>
      </c>
      <c r="I2186" s="2">
        <v>41.59</v>
      </c>
      <c r="J2186" s="2">
        <v>391.97</v>
      </c>
      <c r="K2186" s="2">
        <v>265.33</v>
      </c>
      <c r="L2186" s="3">
        <v>73.56</v>
      </c>
      <c r="M2186" s="2">
        <v>2.71</v>
      </c>
    </row>
    <row r="2187" spans="1:13">
      <c r="A2187" s="9">
        <v>42781</v>
      </c>
      <c r="B2187" s="1">
        <f t="shared" si="68"/>
        <v>42767</v>
      </c>
      <c r="C2187" s="5" t="str">
        <f t="shared" si="69"/>
        <v>2017-02</v>
      </c>
      <c r="D2187" s="3">
        <v>234.92</v>
      </c>
      <c r="E2187" s="3">
        <v>139.59</v>
      </c>
      <c r="F2187" s="3">
        <v>118.96</v>
      </c>
      <c r="G2187" s="3">
        <v>117.45</v>
      </c>
      <c r="H2187" s="3">
        <v>83.12</v>
      </c>
      <c r="I2187" s="2">
        <v>41.41</v>
      </c>
      <c r="J2187" s="2">
        <v>393.04</v>
      </c>
      <c r="K2187" s="2">
        <v>263.45999999999998</v>
      </c>
      <c r="L2187" s="3">
        <v>73.66</v>
      </c>
      <c r="M2187" s="2">
        <v>2.71</v>
      </c>
    </row>
    <row r="2188" spans="1:13">
      <c r="A2188" s="9">
        <v>42780</v>
      </c>
      <c r="B2188" s="1">
        <f t="shared" si="68"/>
        <v>42767</v>
      </c>
      <c r="C2188" s="5" t="str">
        <f t="shared" si="69"/>
        <v>2017-02</v>
      </c>
      <c r="D2188" s="3">
        <v>233.7</v>
      </c>
      <c r="E2188" s="3">
        <v>138.76</v>
      </c>
      <c r="F2188" s="3">
        <v>119.51</v>
      </c>
      <c r="G2188" s="3">
        <v>116.93</v>
      </c>
      <c r="H2188" s="3">
        <v>83.4</v>
      </c>
      <c r="I2188" s="2">
        <v>41.1</v>
      </c>
      <c r="J2188" s="2">
        <v>384.98</v>
      </c>
      <c r="K2188" s="2">
        <v>262.56</v>
      </c>
      <c r="L2188" s="3">
        <v>72.87</v>
      </c>
      <c r="M2188" s="2">
        <v>2.71</v>
      </c>
    </row>
    <row r="2189" spans="1:13">
      <c r="A2189" s="9">
        <v>42779</v>
      </c>
      <c r="B2189" s="1">
        <f t="shared" si="68"/>
        <v>42767</v>
      </c>
      <c r="C2189" s="5" t="str">
        <f t="shared" si="69"/>
        <v>2017-02</v>
      </c>
      <c r="D2189" s="3">
        <v>232.77</v>
      </c>
      <c r="E2189" s="3">
        <v>138.30000000000001</v>
      </c>
      <c r="F2189" s="3">
        <v>120.38</v>
      </c>
      <c r="G2189" s="3">
        <v>116.8</v>
      </c>
      <c r="H2189" s="3">
        <v>83.84</v>
      </c>
      <c r="I2189" s="2">
        <v>41.09</v>
      </c>
      <c r="J2189" s="2">
        <v>385.83</v>
      </c>
      <c r="K2189" s="2">
        <v>262.35000000000002</v>
      </c>
      <c r="L2189" s="3">
        <v>72.3</v>
      </c>
      <c r="M2189" s="2">
        <v>2.67</v>
      </c>
    </row>
    <row r="2190" spans="1:13">
      <c r="A2190" s="9">
        <v>42776</v>
      </c>
      <c r="B2190" s="1">
        <f t="shared" si="68"/>
        <v>42767</v>
      </c>
      <c r="C2190" s="5" t="str">
        <f t="shared" si="69"/>
        <v>2017-02</v>
      </c>
      <c r="D2190" s="3">
        <v>231.51</v>
      </c>
      <c r="E2190" s="3">
        <v>137.94</v>
      </c>
      <c r="F2190" s="3">
        <v>120.76</v>
      </c>
      <c r="G2190" s="3">
        <v>117.6</v>
      </c>
      <c r="H2190" s="3">
        <v>83.81</v>
      </c>
      <c r="I2190" s="2">
        <v>40.79</v>
      </c>
      <c r="J2190" s="2">
        <v>382.89</v>
      </c>
      <c r="K2190" s="2">
        <v>260.55</v>
      </c>
      <c r="L2190" s="3">
        <v>71.86</v>
      </c>
      <c r="M2190" s="2">
        <v>2.66</v>
      </c>
    </row>
    <row r="2191" spans="1:13">
      <c r="A2191" s="9">
        <v>42775</v>
      </c>
      <c r="B2191" s="1">
        <f t="shared" si="68"/>
        <v>42767</v>
      </c>
      <c r="C2191" s="5" t="str">
        <f t="shared" si="69"/>
        <v>2017-02</v>
      </c>
      <c r="D2191" s="3">
        <v>230.6</v>
      </c>
      <c r="E2191" s="3">
        <v>136.9</v>
      </c>
      <c r="F2191" s="3">
        <v>120.83</v>
      </c>
      <c r="G2191" s="3">
        <v>117.29</v>
      </c>
      <c r="H2191" s="3">
        <v>83.22</v>
      </c>
      <c r="I2191" s="2">
        <v>40.229999999999997</v>
      </c>
      <c r="J2191" s="2">
        <v>378.57</v>
      </c>
      <c r="K2191" s="2">
        <v>258.2</v>
      </c>
      <c r="L2191" s="3">
        <v>71.72</v>
      </c>
      <c r="M2191" s="2">
        <v>2.65</v>
      </c>
    </row>
    <row r="2192" spans="1:13">
      <c r="A2192" s="9">
        <v>42774</v>
      </c>
      <c r="B2192" s="1">
        <f t="shared" si="68"/>
        <v>42767</v>
      </c>
      <c r="C2192" s="5" t="str">
        <f t="shared" si="69"/>
        <v>2017-02</v>
      </c>
      <c r="D2192" s="3">
        <v>229.24</v>
      </c>
      <c r="E2192" s="3">
        <v>135</v>
      </c>
      <c r="F2192" s="3">
        <v>122.24</v>
      </c>
      <c r="G2192" s="3">
        <v>118.19</v>
      </c>
      <c r="H2192" s="3">
        <v>83.02</v>
      </c>
      <c r="I2192" s="2">
        <v>40.020000000000003</v>
      </c>
      <c r="J2192" s="2">
        <v>374.56</v>
      </c>
      <c r="K2192" s="2">
        <v>256.74</v>
      </c>
      <c r="L2192" s="3">
        <v>71.459999999999994</v>
      </c>
      <c r="M2192" s="2">
        <v>2.63</v>
      </c>
    </row>
    <row r="2193" spans="1:13">
      <c r="A2193" s="9">
        <v>42773</v>
      </c>
      <c r="B2193" s="1">
        <f t="shared" si="68"/>
        <v>42767</v>
      </c>
      <c r="C2193" s="5" t="str">
        <f t="shared" si="69"/>
        <v>2017-02</v>
      </c>
      <c r="D2193" s="3">
        <v>228.94</v>
      </c>
      <c r="E2193" s="3">
        <v>135.24</v>
      </c>
      <c r="F2193" s="3">
        <v>120.6</v>
      </c>
      <c r="G2193" s="3">
        <v>117.46</v>
      </c>
      <c r="H2193" s="3">
        <v>82.37</v>
      </c>
      <c r="I2193" s="2">
        <v>40.07</v>
      </c>
      <c r="J2193" s="2">
        <v>376.89</v>
      </c>
      <c r="K2193" s="2">
        <v>256.37</v>
      </c>
      <c r="L2193" s="3">
        <v>71.569999999999993</v>
      </c>
      <c r="M2193" s="2">
        <v>2.61</v>
      </c>
    </row>
    <row r="2194" spans="1:13">
      <c r="A2194" s="9">
        <v>42772</v>
      </c>
      <c r="B2194" s="1">
        <f t="shared" si="68"/>
        <v>42767</v>
      </c>
      <c r="C2194" s="5" t="str">
        <f t="shared" si="69"/>
        <v>2017-02</v>
      </c>
      <c r="D2194" s="3">
        <v>228.93</v>
      </c>
      <c r="E2194" s="3">
        <v>135.84</v>
      </c>
      <c r="F2194" s="3">
        <v>119.72</v>
      </c>
      <c r="G2194" s="3">
        <v>117.7</v>
      </c>
      <c r="H2194" s="3">
        <v>82.66</v>
      </c>
      <c r="I2194" s="2">
        <v>40.1</v>
      </c>
      <c r="J2194" s="2">
        <v>377.42</v>
      </c>
      <c r="K2194" s="2">
        <v>255.31</v>
      </c>
      <c r="L2194" s="3">
        <v>71.5</v>
      </c>
      <c r="M2194" s="2">
        <v>2.57</v>
      </c>
    </row>
    <row r="2195" spans="1:13">
      <c r="A2195" s="9">
        <v>42769</v>
      </c>
      <c r="B2195" s="1">
        <f t="shared" si="68"/>
        <v>42767</v>
      </c>
      <c r="C2195" s="5" t="str">
        <f t="shared" si="69"/>
        <v>2017-02</v>
      </c>
      <c r="D2195" s="3">
        <v>229.34</v>
      </c>
      <c r="E2195" s="3">
        <v>136.87</v>
      </c>
      <c r="F2195" s="3">
        <v>119</v>
      </c>
      <c r="G2195" s="3">
        <v>116.13</v>
      </c>
      <c r="H2195" s="3">
        <v>82.8</v>
      </c>
      <c r="I2195" s="2">
        <v>40.43</v>
      </c>
      <c r="J2195" s="2">
        <v>378</v>
      </c>
      <c r="K2195" s="2">
        <v>254.46</v>
      </c>
      <c r="L2195" s="3">
        <v>71.42</v>
      </c>
      <c r="M2195" s="2">
        <v>2.58</v>
      </c>
    </row>
    <row r="2196" spans="1:13">
      <c r="A2196" s="9">
        <v>42768</v>
      </c>
      <c r="B2196" s="1">
        <f t="shared" si="68"/>
        <v>42767</v>
      </c>
      <c r="C2196" s="5" t="str">
        <f t="shared" si="69"/>
        <v>2017-02</v>
      </c>
      <c r="D2196" s="3">
        <v>227.77</v>
      </c>
      <c r="E2196" s="3">
        <v>134.81</v>
      </c>
      <c r="F2196" s="3">
        <v>119.05</v>
      </c>
      <c r="G2196" s="3">
        <v>115.84</v>
      </c>
      <c r="H2196" s="3">
        <v>82.35</v>
      </c>
      <c r="I2196" s="2">
        <v>39.979999999999997</v>
      </c>
      <c r="J2196" s="2">
        <v>371.64</v>
      </c>
      <c r="K2196" s="2">
        <v>251.97</v>
      </c>
      <c r="L2196" s="3">
        <v>71.11</v>
      </c>
      <c r="M2196" s="2">
        <v>2.5499999999999998</v>
      </c>
    </row>
    <row r="2197" spans="1:13">
      <c r="A2197" s="9">
        <v>42767</v>
      </c>
      <c r="B2197" s="1">
        <f t="shared" si="68"/>
        <v>42767</v>
      </c>
      <c r="C2197" s="5" t="str">
        <f t="shared" si="69"/>
        <v>2017-02</v>
      </c>
      <c r="D2197" s="3">
        <v>227.62</v>
      </c>
      <c r="E2197" s="3">
        <v>135.15</v>
      </c>
      <c r="F2197" s="3">
        <v>119.1</v>
      </c>
      <c r="G2197" s="3">
        <v>115.2</v>
      </c>
      <c r="H2197" s="3">
        <v>81.38</v>
      </c>
      <c r="I2197" s="2">
        <v>39.840000000000003</v>
      </c>
      <c r="J2197" s="2">
        <v>373</v>
      </c>
      <c r="K2197" s="2">
        <v>250.9</v>
      </c>
      <c r="L2197" s="3">
        <v>71.13</v>
      </c>
      <c r="M2197" s="2">
        <v>2.56</v>
      </c>
    </row>
    <row r="2198" spans="1:13">
      <c r="A2198" s="9">
        <v>42766</v>
      </c>
      <c r="B2198" s="1">
        <f t="shared" si="68"/>
        <v>42736</v>
      </c>
      <c r="C2198" s="5" t="str">
        <f t="shared" si="69"/>
        <v>2017-01</v>
      </c>
      <c r="D2198" s="3">
        <v>227.53</v>
      </c>
      <c r="E2198" s="3">
        <v>135.22999999999999</v>
      </c>
      <c r="F2198" s="3">
        <v>120.1</v>
      </c>
      <c r="G2198" s="3">
        <v>115.55</v>
      </c>
      <c r="H2198" s="3">
        <v>82.37</v>
      </c>
      <c r="I2198" s="2">
        <v>40.11</v>
      </c>
      <c r="J2198" s="2">
        <v>373.98</v>
      </c>
      <c r="K2198" s="2">
        <v>251.33</v>
      </c>
      <c r="L2198" s="3">
        <v>70.52</v>
      </c>
      <c r="M2198" s="2">
        <v>2.65</v>
      </c>
    </row>
    <row r="2199" spans="1:13">
      <c r="A2199" s="9">
        <v>42765</v>
      </c>
      <c r="B2199" s="1">
        <f t="shared" si="68"/>
        <v>42736</v>
      </c>
      <c r="C2199" s="5" t="str">
        <f t="shared" si="69"/>
        <v>2017-01</v>
      </c>
      <c r="D2199" s="3">
        <v>227.55</v>
      </c>
      <c r="E2199" s="3">
        <v>134.29</v>
      </c>
      <c r="F2199" s="3">
        <v>119.27</v>
      </c>
      <c r="G2199" s="3">
        <v>113.97</v>
      </c>
      <c r="H2199" s="3">
        <v>81.78</v>
      </c>
      <c r="I2199" s="2">
        <v>40.229999999999997</v>
      </c>
      <c r="J2199" s="2">
        <v>375.18</v>
      </c>
      <c r="K2199" s="2">
        <v>252.83</v>
      </c>
      <c r="L2199" s="3">
        <v>69.41</v>
      </c>
      <c r="M2199" s="2">
        <v>2.5499999999999998</v>
      </c>
    </row>
    <row r="2200" spans="1:13">
      <c r="A2200" s="9">
        <v>42762</v>
      </c>
      <c r="B2200" s="1">
        <f t="shared" si="68"/>
        <v>42736</v>
      </c>
      <c r="C2200" s="5" t="str">
        <f t="shared" si="69"/>
        <v>2017-01</v>
      </c>
      <c r="D2200" s="3">
        <v>228.97</v>
      </c>
      <c r="E2200" s="3">
        <v>136.19</v>
      </c>
      <c r="F2200" s="3">
        <v>119.63</v>
      </c>
      <c r="G2200" s="3">
        <v>113.49</v>
      </c>
      <c r="H2200" s="3">
        <v>82.34</v>
      </c>
      <c r="I2200" s="2">
        <v>40.229999999999997</v>
      </c>
      <c r="J2200" s="2">
        <v>375.06</v>
      </c>
      <c r="K2200" s="2">
        <v>253.5</v>
      </c>
      <c r="L2200" s="3">
        <v>69.75</v>
      </c>
      <c r="M2200" s="2">
        <v>2.67</v>
      </c>
    </row>
    <row r="2201" spans="1:13">
      <c r="A2201" s="9">
        <v>42761</v>
      </c>
      <c r="B2201" s="1">
        <f t="shared" si="68"/>
        <v>42736</v>
      </c>
      <c r="C2201" s="5" t="str">
        <f t="shared" si="69"/>
        <v>2017-01</v>
      </c>
      <c r="D2201" s="3">
        <v>229.33</v>
      </c>
      <c r="E2201" s="3">
        <v>136.66</v>
      </c>
      <c r="F2201" s="3">
        <v>119.2</v>
      </c>
      <c r="G2201" s="3">
        <v>113.26</v>
      </c>
      <c r="H2201" s="3">
        <v>83.15</v>
      </c>
      <c r="I2201" s="2">
        <v>40.130000000000003</v>
      </c>
      <c r="J2201" s="2">
        <v>379.42</v>
      </c>
      <c r="K2201" s="2">
        <v>254.97</v>
      </c>
      <c r="L2201" s="3">
        <v>69.180000000000007</v>
      </c>
      <c r="M2201" s="2">
        <v>2.86</v>
      </c>
    </row>
    <row r="2202" spans="1:13">
      <c r="A2202" s="9">
        <v>42760</v>
      </c>
      <c r="B2202" s="1">
        <f t="shared" si="68"/>
        <v>42736</v>
      </c>
      <c r="C2202" s="5" t="str">
        <f t="shared" si="69"/>
        <v>2017-01</v>
      </c>
      <c r="D2202" s="3">
        <v>229.57</v>
      </c>
      <c r="E2202" s="3">
        <v>137.21</v>
      </c>
      <c r="F2202" s="3">
        <v>118.8</v>
      </c>
      <c r="G2202" s="3">
        <v>114.32</v>
      </c>
      <c r="H2202" s="3">
        <v>83.31</v>
      </c>
      <c r="I2202" s="2">
        <v>40.15</v>
      </c>
      <c r="J2202" s="2">
        <v>388.33</v>
      </c>
      <c r="K2202" s="2">
        <v>251</v>
      </c>
      <c r="L2202" s="3">
        <v>69.72</v>
      </c>
      <c r="M2202" s="2">
        <v>2.85</v>
      </c>
    </row>
    <row r="2203" spans="1:13">
      <c r="A2203" s="9">
        <v>42759</v>
      </c>
      <c r="B2203" s="1">
        <f t="shared" si="68"/>
        <v>42736</v>
      </c>
      <c r="C2203" s="5" t="str">
        <f t="shared" si="69"/>
        <v>2017-01</v>
      </c>
      <c r="D2203" s="3">
        <v>227.6</v>
      </c>
      <c r="E2203" s="3">
        <v>135.93</v>
      </c>
      <c r="F2203" s="3">
        <v>120.31</v>
      </c>
      <c r="G2203" s="3">
        <v>115.27</v>
      </c>
      <c r="H2203" s="3">
        <v>83.86</v>
      </c>
      <c r="I2203" s="2">
        <v>40.1</v>
      </c>
      <c r="J2203" s="2">
        <v>381.38</v>
      </c>
      <c r="K2203" s="2">
        <v>252.91</v>
      </c>
      <c r="L2203" s="3">
        <v>69.069999999999993</v>
      </c>
      <c r="M2203" s="2">
        <v>2.78</v>
      </c>
    </row>
    <row r="2204" spans="1:13">
      <c r="A2204" s="9">
        <v>42758</v>
      </c>
      <c r="B2204" s="1">
        <f t="shared" si="68"/>
        <v>42736</v>
      </c>
      <c r="C2204" s="5" t="str">
        <f t="shared" si="69"/>
        <v>2017-01</v>
      </c>
      <c r="D2204" s="3">
        <v>226.15</v>
      </c>
      <c r="E2204" s="3">
        <v>133.88</v>
      </c>
      <c r="F2204" s="3">
        <v>121.14</v>
      </c>
      <c r="G2204" s="3">
        <v>115.79</v>
      </c>
      <c r="H2204" s="3">
        <v>83.84</v>
      </c>
      <c r="I2204" s="2">
        <v>39.68</v>
      </c>
      <c r="J2204" s="2">
        <v>378.06</v>
      </c>
      <c r="K2204" s="2">
        <v>257.48</v>
      </c>
      <c r="L2204" s="3">
        <v>69.55</v>
      </c>
      <c r="M2204" s="2">
        <v>2.79</v>
      </c>
    </row>
    <row r="2205" spans="1:13">
      <c r="A2205" s="9">
        <v>42755</v>
      </c>
      <c r="B2205" s="1">
        <f t="shared" si="68"/>
        <v>42736</v>
      </c>
      <c r="C2205" s="5" t="str">
        <f t="shared" si="69"/>
        <v>2017-01</v>
      </c>
      <c r="D2205" s="3">
        <v>226.74</v>
      </c>
      <c r="E2205" s="3">
        <v>134.44</v>
      </c>
      <c r="F2205" s="3">
        <v>119.94</v>
      </c>
      <c r="G2205" s="3">
        <v>115.05</v>
      </c>
      <c r="H2205" s="3">
        <v>83.14</v>
      </c>
      <c r="I2205" s="2">
        <v>39.869999999999997</v>
      </c>
      <c r="J2205" s="2">
        <v>381.4</v>
      </c>
      <c r="K2205" s="2">
        <v>257.73</v>
      </c>
      <c r="L2205" s="3">
        <v>69.84</v>
      </c>
      <c r="M2205" s="2">
        <v>2.77</v>
      </c>
    </row>
    <row r="2206" spans="1:13">
      <c r="A2206" s="9">
        <v>42754</v>
      </c>
      <c r="B2206" s="1">
        <f t="shared" si="68"/>
        <v>42736</v>
      </c>
      <c r="C2206" s="5" t="str">
        <f t="shared" si="69"/>
        <v>2017-01</v>
      </c>
      <c r="D2206" s="3">
        <v>225.91</v>
      </c>
      <c r="E2206" s="3">
        <v>133.75</v>
      </c>
      <c r="F2206" s="3">
        <v>120.18</v>
      </c>
      <c r="G2206" s="3">
        <v>114.77</v>
      </c>
      <c r="H2206" s="3">
        <v>82.54</v>
      </c>
      <c r="I2206" s="2">
        <v>39.21</v>
      </c>
      <c r="J2206" s="2">
        <v>377.35</v>
      </c>
      <c r="K2206" s="2">
        <v>257.02999999999997</v>
      </c>
      <c r="L2206" s="3">
        <v>70.02</v>
      </c>
      <c r="M2206" s="2">
        <v>2.72</v>
      </c>
    </row>
    <row r="2207" spans="1:13">
      <c r="A2207" s="9">
        <v>42753</v>
      </c>
      <c r="B2207" s="1">
        <f t="shared" si="68"/>
        <v>42736</v>
      </c>
      <c r="C2207" s="5" t="str">
        <f t="shared" si="69"/>
        <v>2017-01</v>
      </c>
      <c r="D2207" s="3">
        <v>226.75</v>
      </c>
      <c r="E2207" s="3">
        <v>134.85</v>
      </c>
      <c r="F2207" s="3">
        <v>121.01</v>
      </c>
      <c r="G2207" s="3">
        <v>114.87</v>
      </c>
      <c r="H2207" s="3">
        <v>83.39</v>
      </c>
      <c r="I2207" s="2">
        <v>39.19</v>
      </c>
      <c r="J2207" s="2">
        <v>378</v>
      </c>
      <c r="K2207" s="2">
        <v>254.07</v>
      </c>
      <c r="L2207" s="3">
        <v>70.47</v>
      </c>
      <c r="M2207" s="2">
        <v>2.73</v>
      </c>
    </row>
    <row r="2208" spans="1:13">
      <c r="A2208" s="9">
        <v>42752</v>
      </c>
      <c r="B2208" s="1">
        <f t="shared" si="68"/>
        <v>42736</v>
      </c>
      <c r="C2208" s="5" t="str">
        <f t="shared" si="69"/>
        <v>2017-01</v>
      </c>
      <c r="D2208" s="3">
        <v>226.25</v>
      </c>
      <c r="E2208" s="3">
        <v>134.41</v>
      </c>
      <c r="F2208" s="3">
        <v>122.58</v>
      </c>
      <c r="G2208" s="3">
        <v>115.85</v>
      </c>
      <c r="H2208" s="3">
        <v>83.25</v>
      </c>
      <c r="I2208" s="2">
        <v>39.1</v>
      </c>
      <c r="J2208" s="2">
        <v>374.8</v>
      </c>
      <c r="K2208" s="2">
        <v>254.12</v>
      </c>
      <c r="L2208" s="3">
        <v>70.56</v>
      </c>
      <c r="M2208" s="2">
        <v>2.71</v>
      </c>
    </row>
    <row r="2209" spans="1:13">
      <c r="A2209" s="9">
        <v>42748</v>
      </c>
      <c r="B2209" s="1">
        <f t="shared" si="68"/>
        <v>42736</v>
      </c>
      <c r="C2209" s="5" t="str">
        <f t="shared" si="69"/>
        <v>2017-01</v>
      </c>
      <c r="D2209" s="3">
        <v>227.05</v>
      </c>
      <c r="E2209" s="3">
        <v>136.26</v>
      </c>
      <c r="F2209" s="3">
        <v>121.31</v>
      </c>
      <c r="G2209" s="3">
        <v>114.21</v>
      </c>
      <c r="H2209" s="3">
        <v>82.61</v>
      </c>
      <c r="I2209" s="2">
        <v>39.26</v>
      </c>
      <c r="J2209" s="2">
        <v>379.35</v>
      </c>
      <c r="K2209" s="2">
        <v>254.53</v>
      </c>
      <c r="L2209" s="3">
        <v>70.92</v>
      </c>
      <c r="M2209" s="2">
        <v>2.82</v>
      </c>
    </row>
    <row r="2210" spans="1:13">
      <c r="A2210" s="9">
        <v>42747</v>
      </c>
      <c r="B2210" s="1">
        <f t="shared" si="68"/>
        <v>42736</v>
      </c>
      <c r="C2210" s="5" t="str">
        <f t="shared" si="69"/>
        <v>2017-01</v>
      </c>
      <c r="D2210" s="3">
        <v>226.53</v>
      </c>
      <c r="E2210" s="3">
        <v>135.28</v>
      </c>
      <c r="F2210" s="3">
        <v>121.89</v>
      </c>
      <c r="G2210" s="3">
        <v>113.91</v>
      </c>
      <c r="H2210" s="3">
        <v>82.73</v>
      </c>
      <c r="I2210" s="2">
        <v>39.200000000000003</v>
      </c>
      <c r="J2210" s="2">
        <v>378.29</v>
      </c>
      <c r="K2210" s="2">
        <v>252.62</v>
      </c>
      <c r="L2210" s="3">
        <v>70.849999999999994</v>
      </c>
      <c r="M2210" s="2">
        <v>2.76</v>
      </c>
    </row>
    <row r="2211" spans="1:13">
      <c r="A2211" s="9">
        <v>42746</v>
      </c>
      <c r="B2211" s="1">
        <f t="shared" si="68"/>
        <v>42736</v>
      </c>
      <c r="C2211" s="5" t="str">
        <f t="shared" si="69"/>
        <v>2017-01</v>
      </c>
      <c r="D2211" s="3">
        <v>227.1</v>
      </c>
      <c r="E2211" s="3">
        <v>136.33000000000001</v>
      </c>
      <c r="F2211" s="3">
        <v>122.16</v>
      </c>
      <c r="G2211" s="3">
        <v>113.5</v>
      </c>
      <c r="H2211" s="3">
        <v>82.31</v>
      </c>
      <c r="I2211" s="2">
        <v>39.11</v>
      </c>
      <c r="J2211" s="2">
        <v>380.95</v>
      </c>
      <c r="K2211" s="2">
        <v>255.13</v>
      </c>
      <c r="L2211" s="3">
        <v>70.78</v>
      </c>
      <c r="M2211" s="2">
        <v>2.86</v>
      </c>
    </row>
    <row r="2212" spans="1:13">
      <c r="A2212" s="9">
        <v>42745</v>
      </c>
      <c r="B2212" s="1">
        <f t="shared" si="68"/>
        <v>42736</v>
      </c>
      <c r="C2212" s="5" t="str">
        <f t="shared" si="69"/>
        <v>2017-01</v>
      </c>
      <c r="D2212" s="3">
        <v>226.46</v>
      </c>
      <c r="E2212" s="3">
        <v>136.09</v>
      </c>
      <c r="F2212" s="3">
        <v>121.75</v>
      </c>
      <c r="G2212" s="3">
        <v>113.15</v>
      </c>
      <c r="H2212" s="3">
        <v>82.82</v>
      </c>
      <c r="I2212" s="2">
        <v>38.659999999999997</v>
      </c>
      <c r="J2212" s="2">
        <v>380.31</v>
      </c>
      <c r="K2212" s="2">
        <v>256.17</v>
      </c>
      <c r="L2212" s="3">
        <v>71.5</v>
      </c>
      <c r="M2212" s="2">
        <v>2.86</v>
      </c>
    </row>
    <row r="2213" spans="1:13">
      <c r="A2213" s="9">
        <v>42744</v>
      </c>
      <c r="B2213" s="1">
        <f t="shared" si="68"/>
        <v>42736</v>
      </c>
      <c r="C2213" s="5" t="str">
        <f t="shared" si="69"/>
        <v>2017-01</v>
      </c>
      <c r="D2213" s="3">
        <v>226.46</v>
      </c>
      <c r="E2213" s="3">
        <v>134.80000000000001</v>
      </c>
      <c r="F2213" s="3">
        <v>121.83</v>
      </c>
      <c r="G2213" s="3">
        <v>112.67</v>
      </c>
      <c r="H2213" s="3">
        <v>83.53</v>
      </c>
      <c r="I2213" s="2">
        <v>39.03</v>
      </c>
      <c r="J2213" s="2">
        <v>380.42</v>
      </c>
      <c r="K2213" s="2">
        <v>257.81</v>
      </c>
      <c r="L2213" s="3">
        <v>71.25</v>
      </c>
      <c r="M2213" s="2">
        <v>2.83</v>
      </c>
    </row>
    <row r="2214" spans="1:13">
      <c r="A2214" s="9">
        <v>42741</v>
      </c>
      <c r="B2214" s="1">
        <f t="shared" si="68"/>
        <v>42736</v>
      </c>
      <c r="C2214" s="5" t="str">
        <f t="shared" si="69"/>
        <v>2017-01</v>
      </c>
      <c r="D2214" s="3">
        <v>227.21</v>
      </c>
      <c r="E2214" s="3">
        <v>135.69</v>
      </c>
      <c r="F2214" s="3">
        <v>120.86</v>
      </c>
      <c r="G2214" s="3">
        <v>111.75</v>
      </c>
      <c r="H2214" s="3">
        <v>84.29</v>
      </c>
      <c r="I2214" s="2">
        <v>38.450000000000003</v>
      </c>
      <c r="J2214" s="2">
        <v>384.3</v>
      </c>
      <c r="K2214" s="2">
        <v>257.85000000000002</v>
      </c>
      <c r="L2214" s="3">
        <v>70.95</v>
      </c>
      <c r="M2214" s="2">
        <v>2.85</v>
      </c>
    </row>
    <row r="2215" spans="1:13">
      <c r="A2215" s="9">
        <v>42740</v>
      </c>
      <c r="B2215" s="1">
        <f t="shared" si="68"/>
        <v>42736</v>
      </c>
      <c r="C2215" s="5" t="str">
        <f t="shared" si="69"/>
        <v>2017-01</v>
      </c>
      <c r="D2215" s="3">
        <v>226.4</v>
      </c>
      <c r="E2215" s="3">
        <v>136.19</v>
      </c>
      <c r="F2215" s="3">
        <v>121.98</v>
      </c>
      <c r="G2215" s="3">
        <v>112.58</v>
      </c>
      <c r="H2215" s="3">
        <v>84.28</v>
      </c>
      <c r="I2215" s="2">
        <v>38.64</v>
      </c>
      <c r="J2215" s="2">
        <v>382.54</v>
      </c>
      <c r="K2215" s="2">
        <v>255.98</v>
      </c>
      <c r="L2215" s="3">
        <v>70.75</v>
      </c>
      <c r="M2215" s="2">
        <v>2.86</v>
      </c>
    </row>
    <row r="2216" spans="1:13">
      <c r="A2216" s="9">
        <v>42739</v>
      </c>
      <c r="B2216" s="1">
        <f t="shared" si="68"/>
        <v>42736</v>
      </c>
      <c r="C2216" s="5" t="str">
        <f t="shared" si="69"/>
        <v>2017-01</v>
      </c>
      <c r="D2216" s="3">
        <v>226.58</v>
      </c>
      <c r="E2216" s="3">
        <v>137.78</v>
      </c>
      <c r="F2216" s="3">
        <v>120.1</v>
      </c>
      <c r="G2216" s="3">
        <v>110.86</v>
      </c>
      <c r="H2216" s="3">
        <v>84.01</v>
      </c>
      <c r="I2216" s="2">
        <v>38.74</v>
      </c>
      <c r="J2216" s="2">
        <v>386.66</v>
      </c>
      <c r="K2216" s="2">
        <v>253.99</v>
      </c>
      <c r="L2216" s="3">
        <v>70.39</v>
      </c>
      <c r="M2216" s="2">
        <v>2.89</v>
      </c>
    </row>
    <row r="2217" spans="1:13">
      <c r="A2217" s="9">
        <v>42738</v>
      </c>
      <c r="B2217" s="1">
        <f t="shared" si="68"/>
        <v>42736</v>
      </c>
      <c r="C2217" s="5" t="str">
        <f t="shared" si="69"/>
        <v>2017-01</v>
      </c>
      <c r="D2217" s="3">
        <v>225.24</v>
      </c>
      <c r="E2217" s="3">
        <v>135.52000000000001</v>
      </c>
      <c r="F2217" s="3">
        <v>119.64</v>
      </c>
      <c r="G2217" s="3">
        <v>110.47</v>
      </c>
      <c r="H2217" s="3">
        <v>82.8</v>
      </c>
      <c r="I2217" s="2">
        <v>38.549999999999997</v>
      </c>
      <c r="J2217" s="2">
        <v>386.43</v>
      </c>
      <c r="K2217" s="2">
        <v>253.31</v>
      </c>
      <c r="L2217" s="3">
        <v>69.84</v>
      </c>
      <c r="M2217" s="2">
        <v>2.85</v>
      </c>
    </row>
    <row r="2218" spans="1:13">
      <c r="A2218" s="9">
        <v>42734</v>
      </c>
      <c r="B2218" s="1">
        <f t="shared" si="68"/>
        <v>42705</v>
      </c>
      <c r="C2218" s="5" t="str">
        <f t="shared" si="69"/>
        <v>2016-12</v>
      </c>
      <c r="D2218" s="3">
        <v>223.53</v>
      </c>
      <c r="E2218" s="3">
        <v>134.85</v>
      </c>
      <c r="F2218" s="3">
        <v>119.13</v>
      </c>
      <c r="G2218" s="3">
        <v>109.61</v>
      </c>
      <c r="H2218" s="3">
        <v>82.53</v>
      </c>
      <c r="I2218" s="2">
        <v>38.450000000000003</v>
      </c>
      <c r="J2218" s="2">
        <v>380.54</v>
      </c>
      <c r="K2218" s="2">
        <v>249.94</v>
      </c>
      <c r="L2218" s="3">
        <v>68.94</v>
      </c>
      <c r="M2218" s="2">
        <v>2.81</v>
      </c>
    </row>
    <row r="2219" spans="1:13">
      <c r="A2219" s="9">
        <v>42733</v>
      </c>
      <c r="B2219" s="1">
        <f t="shared" si="68"/>
        <v>42705</v>
      </c>
      <c r="C2219" s="5" t="str">
        <f t="shared" si="69"/>
        <v>2016-12</v>
      </c>
      <c r="D2219" s="3">
        <v>224.35</v>
      </c>
      <c r="E2219" s="3">
        <v>135.37</v>
      </c>
      <c r="F2219" s="3">
        <v>118.95</v>
      </c>
      <c r="G2219" s="3">
        <v>110.29</v>
      </c>
      <c r="H2219" s="3">
        <v>81.5</v>
      </c>
      <c r="I2219" s="2">
        <v>38.69</v>
      </c>
      <c r="J2219" s="2">
        <v>379</v>
      </c>
      <c r="K2219" s="2">
        <v>250.59</v>
      </c>
      <c r="L2219" s="3">
        <v>69.19</v>
      </c>
      <c r="M2219" s="2">
        <v>2.85</v>
      </c>
    </row>
    <row r="2220" spans="1:13">
      <c r="A2220" s="9">
        <v>42732</v>
      </c>
      <c r="B2220" s="1">
        <f t="shared" si="68"/>
        <v>42705</v>
      </c>
      <c r="C2220" s="5" t="str">
        <f t="shared" si="69"/>
        <v>2016-12</v>
      </c>
      <c r="D2220" s="3">
        <v>224.4</v>
      </c>
      <c r="E2220" s="3">
        <v>135.25</v>
      </c>
      <c r="F2220" s="3">
        <v>118.53</v>
      </c>
      <c r="G2220" s="3">
        <v>108.86</v>
      </c>
      <c r="H2220" s="3">
        <v>80.5</v>
      </c>
      <c r="I2220" s="2">
        <v>38.68</v>
      </c>
      <c r="J2220" s="2">
        <v>381.03</v>
      </c>
      <c r="K2220" s="2">
        <v>249.58</v>
      </c>
      <c r="L2220" s="3">
        <v>69.069999999999993</v>
      </c>
      <c r="M2220" s="2">
        <v>2.85</v>
      </c>
    </row>
    <row r="2221" spans="1:13">
      <c r="A2221" s="9">
        <v>42731</v>
      </c>
      <c r="B2221" s="1">
        <f t="shared" si="68"/>
        <v>42705</v>
      </c>
      <c r="C2221" s="5" t="str">
        <f t="shared" si="69"/>
        <v>2016-12</v>
      </c>
      <c r="D2221" s="3">
        <v>226.27</v>
      </c>
      <c r="E2221" s="3">
        <v>136.65</v>
      </c>
      <c r="F2221" s="3">
        <v>117.67</v>
      </c>
      <c r="G2221" s="3">
        <v>108.56</v>
      </c>
      <c r="H2221" s="3">
        <v>80.989999999999995</v>
      </c>
      <c r="I2221" s="2">
        <v>38.82</v>
      </c>
      <c r="J2221" s="2">
        <v>387.49</v>
      </c>
      <c r="K2221" s="2">
        <v>250.86</v>
      </c>
      <c r="L2221" s="3">
        <v>69.599999999999994</v>
      </c>
      <c r="M2221" s="2">
        <v>2.87</v>
      </c>
    </row>
    <row r="2222" spans="1:13">
      <c r="A2222" s="9">
        <v>42727</v>
      </c>
      <c r="B2222" s="1">
        <f t="shared" si="68"/>
        <v>42705</v>
      </c>
      <c r="C2222" s="5" t="str">
        <f t="shared" si="69"/>
        <v>2016-12</v>
      </c>
      <c r="D2222" s="3">
        <v>225.71</v>
      </c>
      <c r="E2222" s="3">
        <v>136.04</v>
      </c>
      <c r="F2222" s="3">
        <v>118.05</v>
      </c>
      <c r="G2222" s="3">
        <v>107.93</v>
      </c>
      <c r="H2222" s="3">
        <v>80.819999999999993</v>
      </c>
      <c r="I2222" s="2">
        <v>38.78</v>
      </c>
      <c r="J2222" s="2">
        <v>385.74</v>
      </c>
      <c r="K2222" s="2">
        <v>249.59</v>
      </c>
      <c r="L2222" s="3">
        <v>69.459999999999994</v>
      </c>
      <c r="M2222" s="2">
        <v>2.87</v>
      </c>
    </row>
    <row r="2223" spans="1:13">
      <c r="A2223" s="9">
        <v>42726</v>
      </c>
      <c r="B2223" s="1">
        <f t="shared" si="68"/>
        <v>42705</v>
      </c>
      <c r="C2223" s="5" t="str">
        <f t="shared" si="69"/>
        <v>2016-12</v>
      </c>
      <c r="D2223" s="3">
        <v>225.38</v>
      </c>
      <c r="E2223" s="3">
        <v>135.32</v>
      </c>
      <c r="F2223" s="3">
        <v>117.81</v>
      </c>
      <c r="G2223" s="3">
        <v>107.59</v>
      </c>
      <c r="H2223" s="3">
        <v>80.61</v>
      </c>
      <c r="I2223" s="2">
        <v>38.96</v>
      </c>
      <c r="J2223" s="2">
        <v>387.12</v>
      </c>
      <c r="K2223" s="2">
        <v>252.8</v>
      </c>
      <c r="L2223" s="3">
        <v>68.94</v>
      </c>
      <c r="M2223" s="2">
        <v>2.8</v>
      </c>
    </row>
    <row r="2224" spans="1:13">
      <c r="A2224" s="9">
        <v>42725</v>
      </c>
      <c r="B2224" s="1">
        <f t="shared" si="68"/>
        <v>42705</v>
      </c>
      <c r="C2224" s="5" t="str">
        <f t="shared" si="69"/>
        <v>2016-12</v>
      </c>
      <c r="D2224" s="3">
        <v>225.77</v>
      </c>
      <c r="E2224" s="3">
        <v>137.06</v>
      </c>
      <c r="F2224" s="3">
        <v>118.33</v>
      </c>
      <c r="G2224" s="3">
        <v>107.85</v>
      </c>
      <c r="H2224" s="3">
        <v>82.44</v>
      </c>
      <c r="I2224" s="2">
        <v>38.83</v>
      </c>
      <c r="J2224" s="2">
        <v>393.53</v>
      </c>
      <c r="K2224" s="2">
        <v>252.52</v>
      </c>
      <c r="L2224" s="3">
        <v>68.849999999999994</v>
      </c>
      <c r="M2224" s="2">
        <v>2.88</v>
      </c>
    </row>
    <row r="2225" spans="1:13">
      <c r="A2225" s="9">
        <v>42724</v>
      </c>
      <c r="B2225" s="1">
        <f t="shared" si="68"/>
        <v>42705</v>
      </c>
      <c r="C2225" s="5" t="str">
        <f t="shared" si="69"/>
        <v>2016-12</v>
      </c>
      <c r="D2225" s="3">
        <v>226.4</v>
      </c>
      <c r="E2225" s="3">
        <v>137.96</v>
      </c>
      <c r="F2225" s="3">
        <v>117.81</v>
      </c>
      <c r="G2225" s="3">
        <v>107.79</v>
      </c>
      <c r="H2225" s="3">
        <v>83.71</v>
      </c>
      <c r="I2225" s="2">
        <v>39</v>
      </c>
      <c r="J2225" s="2">
        <v>398.45</v>
      </c>
      <c r="K2225" s="2">
        <v>253.73</v>
      </c>
      <c r="L2225" s="3">
        <v>69.239999999999995</v>
      </c>
      <c r="M2225" s="2">
        <v>2.89</v>
      </c>
    </row>
    <row r="2226" spans="1:13">
      <c r="A2226" s="9">
        <v>42723</v>
      </c>
      <c r="B2226" s="1">
        <f t="shared" si="68"/>
        <v>42705</v>
      </c>
      <c r="C2226" s="5" t="str">
        <f t="shared" si="69"/>
        <v>2016-12</v>
      </c>
      <c r="D2226" s="3">
        <v>225.53</v>
      </c>
      <c r="E2226" s="3">
        <v>136.80000000000001</v>
      </c>
      <c r="F2226" s="3">
        <v>118.4</v>
      </c>
      <c r="G2226" s="3">
        <v>108.59</v>
      </c>
      <c r="H2226" s="3">
        <v>83.52</v>
      </c>
      <c r="I2226" s="2">
        <v>38.9</v>
      </c>
      <c r="J2226" s="2">
        <v>389.77</v>
      </c>
      <c r="K2226" s="2">
        <v>252.18</v>
      </c>
      <c r="L2226" s="3">
        <v>69.290000000000006</v>
      </c>
      <c r="M2226" s="2">
        <v>2.9</v>
      </c>
    </row>
    <row r="2227" spans="1:13">
      <c r="A2227" s="9">
        <v>42720</v>
      </c>
      <c r="B2227" s="1">
        <f t="shared" si="68"/>
        <v>42705</v>
      </c>
      <c r="C2227" s="5" t="str">
        <f t="shared" si="69"/>
        <v>2016-12</v>
      </c>
      <c r="D2227" s="3">
        <v>225.04</v>
      </c>
      <c r="E2227" s="3">
        <v>135.91</v>
      </c>
      <c r="F2227" s="3">
        <v>117.14</v>
      </c>
      <c r="G2227" s="3">
        <v>108.05</v>
      </c>
      <c r="H2227" s="3">
        <v>82.63</v>
      </c>
      <c r="I2227" s="2">
        <v>39.1</v>
      </c>
      <c r="J2227" s="2">
        <v>392.62</v>
      </c>
      <c r="K2227" s="2">
        <v>250.08</v>
      </c>
      <c r="L2227" s="3">
        <v>69.58</v>
      </c>
      <c r="M2227" s="2">
        <v>2.83</v>
      </c>
    </row>
    <row r="2228" spans="1:13">
      <c r="A2228" s="9">
        <v>42719</v>
      </c>
      <c r="B2228" s="1">
        <f t="shared" si="68"/>
        <v>42705</v>
      </c>
      <c r="C2228" s="5" t="str">
        <f t="shared" si="69"/>
        <v>2016-12</v>
      </c>
      <c r="D2228" s="3">
        <v>226.81</v>
      </c>
      <c r="E2228" s="3">
        <v>136.16</v>
      </c>
      <c r="F2228" s="3">
        <v>117.41</v>
      </c>
      <c r="G2228" s="3">
        <v>107.34</v>
      </c>
      <c r="H2228" s="3">
        <v>81.41</v>
      </c>
      <c r="I2228" s="2">
        <v>40.86</v>
      </c>
      <c r="J2228" s="2">
        <v>393.75</v>
      </c>
      <c r="K2228" s="2">
        <v>250.65</v>
      </c>
      <c r="L2228" s="3">
        <v>69.83</v>
      </c>
      <c r="M2228" s="2">
        <v>2.83</v>
      </c>
    </row>
    <row r="2229" spans="1:13">
      <c r="A2229" s="9">
        <v>42718</v>
      </c>
      <c r="B2229" s="1">
        <f t="shared" si="68"/>
        <v>42705</v>
      </c>
      <c r="C2229" s="5" t="str">
        <f t="shared" si="69"/>
        <v>2016-12</v>
      </c>
      <c r="D2229" s="3">
        <v>225.88</v>
      </c>
      <c r="E2229" s="3">
        <v>135.15</v>
      </c>
      <c r="F2229" s="3">
        <v>116.82</v>
      </c>
      <c r="G2229" s="3">
        <v>108.83</v>
      </c>
      <c r="H2229" s="3">
        <v>81.89</v>
      </c>
      <c r="I2229" s="2">
        <v>40.880000000000003</v>
      </c>
      <c r="J2229" s="2">
        <v>390</v>
      </c>
      <c r="K2229" s="2">
        <v>252.3</v>
      </c>
      <c r="L2229" s="3">
        <v>69.38</v>
      </c>
      <c r="M2229" s="2">
        <v>2.81</v>
      </c>
    </row>
    <row r="2230" spans="1:13">
      <c r="A2230" s="9">
        <v>42717</v>
      </c>
      <c r="B2230" s="1">
        <f t="shared" si="68"/>
        <v>42705</v>
      </c>
      <c r="C2230" s="5" t="str">
        <f t="shared" si="69"/>
        <v>2016-12</v>
      </c>
      <c r="D2230" s="3">
        <v>227.76</v>
      </c>
      <c r="E2230" s="3">
        <v>136.86000000000001</v>
      </c>
      <c r="F2230" s="3">
        <v>118.14</v>
      </c>
      <c r="G2230" s="3">
        <v>110.45</v>
      </c>
      <c r="H2230" s="3">
        <v>83.72</v>
      </c>
      <c r="I2230" s="2">
        <v>40.76</v>
      </c>
      <c r="J2230" s="2">
        <v>392.64</v>
      </c>
      <c r="K2230" s="2">
        <v>251.69</v>
      </c>
      <c r="L2230" s="3">
        <v>69.739999999999995</v>
      </c>
      <c r="M2230" s="2">
        <v>2.85</v>
      </c>
    </row>
    <row r="2231" spans="1:13">
      <c r="A2231" s="9">
        <v>42716</v>
      </c>
      <c r="B2231" s="1">
        <f t="shared" si="68"/>
        <v>42705</v>
      </c>
      <c r="C2231" s="5" t="str">
        <f t="shared" si="69"/>
        <v>2016-12</v>
      </c>
      <c r="D2231" s="3">
        <v>226.25</v>
      </c>
      <c r="E2231" s="3">
        <v>136.85</v>
      </c>
      <c r="F2231" s="3">
        <v>117.72</v>
      </c>
      <c r="G2231" s="3">
        <v>110.82</v>
      </c>
      <c r="H2231" s="3">
        <v>83.76</v>
      </c>
      <c r="I2231" s="2">
        <v>40.51</v>
      </c>
      <c r="J2231" s="2">
        <v>390.28</v>
      </c>
      <c r="K2231" s="2">
        <v>253.11</v>
      </c>
      <c r="L2231" s="3">
        <v>69.180000000000007</v>
      </c>
      <c r="M2231" s="2">
        <v>2.81</v>
      </c>
    </row>
    <row r="2232" spans="1:13">
      <c r="A2232" s="9">
        <v>42713</v>
      </c>
      <c r="B2232" s="1">
        <f t="shared" si="68"/>
        <v>42705</v>
      </c>
      <c r="C2232" s="5" t="str">
        <f t="shared" si="69"/>
        <v>2016-12</v>
      </c>
      <c r="D2232" s="3">
        <v>226.51</v>
      </c>
      <c r="E2232" s="3">
        <v>138.31</v>
      </c>
      <c r="F2232" s="3">
        <v>117.5</v>
      </c>
      <c r="G2232" s="3">
        <v>110.4</v>
      </c>
      <c r="H2232" s="3">
        <v>83.21</v>
      </c>
      <c r="I2232" s="2">
        <v>40.520000000000003</v>
      </c>
      <c r="J2232" s="2">
        <v>388.54</v>
      </c>
      <c r="K2232" s="2">
        <v>259.52999999999997</v>
      </c>
      <c r="L2232" s="3">
        <v>68.849999999999994</v>
      </c>
      <c r="M2232" s="2">
        <v>2.85</v>
      </c>
    </row>
    <row r="2233" spans="1:13">
      <c r="A2233" s="9">
        <v>42712</v>
      </c>
      <c r="B2233" s="1">
        <f t="shared" si="68"/>
        <v>42705</v>
      </c>
      <c r="C2233" s="5" t="str">
        <f t="shared" si="69"/>
        <v>2016-12</v>
      </c>
      <c r="D2233" s="3">
        <v>225.15</v>
      </c>
      <c r="E2233" s="3">
        <v>138.04</v>
      </c>
      <c r="F2233" s="3">
        <v>118.98</v>
      </c>
      <c r="G2233" s="3">
        <v>111.57</v>
      </c>
      <c r="H2233" s="3">
        <v>83.3</v>
      </c>
      <c r="I2233" s="2">
        <v>40.35</v>
      </c>
      <c r="J2233" s="2">
        <v>390.33</v>
      </c>
      <c r="K2233" s="2">
        <v>259.25</v>
      </c>
      <c r="L2233" s="3">
        <v>68.02</v>
      </c>
      <c r="M2233" s="2">
        <v>2.9</v>
      </c>
    </row>
    <row r="2234" spans="1:13">
      <c r="A2234" s="9">
        <v>42711</v>
      </c>
      <c r="B2234" s="1">
        <f t="shared" si="68"/>
        <v>42705</v>
      </c>
      <c r="C2234" s="5" t="str">
        <f t="shared" si="69"/>
        <v>2016-12</v>
      </c>
      <c r="D2234" s="3">
        <v>224.6</v>
      </c>
      <c r="E2234" s="3">
        <v>135.9</v>
      </c>
      <c r="F2234" s="3">
        <v>120.4</v>
      </c>
      <c r="G2234" s="3">
        <v>111.83</v>
      </c>
      <c r="H2234" s="3">
        <v>82.73</v>
      </c>
      <c r="I2234" s="2">
        <v>40.32</v>
      </c>
      <c r="J2234" s="2">
        <v>379.81</v>
      </c>
      <c r="K2234" s="2">
        <v>266.38</v>
      </c>
      <c r="L2234" s="3">
        <v>67.89</v>
      </c>
      <c r="M2234" s="2">
        <v>2.85</v>
      </c>
    </row>
    <row r="2235" spans="1:13">
      <c r="A2235" s="9">
        <v>42710</v>
      </c>
      <c r="B2235" s="1">
        <f t="shared" si="68"/>
        <v>42705</v>
      </c>
      <c r="C2235" s="5" t="str">
        <f t="shared" si="69"/>
        <v>2016-12</v>
      </c>
      <c r="D2235" s="3">
        <v>221.7</v>
      </c>
      <c r="E2235" s="3">
        <v>134.59</v>
      </c>
      <c r="F2235" s="3">
        <v>119.38</v>
      </c>
      <c r="G2235" s="3">
        <v>111.43</v>
      </c>
      <c r="H2235" s="3">
        <v>81.11</v>
      </c>
      <c r="I2235" s="2">
        <v>39.47</v>
      </c>
      <c r="J2235" s="2">
        <v>373.97</v>
      </c>
      <c r="K2235" s="2">
        <v>266</v>
      </c>
      <c r="L2235" s="3">
        <v>68.48</v>
      </c>
      <c r="M2235" s="2">
        <v>2.8</v>
      </c>
    </row>
    <row r="2236" spans="1:13">
      <c r="A2236" s="9">
        <v>42709</v>
      </c>
      <c r="B2236" s="1">
        <f t="shared" si="68"/>
        <v>42705</v>
      </c>
      <c r="C2236" s="5" t="str">
        <f t="shared" si="69"/>
        <v>2016-12</v>
      </c>
      <c r="D2236" s="3">
        <v>221</v>
      </c>
      <c r="E2236" s="3">
        <v>133.15</v>
      </c>
      <c r="F2236" s="3">
        <v>119.47</v>
      </c>
      <c r="G2236" s="3">
        <v>111.54</v>
      </c>
      <c r="H2236" s="3">
        <v>80.59</v>
      </c>
      <c r="I2236" s="2">
        <v>38.97</v>
      </c>
      <c r="J2236" s="2">
        <v>374.35</v>
      </c>
      <c r="K2236" s="2">
        <v>266.93</v>
      </c>
      <c r="L2236" s="3">
        <v>68.290000000000006</v>
      </c>
      <c r="M2236" s="2">
        <v>2.76</v>
      </c>
    </row>
    <row r="2237" spans="1:13">
      <c r="A2237" s="9">
        <v>42706</v>
      </c>
      <c r="B2237" s="1">
        <f t="shared" si="68"/>
        <v>42705</v>
      </c>
      <c r="C2237" s="5" t="str">
        <f t="shared" si="69"/>
        <v>2016-12</v>
      </c>
      <c r="D2237" s="3">
        <v>219.68</v>
      </c>
      <c r="E2237" s="3">
        <v>130.9</v>
      </c>
      <c r="F2237" s="3">
        <v>119.6</v>
      </c>
      <c r="G2237" s="3">
        <v>112.14</v>
      </c>
      <c r="H2237" s="3">
        <v>80</v>
      </c>
      <c r="I2237" s="2">
        <v>38.5</v>
      </c>
      <c r="J2237" s="2">
        <v>371.36</v>
      </c>
      <c r="K2237" s="2">
        <v>267.62</v>
      </c>
      <c r="L2237" s="3">
        <v>68.41</v>
      </c>
      <c r="M2237" s="2">
        <v>2.7</v>
      </c>
    </row>
    <row r="2238" spans="1:13">
      <c r="A2238" s="9">
        <v>42705</v>
      </c>
      <c r="B2238" s="1">
        <f t="shared" si="68"/>
        <v>42705</v>
      </c>
      <c r="C2238" s="5" t="str">
        <f t="shared" si="69"/>
        <v>2016-12</v>
      </c>
      <c r="D2238" s="3">
        <v>219.57</v>
      </c>
      <c r="E2238" s="3">
        <v>130.97</v>
      </c>
      <c r="F2238" s="3">
        <v>118.73</v>
      </c>
      <c r="G2238" s="3">
        <v>111.54</v>
      </c>
      <c r="H2238" s="3">
        <v>79.209999999999994</v>
      </c>
      <c r="I2238" s="2">
        <v>38.700000000000003</v>
      </c>
      <c r="J2238" s="2">
        <v>377.2</v>
      </c>
      <c r="K2238" s="2">
        <v>266.39999999999998</v>
      </c>
      <c r="L2238" s="3">
        <v>68.25</v>
      </c>
      <c r="M2238" s="2">
        <v>2.62</v>
      </c>
    </row>
    <row r="2239" spans="1:13">
      <c r="A2239" s="9">
        <v>42704</v>
      </c>
      <c r="B2239" s="1">
        <f t="shared" si="68"/>
        <v>42675</v>
      </c>
      <c r="C2239" s="5" t="str">
        <f t="shared" si="69"/>
        <v>2016-11</v>
      </c>
      <c r="D2239" s="3">
        <v>220.38</v>
      </c>
      <c r="E2239" s="3">
        <v>131.61000000000001</v>
      </c>
      <c r="F2239" s="3">
        <v>120.24</v>
      </c>
      <c r="G2239" s="3">
        <v>111.75</v>
      </c>
      <c r="H2239" s="3">
        <v>80.39</v>
      </c>
      <c r="I2239" s="2">
        <v>40.19</v>
      </c>
      <c r="J2239" s="2">
        <v>370.79</v>
      </c>
      <c r="K2239" s="2">
        <v>265.25</v>
      </c>
      <c r="L2239" s="3">
        <v>68.75</v>
      </c>
      <c r="M2239" s="2">
        <v>2.74</v>
      </c>
    </row>
    <row r="2240" spans="1:13">
      <c r="A2240" s="9">
        <v>42703</v>
      </c>
      <c r="B2240" s="1">
        <f t="shared" si="68"/>
        <v>42675</v>
      </c>
      <c r="C2240" s="5" t="str">
        <f t="shared" si="69"/>
        <v>2016-11</v>
      </c>
      <c r="D2240" s="3">
        <v>220.91</v>
      </c>
      <c r="E2240" s="3">
        <v>132.26</v>
      </c>
      <c r="F2240" s="3">
        <v>122.22</v>
      </c>
      <c r="G2240" s="3">
        <v>113.27</v>
      </c>
      <c r="H2240" s="3">
        <v>81.319999999999993</v>
      </c>
      <c r="I2240" s="2">
        <v>40.549999999999997</v>
      </c>
      <c r="J2240" s="2">
        <v>368.55</v>
      </c>
      <c r="K2240" s="2">
        <v>266.58</v>
      </c>
      <c r="L2240" s="3">
        <v>69.41</v>
      </c>
      <c r="M2240" s="2">
        <v>2.61</v>
      </c>
    </row>
    <row r="2241" spans="1:13">
      <c r="A2241" s="9">
        <v>42702</v>
      </c>
      <c r="B2241" s="1">
        <f t="shared" si="68"/>
        <v>42675</v>
      </c>
      <c r="C2241" s="5" t="str">
        <f t="shared" si="69"/>
        <v>2016-11</v>
      </c>
      <c r="D2241" s="3">
        <v>220.48</v>
      </c>
      <c r="E2241" s="3">
        <v>132.33000000000001</v>
      </c>
      <c r="F2241" s="3">
        <v>121.71</v>
      </c>
      <c r="G2241" s="3">
        <v>113.8</v>
      </c>
      <c r="H2241" s="3">
        <v>80.55</v>
      </c>
      <c r="I2241" s="2">
        <v>40.299999999999997</v>
      </c>
      <c r="J2241" s="2">
        <v>368.65</v>
      </c>
      <c r="K2241" s="2">
        <v>265.93</v>
      </c>
      <c r="L2241" s="3">
        <v>68.959999999999994</v>
      </c>
      <c r="M2241" s="2">
        <v>2.64</v>
      </c>
    </row>
    <row r="2242" spans="1:13">
      <c r="A2242" s="9">
        <v>42699</v>
      </c>
      <c r="B2242" s="1">
        <f t="shared" ref="B2242:B2305" si="70">EOMONTH(A2242,-1)+1</f>
        <v>42675</v>
      </c>
      <c r="C2242" s="5" t="str">
        <f t="shared" si="69"/>
        <v>2016-11</v>
      </c>
      <c r="D2242" s="3">
        <v>221.52</v>
      </c>
      <c r="E2242" s="3">
        <v>134.07</v>
      </c>
      <c r="F2242" s="3">
        <v>120.82</v>
      </c>
      <c r="G2242" s="3">
        <v>112.61</v>
      </c>
      <c r="H2242" s="3">
        <v>80.180000000000007</v>
      </c>
      <c r="I2242" s="2">
        <v>40.270000000000003</v>
      </c>
      <c r="J2242" s="2">
        <v>373.67</v>
      </c>
      <c r="K2242" s="2">
        <v>265.92</v>
      </c>
      <c r="L2242" s="3">
        <v>69.48</v>
      </c>
      <c r="M2242" s="2">
        <v>2.69</v>
      </c>
    </row>
    <row r="2243" spans="1:13">
      <c r="A2243" s="9">
        <v>42697</v>
      </c>
      <c r="B2243" s="1">
        <f t="shared" si="70"/>
        <v>42675</v>
      </c>
      <c r="C2243" s="5" t="str">
        <f t="shared" ref="C2243:C2306" si="71">TEXT(A2243, "yyyy-mm")</f>
        <v>2016-11</v>
      </c>
      <c r="D2243" s="3">
        <v>220.7</v>
      </c>
      <c r="E2243" s="3">
        <v>133.63</v>
      </c>
      <c r="F2243" s="3">
        <v>120.64</v>
      </c>
      <c r="G2243" s="3">
        <v>113.25</v>
      </c>
      <c r="H2243" s="3">
        <v>79.72</v>
      </c>
      <c r="I2243" s="2">
        <v>40.1</v>
      </c>
      <c r="J2243" s="2">
        <v>372.99</v>
      </c>
      <c r="K2243" s="2">
        <v>264.39999999999998</v>
      </c>
      <c r="L2243" s="3">
        <v>69.209999999999994</v>
      </c>
      <c r="M2243" s="2">
        <v>2.68</v>
      </c>
    </row>
    <row r="2244" spans="1:13">
      <c r="A2244" s="9">
        <v>42696</v>
      </c>
      <c r="B2244" s="1">
        <f t="shared" si="70"/>
        <v>42675</v>
      </c>
      <c r="C2244" s="5" t="str">
        <f t="shared" si="71"/>
        <v>2016-11</v>
      </c>
      <c r="D2244" s="3">
        <v>220.58</v>
      </c>
      <c r="E2244" s="3">
        <v>132.80000000000001</v>
      </c>
      <c r="F2244" s="3">
        <v>121.11</v>
      </c>
      <c r="G2244" s="3">
        <v>115.54</v>
      </c>
      <c r="H2244" s="3">
        <v>80.06</v>
      </c>
      <c r="I2244" s="2">
        <v>40.090000000000003</v>
      </c>
      <c r="J2244" s="2">
        <v>373.06</v>
      </c>
      <c r="K2244" s="2">
        <v>264.66000000000003</v>
      </c>
      <c r="L2244" s="3">
        <v>68.94</v>
      </c>
      <c r="M2244" s="2">
        <v>2.66</v>
      </c>
    </row>
    <row r="2245" spans="1:13">
      <c r="A2245" s="9">
        <v>42695</v>
      </c>
      <c r="B2245" s="1">
        <f t="shared" si="70"/>
        <v>42675</v>
      </c>
      <c r="C2245" s="5" t="str">
        <f t="shared" si="71"/>
        <v>2016-11</v>
      </c>
      <c r="D2245" s="3">
        <v>220.15</v>
      </c>
      <c r="E2245" s="3">
        <v>131.6</v>
      </c>
      <c r="F2245" s="3">
        <v>121.15</v>
      </c>
      <c r="G2245" s="3">
        <v>115.58</v>
      </c>
      <c r="H2245" s="3">
        <v>78.680000000000007</v>
      </c>
      <c r="I2245" s="2">
        <v>39.89</v>
      </c>
      <c r="J2245" s="2">
        <v>374.57</v>
      </c>
      <c r="K2245" s="2">
        <v>263.42</v>
      </c>
      <c r="L2245" s="3">
        <v>69.95</v>
      </c>
      <c r="M2245" s="2">
        <v>2.65</v>
      </c>
    </row>
    <row r="2246" spans="1:13">
      <c r="A2246" s="9">
        <v>42692</v>
      </c>
      <c r="B2246" s="1">
        <f t="shared" si="70"/>
        <v>42675</v>
      </c>
      <c r="C2246" s="5" t="str">
        <f t="shared" si="71"/>
        <v>2016-11</v>
      </c>
      <c r="D2246" s="3">
        <v>218.5</v>
      </c>
      <c r="E2246" s="3">
        <v>130.99</v>
      </c>
      <c r="F2246" s="3">
        <v>120.85</v>
      </c>
      <c r="G2246" s="3">
        <v>115.15</v>
      </c>
      <c r="H2246" s="3">
        <v>78.92</v>
      </c>
      <c r="I2246" s="2">
        <v>39.86</v>
      </c>
      <c r="J2246" s="2">
        <v>372.78</v>
      </c>
      <c r="K2246" s="2">
        <v>263.08999999999997</v>
      </c>
      <c r="L2246" s="3">
        <v>69.7</v>
      </c>
      <c r="M2246" s="2">
        <v>2.6</v>
      </c>
    </row>
    <row r="2247" spans="1:13">
      <c r="A2247" s="9">
        <v>42691</v>
      </c>
      <c r="B2247" s="1">
        <f t="shared" si="70"/>
        <v>42675</v>
      </c>
      <c r="C2247" s="5" t="str">
        <f t="shared" si="71"/>
        <v>2016-11</v>
      </c>
      <c r="D2247" s="3">
        <v>218.99</v>
      </c>
      <c r="E2247" s="3">
        <v>130.30000000000001</v>
      </c>
      <c r="F2247" s="3">
        <v>121.2</v>
      </c>
      <c r="G2247" s="3">
        <v>116.17</v>
      </c>
      <c r="H2247" s="3">
        <v>78.69</v>
      </c>
      <c r="I2247" s="2">
        <v>40.25</v>
      </c>
      <c r="J2247" s="2">
        <v>371.37</v>
      </c>
      <c r="K2247" s="2">
        <v>263.27999999999997</v>
      </c>
      <c r="L2247" s="3">
        <v>70.45</v>
      </c>
      <c r="M2247" s="2">
        <v>2.58</v>
      </c>
    </row>
    <row r="2248" spans="1:13">
      <c r="A2248" s="9">
        <v>42690</v>
      </c>
      <c r="B2248" s="1">
        <f t="shared" si="70"/>
        <v>42675</v>
      </c>
      <c r="C2248" s="5" t="str">
        <f t="shared" si="71"/>
        <v>2016-11</v>
      </c>
      <c r="D2248" s="3">
        <v>217.87</v>
      </c>
      <c r="E2248" s="3">
        <v>129.54</v>
      </c>
      <c r="F2248" s="3">
        <v>123.01</v>
      </c>
      <c r="G2248" s="3">
        <v>116.77</v>
      </c>
      <c r="H2248" s="3">
        <v>79.5</v>
      </c>
      <c r="I2248" s="2">
        <v>39.700000000000003</v>
      </c>
      <c r="J2248" s="2">
        <v>367.45</v>
      </c>
      <c r="K2248" s="2">
        <v>263.35000000000002</v>
      </c>
      <c r="L2248" s="3">
        <v>70.17</v>
      </c>
      <c r="M2248" s="2">
        <v>2.5499999999999998</v>
      </c>
    </row>
    <row r="2249" spans="1:13">
      <c r="A2249" s="9">
        <v>42689</v>
      </c>
      <c r="B2249" s="1">
        <f t="shared" si="70"/>
        <v>42675</v>
      </c>
      <c r="C2249" s="5" t="str">
        <f t="shared" si="71"/>
        <v>2016-11</v>
      </c>
      <c r="D2249" s="3">
        <v>218.28</v>
      </c>
      <c r="E2249" s="3">
        <v>129.55000000000001</v>
      </c>
      <c r="F2249" s="3">
        <v>121.91</v>
      </c>
      <c r="G2249" s="3">
        <v>117.12</v>
      </c>
      <c r="H2249" s="3">
        <v>79.73</v>
      </c>
      <c r="I2249" s="2">
        <v>39.17</v>
      </c>
      <c r="J2249" s="2">
        <v>372.15</v>
      </c>
      <c r="K2249" s="2">
        <v>265.93</v>
      </c>
      <c r="L2249" s="3">
        <v>70.47</v>
      </c>
      <c r="M2249" s="2">
        <v>2.57</v>
      </c>
    </row>
    <row r="2250" spans="1:13">
      <c r="A2250" s="9">
        <v>42688</v>
      </c>
      <c r="B2250" s="1">
        <f t="shared" si="70"/>
        <v>42675</v>
      </c>
      <c r="C2250" s="5" t="str">
        <f t="shared" si="71"/>
        <v>2016-11</v>
      </c>
      <c r="D2250" s="3">
        <v>216.59</v>
      </c>
      <c r="E2250" s="3">
        <v>129.15</v>
      </c>
      <c r="F2250" s="3">
        <v>121.31</v>
      </c>
      <c r="G2250" s="3">
        <v>116.11</v>
      </c>
      <c r="H2250" s="3">
        <v>80.400000000000006</v>
      </c>
      <c r="I2250" s="2">
        <v>39.299999999999997</v>
      </c>
      <c r="J2250" s="2">
        <v>373.81</v>
      </c>
      <c r="K2250" s="2">
        <v>267.24</v>
      </c>
      <c r="L2250" s="3">
        <v>70.27</v>
      </c>
      <c r="M2250" s="2">
        <v>2.57</v>
      </c>
    </row>
    <row r="2251" spans="1:13">
      <c r="A2251" s="9">
        <v>42685</v>
      </c>
      <c r="B2251" s="1">
        <f t="shared" si="70"/>
        <v>42675</v>
      </c>
      <c r="C2251" s="5" t="str">
        <f t="shared" si="71"/>
        <v>2016-11</v>
      </c>
      <c r="D2251" s="3">
        <v>216.42</v>
      </c>
      <c r="E2251" s="3">
        <v>127.36</v>
      </c>
      <c r="F2251" s="3">
        <v>122.04</v>
      </c>
      <c r="G2251" s="3">
        <v>117.1</v>
      </c>
      <c r="H2251" s="3">
        <v>78.540000000000006</v>
      </c>
      <c r="I2251" s="2">
        <v>39.450000000000003</v>
      </c>
      <c r="J2251" s="2">
        <v>371.19</v>
      </c>
      <c r="K2251" s="2">
        <v>259.17</v>
      </c>
      <c r="L2251" s="3">
        <v>70.489999999999995</v>
      </c>
      <c r="M2251" s="2">
        <v>2.5499999999999998</v>
      </c>
    </row>
    <row r="2252" spans="1:13">
      <c r="A2252" s="9">
        <v>42684</v>
      </c>
      <c r="B2252" s="1">
        <f t="shared" si="70"/>
        <v>42675</v>
      </c>
      <c r="C2252" s="5" t="str">
        <f t="shared" si="71"/>
        <v>2016-11</v>
      </c>
      <c r="D2252" s="3">
        <v>216.92</v>
      </c>
      <c r="E2252" s="3">
        <v>124.5</v>
      </c>
      <c r="F2252" s="3">
        <v>122.73</v>
      </c>
      <c r="G2252" s="3">
        <v>119.75</v>
      </c>
      <c r="H2252" s="3">
        <v>78.069999999999993</v>
      </c>
      <c r="I2252" s="2">
        <v>39.58</v>
      </c>
      <c r="J2252" s="2">
        <v>375.01</v>
      </c>
      <c r="K2252" s="2">
        <v>257.27</v>
      </c>
      <c r="L2252" s="3">
        <v>71.56</v>
      </c>
      <c r="M2252" s="2">
        <v>2.39</v>
      </c>
    </row>
    <row r="2253" spans="1:13">
      <c r="A2253" s="9">
        <v>42683</v>
      </c>
      <c r="B2253" s="1">
        <f t="shared" si="70"/>
        <v>42675</v>
      </c>
      <c r="C2253" s="5" t="str">
        <f t="shared" si="71"/>
        <v>2016-11</v>
      </c>
      <c r="D2253" s="3">
        <v>216.3792</v>
      </c>
      <c r="E2253" s="3">
        <v>122.54</v>
      </c>
      <c r="F2253" s="3">
        <v>124.57</v>
      </c>
      <c r="G2253" s="3">
        <v>121.56</v>
      </c>
      <c r="H2253" s="3">
        <v>79.400000000000006</v>
      </c>
      <c r="I2253" s="2">
        <v>39.549999999999997</v>
      </c>
      <c r="J2253" s="2">
        <v>364.42</v>
      </c>
      <c r="K2253" s="2">
        <v>253.46</v>
      </c>
      <c r="L2253" s="3">
        <v>70.78</v>
      </c>
      <c r="M2253" s="2">
        <v>2.35</v>
      </c>
    </row>
    <row r="2254" spans="1:13">
      <c r="A2254" s="9">
        <v>42682</v>
      </c>
      <c r="B2254" s="1">
        <f t="shared" si="70"/>
        <v>42675</v>
      </c>
      <c r="C2254" s="5" t="str">
        <f t="shared" si="71"/>
        <v>2016-11</v>
      </c>
      <c r="D2254" s="3">
        <v>214.11</v>
      </c>
      <c r="E2254" s="3">
        <v>118.88</v>
      </c>
      <c r="F2254" s="3">
        <v>130.09</v>
      </c>
      <c r="G2254" s="3">
        <v>121.64</v>
      </c>
      <c r="H2254" s="3">
        <v>80.62</v>
      </c>
      <c r="I2254" s="2">
        <v>39.130000000000003</v>
      </c>
      <c r="J2254" s="2">
        <v>353.49</v>
      </c>
      <c r="K2254" s="2">
        <v>239.19</v>
      </c>
      <c r="L2254" s="3">
        <v>68.37</v>
      </c>
      <c r="M2254" s="2">
        <v>2.2799999999999998</v>
      </c>
    </row>
    <row r="2255" spans="1:13">
      <c r="A2255" s="9">
        <v>42681</v>
      </c>
      <c r="B2255" s="1">
        <f t="shared" si="70"/>
        <v>42675</v>
      </c>
      <c r="C2255" s="5" t="str">
        <f t="shared" si="71"/>
        <v>2016-11</v>
      </c>
      <c r="D2255" s="3">
        <v>213.15</v>
      </c>
      <c r="E2255" s="3">
        <v>118.57</v>
      </c>
      <c r="F2255" s="3">
        <v>130.62</v>
      </c>
      <c r="G2255" s="3">
        <v>122.15</v>
      </c>
      <c r="H2255" s="3">
        <v>80.2</v>
      </c>
      <c r="I2255" s="2">
        <v>39.090000000000003</v>
      </c>
      <c r="J2255" s="2">
        <v>357.64</v>
      </c>
      <c r="K2255" s="2">
        <v>239.27</v>
      </c>
      <c r="L2255" s="3">
        <v>68.180000000000007</v>
      </c>
      <c r="M2255" s="2">
        <v>2.29</v>
      </c>
    </row>
    <row r="2256" spans="1:13">
      <c r="A2256" s="9">
        <v>42678</v>
      </c>
      <c r="B2256" s="1">
        <f t="shared" si="70"/>
        <v>42675</v>
      </c>
      <c r="C2256" s="5" t="str">
        <f t="shared" si="71"/>
        <v>2016-11</v>
      </c>
      <c r="D2256" s="3">
        <v>208.55</v>
      </c>
      <c r="E2256" s="3">
        <v>115.74</v>
      </c>
      <c r="F2256" s="3">
        <v>131.74</v>
      </c>
      <c r="G2256" s="3">
        <v>124.39</v>
      </c>
      <c r="H2256" s="3">
        <v>78.819999999999993</v>
      </c>
      <c r="I2256" s="2">
        <v>38.28</v>
      </c>
      <c r="J2256" s="2">
        <v>345.8</v>
      </c>
      <c r="K2256" s="2">
        <v>236.28</v>
      </c>
      <c r="L2256" s="3">
        <v>66.48</v>
      </c>
      <c r="M2256" s="2">
        <v>2.21</v>
      </c>
    </row>
    <row r="2257" spans="1:13">
      <c r="A2257" s="9">
        <v>42677</v>
      </c>
      <c r="B2257" s="1">
        <f t="shared" si="70"/>
        <v>42675</v>
      </c>
      <c r="C2257" s="5" t="str">
        <f t="shared" si="71"/>
        <v>2016-11</v>
      </c>
      <c r="D2257" s="3">
        <v>208.78</v>
      </c>
      <c r="E2257" s="3">
        <v>115</v>
      </c>
      <c r="F2257" s="3">
        <v>130.57</v>
      </c>
      <c r="G2257" s="3">
        <v>124.3</v>
      </c>
      <c r="H2257" s="3">
        <v>78.2</v>
      </c>
      <c r="I2257" s="2">
        <v>38.31</v>
      </c>
      <c r="J2257" s="2">
        <v>341.14</v>
      </c>
      <c r="K2257" s="2">
        <v>238.7</v>
      </c>
      <c r="L2257" s="3">
        <v>66.02</v>
      </c>
      <c r="M2257" s="2">
        <v>2.2400000000000002</v>
      </c>
    </row>
    <row r="2258" spans="1:13">
      <c r="A2258" s="9">
        <v>42676</v>
      </c>
      <c r="B2258" s="1">
        <f t="shared" si="70"/>
        <v>42675</v>
      </c>
      <c r="C2258" s="5" t="str">
        <f t="shared" si="71"/>
        <v>2016-11</v>
      </c>
      <c r="D2258" s="3">
        <v>209.74</v>
      </c>
      <c r="E2258" s="3">
        <v>115.56</v>
      </c>
      <c r="F2258" s="3">
        <v>131.58000000000001</v>
      </c>
      <c r="G2258" s="3">
        <v>123.64</v>
      </c>
      <c r="H2258" s="3">
        <v>78.81</v>
      </c>
      <c r="I2258" s="2">
        <v>38.03</v>
      </c>
      <c r="J2258" s="2">
        <v>338.61</v>
      </c>
      <c r="K2258" s="2">
        <v>245.11</v>
      </c>
      <c r="L2258" s="3">
        <v>66.650000000000006</v>
      </c>
      <c r="M2258" s="2">
        <v>2.2599999999999998</v>
      </c>
    </row>
    <row r="2259" spans="1:13">
      <c r="A2259" s="9">
        <v>42675</v>
      </c>
      <c r="B2259" s="1">
        <f t="shared" si="70"/>
        <v>42675</v>
      </c>
      <c r="C2259" s="5" t="str">
        <f t="shared" si="71"/>
        <v>2016-11</v>
      </c>
      <c r="D2259" s="3">
        <v>211.01</v>
      </c>
      <c r="E2259" s="3">
        <v>117.05</v>
      </c>
      <c r="F2259" s="3">
        <v>131.01</v>
      </c>
      <c r="G2259" s="3">
        <v>122.73</v>
      </c>
      <c r="H2259" s="3">
        <v>79.98</v>
      </c>
      <c r="I2259" s="2">
        <v>38.46</v>
      </c>
      <c r="J2259" s="2">
        <v>340.96</v>
      </c>
      <c r="K2259" s="2">
        <v>244.98</v>
      </c>
      <c r="L2259" s="3">
        <v>67</v>
      </c>
      <c r="M2259" s="2">
        <v>2.2799999999999998</v>
      </c>
    </row>
    <row r="2260" spans="1:13">
      <c r="A2260" s="9">
        <v>42674</v>
      </c>
      <c r="B2260" s="1">
        <f t="shared" si="70"/>
        <v>42644</v>
      </c>
      <c r="C2260" s="5" t="str">
        <f t="shared" si="71"/>
        <v>2016-10</v>
      </c>
      <c r="D2260" s="3">
        <v>212.55</v>
      </c>
      <c r="E2260" s="3">
        <v>118.5</v>
      </c>
      <c r="F2260" s="3">
        <v>131.25</v>
      </c>
      <c r="G2260" s="3">
        <v>121.94</v>
      </c>
      <c r="H2260" s="3">
        <v>81.760000000000005</v>
      </c>
      <c r="I2260" s="2">
        <v>38.42</v>
      </c>
      <c r="J2260" s="2">
        <v>341.24</v>
      </c>
      <c r="K2260" s="2">
        <v>246.38</v>
      </c>
      <c r="L2260" s="3">
        <v>67.36</v>
      </c>
      <c r="M2260" s="2">
        <v>2.37</v>
      </c>
    </row>
    <row r="2261" spans="1:13">
      <c r="A2261" s="9">
        <v>42671</v>
      </c>
      <c r="B2261" s="1">
        <f t="shared" si="70"/>
        <v>42644</v>
      </c>
      <c r="C2261" s="5" t="str">
        <f t="shared" si="71"/>
        <v>2016-10</v>
      </c>
      <c r="D2261" s="3">
        <v>212.54</v>
      </c>
      <c r="E2261" s="3">
        <v>118.03</v>
      </c>
      <c r="F2261" s="3">
        <v>130.44999999999999</v>
      </c>
      <c r="G2261" s="3">
        <v>121.58</v>
      </c>
      <c r="H2261" s="3">
        <v>80.45</v>
      </c>
      <c r="I2261" s="2">
        <v>38.17</v>
      </c>
      <c r="J2261" s="2">
        <v>339.69</v>
      </c>
      <c r="K2261" s="2">
        <v>248</v>
      </c>
      <c r="L2261" s="3">
        <v>67.78</v>
      </c>
      <c r="M2261" s="2">
        <v>2.44</v>
      </c>
    </row>
    <row r="2262" spans="1:13">
      <c r="A2262" s="9">
        <v>42670</v>
      </c>
      <c r="B2262" s="1">
        <f t="shared" si="70"/>
        <v>42644</v>
      </c>
      <c r="C2262" s="5" t="str">
        <f t="shared" si="71"/>
        <v>2016-10</v>
      </c>
      <c r="D2262" s="3">
        <v>213.17</v>
      </c>
      <c r="E2262" s="3">
        <v>118.36</v>
      </c>
      <c r="F2262" s="3">
        <v>130.74</v>
      </c>
      <c r="G2262" s="3">
        <v>121.01</v>
      </c>
      <c r="H2262" s="3">
        <v>80.260000000000005</v>
      </c>
      <c r="I2262" s="2">
        <v>38.22</v>
      </c>
      <c r="J2262" s="2">
        <v>340.28</v>
      </c>
      <c r="K2262" s="2">
        <v>248.53</v>
      </c>
      <c r="L2262" s="3">
        <v>69.28</v>
      </c>
      <c r="M2262" s="2">
        <v>2.21</v>
      </c>
    </row>
    <row r="2263" spans="1:13">
      <c r="A2263" s="9">
        <v>42669</v>
      </c>
      <c r="B2263" s="1">
        <f t="shared" si="70"/>
        <v>42644</v>
      </c>
      <c r="C2263" s="5" t="str">
        <f t="shared" si="71"/>
        <v>2016-10</v>
      </c>
      <c r="D2263" s="3">
        <v>213.74</v>
      </c>
      <c r="E2263" s="3">
        <v>119.73</v>
      </c>
      <c r="F2263" s="3">
        <v>132.18</v>
      </c>
      <c r="G2263" s="3">
        <v>120.79</v>
      </c>
      <c r="H2263" s="3">
        <v>82.42</v>
      </c>
      <c r="I2263" s="2">
        <v>38.31</v>
      </c>
      <c r="J2263" s="2">
        <v>340.15</v>
      </c>
      <c r="K2263" s="2">
        <v>250.09</v>
      </c>
      <c r="L2263" s="3">
        <v>68.959999999999994</v>
      </c>
      <c r="M2263" s="2">
        <v>2.2200000000000002</v>
      </c>
    </row>
    <row r="2264" spans="1:13">
      <c r="A2264" s="9">
        <v>42668</v>
      </c>
      <c r="B2264" s="1">
        <f t="shared" si="70"/>
        <v>42644</v>
      </c>
      <c r="C2264" s="5" t="str">
        <f t="shared" si="71"/>
        <v>2016-10</v>
      </c>
      <c r="D2264" s="3">
        <v>214.17</v>
      </c>
      <c r="E2264" s="3">
        <v>120.93</v>
      </c>
      <c r="F2264" s="3">
        <v>133.08000000000001</v>
      </c>
      <c r="G2264" s="3">
        <v>121.47</v>
      </c>
      <c r="H2264" s="3">
        <v>83.51</v>
      </c>
      <c r="I2264" s="2">
        <v>38.36</v>
      </c>
      <c r="J2264" s="2">
        <v>341.54</v>
      </c>
      <c r="K2264" s="2">
        <v>249.26</v>
      </c>
      <c r="L2264" s="3">
        <v>69.38</v>
      </c>
      <c r="M2264" s="2">
        <v>2.2000000000000002</v>
      </c>
    </row>
    <row r="2265" spans="1:13">
      <c r="A2265" s="9">
        <v>42667</v>
      </c>
      <c r="B2265" s="1">
        <f t="shared" si="70"/>
        <v>42644</v>
      </c>
      <c r="C2265" s="5" t="str">
        <f t="shared" si="71"/>
        <v>2016-10</v>
      </c>
      <c r="D2265" s="3">
        <v>214.89</v>
      </c>
      <c r="E2265" s="3">
        <v>121.84</v>
      </c>
      <c r="F2265" s="3">
        <v>132.72999999999999</v>
      </c>
      <c r="G2265" s="3">
        <v>120.56</v>
      </c>
      <c r="H2265" s="3">
        <v>83.66</v>
      </c>
      <c r="I2265" s="2">
        <v>38.270000000000003</v>
      </c>
      <c r="J2265" s="2">
        <v>343.14</v>
      </c>
      <c r="K2265" s="2">
        <v>232.16</v>
      </c>
      <c r="L2265" s="3">
        <v>69.58</v>
      </c>
      <c r="M2265" s="2">
        <v>2.17</v>
      </c>
    </row>
    <row r="2266" spans="1:13">
      <c r="A2266" s="9">
        <v>42664</v>
      </c>
      <c r="B2266" s="1">
        <f t="shared" si="70"/>
        <v>42644</v>
      </c>
      <c r="C2266" s="5" t="str">
        <f t="shared" si="71"/>
        <v>2016-10</v>
      </c>
      <c r="D2266" s="3">
        <v>213.98</v>
      </c>
      <c r="E2266" s="3">
        <v>121.07</v>
      </c>
      <c r="F2266" s="3">
        <v>133.31</v>
      </c>
      <c r="G2266" s="3">
        <v>120.83</v>
      </c>
      <c r="H2266" s="3">
        <v>83.47</v>
      </c>
      <c r="I2266" s="2">
        <v>37.93</v>
      </c>
      <c r="J2266" s="2">
        <v>345.55</v>
      </c>
      <c r="K2266" s="2">
        <v>230.52</v>
      </c>
      <c r="L2266" s="3">
        <v>69.709999999999994</v>
      </c>
      <c r="M2266" s="2">
        <v>2.15</v>
      </c>
    </row>
    <row r="2267" spans="1:13">
      <c r="A2267" s="9">
        <v>42663</v>
      </c>
      <c r="B2267" s="1">
        <f t="shared" si="70"/>
        <v>42644</v>
      </c>
      <c r="C2267" s="5" t="str">
        <f t="shared" si="71"/>
        <v>2016-10</v>
      </c>
      <c r="D2267" s="3">
        <v>213.88</v>
      </c>
      <c r="E2267" s="3">
        <v>121.13</v>
      </c>
      <c r="F2267" s="3">
        <v>133.11000000000001</v>
      </c>
      <c r="G2267" s="3">
        <v>120.74</v>
      </c>
      <c r="H2267" s="3">
        <v>83.78</v>
      </c>
      <c r="I2267" s="2">
        <v>38.090000000000003</v>
      </c>
      <c r="J2267" s="2">
        <v>349.17</v>
      </c>
      <c r="K2267" s="2">
        <v>231.83</v>
      </c>
      <c r="L2267" s="3">
        <v>70.290000000000006</v>
      </c>
      <c r="M2267" s="2">
        <v>2.19</v>
      </c>
    </row>
    <row r="2268" spans="1:13">
      <c r="A2268" s="9">
        <v>42662</v>
      </c>
      <c r="B2268" s="1">
        <f t="shared" si="70"/>
        <v>42644</v>
      </c>
      <c r="C2268" s="5" t="str">
        <f t="shared" si="71"/>
        <v>2016-10</v>
      </c>
      <c r="D2268" s="3">
        <v>214.28</v>
      </c>
      <c r="E2268" s="3">
        <v>121.49</v>
      </c>
      <c r="F2268" s="3">
        <v>132.97</v>
      </c>
      <c r="G2268" s="3">
        <v>121.11</v>
      </c>
      <c r="H2268" s="3">
        <v>83.97</v>
      </c>
      <c r="I2268" s="2">
        <v>38.35</v>
      </c>
      <c r="J2268" s="2">
        <v>352.72</v>
      </c>
      <c r="K2268" s="2">
        <v>232.33</v>
      </c>
      <c r="L2268" s="3">
        <v>69.959999999999994</v>
      </c>
      <c r="M2268" s="2">
        <v>2.2000000000000002</v>
      </c>
    </row>
    <row r="2269" spans="1:13">
      <c r="A2269" s="9">
        <v>42661</v>
      </c>
      <c r="B2269" s="1">
        <f t="shared" si="70"/>
        <v>42644</v>
      </c>
      <c r="C2269" s="5" t="str">
        <f t="shared" si="71"/>
        <v>2016-10</v>
      </c>
      <c r="D2269" s="3">
        <v>213.71</v>
      </c>
      <c r="E2269" s="3">
        <v>120.98</v>
      </c>
      <c r="F2269" s="3">
        <v>132.86000000000001</v>
      </c>
      <c r="G2269" s="3">
        <v>120.42</v>
      </c>
      <c r="H2269" s="3">
        <v>83.79</v>
      </c>
      <c r="I2269" s="2">
        <v>38.42</v>
      </c>
      <c r="J2269" s="2">
        <v>356.59</v>
      </c>
      <c r="K2269" s="2">
        <v>232.79</v>
      </c>
      <c r="L2269" s="3">
        <v>70.22</v>
      </c>
      <c r="M2269" s="2">
        <v>2.19</v>
      </c>
    </row>
    <row r="2270" spans="1:13">
      <c r="A2270" s="9">
        <v>42660</v>
      </c>
      <c r="B2270" s="1">
        <f t="shared" si="70"/>
        <v>42644</v>
      </c>
      <c r="C2270" s="5" t="str">
        <f t="shared" si="71"/>
        <v>2016-10</v>
      </c>
      <c r="D2270" s="3">
        <v>212.38</v>
      </c>
      <c r="E2270" s="3">
        <v>120.29</v>
      </c>
      <c r="F2270" s="3">
        <v>132.43</v>
      </c>
      <c r="G2270" s="3">
        <v>119.68</v>
      </c>
      <c r="H2270" s="3">
        <v>83.26</v>
      </c>
      <c r="I2270" s="2">
        <v>38.29</v>
      </c>
      <c r="J2270" s="2">
        <v>354.6</v>
      </c>
      <c r="K2270" s="2">
        <v>232.77</v>
      </c>
      <c r="L2270" s="3">
        <v>69.39</v>
      </c>
      <c r="M2270" s="2">
        <v>2.17</v>
      </c>
    </row>
    <row r="2271" spans="1:13">
      <c r="A2271" s="9">
        <v>42657</v>
      </c>
      <c r="B2271" s="1">
        <f t="shared" si="70"/>
        <v>42644</v>
      </c>
      <c r="C2271" s="5" t="str">
        <f t="shared" si="71"/>
        <v>2016-10</v>
      </c>
      <c r="D2271" s="3">
        <v>213.12</v>
      </c>
      <c r="E2271" s="3">
        <v>120.43</v>
      </c>
      <c r="F2271" s="3">
        <v>131.59</v>
      </c>
      <c r="G2271" s="3">
        <v>119.36</v>
      </c>
      <c r="H2271" s="3">
        <v>83.08</v>
      </c>
      <c r="I2271" s="2">
        <v>38.409999999999997</v>
      </c>
      <c r="J2271" s="2">
        <v>354.91</v>
      </c>
      <c r="K2271" s="2">
        <v>232.57</v>
      </c>
      <c r="L2271" s="3">
        <v>69.62</v>
      </c>
      <c r="M2271" s="2">
        <v>2.14</v>
      </c>
    </row>
    <row r="2272" spans="1:13">
      <c r="A2272" s="9">
        <v>42656</v>
      </c>
      <c r="B2272" s="1">
        <f t="shared" si="70"/>
        <v>42644</v>
      </c>
      <c r="C2272" s="5" t="str">
        <f t="shared" si="71"/>
        <v>2016-10</v>
      </c>
      <c r="D2272" s="3">
        <v>213.01</v>
      </c>
      <c r="E2272" s="3">
        <v>120.92</v>
      </c>
      <c r="F2272" s="3">
        <v>133.46</v>
      </c>
      <c r="G2272" s="3">
        <v>120.03</v>
      </c>
      <c r="H2272" s="3">
        <v>83.45</v>
      </c>
      <c r="I2272" s="2">
        <v>38.03</v>
      </c>
      <c r="J2272" s="2">
        <v>349.34</v>
      </c>
      <c r="K2272" s="2">
        <v>232.99</v>
      </c>
      <c r="L2272" s="3">
        <v>70.09</v>
      </c>
      <c r="M2272" s="2">
        <v>2.15</v>
      </c>
    </row>
    <row r="2273" spans="1:13">
      <c r="A2273" s="9">
        <v>42655</v>
      </c>
      <c r="B2273" s="1">
        <f t="shared" si="70"/>
        <v>42644</v>
      </c>
      <c r="C2273" s="5" t="str">
        <f t="shared" si="71"/>
        <v>2016-10</v>
      </c>
      <c r="D2273" s="3">
        <v>213.71</v>
      </c>
      <c r="E2273" s="3">
        <v>121.93</v>
      </c>
      <c r="F2273" s="3">
        <v>132.96</v>
      </c>
      <c r="G2273" s="3">
        <v>119.74</v>
      </c>
      <c r="H2273" s="3">
        <v>82.8</v>
      </c>
      <c r="I2273" s="2">
        <v>38.049999999999997</v>
      </c>
      <c r="J2273" s="2">
        <v>351.1</v>
      </c>
      <c r="K2273" s="2">
        <v>232.1</v>
      </c>
      <c r="L2273" s="3">
        <v>70.06</v>
      </c>
      <c r="M2273" s="2">
        <v>2.2200000000000002</v>
      </c>
    </row>
    <row r="2274" spans="1:13">
      <c r="A2274" s="9">
        <v>42654</v>
      </c>
      <c r="B2274" s="1">
        <f t="shared" si="70"/>
        <v>42644</v>
      </c>
      <c r="C2274" s="5" t="str">
        <f t="shared" si="71"/>
        <v>2016-10</v>
      </c>
      <c r="D2274" s="3">
        <v>213.43</v>
      </c>
      <c r="E2274" s="3">
        <v>122.03</v>
      </c>
      <c r="F2274" s="3">
        <v>132.83000000000001</v>
      </c>
      <c r="G2274" s="3">
        <v>119.55</v>
      </c>
      <c r="H2274" s="3">
        <v>81.86</v>
      </c>
      <c r="I2274" s="2">
        <v>38.01</v>
      </c>
      <c r="J2274" s="2">
        <v>351.87</v>
      </c>
      <c r="K2274" s="2">
        <v>231.85</v>
      </c>
      <c r="L2274" s="3">
        <v>70.39</v>
      </c>
      <c r="M2274" s="2">
        <v>2.2200000000000002</v>
      </c>
    </row>
    <row r="2275" spans="1:13">
      <c r="A2275" s="9">
        <v>42653</v>
      </c>
      <c r="B2275" s="1">
        <f t="shared" si="70"/>
        <v>42644</v>
      </c>
      <c r="C2275" s="5" t="str">
        <f t="shared" si="71"/>
        <v>2016-10</v>
      </c>
      <c r="D2275" s="3">
        <v>216.16</v>
      </c>
      <c r="E2275" s="3">
        <v>124.3</v>
      </c>
      <c r="F2275" s="3">
        <v>133.13</v>
      </c>
      <c r="G2275" s="3">
        <v>120.16</v>
      </c>
      <c r="H2275" s="3">
        <v>82.66</v>
      </c>
      <c r="I2275" s="2">
        <v>38.619999999999997</v>
      </c>
      <c r="J2275" s="2">
        <v>358.8</v>
      </c>
      <c r="K2275" s="2">
        <v>233.29</v>
      </c>
      <c r="L2275" s="3">
        <v>72.2</v>
      </c>
      <c r="M2275" s="2">
        <v>2.27</v>
      </c>
    </row>
    <row r="2276" spans="1:13">
      <c r="A2276" s="9">
        <v>42650</v>
      </c>
      <c r="B2276" s="1">
        <f t="shared" si="70"/>
        <v>42644</v>
      </c>
      <c r="C2276" s="5" t="str">
        <f t="shared" si="71"/>
        <v>2016-10</v>
      </c>
      <c r="D2276" s="3">
        <v>215.04</v>
      </c>
      <c r="E2276" s="3">
        <v>122.83</v>
      </c>
      <c r="F2276" s="3">
        <v>133.91999999999999</v>
      </c>
      <c r="G2276" s="3">
        <v>119.74</v>
      </c>
      <c r="H2276" s="3">
        <v>82.15</v>
      </c>
      <c r="I2276" s="2">
        <v>38.71</v>
      </c>
      <c r="J2276" s="2">
        <v>357.21</v>
      </c>
      <c r="K2276" s="2">
        <v>233.53</v>
      </c>
      <c r="L2276" s="3">
        <v>71.87</v>
      </c>
      <c r="M2276" s="2">
        <v>2.25</v>
      </c>
    </row>
    <row r="2277" spans="1:13">
      <c r="A2277" s="9">
        <v>42649</v>
      </c>
      <c r="B2277" s="1">
        <f t="shared" si="70"/>
        <v>42644</v>
      </c>
      <c r="C2277" s="5" t="str">
        <f t="shared" si="71"/>
        <v>2016-10</v>
      </c>
      <c r="D2277" s="3">
        <v>215.78</v>
      </c>
      <c r="E2277" s="3">
        <v>123.82</v>
      </c>
      <c r="F2277" s="3">
        <v>133.83000000000001</v>
      </c>
      <c r="G2277" s="3">
        <v>119.66</v>
      </c>
      <c r="H2277" s="3">
        <v>82.29</v>
      </c>
      <c r="I2277" s="2">
        <v>38.869999999999997</v>
      </c>
      <c r="J2277" s="2">
        <v>356.8</v>
      </c>
      <c r="K2277" s="2">
        <v>234.72</v>
      </c>
      <c r="L2277" s="3">
        <v>71.92</v>
      </c>
      <c r="M2277" s="2">
        <v>2.2999999999999998</v>
      </c>
    </row>
    <row r="2278" spans="1:13">
      <c r="A2278" s="9">
        <v>42648</v>
      </c>
      <c r="B2278" s="1">
        <f t="shared" si="70"/>
        <v>42644</v>
      </c>
      <c r="C2278" s="5" t="str">
        <f t="shared" si="71"/>
        <v>2016-10</v>
      </c>
      <c r="D2278" s="3">
        <v>215.63</v>
      </c>
      <c r="E2278" s="3">
        <v>123.95</v>
      </c>
      <c r="F2278" s="3">
        <v>134.58000000000001</v>
      </c>
      <c r="G2278" s="3">
        <v>120.78</v>
      </c>
      <c r="H2278" s="3">
        <v>82.26</v>
      </c>
      <c r="I2278" s="2">
        <v>39.15</v>
      </c>
      <c r="J2278" s="2">
        <v>358.24</v>
      </c>
      <c r="K2278" s="2">
        <v>236.6</v>
      </c>
      <c r="L2278" s="3">
        <v>72.19</v>
      </c>
      <c r="M2278" s="2">
        <v>2.3199999999999998</v>
      </c>
    </row>
    <row r="2279" spans="1:13">
      <c r="A2279" s="9">
        <v>42647</v>
      </c>
      <c r="B2279" s="1">
        <f t="shared" si="70"/>
        <v>42644</v>
      </c>
      <c r="C2279" s="5" t="str">
        <f t="shared" si="71"/>
        <v>2016-10</v>
      </c>
      <c r="D2279" s="3">
        <v>214.68</v>
      </c>
      <c r="E2279" s="3">
        <v>123.21</v>
      </c>
      <c r="F2279" s="3">
        <v>135.21</v>
      </c>
      <c r="G2279" s="3">
        <v>120.97</v>
      </c>
      <c r="H2279" s="3">
        <v>83.96</v>
      </c>
      <c r="I2279" s="2">
        <v>38.869999999999997</v>
      </c>
      <c r="J2279" s="2">
        <v>356.03</v>
      </c>
      <c r="K2279" s="2">
        <v>237.1</v>
      </c>
      <c r="L2279" s="3">
        <v>71.91</v>
      </c>
      <c r="M2279" s="2">
        <v>2.2999999999999998</v>
      </c>
    </row>
    <row r="2280" spans="1:13">
      <c r="A2280" s="9">
        <v>42646</v>
      </c>
      <c r="B2280" s="1">
        <f t="shared" si="70"/>
        <v>42644</v>
      </c>
      <c r="C2280" s="5" t="str">
        <f t="shared" si="71"/>
        <v>2016-10</v>
      </c>
      <c r="D2280" s="3">
        <v>215.78</v>
      </c>
      <c r="E2280" s="3">
        <v>123.82</v>
      </c>
      <c r="F2280" s="3">
        <v>136.81</v>
      </c>
      <c r="G2280" s="3">
        <v>125.32</v>
      </c>
      <c r="H2280" s="3">
        <v>85.12</v>
      </c>
      <c r="I2280" s="2">
        <v>38.99</v>
      </c>
      <c r="J2280" s="2">
        <v>360.07</v>
      </c>
      <c r="K2280" s="2">
        <v>240.58</v>
      </c>
      <c r="L2280" s="3">
        <v>72.05</v>
      </c>
      <c r="M2280" s="2">
        <v>2.35</v>
      </c>
    </row>
    <row r="2281" spans="1:13">
      <c r="A2281" s="9">
        <v>42643</v>
      </c>
      <c r="B2281" s="1">
        <f t="shared" si="70"/>
        <v>42614</v>
      </c>
      <c r="C2281" s="5" t="str">
        <f t="shared" si="71"/>
        <v>2016-09</v>
      </c>
      <c r="D2281" s="3">
        <v>216.3</v>
      </c>
      <c r="E2281" s="3">
        <v>124.21</v>
      </c>
      <c r="F2281" s="3">
        <v>137.51</v>
      </c>
      <c r="G2281" s="3">
        <v>125.64</v>
      </c>
      <c r="H2281" s="3">
        <v>86.74</v>
      </c>
      <c r="I2281" s="2">
        <v>39.28</v>
      </c>
      <c r="J2281" s="2">
        <v>362.46</v>
      </c>
      <c r="K2281" s="2">
        <v>239.72</v>
      </c>
      <c r="L2281" s="3">
        <v>72.11</v>
      </c>
      <c r="M2281" s="2">
        <v>2.34</v>
      </c>
    </row>
    <row r="2282" spans="1:13">
      <c r="A2282" s="9">
        <v>42642</v>
      </c>
      <c r="B2282" s="1">
        <f t="shared" si="70"/>
        <v>42614</v>
      </c>
      <c r="C2282" s="5" t="str">
        <f t="shared" si="71"/>
        <v>2016-09</v>
      </c>
      <c r="D2282" s="3">
        <v>214.68</v>
      </c>
      <c r="E2282" s="3">
        <v>122.86</v>
      </c>
      <c r="F2282" s="3">
        <v>138.75</v>
      </c>
      <c r="G2282" s="3">
        <v>126.07</v>
      </c>
      <c r="H2282" s="3">
        <v>87.34</v>
      </c>
      <c r="I2282" s="2">
        <v>39.119999999999997</v>
      </c>
      <c r="J2282" s="2">
        <v>357.23</v>
      </c>
      <c r="K2282" s="2">
        <v>242.34</v>
      </c>
      <c r="L2282" s="3">
        <v>71.38</v>
      </c>
      <c r="M2282" s="2">
        <v>2.3199999999999998</v>
      </c>
    </row>
    <row r="2283" spans="1:13">
      <c r="A2283" s="9">
        <v>42641</v>
      </c>
      <c r="B2283" s="1">
        <f t="shared" si="70"/>
        <v>42614</v>
      </c>
      <c r="C2283" s="5" t="str">
        <f t="shared" si="71"/>
        <v>2016-09</v>
      </c>
      <c r="D2283" s="3">
        <v>216.64</v>
      </c>
      <c r="E2283" s="3">
        <v>124.68</v>
      </c>
      <c r="F2283" s="3">
        <v>138.4</v>
      </c>
      <c r="G2283" s="3">
        <v>126.22</v>
      </c>
      <c r="H2283" s="3">
        <v>88.52</v>
      </c>
      <c r="I2283" s="2">
        <v>39.44</v>
      </c>
      <c r="J2283" s="2">
        <v>361.68</v>
      </c>
      <c r="K2283" s="2">
        <v>245.75</v>
      </c>
      <c r="L2283" s="3">
        <v>72.66</v>
      </c>
      <c r="M2283" s="2">
        <v>2.36</v>
      </c>
    </row>
    <row r="2284" spans="1:13">
      <c r="A2284" s="9">
        <v>42640</v>
      </c>
      <c r="B2284" s="1">
        <f t="shared" si="70"/>
        <v>42614</v>
      </c>
      <c r="C2284" s="5" t="str">
        <f t="shared" si="71"/>
        <v>2016-09</v>
      </c>
      <c r="D2284" s="3">
        <v>215.57</v>
      </c>
      <c r="E2284" s="3">
        <v>123.73</v>
      </c>
      <c r="F2284" s="3">
        <v>138.69999999999999</v>
      </c>
      <c r="G2284" s="3">
        <v>126.62</v>
      </c>
      <c r="H2284" s="3">
        <v>87.8</v>
      </c>
      <c r="I2284" s="2">
        <v>39.299999999999997</v>
      </c>
      <c r="J2284" s="2">
        <v>361.79</v>
      </c>
      <c r="K2284" s="2">
        <v>245.79</v>
      </c>
      <c r="L2284" s="3">
        <v>72.77</v>
      </c>
      <c r="M2284" s="2">
        <v>2.35</v>
      </c>
    </row>
    <row r="2285" spans="1:13">
      <c r="A2285" s="9">
        <v>42639</v>
      </c>
      <c r="B2285" s="1">
        <f t="shared" si="70"/>
        <v>42614</v>
      </c>
      <c r="C2285" s="5" t="str">
        <f t="shared" si="71"/>
        <v>2016-09</v>
      </c>
      <c r="D2285" s="3">
        <v>214.24</v>
      </c>
      <c r="E2285" s="3">
        <v>123.23</v>
      </c>
      <c r="F2285" s="3">
        <v>137.69</v>
      </c>
      <c r="G2285" s="3">
        <v>127.55</v>
      </c>
      <c r="H2285" s="3">
        <v>88.74</v>
      </c>
      <c r="I2285" s="2">
        <v>39.03</v>
      </c>
      <c r="J2285" s="2">
        <v>360.7</v>
      </c>
      <c r="K2285" s="2">
        <v>245.53</v>
      </c>
      <c r="L2285" s="3">
        <v>72.260000000000005</v>
      </c>
      <c r="M2285" s="2">
        <v>2.34</v>
      </c>
    </row>
    <row r="2286" spans="1:13">
      <c r="A2286" s="9">
        <v>42636</v>
      </c>
      <c r="B2286" s="1">
        <f t="shared" si="70"/>
        <v>42614</v>
      </c>
      <c r="C2286" s="5" t="str">
        <f t="shared" si="71"/>
        <v>2016-09</v>
      </c>
      <c r="D2286" s="3">
        <v>215.99</v>
      </c>
      <c r="E2286" s="3">
        <v>124.81</v>
      </c>
      <c r="F2286" s="3">
        <v>136.82</v>
      </c>
      <c r="G2286" s="3">
        <v>127.65</v>
      </c>
      <c r="H2286" s="3">
        <v>88.53</v>
      </c>
      <c r="I2286" s="2">
        <v>39.229999999999997</v>
      </c>
      <c r="J2286" s="2">
        <v>365.65</v>
      </c>
      <c r="K2286" s="2">
        <v>245.84</v>
      </c>
      <c r="L2286" s="3">
        <v>73.11</v>
      </c>
      <c r="M2286" s="2">
        <v>2.35</v>
      </c>
    </row>
    <row r="2287" spans="1:13">
      <c r="A2287" s="9">
        <v>42635</v>
      </c>
      <c r="B2287" s="1">
        <f t="shared" si="70"/>
        <v>42614</v>
      </c>
      <c r="C2287" s="5" t="str">
        <f t="shared" si="71"/>
        <v>2016-09</v>
      </c>
      <c r="D2287" s="3">
        <v>217.18</v>
      </c>
      <c r="E2287" s="3">
        <v>125.7</v>
      </c>
      <c r="F2287" s="3">
        <v>136.94999999999999</v>
      </c>
      <c r="G2287" s="3">
        <v>127.57</v>
      </c>
      <c r="H2287" s="3">
        <v>88.26</v>
      </c>
      <c r="I2287" s="2">
        <v>39.51</v>
      </c>
      <c r="J2287" s="2">
        <v>373.87</v>
      </c>
      <c r="K2287" s="2">
        <v>246.62</v>
      </c>
      <c r="L2287" s="3">
        <v>73.34</v>
      </c>
      <c r="M2287" s="2">
        <v>2.2799999999999998</v>
      </c>
    </row>
    <row r="2288" spans="1:13">
      <c r="A2288" s="9">
        <v>42634</v>
      </c>
      <c r="B2288" s="1">
        <f t="shared" si="70"/>
        <v>42614</v>
      </c>
      <c r="C2288" s="5" t="str">
        <f t="shared" si="71"/>
        <v>2016-09</v>
      </c>
      <c r="D2288" s="3">
        <v>215.82</v>
      </c>
      <c r="E2288" s="3">
        <v>123.92</v>
      </c>
      <c r="F2288" s="3">
        <v>135.87</v>
      </c>
      <c r="G2288" s="3">
        <v>127.27</v>
      </c>
      <c r="H2288" s="3">
        <v>86.71</v>
      </c>
      <c r="I2288" s="2">
        <v>39.51</v>
      </c>
      <c r="J2288" s="2">
        <v>370.37</v>
      </c>
      <c r="K2288" s="2">
        <v>243.82</v>
      </c>
      <c r="L2288" s="3">
        <v>72.790000000000006</v>
      </c>
      <c r="M2288" s="2">
        <v>2.27</v>
      </c>
    </row>
    <row r="2289" spans="1:13">
      <c r="A2289" s="9">
        <v>42633</v>
      </c>
      <c r="B2289" s="1">
        <f t="shared" si="70"/>
        <v>42614</v>
      </c>
      <c r="C2289" s="5" t="str">
        <f t="shared" si="71"/>
        <v>2016-09</v>
      </c>
      <c r="D2289" s="3">
        <v>213.42</v>
      </c>
      <c r="E2289" s="3">
        <v>122.15</v>
      </c>
      <c r="F2289" s="3">
        <v>134.78</v>
      </c>
      <c r="G2289" s="3">
        <v>125.44</v>
      </c>
      <c r="H2289" s="3">
        <v>85.61</v>
      </c>
      <c r="I2289" s="2">
        <v>39.07</v>
      </c>
      <c r="J2289" s="2">
        <v>365.71</v>
      </c>
      <c r="K2289" s="2">
        <v>240.48</v>
      </c>
      <c r="L2289" s="3">
        <v>72.069999999999993</v>
      </c>
      <c r="M2289" s="2">
        <v>2.21</v>
      </c>
    </row>
    <row r="2290" spans="1:13">
      <c r="A2290" s="9">
        <v>42632</v>
      </c>
      <c r="B2290" s="1">
        <f t="shared" si="70"/>
        <v>42614</v>
      </c>
      <c r="C2290" s="5" t="str">
        <f t="shared" si="71"/>
        <v>2016-09</v>
      </c>
      <c r="D2290" s="3">
        <v>213.41</v>
      </c>
      <c r="E2290" s="3">
        <v>122.67</v>
      </c>
      <c r="F2290" s="3">
        <v>134.31</v>
      </c>
      <c r="G2290" s="3">
        <v>125.32</v>
      </c>
      <c r="H2290" s="3">
        <v>85.74</v>
      </c>
      <c r="I2290" s="2">
        <v>39.229999999999997</v>
      </c>
      <c r="J2290" s="2">
        <v>367.96</v>
      </c>
      <c r="K2290" s="2">
        <v>240.88</v>
      </c>
      <c r="L2290" s="3">
        <v>71.849999999999994</v>
      </c>
      <c r="M2290" s="2">
        <v>2.17</v>
      </c>
    </row>
    <row r="2291" spans="1:13">
      <c r="A2291" s="9">
        <v>42629</v>
      </c>
      <c r="B2291" s="1">
        <f t="shared" si="70"/>
        <v>42614</v>
      </c>
      <c r="C2291" s="5" t="str">
        <f t="shared" si="71"/>
        <v>2016-09</v>
      </c>
      <c r="D2291" s="3">
        <v>213.37</v>
      </c>
      <c r="E2291" s="3">
        <v>121.86</v>
      </c>
      <c r="F2291" s="3">
        <v>134.75</v>
      </c>
      <c r="G2291" s="3">
        <v>125.06</v>
      </c>
      <c r="H2291" s="3">
        <v>84.97</v>
      </c>
      <c r="I2291" s="2">
        <v>38.92</v>
      </c>
      <c r="J2291" s="2">
        <v>365.97</v>
      </c>
      <c r="K2291" s="2">
        <v>237.45</v>
      </c>
      <c r="L2291" s="3">
        <v>72.11</v>
      </c>
      <c r="M2291" s="2">
        <v>2.14</v>
      </c>
    </row>
    <row r="2292" spans="1:13">
      <c r="A2292" s="9">
        <v>42628</v>
      </c>
      <c r="B2292" s="1">
        <f t="shared" si="70"/>
        <v>42614</v>
      </c>
      <c r="C2292" s="5" t="str">
        <f t="shared" si="71"/>
        <v>2016-09</v>
      </c>
      <c r="D2292" s="3">
        <v>215.28</v>
      </c>
      <c r="E2292" s="3">
        <v>122.04</v>
      </c>
      <c r="F2292" s="3">
        <v>133.66999999999999</v>
      </c>
      <c r="G2292" s="3">
        <v>125.37</v>
      </c>
      <c r="H2292" s="3">
        <v>84.93</v>
      </c>
      <c r="I2292" s="2">
        <v>40.86</v>
      </c>
      <c r="J2292" s="2">
        <v>365.5</v>
      </c>
      <c r="K2292" s="2">
        <v>239.09</v>
      </c>
      <c r="L2292" s="3">
        <v>72.34</v>
      </c>
      <c r="M2292" s="2">
        <v>2.19</v>
      </c>
    </row>
    <row r="2293" spans="1:13">
      <c r="A2293" s="9">
        <v>42627</v>
      </c>
      <c r="B2293" s="1">
        <f t="shared" si="70"/>
        <v>42614</v>
      </c>
      <c r="C2293" s="5" t="str">
        <f t="shared" si="71"/>
        <v>2016-09</v>
      </c>
      <c r="D2293" s="3">
        <v>213.15</v>
      </c>
      <c r="E2293" s="3">
        <v>120.6</v>
      </c>
      <c r="F2293" s="3">
        <v>134.25</v>
      </c>
      <c r="G2293" s="3">
        <v>126.18</v>
      </c>
      <c r="H2293" s="3">
        <v>84.61</v>
      </c>
      <c r="I2293" s="2">
        <v>40.25</v>
      </c>
      <c r="J2293" s="2">
        <v>360.7</v>
      </c>
      <c r="K2293" s="2">
        <v>237.41</v>
      </c>
      <c r="L2293" s="3">
        <v>71.599999999999994</v>
      </c>
      <c r="M2293" s="2">
        <v>2.15</v>
      </c>
    </row>
    <row r="2294" spans="1:13">
      <c r="A2294" s="9">
        <v>42626</v>
      </c>
      <c r="B2294" s="1">
        <f t="shared" si="70"/>
        <v>42614</v>
      </c>
      <c r="C2294" s="5" t="str">
        <f t="shared" si="71"/>
        <v>2016-09</v>
      </c>
      <c r="D2294" s="3">
        <v>213.23</v>
      </c>
      <c r="E2294" s="3">
        <v>120.58</v>
      </c>
      <c r="F2294" s="3">
        <v>134.05000000000001</v>
      </c>
      <c r="G2294" s="3">
        <v>125.75</v>
      </c>
      <c r="H2294" s="3">
        <v>84.34</v>
      </c>
      <c r="I2294" s="2">
        <v>40.18</v>
      </c>
      <c r="J2294" s="2">
        <v>360.91</v>
      </c>
      <c r="K2294" s="2">
        <v>237.41</v>
      </c>
      <c r="L2294" s="3">
        <v>71.599999999999994</v>
      </c>
      <c r="M2294" s="2">
        <v>2.14</v>
      </c>
    </row>
    <row r="2295" spans="1:13">
      <c r="A2295" s="9">
        <v>42625</v>
      </c>
      <c r="B2295" s="1">
        <f t="shared" si="70"/>
        <v>42614</v>
      </c>
      <c r="C2295" s="5" t="str">
        <f t="shared" si="71"/>
        <v>2016-09</v>
      </c>
      <c r="D2295" s="3">
        <v>216.34</v>
      </c>
      <c r="E2295" s="3">
        <v>122.94</v>
      </c>
      <c r="F2295" s="3">
        <v>135.59</v>
      </c>
      <c r="G2295" s="3">
        <v>126.59</v>
      </c>
      <c r="H2295" s="3">
        <v>87.11</v>
      </c>
      <c r="I2295" s="2">
        <v>40.68</v>
      </c>
      <c r="J2295" s="2">
        <v>368.1</v>
      </c>
      <c r="K2295" s="2">
        <v>238.8</v>
      </c>
      <c r="L2295" s="3">
        <v>72.569999999999993</v>
      </c>
      <c r="M2295" s="2">
        <v>2.14</v>
      </c>
    </row>
    <row r="2296" spans="1:13">
      <c r="A2296" s="9">
        <v>42622</v>
      </c>
      <c r="B2296" s="1">
        <f t="shared" si="70"/>
        <v>42614</v>
      </c>
      <c r="C2296" s="5" t="str">
        <f t="shared" si="71"/>
        <v>2016-09</v>
      </c>
      <c r="D2296" s="3">
        <v>213.28</v>
      </c>
      <c r="E2296" s="3">
        <v>121.25</v>
      </c>
      <c r="F2296" s="3">
        <v>135.52000000000001</v>
      </c>
      <c r="G2296" s="3">
        <v>126.75</v>
      </c>
      <c r="H2296" s="3">
        <v>86.09</v>
      </c>
      <c r="I2296" s="2">
        <v>40.03</v>
      </c>
      <c r="J2296" s="2">
        <v>362.18</v>
      </c>
      <c r="K2296" s="2">
        <v>237.94</v>
      </c>
      <c r="L2296" s="3">
        <v>71.510000000000005</v>
      </c>
      <c r="M2296" s="2">
        <v>2.11</v>
      </c>
    </row>
    <row r="2297" spans="1:13">
      <c r="A2297" s="9">
        <v>42621</v>
      </c>
      <c r="B2297" s="1">
        <f t="shared" si="70"/>
        <v>42614</v>
      </c>
      <c r="C2297" s="5" t="str">
        <f t="shared" si="71"/>
        <v>2016-09</v>
      </c>
      <c r="D2297" s="3">
        <v>218.51</v>
      </c>
      <c r="E2297" s="3">
        <v>125.16</v>
      </c>
      <c r="F2297" s="3">
        <v>137.79</v>
      </c>
      <c r="G2297" s="3">
        <v>127.59</v>
      </c>
      <c r="H2297" s="3">
        <v>89.64</v>
      </c>
      <c r="I2297" s="2">
        <v>40.72</v>
      </c>
      <c r="J2297" s="2">
        <v>372.38</v>
      </c>
      <c r="K2297" s="2">
        <v>241.63</v>
      </c>
      <c r="L2297" s="3">
        <v>72.97</v>
      </c>
      <c r="M2297" s="2">
        <v>2.15</v>
      </c>
    </row>
    <row r="2298" spans="1:13">
      <c r="A2298" s="9">
        <v>42620</v>
      </c>
      <c r="B2298" s="1">
        <f t="shared" si="70"/>
        <v>42614</v>
      </c>
      <c r="C2298" s="5" t="str">
        <f t="shared" si="71"/>
        <v>2016-09</v>
      </c>
      <c r="D2298" s="3">
        <v>219.01</v>
      </c>
      <c r="E2298" s="3">
        <v>125.41</v>
      </c>
      <c r="F2298" s="3">
        <v>139.54</v>
      </c>
      <c r="G2298" s="3">
        <v>128.27000000000001</v>
      </c>
      <c r="H2298" s="3">
        <v>90.75</v>
      </c>
      <c r="I2298" s="2">
        <v>41.25</v>
      </c>
      <c r="J2298" s="2">
        <v>373.54</v>
      </c>
      <c r="K2298" s="2">
        <v>241.37</v>
      </c>
      <c r="L2298" s="3">
        <v>72.91</v>
      </c>
      <c r="M2298" s="2">
        <v>2.19</v>
      </c>
    </row>
    <row r="2299" spans="1:13">
      <c r="A2299" s="9">
        <v>42619</v>
      </c>
      <c r="B2299" s="1">
        <f t="shared" si="70"/>
        <v>42614</v>
      </c>
      <c r="C2299" s="5" t="str">
        <f t="shared" si="71"/>
        <v>2016-09</v>
      </c>
      <c r="D2299" s="3">
        <v>219.0308</v>
      </c>
      <c r="E2299" s="3">
        <v>124.6292</v>
      </c>
      <c r="F2299" s="3">
        <v>139.63999999999999</v>
      </c>
      <c r="G2299" s="3">
        <v>128.71</v>
      </c>
      <c r="H2299" s="3">
        <v>90.21</v>
      </c>
      <c r="I2299" s="2">
        <v>41.25</v>
      </c>
      <c r="J2299" s="2">
        <v>371.59</v>
      </c>
      <c r="K2299" s="2">
        <v>243</v>
      </c>
      <c r="L2299" s="3">
        <v>72.91</v>
      </c>
      <c r="M2299" s="2">
        <v>2.2000000000000002</v>
      </c>
    </row>
    <row r="2300" spans="1:13">
      <c r="A2300" s="9">
        <v>42615</v>
      </c>
      <c r="B2300" s="1">
        <f t="shared" si="70"/>
        <v>42614</v>
      </c>
      <c r="C2300" s="5" t="str">
        <f t="shared" si="71"/>
        <v>2016-09</v>
      </c>
      <c r="D2300" s="3">
        <v>218.37</v>
      </c>
      <c r="E2300" s="3">
        <v>124.51</v>
      </c>
      <c r="F2300" s="3">
        <v>138.63</v>
      </c>
      <c r="G2300" s="3">
        <v>126.57</v>
      </c>
      <c r="H2300" s="3">
        <v>89.52</v>
      </c>
      <c r="I2300" s="2">
        <v>41.25</v>
      </c>
      <c r="J2300" s="2">
        <v>373.85</v>
      </c>
      <c r="K2300" s="2">
        <v>243.32</v>
      </c>
      <c r="L2300" s="3">
        <v>72.650000000000006</v>
      </c>
      <c r="M2300" s="2">
        <v>2.2200000000000002</v>
      </c>
    </row>
    <row r="2301" spans="1:13">
      <c r="A2301" s="9">
        <v>42614</v>
      </c>
      <c r="B2301" s="1">
        <f t="shared" si="70"/>
        <v>42614</v>
      </c>
      <c r="C2301" s="5" t="str">
        <f t="shared" si="71"/>
        <v>2016-09</v>
      </c>
      <c r="D2301" s="3">
        <v>217.39</v>
      </c>
      <c r="E2301" s="3">
        <v>123.32</v>
      </c>
      <c r="F2301" s="3">
        <v>139.77000000000001</v>
      </c>
      <c r="G2301" s="3">
        <v>125.29</v>
      </c>
      <c r="H2301" s="3">
        <v>88.75</v>
      </c>
      <c r="I2301" s="2">
        <v>41.16</v>
      </c>
      <c r="J2301" s="2">
        <v>372.17</v>
      </c>
      <c r="K2301" s="2">
        <v>243.61</v>
      </c>
      <c r="L2301" s="3">
        <v>72.569999999999993</v>
      </c>
      <c r="M2301" s="2">
        <v>2.21</v>
      </c>
    </row>
    <row r="2302" spans="1:13">
      <c r="A2302" s="9">
        <v>42613</v>
      </c>
      <c r="B2302" s="1">
        <f t="shared" si="70"/>
        <v>42583</v>
      </c>
      <c r="C2302" s="5" t="str">
        <f t="shared" si="71"/>
        <v>2016-08</v>
      </c>
      <c r="D2302" s="3">
        <v>217.38</v>
      </c>
      <c r="E2302" s="3">
        <v>123.23</v>
      </c>
      <c r="F2302" s="3">
        <v>139.87</v>
      </c>
      <c r="G2302" s="3">
        <v>124.78</v>
      </c>
      <c r="H2302" s="3">
        <v>88.97</v>
      </c>
      <c r="I2302" s="2">
        <v>41.22</v>
      </c>
      <c r="J2302" s="2">
        <v>372.81</v>
      </c>
      <c r="K2302" s="2">
        <v>242.97</v>
      </c>
      <c r="L2302" s="3">
        <v>72.760000000000005</v>
      </c>
      <c r="M2302" s="2">
        <v>2.16</v>
      </c>
    </row>
    <row r="2303" spans="1:13">
      <c r="A2303" s="9">
        <v>42612</v>
      </c>
      <c r="B2303" s="1">
        <f t="shared" si="70"/>
        <v>42583</v>
      </c>
      <c r="C2303" s="5" t="str">
        <f t="shared" si="71"/>
        <v>2016-08</v>
      </c>
      <c r="D2303" s="3">
        <v>218</v>
      </c>
      <c r="E2303" s="3">
        <v>123.93</v>
      </c>
      <c r="F2303" s="3">
        <v>139.66999999999999</v>
      </c>
      <c r="G2303" s="3">
        <v>125.03</v>
      </c>
      <c r="H2303" s="3">
        <v>88.88</v>
      </c>
      <c r="I2303" s="2">
        <v>41.31</v>
      </c>
      <c r="J2303" s="2">
        <v>376</v>
      </c>
      <c r="K2303" s="2">
        <v>239.45</v>
      </c>
      <c r="L2303" s="3">
        <v>72.98</v>
      </c>
      <c r="M2303" s="2">
        <v>2.21</v>
      </c>
    </row>
    <row r="2304" spans="1:13">
      <c r="A2304" s="9">
        <v>42611</v>
      </c>
      <c r="B2304" s="1">
        <f t="shared" si="70"/>
        <v>42583</v>
      </c>
      <c r="C2304" s="5" t="str">
        <f t="shared" si="71"/>
        <v>2016-08</v>
      </c>
      <c r="D2304" s="3">
        <v>218.36080000000001</v>
      </c>
      <c r="E2304" s="3">
        <v>123.7</v>
      </c>
      <c r="F2304" s="3">
        <v>140.21</v>
      </c>
      <c r="G2304" s="3">
        <v>126.3</v>
      </c>
      <c r="H2304" s="3">
        <v>89.05</v>
      </c>
      <c r="I2304" s="2">
        <v>41.31</v>
      </c>
      <c r="J2304" s="2">
        <v>373.8</v>
      </c>
      <c r="K2304" s="2">
        <v>244.3</v>
      </c>
      <c r="L2304" s="3">
        <v>73.23</v>
      </c>
      <c r="M2304" s="2">
        <v>2.17</v>
      </c>
    </row>
    <row r="2305" spans="1:13">
      <c r="A2305" s="9">
        <v>42608</v>
      </c>
      <c r="B2305" s="1">
        <f t="shared" si="70"/>
        <v>42583</v>
      </c>
      <c r="C2305" s="5" t="str">
        <f t="shared" si="71"/>
        <v>2016-08</v>
      </c>
      <c r="D2305" s="3">
        <v>217.29</v>
      </c>
      <c r="E2305" s="3">
        <v>123.06</v>
      </c>
      <c r="F2305" s="3">
        <v>138.36000000000001</v>
      </c>
      <c r="G2305" s="3">
        <v>126.05</v>
      </c>
      <c r="H2305" s="3">
        <v>88.18</v>
      </c>
      <c r="I2305" s="2">
        <v>41.26</v>
      </c>
      <c r="J2305" s="2">
        <v>371.09</v>
      </c>
      <c r="K2305" s="2">
        <v>244.44</v>
      </c>
      <c r="L2305" s="3">
        <v>73.069999999999993</v>
      </c>
      <c r="M2305" s="2">
        <v>2.14</v>
      </c>
    </row>
    <row r="2306" spans="1:13">
      <c r="A2306" s="9">
        <v>42607</v>
      </c>
      <c r="B2306" s="1">
        <f t="shared" ref="B2306:B2369" si="72">EOMONTH(A2306,-1)+1</f>
        <v>42583</v>
      </c>
      <c r="C2306" s="5" t="str">
        <f t="shared" si="71"/>
        <v>2016-08</v>
      </c>
      <c r="D2306" s="3">
        <v>217.7</v>
      </c>
      <c r="E2306" s="3">
        <v>123.31</v>
      </c>
      <c r="F2306" s="3">
        <v>139.16999999999999</v>
      </c>
      <c r="G2306" s="3">
        <v>126.23</v>
      </c>
      <c r="H2306" s="3">
        <v>89.06</v>
      </c>
      <c r="I2306" s="2">
        <v>41.1</v>
      </c>
      <c r="J2306" s="2">
        <v>368.5</v>
      </c>
      <c r="K2306" s="2">
        <v>248.53</v>
      </c>
      <c r="L2306" s="3">
        <v>72.790000000000006</v>
      </c>
      <c r="M2306" s="2">
        <v>2.1800000000000002</v>
      </c>
    </row>
    <row r="2307" spans="1:13">
      <c r="A2307" s="9">
        <v>42606</v>
      </c>
      <c r="B2307" s="1">
        <f t="shared" si="72"/>
        <v>42583</v>
      </c>
      <c r="C2307" s="5" t="str">
        <f t="shared" ref="C2307:C2370" si="73">TEXT(A2307, "yyyy-mm")</f>
        <v>2016-08</v>
      </c>
      <c r="D2307" s="3">
        <v>217.85</v>
      </c>
      <c r="E2307" s="3">
        <v>123.07</v>
      </c>
      <c r="F2307" s="3">
        <v>139.69999999999999</v>
      </c>
      <c r="G2307" s="3">
        <v>126.34</v>
      </c>
      <c r="H2307" s="3">
        <v>88.66</v>
      </c>
      <c r="I2307" s="2">
        <v>41.07</v>
      </c>
      <c r="J2307" s="2">
        <v>369.12</v>
      </c>
      <c r="K2307" s="2">
        <v>248.12</v>
      </c>
      <c r="L2307" s="3">
        <v>73.41</v>
      </c>
      <c r="M2307" s="2">
        <v>2.17</v>
      </c>
    </row>
    <row r="2308" spans="1:13">
      <c r="A2308" s="9">
        <v>42605</v>
      </c>
      <c r="B2308" s="1">
        <f t="shared" si="72"/>
        <v>42583</v>
      </c>
      <c r="C2308" s="5" t="str">
        <f t="shared" si="73"/>
        <v>2016-08</v>
      </c>
      <c r="D2308" s="3">
        <v>218.97</v>
      </c>
      <c r="E2308" s="3">
        <v>124.08</v>
      </c>
      <c r="F2308" s="3">
        <v>140.03</v>
      </c>
      <c r="G2308" s="3">
        <v>127.76</v>
      </c>
      <c r="H2308" s="3">
        <v>89.05</v>
      </c>
      <c r="I2308" s="2">
        <v>41.5</v>
      </c>
      <c r="J2308" s="2">
        <v>372.28</v>
      </c>
      <c r="K2308" s="2">
        <v>249.75</v>
      </c>
      <c r="L2308" s="3">
        <v>74.58</v>
      </c>
      <c r="M2308" s="2">
        <v>2.16</v>
      </c>
    </row>
    <row r="2309" spans="1:13">
      <c r="A2309" s="9">
        <v>42604</v>
      </c>
      <c r="B2309" s="1">
        <f t="shared" si="72"/>
        <v>42583</v>
      </c>
      <c r="C2309" s="5" t="str">
        <f t="shared" si="73"/>
        <v>2016-08</v>
      </c>
      <c r="D2309" s="3">
        <v>218.53</v>
      </c>
      <c r="E2309" s="3">
        <v>123.22</v>
      </c>
      <c r="F2309" s="3">
        <v>139.88</v>
      </c>
      <c r="G2309" s="3">
        <v>127.78</v>
      </c>
      <c r="H2309" s="3">
        <v>89</v>
      </c>
      <c r="I2309" s="2">
        <v>41.22</v>
      </c>
      <c r="J2309" s="2">
        <v>371.55</v>
      </c>
      <c r="K2309" s="2">
        <v>254.2</v>
      </c>
      <c r="L2309" s="3">
        <v>74.510000000000005</v>
      </c>
      <c r="M2309" s="2">
        <v>2.13</v>
      </c>
    </row>
    <row r="2310" spans="1:13">
      <c r="A2310" s="9">
        <v>42601</v>
      </c>
      <c r="B2310" s="1">
        <f t="shared" si="72"/>
        <v>42583</v>
      </c>
      <c r="C2310" s="5" t="str">
        <f t="shared" si="73"/>
        <v>2016-08</v>
      </c>
      <c r="D2310" s="3">
        <v>218.54</v>
      </c>
      <c r="E2310" s="3">
        <v>122.94</v>
      </c>
      <c r="F2310" s="3">
        <v>138.71</v>
      </c>
      <c r="G2310" s="3">
        <v>127.97</v>
      </c>
      <c r="H2310" s="3">
        <v>88.52</v>
      </c>
      <c r="I2310" s="2">
        <v>41.32</v>
      </c>
      <c r="J2310" s="2">
        <v>372.05</v>
      </c>
      <c r="K2310" s="2">
        <v>254.12</v>
      </c>
      <c r="L2310" s="3">
        <v>74.36</v>
      </c>
      <c r="M2310" s="2">
        <v>2.15</v>
      </c>
    </row>
    <row r="2311" spans="1:13">
      <c r="A2311" s="9">
        <v>42600</v>
      </c>
      <c r="B2311" s="1">
        <f t="shared" si="72"/>
        <v>42583</v>
      </c>
      <c r="C2311" s="5" t="str">
        <f t="shared" si="73"/>
        <v>2016-08</v>
      </c>
      <c r="D2311" s="3">
        <v>218.86</v>
      </c>
      <c r="E2311" s="3">
        <v>122.94</v>
      </c>
      <c r="F2311" s="3">
        <v>139.44</v>
      </c>
      <c r="G2311" s="3">
        <v>129.11000000000001</v>
      </c>
      <c r="H2311" s="3">
        <v>89.09</v>
      </c>
      <c r="I2311" s="2">
        <v>41.14</v>
      </c>
      <c r="J2311" s="2">
        <v>370.79</v>
      </c>
      <c r="K2311" s="2">
        <v>255.42</v>
      </c>
      <c r="L2311" s="3">
        <v>74.42</v>
      </c>
      <c r="M2311" s="2">
        <v>2.16</v>
      </c>
    </row>
    <row r="2312" spans="1:13">
      <c r="A2312" s="9">
        <v>42599</v>
      </c>
      <c r="B2312" s="1">
        <f t="shared" si="72"/>
        <v>42583</v>
      </c>
      <c r="C2312" s="5" t="str">
        <f t="shared" si="73"/>
        <v>2016-08</v>
      </c>
      <c r="D2312" s="3">
        <v>218.37</v>
      </c>
      <c r="E2312" s="3">
        <v>122.04</v>
      </c>
      <c r="F2312" s="3">
        <v>139.22</v>
      </c>
      <c r="G2312" s="3">
        <v>128.5</v>
      </c>
      <c r="H2312" s="3">
        <v>89.42</v>
      </c>
      <c r="I2312" s="2">
        <v>41.21</v>
      </c>
      <c r="J2312" s="2">
        <v>370.1</v>
      </c>
      <c r="K2312" s="2">
        <v>255.64</v>
      </c>
      <c r="L2312" s="3">
        <v>74.39</v>
      </c>
      <c r="M2312" s="2">
        <v>2.14</v>
      </c>
    </row>
    <row r="2313" spans="1:13">
      <c r="A2313" s="9">
        <v>42598</v>
      </c>
      <c r="B2313" s="1">
        <f t="shared" si="72"/>
        <v>42583</v>
      </c>
      <c r="C2313" s="5" t="str">
        <f t="shared" si="73"/>
        <v>2016-08</v>
      </c>
      <c r="D2313" s="3">
        <v>217.96</v>
      </c>
      <c r="E2313" s="3">
        <v>122.4</v>
      </c>
      <c r="F2313" s="3">
        <v>138.38999999999999</v>
      </c>
      <c r="G2313" s="3">
        <v>128.47</v>
      </c>
      <c r="H2313" s="3">
        <v>89.06</v>
      </c>
      <c r="I2313" s="2">
        <v>41.32</v>
      </c>
      <c r="J2313" s="2">
        <v>367.07</v>
      </c>
      <c r="K2313" s="2">
        <v>256.77</v>
      </c>
      <c r="L2313" s="3">
        <v>74.239999999999995</v>
      </c>
      <c r="M2313" s="2">
        <v>2.16</v>
      </c>
    </row>
    <row r="2314" spans="1:13">
      <c r="A2314" s="9">
        <v>42597</v>
      </c>
      <c r="B2314" s="1">
        <f t="shared" si="72"/>
        <v>42583</v>
      </c>
      <c r="C2314" s="5" t="str">
        <f t="shared" si="73"/>
        <v>2016-08</v>
      </c>
      <c r="D2314" s="3">
        <v>219.09</v>
      </c>
      <c r="E2314" s="3">
        <v>123.4</v>
      </c>
      <c r="F2314" s="3">
        <v>138.76</v>
      </c>
      <c r="G2314" s="3">
        <v>127.84</v>
      </c>
      <c r="H2314" s="3">
        <v>90.14</v>
      </c>
      <c r="I2314" s="2">
        <v>41.39</v>
      </c>
      <c r="J2314" s="2">
        <v>370.74</v>
      </c>
      <c r="K2314" s="2">
        <v>266.5</v>
      </c>
      <c r="L2314" s="3">
        <v>74.91</v>
      </c>
      <c r="M2314" s="2">
        <v>2.1800000000000002</v>
      </c>
    </row>
    <row r="2315" spans="1:13">
      <c r="A2315" s="9">
        <v>42594</v>
      </c>
      <c r="B2315" s="1">
        <f t="shared" si="72"/>
        <v>42583</v>
      </c>
      <c r="C2315" s="5" t="str">
        <f t="shared" si="73"/>
        <v>2016-08</v>
      </c>
      <c r="D2315" s="3">
        <v>218.46</v>
      </c>
      <c r="E2315" s="3">
        <v>122.19</v>
      </c>
      <c r="F2315" s="3">
        <v>140.08000000000001</v>
      </c>
      <c r="G2315" s="3">
        <v>127.4</v>
      </c>
      <c r="H2315" s="3">
        <v>90.23</v>
      </c>
      <c r="I2315" s="2">
        <v>41.09</v>
      </c>
      <c r="J2315" s="2">
        <v>366.6</v>
      </c>
      <c r="K2315" s="2">
        <v>264.14999999999998</v>
      </c>
      <c r="L2315" s="3">
        <v>74.78</v>
      </c>
      <c r="M2315" s="2">
        <v>2.17</v>
      </c>
    </row>
    <row r="2316" spans="1:13">
      <c r="A2316" s="9">
        <v>42593</v>
      </c>
      <c r="B2316" s="1">
        <f t="shared" si="72"/>
        <v>42583</v>
      </c>
      <c r="C2316" s="5" t="str">
        <f t="shared" si="73"/>
        <v>2016-08</v>
      </c>
      <c r="D2316" s="3">
        <v>218.65</v>
      </c>
      <c r="E2316" s="3">
        <v>122.07</v>
      </c>
      <c r="F2316" s="3">
        <v>138.91</v>
      </c>
      <c r="G2316" s="3">
        <v>127.67</v>
      </c>
      <c r="H2316" s="3">
        <v>89.85</v>
      </c>
      <c r="I2316" s="2">
        <v>41.28</v>
      </c>
      <c r="J2316" s="2">
        <v>367.39</v>
      </c>
      <c r="K2316" s="2">
        <v>262.54000000000002</v>
      </c>
      <c r="L2316" s="3">
        <v>74.97</v>
      </c>
      <c r="M2316" s="2">
        <v>2.16</v>
      </c>
    </row>
    <row r="2317" spans="1:13">
      <c r="A2317" s="9">
        <v>42592</v>
      </c>
      <c r="B2317" s="1">
        <f t="shared" si="72"/>
        <v>42583</v>
      </c>
      <c r="C2317" s="5" t="str">
        <f t="shared" si="73"/>
        <v>2016-08</v>
      </c>
      <c r="D2317" s="3">
        <v>217.64</v>
      </c>
      <c r="E2317" s="3">
        <v>121.4892</v>
      </c>
      <c r="F2317" s="3">
        <v>140.16</v>
      </c>
      <c r="G2317" s="3">
        <v>128.56</v>
      </c>
      <c r="H2317" s="3">
        <v>90.88</v>
      </c>
      <c r="I2317" s="2">
        <v>41.09</v>
      </c>
      <c r="J2317" s="2">
        <v>366.44</v>
      </c>
      <c r="K2317" s="2">
        <v>261.3</v>
      </c>
      <c r="L2317" s="3">
        <v>74.534999999999997</v>
      </c>
      <c r="M2317" s="2">
        <v>2.13</v>
      </c>
    </row>
    <row r="2318" spans="1:13">
      <c r="A2318" s="9">
        <v>42591</v>
      </c>
      <c r="B2318" s="1">
        <f t="shared" si="72"/>
        <v>42583</v>
      </c>
      <c r="C2318" s="5" t="str">
        <f t="shared" si="73"/>
        <v>2016-08</v>
      </c>
      <c r="D2318" s="3">
        <v>218.18</v>
      </c>
      <c r="E2318" s="3">
        <v>122.37</v>
      </c>
      <c r="F2318" s="3">
        <v>139.62</v>
      </c>
      <c r="G2318" s="3">
        <v>127.96</v>
      </c>
      <c r="H2318" s="3">
        <v>90.98</v>
      </c>
      <c r="I2318" s="2">
        <v>41.1</v>
      </c>
      <c r="J2318" s="2">
        <v>368.65</v>
      </c>
      <c r="K2318" s="2">
        <v>260.66000000000003</v>
      </c>
      <c r="L2318" s="3">
        <v>74.790000000000006</v>
      </c>
      <c r="M2318" s="2">
        <v>2.15</v>
      </c>
    </row>
    <row r="2319" spans="1:13">
      <c r="A2319" s="9">
        <v>42590</v>
      </c>
      <c r="B2319" s="1">
        <f t="shared" si="72"/>
        <v>42583</v>
      </c>
      <c r="C2319" s="5" t="str">
        <f t="shared" si="73"/>
        <v>2016-08</v>
      </c>
      <c r="D2319" s="3">
        <v>218.05</v>
      </c>
      <c r="E2319" s="3">
        <v>122.24</v>
      </c>
      <c r="F2319" s="3">
        <v>138.26</v>
      </c>
      <c r="G2319" s="3">
        <v>127.44</v>
      </c>
      <c r="H2319" s="3">
        <v>90.49</v>
      </c>
      <c r="I2319" s="2">
        <v>41.16</v>
      </c>
      <c r="J2319" s="2">
        <v>371.69</v>
      </c>
      <c r="K2319" s="2">
        <v>260.19</v>
      </c>
      <c r="L2319" s="3">
        <v>74.61</v>
      </c>
      <c r="M2319" s="2">
        <v>2.16</v>
      </c>
    </row>
    <row r="2320" spans="1:13">
      <c r="A2320" s="9">
        <v>42587</v>
      </c>
      <c r="B2320" s="1">
        <f t="shared" si="72"/>
        <v>42583</v>
      </c>
      <c r="C2320" s="5" t="str">
        <f t="shared" si="73"/>
        <v>2016-08</v>
      </c>
      <c r="D2320" s="3">
        <v>218.18</v>
      </c>
      <c r="E2320" s="3">
        <v>122.3</v>
      </c>
      <c r="F2320" s="3">
        <v>138</v>
      </c>
      <c r="G2320" s="3">
        <v>127.55</v>
      </c>
      <c r="H2320" s="3">
        <v>90.33</v>
      </c>
      <c r="I2320" s="2">
        <v>41.13</v>
      </c>
      <c r="J2320" s="2">
        <v>374.75</v>
      </c>
      <c r="K2320" s="2">
        <v>260.29000000000002</v>
      </c>
      <c r="L2320" s="3">
        <v>75.25</v>
      </c>
      <c r="M2320" s="2">
        <v>2.15</v>
      </c>
    </row>
    <row r="2321" spans="1:13">
      <c r="A2321" s="9">
        <v>42586</v>
      </c>
      <c r="B2321" s="1">
        <f t="shared" si="72"/>
        <v>42583</v>
      </c>
      <c r="C2321" s="5" t="str">
        <f t="shared" si="73"/>
        <v>2016-08</v>
      </c>
      <c r="D2321" s="3">
        <v>216.40969999999999</v>
      </c>
      <c r="E2321" s="3">
        <v>120.56</v>
      </c>
      <c r="F2321" s="3">
        <v>139.44999999999999</v>
      </c>
      <c r="G2321" s="3">
        <v>129.87</v>
      </c>
      <c r="H2321" s="3">
        <v>90.27</v>
      </c>
      <c r="I2321" s="2">
        <v>40.9</v>
      </c>
      <c r="J2321" s="2">
        <v>366.25</v>
      </c>
      <c r="K2321" s="2">
        <v>257.75</v>
      </c>
      <c r="L2321" s="3">
        <v>75.069999999999993</v>
      </c>
      <c r="M2321" s="2">
        <v>2.04</v>
      </c>
    </row>
    <row r="2322" spans="1:13">
      <c r="A2322" s="9">
        <v>42585</v>
      </c>
      <c r="B2322" s="1">
        <f t="shared" si="72"/>
        <v>42583</v>
      </c>
      <c r="C2322" s="5" t="str">
        <f t="shared" si="73"/>
        <v>2016-08</v>
      </c>
      <c r="D2322" s="3">
        <v>216.18</v>
      </c>
      <c r="E2322" s="3">
        <v>120.45</v>
      </c>
      <c r="F2322" s="3">
        <v>138.41</v>
      </c>
      <c r="G2322" s="3">
        <v>129.65</v>
      </c>
      <c r="H2322" s="3">
        <v>90.64</v>
      </c>
      <c r="I2322" s="2">
        <v>40.71</v>
      </c>
      <c r="J2322" s="2">
        <v>368.16</v>
      </c>
      <c r="K2322" s="2">
        <v>256.85000000000002</v>
      </c>
      <c r="L2322" s="3">
        <v>75.180000000000007</v>
      </c>
      <c r="M2322" s="2">
        <v>2.0499999999999998</v>
      </c>
    </row>
    <row r="2323" spans="1:13">
      <c r="A2323" s="9">
        <v>42584</v>
      </c>
      <c r="B2323" s="1">
        <f t="shared" si="72"/>
        <v>42583</v>
      </c>
      <c r="C2323" s="5" t="str">
        <f t="shared" si="73"/>
        <v>2016-08</v>
      </c>
      <c r="D2323" s="3">
        <v>215.54920000000001</v>
      </c>
      <c r="E2323" s="3">
        <v>119.48</v>
      </c>
      <c r="F2323" s="3">
        <v>138.33000000000001</v>
      </c>
      <c r="G2323" s="3">
        <v>130.27000000000001</v>
      </c>
      <c r="H2323" s="3">
        <v>91.17</v>
      </c>
      <c r="I2323" s="2">
        <v>40.71</v>
      </c>
      <c r="J2323" s="2">
        <v>367.08</v>
      </c>
      <c r="K2323" s="2">
        <v>257</v>
      </c>
      <c r="L2323" s="3">
        <v>75.39</v>
      </c>
      <c r="M2323" s="2">
        <v>2.11</v>
      </c>
    </row>
    <row r="2324" spans="1:13">
      <c r="A2324" s="9">
        <v>42583</v>
      </c>
      <c r="B2324" s="1">
        <f t="shared" si="72"/>
        <v>42583</v>
      </c>
      <c r="C2324" s="5" t="str">
        <f t="shared" si="73"/>
        <v>2016-08</v>
      </c>
      <c r="D2324" s="3">
        <v>216.94</v>
      </c>
      <c r="E2324" s="3">
        <v>121.17</v>
      </c>
      <c r="F2324" s="3">
        <v>139.77000000000001</v>
      </c>
      <c r="G2324" s="3">
        <v>129.22</v>
      </c>
      <c r="H2324" s="3">
        <v>92.65</v>
      </c>
      <c r="I2324" s="2">
        <v>41.15</v>
      </c>
      <c r="J2324" s="2">
        <v>368.32</v>
      </c>
      <c r="K2324" s="2">
        <v>254.84</v>
      </c>
      <c r="L2324" s="3">
        <v>75.680000000000007</v>
      </c>
      <c r="M2324" s="2">
        <v>2.16</v>
      </c>
    </row>
    <row r="2325" spans="1:13">
      <c r="A2325" s="9">
        <v>42580</v>
      </c>
      <c r="B2325" s="1">
        <f t="shared" si="72"/>
        <v>42552</v>
      </c>
      <c r="C2325" s="5" t="str">
        <f t="shared" si="73"/>
        <v>2016-07</v>
      </c>
      <c r="D2325" s="3">
        <v>217.12</v>
      </c>
      <c r="E2325" s="3">
        <v>121.07</v>
      </c>
      <c r="F2325" s="3">
        <v>141.56</v>
      </c>
      <c r="G2325" s="3">
        <v>128.97999999999999</v>
      </c>
      <c r="H2325" s="3">
        <v>92.45</v>
      </c>
      <c r="I2325" s="2">
        <v>41.04</v>
      </c>
      <c r="J2325" s="2">
        <v>366.25</v>
      </c>
      <c r="K2325" s="2">
        <v>252.73</v>
      </c>
      <c r="L2325" s="3">
        <v>75.2</v>
      </c>
      <c r="M2325" s="2">
        <v>2.16</v>
      </c>
    </row>
    <row r="2326" spans="1:13">
      <c r="A2326" s="9">
        <v>42579</v>
      </c>
      <c r="B2326" s="1">
        <f t="shared" si="72"/>
        <v>42552</v>
      </c>
      <c r="C2326" s="5" t="str">
        <f t="shared" si="73"/>
        <v>2016-07</v>
      </c>
      <c r="D2326" s="3">
        <v>216.77</v>
      </c>
      <c r="E2326" s="3">
        <v>120.83</v>
      </c>
      <c r="F2326" s="3">
        <v>140.38999999999999</v>
      </c>
      <c r="G2326" s="3">
        <v>127.66</v>
      </c>
      <c r="H2326" s="3">
        <v>91.29</v>
      </c>
      <c r="I2326" s="2">
        <v>41.19</v>
      </c>
      <c r="J2326" s="2">
        <v>363.37</v>
      </c>
      <c r="K2326" s="2">
        <v>254.55</v>
      </c>
      <c r="L2326" s="3">
        <v>75.05</v>
      </c>
      <c r="M2326" s="2">
        <v>2.14</v>
      </c>
    </row>
    <row r="2327" spans="1:13">
      <c r="A2327" s="9">
        <v>42578</v>
      </c>
      <c r="B2327" s="1">
        <f t="shared" si="72"/>
        <v>42552</v>
      </c>
      <c r="C2327" s="5" t="str">
        <f t="shared" si="73"/>
        <v>2016-07</v>
      </c>
      <c r="D2327" s="3">
        <v>216.52</v>
      </c>
      <c r="E2327" s="3">
        <v>121.14</v>
      </c>
      <c r="F2327" s="3">
        <v>140.65</v>
      </c>
      <c r="G2327" s="3">
        <v>128.03</v>
      </c>
      <c r="H2327" s="3">
        <v>90.45</v>
      </c>
      <c r="I2327" s="2">
        <v>40.93</v>
      </c>
      <c r="J2327" s="2">
        <v>363.31</v>
      </c>
      <c r="K2327" s="2">
        <v>254.16</v>
      </c>
      <c r="L2327" s="3">
        <v>75.12</v>
      </c>
      <c r="M2327" s="2">
        <v>2.13</v>
      </c>
    </row>
    <row r="2328" spans="1:13">
      <c r="A2328" s="9">
        <v>42577</v>
      </c>
      <c r="B2328" s="1">
        <f t="shared" si="72"/>
        <v>42552</v>
      </c>
      <c r="C2328" s="5" t="str">
        <f t="shared" si="73"/>
        <v>2016-07</v>
      </c>
      <c r="D2328" s="3">
        <v>216.75</v>
      </c>
      <c r="E2328" s="3">
        <v>120.8</v>
      </c>
      <c r="F2328" s="3">
        <v>138.91999999999999</v>
      </c>
      <c r="G2328" s="3">
        <v>126</v>
      </c>
      <c r="H2328" s="3">
        <v>91.16</v>
      </c>
      <c r="I2328" s="2">
        <v>40.94</v>
      </c>
      <c r="J2328" s="2">
        <v>361.93</v>
      </c>
      <c r="K2328" s="2">
        <v>254.76</v>
      </c>
      <c r="L2328" s="3">
        <v>74.78</v>
      </c>
      <c r="M2328" s="2">
        <v>2.1</v>
      </c>
    </row>
    <row r="2329" spans="1:13">
      <c r="A2329" s="9">
        <v>42576</v>
      </c>
      <c r="B2329" s="1">
        <f t="shared" si="72"/>
        <v>42552</v>
      </c>
      <c r="C2329" s="5" t="str">
        <f t="shared" si="73"/>
        <v>2016-07</v>
      </c>
      <c r="D2329" s="3">
        <v>216.65</v>
      </c>
      <c r="E2329" s="3">
        <v>120.22</v>
      </c>
      <c r="F2329" s="3">
        <v>138.69999999999999</v>
      </c>
      <c r="G2329" s="3">
        <v>125.47</v>
      </c>
      <c r="H2329" s="3">
        <v>91.61</v>
      </c>
      <c r="I2329" s="2">
        <v>41.16</v>
      </c>
      <c r="J2329" s="2">
        <v>361.42</v>
      </c>
      <c r="K2329" s="2">
        <v>255.62</v>
      </c>
      <c r="L2329" s="3">
        <v>74.91</v>
      </c>
      <c r="M2329" s="2">
        <v>2.0299999999999998</v>
      </c>
    </row>
    <row r="2330" spans="1:13">
      <c r="A2330" s="9">
        <v>42573</v>
      </c>
      <c r="B2330" s="1">
        <f t="shared" si="72"/>
        <v>42552</v>
      </c>
      <c r="C2330" s="5" t="str">
        <f t="shared" si="73"/>
        <v>2016-07</v>
      </c>
      <c r="D2330" s="3">
        <v>217.24</v>
      </c>
      <c r="E2330" s="3">
        <v>120.4</v>
      </c>
      <c r="F2330" s="3">
        <v>138.80000000000001</v>
      </c>
      <c r="G2330" s="3">
        <v>126.35</v>
      </c>
      <c r="H2330" s="3">
        <v>91.78</v>
      </c>
      <c r="I2330" s="2">
        <v>41.08</v>
      </c>
      <c r="J2330" s="2">
        <v>363.05</v>
      </c>
      <c r="K2330" s="2">
        <v>257.31</v>
      </c>
      <c r="L2330" s="3">
        <v>74.989999999999995</v>
      </c>
      <c r="M2330" s="2">
        <v>2.0099999999999998</v>
      </c>
    </row>
    <row r="2331" spans="1:13">
      <c r="A2331" s="9">
        <v>42572</v>
      </c>
      <c r="B2331" s="1">
        <f t="shared" si="72"/>
        <v>42552</v>
      </c>
      <c r="C2331" s="5" t="str">
        <f t="shared" si="73"/>
        <v>2016-07</v>
      </c>
      <c r="D2331" s="3">
        <v>216.26499999999999</v>
      </c>
      <c r="E2331" s="3">
        <v>119.51</v>
      </c>
      <c r="F2331" s="3">
        <v>138.56</v>
      </c>
      <c r="G2331" s="3">
        <v>127.3</v>
      </c>
      <c r="H2331" s="3">
        <v>90.98</v>
      </c>
      <c r="I2331" s="2">
        <v>41.07</v>
      </c>
      <c r="J2331" s="2">
        <v>359.5</v>
      </c>
      <c r="K2331" s="2">
        <v>254.14</v>
      </c>
      <c r="L2331" s="3">
        <v>74.84</v>
      </c>
      <c r="M2331" s="2">
        <v>2</v>
      </c>
    </row>
    <row r="2332" spans="1:13">
      <c r="A2332" s="9">
        <v>42571</v>
      </c>
      <c r="B2332" s="1">
        <f t="shared" si="72"/>
        <v>42552</v>
      </c>
      <c r="C2332" s="5" t="str">
        <f t="shared" si="73"/>
        <v>2016-07</v>
      </c>
      <c r="D2332" s="3">
        <v>217.08500000000001</v>
      </c>
      <c r="E2332" s="3">
        <v>120.08</v>
      </c>
      <c r="F2332" s="3">
        <v>138.28</v>
      </c>
      <c r="G2332" s="3">
        <v>125.39</v>
      </c>
      <c r="H2332" s="3">
        <v>90.8</v>
      </c>
      <c r="I2332" s="2">
        <v>41.25</v>
      </c>
      <c r="J2332" s="2">
        <v>359.78</v>
      </c>
      <c r="K2332" s="2">
        <v>256.67</v>
      </c>
      <c r="L2332" s="3">
        <v>74.62</v>
      </c>
      <c r="M2332" s="2">
        <v>1.96</v>
      </c>
    </row>
    <row r="2333" spans="1:13">
      <c r="A2333" s="9">
        <v>42570</v>
      </c>
      <c r="B2333" s="1">
        <f t="shared" si="72"/>
        <v>42552</v>
      </c>
      <c r="C2333" s="5" t="str">
        <f t="shared" si="73"/>
        <v>2016-07</v>
      </c>
      <c r="D2333" s="3">
        <v>216.19</v>
      </c>
      <c r="E2333" s="3">
        <v>119.3</v>
      </c>
      <c r="F2333" s="3">
        <v>139.04</v>
      </c>
      <c r="G2333" s="3">
        <v>127.21</v>
      </c>
      <c r="H2333" s="3">
        <v>90.79</v>
      </c>
      <c r="I2333" s="2">
        <v>41.08</v>
      </c>
      <c r="J2333" s="2">
        <v>356.58</v>
      </c>
      <c r="K2333" s="2">
        <v>258.95999999999998</v>
      </c>
      <c r="L2333" s="3">
        <v>73.95</v>
      </c>
      <c r="M2333" s="2">
        <v>1.9</v>
      </c>
    </row>
    <row r="2334" spans="1:13">
      <c r="A2334" s="9">
        <v>42569</v>
      </c>
      <c r="B2334" s="1">
        <f t="shared" si="72"/>
        <v>42552</v>
      </c>
      <c r="C2334" s="5" t="str">
        <f t="shared" si="73"/>
        <v>2016-07</v>
      </c>
      <c r="D2334" s="3">
        <v>216.4092</v>
      </c>
      <c r="E2334" s="3">
        <v>119.9</v>
      </c>
      <c r="F2334" s="3">
        <v>138.26</v>
      </c>
      <c r="G2334" s="3">
        <v>127.04</v>
      </c>
      <c r="H2334" s="3">
        <v>90.35</v>
      </c>
      <c r="I2334" s="2">
        <v>41.64</v>
      </c>
      <c r="J2334" s="2">
        <v>357.78</v>
      </c>
      <c r="K2334" s="2">
        <v>256.29000000000002</v>
      </c>
      <c r="L2334" s="3">
        <v>74.11</v>
      </c>
      <c r="M2334" s="2">
        <v>2.63</v>
      </c>
    </row>
    <row r="2335" spans="1:13">
      <c r="A2335" s="9">
        <v>42566</v>
      </c>
      <c r="B2335" s="1">
        <f t="shared" si="72"/>
        <v>42552</v>
      </c>
      <c r="C2335" s="5" t="str">
        <f t="shared" si="73"/>
        <v>2016-07</v>
      </c>
      <c r="D2335" s="3">
        <v>215.83</v>
      </c>
      <c r="E2335" s="3">
        <v>119.7</v>
      </c>
      <c r="F2335" s="3">
        <v>138.38999999999999</v>
      </c>
      <c r="G2335" s="3">
        <v>126.84</v>
      </c>
      <c r="H2335" s="3">
        <v>90.11</v>
      </c>
      <c r="I2335" s="2">
        <v>41.77</v>
      </c>
      <c r="J2335" s="2">
        <v>356.85</v>
      </c>
      <c r="K2335" s="2">
        <v>256.98</v>
      </c>
      <c r="L2335" s="3">
        <v>74.08</v>
      </c>
      <c r="M2335" s="2">
        <v>2.6</v>
      </c>
    </row>
    <row r="2336" spans="1:13">
      <c r="A2336" s="9">
        <v>42565</v>
      </c>
      <c r="B2336" s="1">
        <f t="shared" si="72"/>
        <v>42552</v>
      </c>
      <c r="C2336" s="5" t="str">
        <f t="shared" si="73"/>
        <v>2016-07</v>
      </c>
      <c r="D2336" s="3">
        <v>216.12</v>
      </c>
      <c r="E2336" s="3">
        <v>119.37</v>
      </c>
      <c r="F2336" s="3">
        <v>139.59</v>
      </c>
      <c r="G2336" s="3">
        <v>127.33</v>
      </c>
      <c r="H2336" s="3">
        <v>90.08</v>
      </c>
      <c r="I2336" s="2">
        <v>41.67</v>
      </c>
      <c r="J2336" s="2">
        <v>355.19</v>
      </c>
      <c r="K2336" s="2">
        <v>256</v>
      </c>
      <c r="L2336" s="3">
        <v>74.14</v>
      </c>
      <c r="M2336" s="2">
        <v>2.62</v>
      </c>
    </row>
    <row r="2337" spans="1:13">
      <c r="A2337" s="9">
        <v>42564</v>
      </c>
      <c r="B2337" s="1">
        <f t="shared" si="72"/>
        <v>42552</v>
      </c>
      <c r="C2337" s="5" t="str">
        <f t="shared" si="73"/>
        <v>2016-07</v>
      </c>
      <c r="D2337" s="3">
        <v>214.92</v>
      </c>
      <c r="E2337" s="3">
        <v>119.25</v>
      </c>
      <c r="F2337" s="3">
        <v>141.65</v>
      </c>
      <c r="G2337" s="3">
        <v>128.32</v>
      </c>
      <c r="H2337" s="3">
        <v>90.89</v>
      </c>
      <c r="I2337" s="2">
        <v>41.46</v>
      </c>
      <c r="J2337" s="2">
        <v>357.5</v>
      </c>
      <c r="K2337" s="2">
        <v>255.9</v>
      </c>
      <c r="L2337" s="3">
        <v>73.819999999999993</v>
      </c>
      <c r="M2337" s="2">
        <v>2.61</v>
      </c>
    </row>
    <row r="2338" spans="1:13">
      <c r="A2338" s="9">
        <v>42563</v>
      </c>
      <c r="B2338" s="1">
        <f t="shared" si="72"/>
        <v>42552</v>
      </c>
      <c r="C2338" s="5" t="str">
        <f t="shared" si="73"/>
        <v>2016-07</v>
      </c>
      <c r="D2338" s="3">
        <v>214.95</v>
      </c>
      <c r="E2338" s="3">
        <v>119.72</v>
      </c>
      <c r="F2338" s="3">
        <v>140</v>
      </c>
      <c r="G2338" s="3">
        <v>127.15</v>
      </c>
      <c r="H2338" s="3">
        <v>90.39</v>
      </c>
      <c r="I2338" s="2">
        <v>41.42</v>
      </c>
      <c r="J2338" s="2">
        <v>357.37</v>
      </c>
      <c r="K2338" s="2">
        <v>254.7</v>
      </c>
      <c r="L2338" s="3">
        <v>73.849999999999994</v>
      </c>
      <c r="M2338" s="2">
        <v>2.6</v>
      </c>
    </row>
    <row r="2339" spans="1:13">
      <c r="A2339" s="9">
        <v>42562</v>
      </c>
      <c r="B2339" s="1">
        <f t="shared" si="72"/>
        <v>42552</v>
      </c>
      <c r="C2339" s="5" t="str">
        <f t="shared" si="73"/>
        <v>2016-07</v>
      </c>
      <c r="D2339" s="3">
        <v>213.4</v>
      </c>
      <c r="E2339" s="3">
        <v>118.14</v>
      </c>
      <c r="F2339" s="3">
        <v>142.34</v>
      </c>
      <c r="G2339" s="3">
        <v>129.29</v>
      </c>
      <c r="H2339" s="3">
        <v>90.4</v>
      </c>
      <c r="I2339" s="2">
        <v>40.78</v>
      </c>
      <c r="J2339" s="2">
        <v>347.5</v>
      </c>
      <c r="K2339" s="2">
        <v>254.39</v>
      </c>
      <c r="L2339" s="3">
        <v>73.489999999999995</v>
      </c>
      <c r="M2339" s="2">
        <v>2.52</v>
      </c>
    </row>
    <row r="2340" spans="1:13">
      <c r="A2340" s="9">
        <v>42559</v>
      </c>
      <c r="B2340" s="1">
        <f t="shared" si="72"/>
        <v>42552</v>
      </c>
      <c r="C2340" s="5" t="str">
        <f t="shared" si="73"/>
        <v>2016-07</v>
      </c>
      <c r="D2340" s="3">
        <v>212.65</v>
      </c>
      <c r="E2340" s="3">
        <v>116.79</v>
      </c>
      <c r="F2340" s="3">
        <v>143.6</v>
      </c>
      <c r="G2340" s="3">
        <v>130.52000000000001</v>
      </c>
      <c r="H2340" s="3">
        <v>89.8</v>
      </c>
      <c r="I2340" s="2">
        <v>40.869999999999997</v>
      </c>
      <c r="J2340" s="2">
        <v>345.2</v>
      </c>
      <c r="K2340" s="2">
        <v>251.9</v>
      </c>
      <c r="L2340" s="3">
        <v>73.69</v>
      </c>
      <c r="M2340" s="2">
        <v>2.5299999999999998</v>
      </c>
    </row>
    <row r="2341" spans="1:13">
      <c r="A2341" s="9">
        <v>42558</v>
      </c>
      <c r="B2341" s="1">
        <f t="shared" si="72"/>
        <v>42552</v>
      </c>
      <c r="C2341" s="5" t="str">
        <f t="shared" si="73"/>
        <v>2016-07</v>
      </c>
      <c r="D2341" s="3">
        <v>209.52600000000001</v>
      </c>
      <c r="E2341" s="3">
        <v>114.13</v>
      </c>
      <c r="F2341" s="3">
        <v>142.55000000000001</v>
      </c>
      <c r="G2341" s="3">
        <v>129.74</v>
      </c>
      <c r="H2341" s="3">
        <v>88.37</v>
      </c>
      <c r="I2341" s="2">
        <v>40.53</v>
      </c>
      <c r="J2341" s="2">
        <v>335.11</v>
      </c>
      <c r="K2341" s="2">
        <v>249.77</v>
      </c>
      <c r="L2341" s="3">
        <v>72.790000000000006</v>
      </c>
      <c r="M2341" s="2">
        <v>2.44</v>
      </c>
    </row>
    <row r="2342" spans="1:13">
      <c r="A2342" s="9">
        <v>42557</v>
      </c>
      <c r="B2342" s="1">
        <f t="shared" si="72"/>
        <v>42552</v>
      </c>
      <c r="C2342" s="5" t="str">
        <f t="shared" si="73"/>
        <v>2016-07</v>
      </c>
      <c r="D2342" s="3">
        <v>209.66</v>
      </c>
      <c r="E2342" s="3">
        <v>113.89</v>
      </c>
      <c r="F2342" s="3">
        <v>142.56</v>
      </c>
      <c r="G2342" s="3">
        <v>130.22999999999999</v>
      </c>
      <c r="H2342" s="3">
        <v>89.29</v>
      </c>
      <c r="I2342" s="2">
        <v>40.53</v>
      </c>
      <c r="J2342" s="2">
        <v>336.11</v>
      </c>
      <c r="K2342" s="2">
        <v>250.08</v>
      </c>
      <c r="L2342" s="3">
        <v>72.900000000000006</v>
      </c>
      <c r="M2342" s="2">
        <v>2.42</v>
      </c>
    </row>
    <row r="2343" spans="1:13">
      <c r="A2343" s="9">
        <v>42556</v>
      </c>
      <c r="B2343" s="1">
        <f t="shared" si="72"/>
        <v>42552</v>
      </c>
      <c r="C2343" s="5" t="str">
        <f t="shared" si="73"/>
        <v>2016-07</v>
      </c>
      <c r="D2343" s="3">
        <v>208.41</v>
      </c>
      <c r="E2343" s="3">
        <v>113.69</v>
      </c>
      <c r="F2343" s="3">
        <v>142.33000000000001</v>
      </c>
      <c r="G2343" s="3">
        <v>129.47</v>
      </c>
      <c r="H2343" s="3">
        <v>89.68</v>
      </c>
      <c r="I2343" s="2">
        <v>40.4</v>
      </c>
      <c r="J2343" s="2">
        <v>336.08</v>
      </c>
      <c r="K2343" s="2">
        <v>249.51</v>
      </c>
      <c r="L2343" s="3">
        <v>72.09</v>
      </c>
      <c r="M2343" s="2">
        <v>2.38</v>
      </c>
    </row>
    <row r="2344" spans="1:13">
      <c r="A2344" s="9">
        <v>42552</v>
      </c>
      <c r="B2344" s="1">
        <f t="shared" si="72"/>
        <v>42552</v>
      </c>
      <c r="C2344" s="5" t="str">
        <f t="shared" si="73"/>
        <v>2016-07</v>
      </c>
      <c r="D2344" s="3">
        <v>209.92080000000001</v>
      </c>
      <c r="E2344" s="3">
        <v>115.39</v>
      </c>
      <c r="F2344" s="3">
        <v>140.57</v>
      </c>
      <c r="G2344" s="3">
        <v>128.41</v>
      </c>
      <c r="H2344" s="3">
        <v>88.7</v>
      </c>
      <c r="I2344" s="2">
        <v>40.86</v>
      </c>
      <c r="J2344" s="2">
        <v>341.28</v>
      </c>
      <c r="K2344" s="2">
        <v>249.35</v>
      </c>
      <c r="L2344" s="3">
        <v>72.16</v>
      </c>
      <c r="M2344" s="2">
        <v>2.46</v>
      </c>
    </row>
    <row r="2345" spans="1:13">
      <c r="A2345" s="9">
        <v>42551</v>
      </c>
      <c r="B2345" s="1">
        <f t="shared" si="72"/>
        <v>42522</v>
      </c>
      <c r="C2345" s="5" t="str">
        <f t="shared" si="73"/>
        <v>2016-06</v>
      </c>
      <c r="D2345" s="3">
        <v>209.47499999999999</v>
      </c>
      <c r="E2345" s="3">
        <v>114.98</v>
      </c>
      <c r="F2345" s="3">
        <v>138.9</v>
      </c>
      <c r="G2345" s="3">
        <v>126.47</v>
      </c>
      <c r="H2345" s="3">
        <v>88.67</v>
      </c>
      <c r="I2345" s="2">
        <v>40.93</v>
      </c>
      <c r="J2345" s="2">
        <v>342.53</v>
      </c>
      <c r="K2345" s="2">
        <v>248.17</v>
      </c>
      <c r="L2345" s="3">
        <v>71.704999999999998</v>
      </c>
      <c r="M2345" s="2">
        <v>2.4900000000000002</v>
      </c>
    </row>
    <row r="2346" spans="1:13">
      <c r="A2346" s="9">
        <v>42550</v>
      </c>
      <c r="B2346" s="1">
        <f t="shared" si="72"/>
        <v>42522</v>
      </c>
      <c r="C2346" s="5" t="str">
        <f t="shared" si="73"/>
        <v>2016-06</v>
      </c>
      <c r="D2346" s="3">
        <v>206.66</v>
      </c>
      <c r="E2346" s="3">
        <v>112.88</v>
      </c>
      <c r="F2346" s="3">
        <v>138.38999999999999</v>
      </c>
      <c r="G2346" s="3">
        <v>125.84</v>
      </c>
      <c r="H2346" s="3">
        <v>87.76</v>
      </c>
      <c r="I2346" s="2">
        <v>40.549999999999997</v>
      </c>
      <c r="J2346" s="2">
        <v>336.74</v>
      </c>
      <c r="K2346" s="2">
        <v>244.08</v>
      </c>
      <c r="L2346" s="3">
        <v>71.040000000000006</v>
      </c>
      <c r="M2346" s="2">
        <v>2.44</v>
      </c>
    </row>
    <row r="2347" spans="1:13">
      <c r="A2347" s="9">
        <v>42549</v>
      </c>
      <c r="B2347" s="1">
        <f t="shared" si="72"/>
        <v>42522</v>
      </c>
      <c r="C2347" s="5" t="str">
        <f t="shared" si="73"/>
        <v>2016-06</v>
      </c>
      <c r="D2347" s="3">
        <v>203.19970000000001</v>
      </c>
      <c r="E2347" s="3">
        <v>110.37</v>
      </c>
      <c r="F2347" s="3">
        <v>139.46</v>
      </c>
      <c r="G2347" s="3">
        <v>125.32</v>
      </c>
      <c r="H2347" s="3">
        <v>86.71</v>
      </c>
      <c r="I2347" s="2">
        <v>39.130000000000003</v>
      </c>
      <c r="J2347" s="2">
        <v>323.95999999999998</v>
      </c>
      <c r="K2347" s="2">
        <v>240.91</v>
      </c>
      <c r="L2347" s="3">
        <v>69.709999999999994</v>
      </c>
      <c r="M2347" s="2">
        <v>2.4</v>
      </c>
    </row>
    <row r="2348" spans="1:13">
      <c r="A2348" s="9">
        <v>42548</v>
      </c>
      <c r="B2348" s="1">
        <f t="shared" si="72"/>
        <v>42522</v>
      </c>
      <c r="C2348" s="5" t="str">
        <f t="shared" si="73"/>
        <v>2016-06</v>
      </c>
      <c r="D2348" s="3">
        <v>199.6</v>
      </c>
      <c r="E2348" s="3">
        <v>108.69</v>
      </c>
      <c r="F2348" s="3">
        <v>139.16999999999999</v>
      </c>
      <c r="G2348" s="3">
        <v>126.68</v>
      </c>
      <c r="H2348" s="3">
        <v>84.92</v>
      </c>
      <c r="I2348" s="2">
        <v>38.479999999999997</v>
      </c>
      <c r="J2348" s="2">
        <v>319.54000000000002</v>
      </c>
      <c r="K2348" s="2">
        <v>239.29</v>
      </c>
      <c r="L2348" s="3">
        <v>68.38</v>
      </c>
      <c r="M2348" s="2">
        <v>2.38</v>
      </c>
    </row>
    <row r="2349" spans="1:13">
      <c r="A2349" s="9">
        <v>42545</v>
      </c>
      <c r="B2349" s="1">
        <f t="shared" si="72"/>
        <v>42522</v>
      </c>
      <c r="C2349" s="5" t="str">
        <f t="shared" si="73"/>
        <v>2016-06</v>
      </c>
      <c r="D2349" s="3">
        <v>203.13</v>
      </c>
      <c r="E2349" s="3">
        <v>112.55</v>
      </c>
      <c r="F2349" s="3">
        <v>135.78</v>
      </c>
      <c r="G2349" s="3">
        <v>126.01</v>
      </c>
      <c r="H2349" s="3">
        <v>84.87</v>
      </c>
      <c r="I2349" s="2">
        <v>39.229999999999997</v>
      </c>
      <c r="J2349" s="2">
        <v>332.51</v>
      </c>
      <c r="K2349" s="2">
        <v>239.7</v>
      </c>
      <c r="L2349" s="3">
        <v>69.290000000000006</v>
      </c>
      <c r="M2349" s="2">
        <v>2.52</v>
      </c>
    </row>
    <row r="2350" spans="1:13">
      <c r="A2350" s="9">
        <v>42544</v>
      </c>
      <c r="B2350" s="1">
        <f t="shared" si="72"/>
        <v>42522</v>
      </c>
      <c r="C2350" s="5" t="str">
        <f t="shared" si="73"/>
        <v>2016-06</v>
      </c>
      <c r="D2350" s="3">
        <v>210.81</v>
      </c>
      <c r="E2350" s="3">
        <v>116.82</v>
      </c>
      <c r="F2350" s="3">
        <v>132.22999999999999</v>
      </c>
      <c r="G2350" s="3">
        <v>120.11</v>
      </c>
      <c r="H2350" s="3">
        <v>85.62</v>
      </c>
      <c r="I2350" s="2">
        <v>40.83</v>
      </c>
      <c r="J2350" s="2">
        <v>356.85</v>
      </c>
      <c r="K2350" s="2">
        <v>240</v>
      </c>
      <c r="L2350" s="3">
        <v>71.38</v>
      </c>
      <c r="M2350" s="2">
        <v>2.68</v>
      </c>
    </row>
    <row r="2351" spans="1:13">
      <c r="A2351" s="9">
        <v>42543</v>
      </c>
      <c r="B2351" s="1">
        <f t="shared" si="72"/>
        <v>42522</v>
      </c>
      <c r="C2351" s="5" t="str">
        <f t="shared" si="73"/>
        <v>2016-06</v>
      </c>
      <c r="D2351" s="3">
        <v>208.1</v>
      </c>
      <c r="E2351" s="3">
        <v>114.63</v>
      </c>
      <c r="F2351" s="3">
        <v>133.76</v>
      </c>
      <c r="G2351" s="3">
        <v>120.9</v>
      </c>
      <c r="H2351" s="3">
        <v>85.19</v>
      </c>
      <c r="I2351" s="2">
        <v>40.01</v>
      </c>
      <c r="J2351" s="2">
        <v>347.67</v>
      </c>
      <c r="K2351" s="2">
        <v>238.17</v>
      </c>
      <c r="L2351" s="3">
        <v>70.459999999999994</v>
      </c>
      <c r="M2351" s="2">
        <v>2.64</v>
      </c>
    </row>
    <row r="2352" spans="1:13">
      <c r="A2352" s="9">
        <v>42542</v>
      </c>
      <c r="B2352" s="1">
        <f t="shared" si="72"/>
        <v>42522</v>
      </c>
      <c r="C2352" s="5" t="str">
        <f t="shared" si="73"/>
        <v>2016-06</v>
      </c>
      <c r="D2352" s="3">
        <v>208.44</v>
      </c>
      <c r="E2352" s="3">
        <v>115.08</v>
      </c>
      <c r="F2352" s="3">
        <v>133.54</v>
      </c>
      <c r="G2352" s="3">
        <v>120.84</v>
      </c>
      <c r="H2352" s="3">
        <v>85.32</v>
      </c>
      <c r="I2352" s="2">
        <v>39.99</v>
      </c>
      <c r="J2352" s="2">
        <v>348</v>
      </c>
      <c r="K2352" s="2">
        <v>238.55</v>
      </c>
      <c r="L2352" s="3">
        <v>70.254999999999995</v>
      </c>
      <c r="M2352" s="2">
        <v>2.7</v>
      </c>
    </row>
    <row r="2353" spans="1:13">
      <c r="A2353" s="9">
        <v>42541</v>
      </c>
      <c r="B2353" s="1">
        <f t="shared" si="72"/>
        <v>42522</v>
      </c>
      <c r="C2353" s="5" t="str">
        <f t="shared" si="73"/>
        <v>2016-06</v>
      </c>
      <c r="D2353" s="3">
        <v>207.85</v>
      </c>
      <c r="E2353" s="3">
        <v>115.3</v>
      </c>
      <c r="F2353" s="3">
        <v>134.16</v>
      </c>
      <c r="G2353" s="3">
        <v>123.21</v>
      </c>
      <c r="H2353" s="3">
        <v>85.76</v>
      </c>
      <c r="I2353" s="2">
        <v>39.729999999999997</v>
      </c>
      <c r="J2353" s="2">
        <v>348.43</v>
      </c>
      <c r="K2353" s="2">
        <v>238.64</v>
      </c>
      <c r="L2353" s="3">
        <v>70.5</v>
      </c>
      <c r="M2353" s="2">
        <v>2.68</v>
      </c>
    </row>
    <row r="2354" spans="1:13">
      <c r="A2354" s="9">
        <v>42538</v>
      </c>
      <c r="B2354" s="1">
        <f t="shared" si="72"/>
        <v>42522</v>
      </c>
      <c r="C2354" s="5" t="str">
        <f t="shared" si="73"/>
        <v>2016-06</v>
      </c>
      <c r="D2354" s="3">
        <v>206.52</v>
      </c>
      <c r="E2354" s="3">
        <v>114.06</v>
      </c>
      <c r="F2354" s="3">
        <v>135.61000000000001</v>
      </c>
      <c r="G2354" s="3">
        <v>123.95</v>
      </c>
      <c r="H2354" s="3">
        <v>85.64</v>
      </c>
      <c r="I2354" s="2">
        <v>39.68</v>
      </c>
      <c r="J2354" s="2">
        <v>341.88</v>
      </c>
      <c r="K2354" s="2">
        <v>237.56</v>
      </c>
      <c r="L2354" s="3">
        <v>70.06</v>
      </c>
      <c r="M2354" s="2">
        <v>2.61</v>
      </c>
    </row>
    <row r="2355" spans="1:13">
      <c r="A2355" s="9">
        <v>42537</v>
      </c>
      <c r="B2355" s="1">
        <f t="shared" si="72"/>
        <v>42522</v>
      </c>
      <c r="C2355" s="5" t="str">
        <f t="shared" si="73"/>
        <v>2016-06</v>
      </c>
      <c r="D2355" s="3">
        <v>208.37</v>
      </c>
      <c r="E2355" s="3">
        <v>114.55</v>
      </c>
      <c r="F2355" s="3">
        <v>136.46</v>
      </c>
      <c r="G2355" s="3">
        <v>122.38</v>
      </c>
      <c r="H2355" s="3">
        <v>85.78</v>
      </c>
      <c r="I2355" s="2">
        <v>38.64</v>
      </c>
      <c r="J2355" s="2">
        <v>339.46</v>
      </c>
      <c r="K2355" s="2">
        <v>239.87</v>
      </c>
      <c r="L2355" s="3">
        <v>71.08</v>
      </c>
      <c r="M2355" s="2">
        <v>2.63</v>
      </c>
    </row>
    <row r="2356" spans="1:13">
      <c r="A2356" s="9">
        <v>42536</v>
      </c>
      <c r="B2356" s="1">
        <f t="shared" si="72"/>
        <v>42522</v>
      </c>
      <c r="C2356" s="5" t="str">
        <f t="shared" si="73"/>
        <v>2016-06</v>
      </c>
      <c r="D2356" s="3">
        <v>207.75</v>
      </c>
      <c r="E2356" s="3">
        <v>114.56</v>
      </c>
      <c r="F2356" s="3">
        <v>135.80000000000001</v>
      </c>
      <c r="G2356" s="3">
        <v>123.68</v>
      </c>
      <c r="H2356" s="3">
        <v>85.3</v>
      </c>
      <c r="I2356" s="2">
        <v>38.44</v>
      </c>
      <c r="J2356" s="2">
        <v>339.55</v>
      </c>
      <c r="K2356" s="2">
        <v>239.45</v>
      </c>
      <c r="L2356" s="3">
        <v>70.83</v>
      </c>
      <c r="M2356" s="2">
        <v>2.63</v>
      </c>
    </row>
    <row r="2357" spans="1:13">
      <c r="A2357" s="9">
        <v>42535</v>
      </c>
      <c r="B2357" s="1">
        <f t="shared" si="72"/>
        <v>42522</v>
      </c>
      <c r="C2357" s="5" t="str">
        <f t="shared" si="73"/>
        <v>2016-06</v>
      </c>
      <c r="D2357" s="3">
        <v>208.04</v>
      </c>
      <c r="E2357" s="3">
        <v>114.48</v>
      </c>
      <c r="F2357" s="3">
        <v>135.28</v>
      </c>
      <c r="G2357" s="3">
        <v>122.77</v>
      </c>
      <c r="H2357" s="3">
        <v>84.5</v>
      </c>
      <c r="I2357" s="2">
        <v>38.83</v>
      </c>
      <c r="J2357" s="2">
        <v>339.79</v>
      </c>
      <c r="K2357" s="2">
        <v>239.7</v>
      </c>
      <c r="L2357" s="3">
        <v>71.319999999999993</v>
      </c>
      <c r="M2357" s="2">
        <v>2.63</v>
      </c>
    </row>
    <row r="2358" spans="1:13">
      <c r="A2358" s="9">
        <v>42534</v>
      </c>
      <c r="B2358" s="1">
        <f t="shared" si="72"/>
        <v>42522</v>
      </c>
      <c r="C2358" s="5" t="str">
        <f t="shared" si="73"/>
        <v>2016-06</v>
      </c>
      <c r="D2358" s="3">
        <v>208.44919999999999</v>
      </c>
      <c r="E2358" s="3">
        <v>114.81</v>
      </c>
      <c r="F2358" s="3">
        <v>135.38</v>
      </c>
      <c r="G2358" s="3">
        <v>122.64</v>
      </c>
      <c r="H2358" s="3">
        <v>84.72</v>
      </c>
      <c r="I2358" s="2">
        <v>38.619999999999997</v>
      </c>
      <c r="J2358" s="2">
        <v>344.59</v>
      </c>
      <c r="K2358" s="2">
        <v>237.95</v>
      </c>
      <c r="L2358" s="3">
        <v>71.209999999999994</v>
      </c>
      <c r="M2358" s="2">
        <v>2.48</v>
      </c>
    </row>
    <row r="2359" spans="1:13">
      <c r="A2359" s="9">
        <v>42531</v>
      </c>
      <c r="B2359" s="1">
        <f t="shared" si="72"/>
        <v>42522</v>
      </c>
      <c r="C2359" s="5" t="str">
        <f t="shared" si="73"/>
        <v>2016-06</v>
      </c>
      <c r="D2359" s="3">
        <v>210.07</v>
      </c>
      <c r="E2359" s="3">
        <v>116.07</v>
      </c>
      <c r="F2359" s="3">
        <v>134.78</v>
      </c>
      <c r="G2359" s="3">
        <v>121.74</v>
      </c>
      <c r="H2359" s="3">
        <v>84.7</v>
      </c>
      <c r="I2359" s="2">
        <v>38.74</v>
      </c>
      <c r="J2359" s="2">
        <v>346.97</v>
      </c>
      <c r="K2359" s="2">
        <v>240.58</v>
      </c>
      <c r="L2359" s="3">
        <v>71.78</v>
      </c>
      <c r="M2359" s="2">
        <v>2.58</v>
      </c>
    </row>
    <row r="2360" spans="1:13">
      <c r="A2360" s="9">
        <v>42530</v>
      </c>
      <c r="B2360" s="1">
        <f t="shared" si="72"/>
        <v>42522</v>
      </c>
      <c r="C2360" s="5" t="str">
        <f t="shared" si="73"/>
        <v>2016-06</v>
      </c>
      <c r="D2360" s="3">
        <v>212.08</v>
      </c>
      <c r="E2360" s="3">
        <v>117.67</v>
      </c>
      <c r="F2360" s="3">
        <v>134.13</v>
      </c>
      <c r="G2360" s="3">
        <v>121.25</v>
      </c>
      <c r="H2360" s="3">
        <v>85.1</v>
      </c>
      <c r="I2360" s="2">
        <v>39.049999999999997</v>
      </c>
      <c r="J2360" s="2">
        <v>357.96</v>
      </c>
      <c r="K2360" s="2">
        <v>240.67</v>
      </c>
      <c r="L2360" s="3">
        <v>72.36</v>
      </c>
      <c r="M2360" s="2">
        <v>2.59</v>
      </c>
    </row>
    <row r="2361" spans="1:13">
      <c r="A2361" s="9">
        <v>42529</v>
      </c>
      <c r="B2361" s="1">
        <f t="shared" si="72"/>
        <v>42522</v>
      </c>
      <c r="C2361" s="5" t="str">
        <f t="shared" si="73"/>
        <v>2016-06</v>
      </c>
      <c r="D2361" s="3">
        <v>212.37</v>
      </c>
      <c r="E2361" s="3">
        <v>118.43</v>
      </c>
      <c r="F2361" s="3">
        <v>133.27000000000001</v>
      </c>
      <c r="G2361" s="3">
        <v>120.58</v>
      </c>
      <c r="H2361" s="3">
        <v>84.91</v>
      </c>
      <c r="I2361" s="2">
        <v>39.28</v>
      </c>
      <c r="J2361" s="2">
        <v>360.35</v>
      </c>
      <c r="K2361" s="2">
        <v>240.38</v>
      </c>
      <c r="L2361" s="3">
        <v>72.48</v>
      </c>
      <c r="M2361" s="2">
        <v>2.58</v>
      </c>
    </row>
    <row r="2362" spans="1:13">
      <c r="A2362" s="9">
        <v>42528</v>
      </c>
      <c r="B2362" s="1">
        <f t="shared" si="72"/>
        <v>42522</v>
      </c>
      <c r="C2362" s="5" t="str">
        <f t="shared" si="73"/>
        <v>2016-06</v>
      </c>
      <c r="D2362" s="3">
        <v>211.68</v>
      </c>
      <c r="E2362" s="3">
        <v>117.56</v>
      </c>
      <c r="F2362" s="3">
        <v>132.56</v>
      </c>
      <c r="G2362" s="3">
        <v>118.82</v>
      </c>
      <c r="H2362" s="3">
        <v>84.37</v>
      </c>
      <c r="I2362" s="2">
        <v>39.130000000000003</v>
      </c>
      <c r="J2362" s="2">
        <v>359.06</v>
      </c>
      <c r="K2362" s="2">
        <v>239.5</v>
      </c>
      <c r="L2362" s="3">
        <v>72.229200000000006</v>
      </c>
      <c r="M2362" s="2">
        <v>2.58</v>
      </c>
    </row>
    <row r="2363" spans="1:13">
      <c r="A2363" s="9">
        <v>42527</v>
      </c>
      <c r="B2363" s="1">
        <f t="shared" si="72"/>
        <v>42522</v>
      </c>
      <c r="C2363" s="5" t="str">
        <f t="shared" si="73"/>
        <v>2016-06</v>
      </c>
      <c r="D2363" s="3">
        <v>211.35</v>
      </c>
      <c r="E2363" s="3">
        <v>117.22</v>
      </c>
      <c r="F2363" s="3">
        <v>132.24</v>
      </c>
      <c r="G2363" s="3">
        <v>118.92</v>
      </c>
      <c r="H2363" s="3">
        <v>83.86</v>
      </c>
      <c r="I2363" s="2">
        <v>39.44</v>
      </c>
      <c r="J2363" s="2">
        <v>362.06</v>
      </c>
      <c r="K2363" s="2">
        <v>239.4</v>
      </c>
      <c r="L2363" s="3">
        <v>72.680800000000005</v>
      </c>
      <c r="M2363" s="2">
        <v>2.65</v>
      </c>
    </row>
    <row r="2364" spans="1:13">
      <c r="A2364" s="9">
        <v>42524</v>
      </c>
      <c r="B2364" s="1">
        <f t="shared" si="72"/>
        <v>42522</v>
      </c>
      <c r="C2364" s="5" t="str">
        <f t="shared" si="73"/>
        <v>2016-06</v>
      </c>
      <c r="D2364" s="3">
        <v>210.28</v>
      </c>
      <c r="E2364" s="3">
        <v>115.97</v>
      </c>
      <c r="F2364" s="3">
        <v>133.22999999999999</v>
      </c>
      <c r="G2364" s="3">
        <v>118.88</v>
      </c>
      <c r="H2364" s="3">
        <v>84.51</v>
      </c>
      <c r="I2364" s="2">
        <v>39.1</v>
      </c>
      <c r="J2364" s="2">
        <v>359.37</v>
      </c>
      <c r="K2364" s="2">
        <v>238.92</v>
      </c>
      <c r="L2364" s="3">
        <v>72.290000000000006</v>
      </c>
      <c r="M2364" s="2">
        <v>2.66</v>
      </c>
    </row>
    <row r="2365" spans="1:13">
      <c r="A2365" s="9">
        <v>42523</v>
      </c>
      <c r="B2365" s="1">
        <f t="shared" si="72"/>
        <v>42522</v>
      </c>
      <c r="C2365" s="5" t="str">
        <f t="shared" si="73"/>
        <v>2016-06</v>
      </c>
      <c r="D2365" s="3">
        <v>210.91</v>
      </c>
      <c r="E2365" s="3">
        <v>116.67</v>
      </c>
      <c r="F2365" s="3">
        <v>131.36000000000001</v>
      </c>
      <c r="G2365" s="3">
        <v>115.67</v>
      </c>
      <c r="H2365" s="3">
        <v>84.17</v>
      </c>
      <c r="I2365" s="2">
        <v>38.659999999999997</v>
      </c>
      <c r="J2365" s="2">
        <v>361.11</v>
      </c>
      <c r="K2365" s="2">
        <v>237.83</v>
      </c>
      <c r="L2365" s="3">
        <v>72.53</v>
      </c>
      <c r="M2365" s="2">
        <v>2.64</v>
      </c>
    </row>
    <row r="2366" spans="1:13">
      <c r="A2366" s="9">
        <v>42522</v>
      </c>
      <c r="B2366" s="1">
        <f t="shared" si="72"/>
        <v>42522</v>
      </c>
      <c r="C2366" s="5" t="str">
        <f t="shared" si="73"/>
        <v>2016-06</v>
      </c>
      <c r="D2366" s="3">
        <v>210.27</v>
      </c>
      <c r="E2366" s="3">
        <v>115.78</v>
      </c>
      <c r="F2366" s="3">
        <v>130.41999999999999</v>
      </c>
      <c r="G2366" s="3">
        <v>115.94</v>
      </c>
      <c r="H2366" s="3">
        <v>83.74</v>
      </c>
      <c r="I2366" s="2">
        <v>40.26</v>
      </c>
      <c r="J2366" s="2">
        <v>364.59</v>
      </c>
      <c r="K2366" s="2">
        <v>238.08</v>
      </c>
      <c r="L2366" s="3">
        <v>71.61</v>
      </c>
      <c r="M2366" s="2">
        <v>2.64</v>
      </c>
    </row>
    <row r="2367" spans="1:13">
      <c r="A2367" s="9">
        <v>42521</v>
      </c>
      <c r="B2367" s="1">
        <f t="shared" si="72"/>
        <v>42491</v>
      </c>
      <c r="C2367" s="5" t="str">
        <f t="shared" si="73"/>
        <v>2016-05</v>
      </c>
      <c r="D2367" s="3">
        <v>209.84</v>
      </c>
      <c r="E2367" s="3">
        <v>115</v>
      </c>
      <c r="F2367" s="3">
        <v>130.16</v>
      </c>
      <c r="G2367" s="3">
        <v>116.06</v>
      </c>
      <c r="H2367" s="3">
        <v>83.67</v>
      </c>
      <c r="I2367" s="2">
        <v>40.200000000000003</v>
      </c>
      <c r="J2367" s="2">
        <v>363.85</v>
      </c>
      <c r="K2367" s="2">
        <v>236.23</v>
      </c>
      <c r="L2367" s="3">
        <v>71.349999999999994</v>
      </c>
      <c r="M2367" s="2">
        <v>2.62</v>
      </c>
    </row>
    <row r="2368" spans="1:13">
      <c r="A2368" s="9">
        <v>42517</v>
      </c>
      <c r="B2368" s="1">
        <f t="shared" si="72"/>
        <v>42491</v>
      </c>
      <c r="C2368" s="5" t="str">
        <f t="shared" si="73"/>
        <v>2016-05</v>
      </c>
      <c r="D2368" s="3">
        <v>210.24</v>
      </c>
      <c r="E2368" s="3">
        <v>114.6</v>
      </c>
      <c r="F2368" s="3">
        <v>129.85</v>
      </c>
      <c r="G2368" s="3">
        <v>115.62</v>
      </c>
      <c r="H2368" s="3">
        <v>83.68</v>
      </c>
      <c r="I2368" s="2">
        <v>40.07</v>
      </c>
      <c r="J2368" s="2">
        <v>365.09</v>
      </c>
      <c r="K2368" s="2">
        <v>240.09</v>
      </c>
      <c r="L2368" s="3">
        <v>71.180000000000007</v>
      </c>
      <c r="M2368" s="2">
        <v>2.61</v>
      </c>
    </row>
    <row r="2369" spans="1:13">
      <c r="A2369" s="9">
        <v>42516</v>
      </c>
      <c r="B2369" s="1">
        <f t="shared" si="72"/>
        <v>42491</v>
      </c>
      <c r="C2369" s="5" t="str">
        <f t="shared" si="73"/>
        <v>2016-05</v>
      </c>
      <c r="D2369" s="3">
        <v>209.34</v>
      </c>
      <c r="E2369" s="3">
        <v>113.47</v>
      </c>
      <c r="F2369" s="3">
        <v>130.04</v>
      </c>
      <c r="G2369" s="3">
        <v>116.58</v>
      </c>
      <c r="H2369" s="3">
        <v>83.23</v>
      </c>
      <c r="I2369" s="2">
        <v>39.950000000000003</v>
      </c>
      <c r="J2369" s="2">
        <v>363.1</v>
      </c>
      <c r="K2369" s="2">
        <v>241.54</v>
      </c>
      <c r="L2369" s="3">
        <v>70.86</v>
      </c>
      <c r="M2369" s="2">
        <v>2.58</v>
      </c>
    </row>
    <row r="2370" spans="1:13">
      <c r="A2370" s="9">
        <v>42515</v>
      </c>
      <c r="B2370" s="1">
        <f t="shared" ref="B2370:B2433" si="74">EOMONTH(A2370,-1)+1</f>
        <v>42491</v>
      </c>
      <c r="C2370" s="5" t="str">
        <f t="shared" si="73"/>
        <v>2016-05</v>
      </c>
      <c r="D2370" s="3">
        <v>209.28</v>
      </c>
      <c r="E2370" s="3">
        <v>113.6</v>
      </c>
      <c r="F2370" s="3">
        <v>129.37</v>
      </c>
      <c r="G2370" s="3">
        <v>116.98</v>
      </c>
      <c r="H2370" s="3">
        <v>83.07</v>
      </c>
      <c r="I2370" s="2">
        <v>40.130000000000003</v>
      </c>
      <c r="J2370" s="2">
        <v>364.09</v>
      </c>
      <c r="K2370" s="2">
        <v>240.84</v>
      </c>
      <c r="L2370" s="3">
        <v>70.849999999999994</v>
      </c>
      <c r="M2370" s="2">
        <v>2.59</v>
      </c>
    </row>
    <row r="2371" spans="1:13">
      <c r="A2371" s="9">
        <v>42514</v>
      </c>
      <c r="B2371" s="1">
        <f t="shared" si="74"/>
        <v>42491</v>
      </c>
      <c r="C2371" s="5" t="str">
        <f t="shared" ref="C2371:C2434" si="75">TEXT(A2371, "yyyy-mm")</f>
        <v>2016-05</v>
      </c>
      <c r="D2371" s="3">
        <v>207.87</v>
      </c>
      <c r="E2371" s="3">
        <v>112.94</v>
      </c>
      <c r="F2371" s="3">
        <v>129.86000000000001</v>
      </c>
      <c r="G2371" s="3">
        <v>117.3</v>
      </c>
      <c r="H2371" s="3">
        <v>83.07</v>
      </c>
      <c r="I2371" s="2">
        <v>39.9</v>
      </c>
      <c r="J2371" s="2">
        <v>361.18</v>
      </c>
      <c r="K2371" s="2">
        <v>240.97</v>
      </c>
      <c r="L2371" s="3">
        <v>70.41</v>
      </c>
      <c r="M2371" s="2">
        <v>2.6</v>
      </c>
    </row>
    <row r="2372" spans="1:13">
      <c r="A2372" s="9">
        <v>42513</v>
      </c>
      <c r="B2372" s="1">
        <f t="shared" si="74"/>
        <v>42491</v>
      </c>
      <c r="C2372" s="5" t="str">
        <f t="shared" si="75"/>
        <v>2016-05</v>
      </c>
      <c r="D2372" s="3">
        <v>205.21</v>
      </c>
      <c r="E2372" s="3">
        <v>110.66</v>
      </c>
      <c r="F2372" s="3">
        <v>130.44</v>
      </c>
      <c r="G2372" s="3">
        <v>119.37</v>
      </c>
      <c r="H2372" s="3">
        <v>82.05</v>
      </c>
      <c r="I2372" s="2">
        <v>39.18</v>
      </c>
      <c r="J2372" s="2">
        <v>353.9</v>
      </c>
      <c r="K2372" s="2">
        <v>239.52</v>
      </c>
      <c r="L2372" s="3">
        <v>69.41</v>
      </c>
      <c r="M2372" s="2">
        <v>2.52</v>
      </c>
    </row>
    <row r="2373" spans="1:13">
      <c r="A2373" s="9">
        <v>42510</v>
      </c>
      <c r="B2373" s="1">
        <f t="shared" si="74"/>
        <v>42491</v>
      </c>
      <c r="C2373" s="5" t="str">
        <f t="shared" si="75"/>
        <v>2016-05</v>
      </c>
      <c r="D2373" s="3">
        <v>205.49</v>
      </c>
      <c r="E2373" s="3">
        <v>110.79</v>
      </c>
      <c r="F2373" s="3">
        <v>130.15</v>
      </c>
      <c r="G2373" s="3">
        <v>119.71</v>
      </c>
      <c r="H2373" s="3">
        <v>82.04</v>
      </c>
      <c r="I2373" s="2">
        <v>39.409999999999997</v>
      </c>
      <c r="J2373" s="2">
        <v>354.01</v>
      </c>
      <c r="K2373" s="2">
        <v>240.07</v>
      </c>
      <c r="L2373" s="3">
        <v>69.69</v>
      </c>
      <c r="M2373" s="2">
        <v>2.52</v>
      </c>
    </row>
    <row r="2374" spans="1:13">
      <c r="A2374" s="9">
        <v>42509</v>
      </c>
      <c r="B2374" s="1">
        <f t="shared" si="74"/>
        <v>42491</v>
      </c>
      <c r="C2374" s="5" t="str">
        <f t="shared" si="75"/>
        <v>2016-05</v>
      </c>
      <c r="D2374" s="3">
        <v>204.2</v>
      </c>
      <c r="E2374" s="3">
        <v>108.955</v>
      </c>
      <c r="F2374" s="3">
        <v>130.05000000000001</v>
      </c>
      <c r="G2374" s="3">
        <v>119.87</v>
      </c>
      <c r="H2374" s="3">
        <v>81.39</v>
      </c>
      <c r="I2374" s="2">
        <v>38.840000000000003</v>
      </c>
      <c r="J2374" s="2">
        <v>350.57</v>
      </c>
      <c r="K2374" s="2">
        <v>238.89</v>
      </c>
      <c r="L2374" s="3">
        <v>69.05</v>
      </c>
      <c r="M2374" s="2">
        <v>2.4500000000000002</v>
      </c>
    </row>
    <row r="2375" spans="1:13">
      <c r="A2375" s="9">
        <v>42508</v>
      </c>
      <c r="B2375" s="1">
        <f t="shared" si="74"/>
        <v>42491</v>
      </c>
      <c r="C2375" s="5" t="str">
        <f t="shared" si="75"/>
        <v>2016-05</v>
      </c>
      <c r="D2375" s="3">
        <v>204.91</v>
      </c>
      <c r="E2375" s="3">
        <v>109.84</v>
      </c>
      <c r="F2375" s="3">
        <v>129.49</v>
      </c>
      <c r="G2375" s="3">
        <v>120.1</v>
      </c>
      <c r="H2375" s="3">
        <v>82.31</v>
      </c>
      <c r="I2375" s="2">
        <v>39.47</v>
      </c>
      <c r="J2375" s="2">
        <v>353.49</v>
      </c>
      <c r="K2375" s="2">
        <v>241.58</v>
      </c>
      <c r="L2375" s="3">
        <v>69.64</v>
      </c>
      <c r="M2375" s="2">
        <v>2.5</v>
      </c>
    </row>
    <row r="2376" spans="1:13">
      <c r="A2376" s="9">
        <v>42507</v>
      </c>
      <c r="B2376" s="1">
        <f t="shared" si="74"/>
        <v>42491</v>
      </c>
      <c r="C2376" s="5" t="str">
        <f t="shared" si="75"/>
        <v>2016-05</v>
      </c>
      <c r="D2376" s="3">
        <v>204.85079999999999</v>
      </c>
      <c r="E2376" s="3">
        <v>109.27</v>
      </c>
      <c r="F2376" s="3">
        <v>131.36000000000001</v>
      </c>
      <c r="G2376" s="3">
        <v>122.22</v>
      </c>
      <c r="H2376" s="3">
        <v>83.62</v>
      </c>
      <c r="I2376" s="2">
        <v>39.6</v>
      </c>
      <c r="J2376" s="2">
        <v>348.82</v>
      </c>
      <c r="K2376" s="2">
        <v>241.53</v>
      </c>
      <c r="L2376" s="3">
        <v>69.349999999999994</v>
      </c>
      <c r="M2376" s="2">
        <v>2.4900000000000002</v>
      </c>
    </row>
    <row r="2377" spans="1:13">
      <c r="A2377" s="9">
        <v>42506</v>
      </c>
      <c r="B2377" s="1">
        <f t="shared" si="74"/>
        <v>42491</v>
      </c>
      <c r="C2377" s="5" t="str">
        <f t="shared" si="75"/>
        <v>2016-05</v>
      </c>
      <c r="D2377" s="3">
        <v>206.78</v>
      </c>
      <c r="E2377" s="3">
        <v>111.03</v>
      </c>
      <c r="F2377" s="3">
        <v>131.13999999999999</v>
      </c>
      <c r="G2377" s="3">
        <v>121.8</v>
      </c>
      <c r="H2377" s="3">
        <v>85.2</v>
      </c>
      <c r="I2377" s="2">
        <v>39.97</v>
      </c>
      <c r="J2377" s="2">
        <v>351.83</v>
      </c>
      <c r="K2377" s="2">
        <v>242.97</v>
      </c>
      <c r="L2377" s="3">
        <v>70.08</v>
      </c>
      <c r="M2377" s="2">
        <v>2.5099999999999998</v>
      </c>
    </row>
    <row r="2378" spans="1:13">
      <c r="A2378" s="9">
        <v>42503</v>
      </c>
      <c r="B2378" s="1">
        <f t="shared" si="74"/>
        <v>42491</v>
      </c>
      <c r="C2378" s="5" t="str">
        <f t="shared" si="75"/>
        <v>2016-05</v>
      </c>
      <c r="D2378" s="3">
        <v>204.76</v>
      </c>
      <c r="E2378" s="3">
        <v>109.64</v>
      </c>
      <c r="F2378" s="3">
        <v>132.28</v>
      </c>
      <c r="G2378" s="3">
        <v>121.71</v>
      </c>
      <c r="H2378" s="3">
        <v>84.4</v>
      </c>
      <c r="I2378" s="2">
        <v>39.61</v>
      </c>
      <c r="J2378" s="2">
        <v>347.29</v>
      </c>
      <c r="K2378" s="2">
        <v>242.12</v>
      </c>
      <c r="L2378" s="3">
        <v>69.14</v>
      </c>
      <c r="M2378" s="2">
        <v>2.5</v>
      </c>
    </row>
    <row r="2379" spans="1:13">
      <c r="A2379" s="9">
        <v>42502</v>
      </c>
      <c r="B2379" s="1">
        <f t="shared" si="74"/>
        <v>42491</v>
      </c>
      <c r="C2379" s="5" t="str">
        <f t="shared" si="75"/>
        <v>2016-05</v>
      </c>
      <c r="D2379" s="3">
        <v>206.56</v>
      </c>
      <c r="E2379" s="3">
        <v>110.3708</v>
      </c>
      <c r="F2379" s="3">
        <v>131.01</v>
      </c>
      <c r="G2379" s="3">
        <v>121.16</v>
      </c>
      <c r="H2379" s="3">
        <v>85.16</v>
      </c>
      <c r="I2379" s="2">
        <v>39.82</v>
      </c>
      <c r="J2379" s="2">
        <v>355.6</v>
      </c>
      <c r="K2379" s="2">
        <v>244.94</v>
      </c>
      <c r="L2379" s="3">
        <v>69.3</v>
      </c>
      <c r="M2379" s="2">
        <v>2.5099999999999998</v>
      </c>
    </row>
    <row r="2380" spans="1:13">
      <c r="A2380" s="9">
        <v>42501</v>
      </c>
      <c r="B2380" s="1">
        <f t="shared" si="74"/>
        <v>42491</v>
      </c>
      <c r="C2380" s="5" t="str">
        <f t="shared" si="75"/>
        <v>2016-05</v>
      </c>
      <c r="D2380" s="3">
        <v>206.5</v>
      </c>
      <c r="E2380" s="3">
        <v>110.96</v>
      </c>
      <c r="F2380" s="3">
        <v>131.61000000000001</v>
      </c>
      <c r="G2380" s="3">
        <v>122.12</v>
      </c>
      <c r="H2380" s="3">
        <v>84.67</v>
      </c>
      <c r="I2380" s="2">
        <v>39.65</v>
      </c>
      <c r="J2380" s="2">
        <v>353.82</v>
      </c>
      <c r="K2380" s="2">
        <v>241.83</v>
      </c>
      <c r="L2380" s="3">
        <v>69.709999999999994</v>
      </c>
      <c r="M2380" s="2">
        <v>2.63</v>
      </c>
    </row>
    <row r="2381" spans="1:13">
      <c r="A2381" s="9">
        <v>42500</v>
      </c>
      <c r="B2381" s="1">
        <f t="shared" si="74"/>
        <v>42491</v>
      </c>
      <c r="C2381" s="5" t="str">
        <f t="shared" si="75"/>
        <v>2016-05</v>
      </c>
      <c r="D2381" s="3">
        <v>208.45</v>
      </c>
      <c r="E2381" s="3">
        <v>112.35</v>
      </c>
      <c r="F2381" s="3">
        <v>130.87</v>
      </c>
      <c r="G2381" s="3">
        <v>120.98</v>
      </c>
      <c r="H2381" s="3">
        <v>86.52</v>
      </c>
      <c r="I2381" s="2">
        <v>40.020000000000003</v>
      </c>
      <c r="J2381" s="2">
        <v>360.18</v>
      </c>
      <c r="K2381" s="2">
        <v>244.36</v>
      </c>
      <c r="L2381" s="3">
        <v>70.56</v>
      </c>
      <c r="M2381" s="2">
        <v>2.69</v>
      </c>
    </row>
    <row r="2382" spans="1:13">
      <c r="A2382" s="9">
        <v>42499</v>
      </c>
      <c r="B2382" s="1">
        <f t="shared" si="74"/>
        <v>42491</v>
      </c>
      <c r="C2382" s="5" t="str">
        <f t="shared" si="75"/>
        <v>2016-05</v>
      </c>
      <c r="D2382" s="3">
        <v>205.88919999999999</v>
      </c>
      <c r="E2382" s="3">
        <v>111.23</v>
      </c>
      <c r="F2382" s="3">
        <v>130.86000000000001</v>
      </c>
      <c r="G2382" s="3">
        <v>120.65</v>
      </c>
      <c r="H2382" s="3">
        <v>86.53</v>
      </c>
      <c r="I2382" s="2">
        <v>39.36</v>
      </c>
      <c r="J2382" s="2">
        <v>355.01</v>
      </c>
      <c r="K2382" s="2">
        <v>240.32</v>
      </c>
      <c r="L2382" s="3">
        <v>69.97</v>
      </c>
      <c r="M2382" s="2">
        <v>2.69</v>
      </c>
    </row>
    <row r="2383" spans="1:13">
      <c r="A2383" s="9">
        <v>42496</v>
      </c>
      <c r="B2383" s="1">
        <f t="shared" si="74"/>
        <v>42491</v>
      </c>
      <c r="C2383" s="5" t="str">
        <f t="shared" si="75"/>
        <v>2016-05</v>
      </c>
      <c r="D2383" s="3">
        <v>205.72</v>
      </c>
      <c r="E2383" s="3">
        <v>110.91</v>
      </c>
      <c r="F2383" s="3">
        <v>130.44999999999999</v>
      </c>
      <c r="G2383" s="3">
        <v>123.18</v>
      </c>
      <c r="H2383" s="3">
        <v>85.59</v>
      </c>
      <c r="I2383" s="2">
        <v>39.409999999999997</v>
      </c>
      <c r="J2383" s="2">
        <v>356.01</v>
      </c>
      <c r="K2383" s="2">
        <v>240.26</v>
      </c>
      <c r="L2383" s="3">
        <v>69.180000000000007</v>
      </c>
      <c r="M2383" s="2">
        <v>2.7</v>
      </c>
    </row>
    <row r="2384" spans="1:13">
      <c r="A2384" s="9">
        <v>42495</v>
      </c>
      <c r="B2384" s="1">
        <f t="shared" si="74"/>
        <v>42491</v>
      </c>
      <c r="C2384" s="5" t="str">
        <f t="shared" si="75"/>
        <v>2016-05</v>
      </c>
      <c r="D2384" s="3">
        <v>204.97</v>
      </c>
      <c r="E2384" s="3">
        <v>110.26</v>
      </c>
      <c r="F2384" s="3">
        <v>131.01</v>
      </c>
      <c r="G2384" s="3">
        <v>122.07</v>
      </c>
      <c r="H2384" s="3">
        <v>84.66</v>
      </c>
      <c r="I2384" s="2">
        <v>39.229999999999997</v>
      </c>
      <c r="J2384" s="2">
        <v>352.08</v>
      </c>
      <c r="K2384" s="2">
        <v>238.14</v>
      </c>
      <c r="L2384" s="3">
        <v>69.59</v>
      </c>
      <c r="M2384" s="2">
        <v>2.66</v>
      </c>
    </row>
    <row r="2385" spans="1:13">
      <c r="A2385" s="9">
        <v>42494</v>
      </c>
      <c r="B2385" s="1">
        <f t="shared" si="74"/>
        <v>42491</v>
      </c>
      <c r="C2385" s="5" t="str">
        <f t="shared" si="75"/>
        <v>2016-05</v>
      </c>
      <c r="D2385" s="3">
        <v>205.01</v>
      </c>
      <c r="E2385" s="3">
        <v>110.7</v>
      </c>
      <c r="F2385" s="3">
        <v>130.13999999999999</v>
      </c>
      <c r="G2385" s="3">
        <v>122.21</v>
      </c>
      <c r="H2385" s="3">
        <v>84.42</v>
      </c>
      <c r="I2385" s="2">
        <v>39.29</v>
      </c>
      <c r="J2385" s="2">
        <v>352.17</v>
      </c>
      <c r="K2385" s="2">
        <v>236.01</v>
      </c>
      <c r="L2385" s="3">
        <v>69.300799999999995</v>
      </c>
      <c r="M2385" s="2">
        <v>2.65</v>
      </c>
    </row>
    <row r="2386" spans="1:13">
      <c r="A2386" s="9">
        <v>42493</v>
      </c>
      <c r="B2386" s="1">
        <f t="shared" si="74"/>
        <v>42491</v>
      </c>
      <c r="C2386" s="5" t="str">
        <f t="shared" si="75"/>
        <v>2016-05</v>
      </c>
      <c r="D2386" s="3">
        <v>206.1592</v>
      </c>
      <c r="E2386" s="3">
        <v>111.62</v>
      </c>
      <c r="F2386" s="3">
        <v>129.43</v>
      </c>
      <c r="G2386" s="3">
        <v>122.96</v>
      </c>
      <c r="H2386" s="3">
        <v>83.23</v>
      </c>
      <c r="I2386" s="2">
        <v>39.68</v>
      </c>
      <c r="J2386" s="2">
        <v>355.69</v>
      </c>
      <c r="K2386" s="2">
        <v>234.7</v>
      </c>
      <c r="L2386" s="3">
        <v>69.974999999999994</v>
      </c>
      <c r="M2386" s="2">
        <v>2.67</v>
      </c>
    </row>
    <row r="2387" spans="1:13">
      <c r="A2387" s="9">
        <v>42492</v>
      </c>
      <c r="B2387" s="1">
        <f t="shared" si="74"/>
        <v>42491</v>
      </c>
      <c r="C2387" s="5" t="str">
        <f t="shared" si="75"/>
        <v>2016-05</v>
      </c>
      <c r="D2387" s="3">
        <v>207.97</v>
      </c>
      <c r="E2387" s="3">
        <v>113.48</v>
      </c>
      <c r="F2387" s="3">
        <v>127.82</v>
      </c>
      <c r="G2387" s="3">
        <v>123.24</v>
      </c>
      <c r="H2387" s="3">
        <v>83.1</v>
      </c>
      <c r="I2387" s="2">
        <v>40.299999999999997</v>
      </c>
      <c r="J2387" s="2">
        <v>361.5</v>
      </c>
      <c r="K2387" s="2">
        <v>233.24</v>
      </c>
      <c r="L2387" s="3">
        <v>70.19</v>
      </c>
      <c r="M2387" s="2">
        <v>2.72</v>
      </c>
    </row>
    <row r="2388" spans="1:13">
      <c r="A2388" s="9">
        <v>42489</v>
      </c>
      <c r="B2388" s="1">
        <f t="shared" si="74"/>
        <v>42461</v>
      </c>
      <c r="C2388" s="5" t="str">
        <f t="shared" si="75"/>
        <v>2016-04</v>
      </c>
      <c r="D2388" s="3">
        <v>206.33080000000001</v>
      </c>
      <c r="E2388" s="3">
        <v>112.48</v>
      </c>
      <c r="F2388" s="3">
        <v>129.38</v>
      </c>
      <c r="G2388" s="3">
        <v>123.65</v>
      </c>
      <c r="H2388" s="3">
        <v>81.83</v>
      </c>
      <c r="I2388" s="2">
        <v>39.86</v>
      </c>
      <c r="J2388" s="2">
        <v>356.33</v>
      </c>
      <c r="K2388" s="2">
        <v>232.38</v>
      </c>
      <c r="L2388" s="3">
        <v>69.790800000000004</v>
      </c>
      <c r="M2388" s="2">
        <v>2.69</v>
      </c>
    </row>
    <row r="2389" spans="1:13">
      <c r="A2389" s="9">
        <v>42488</v>
      </c>
      <c r="B2389" s="1">
        <f t="shared" si="74"/>
        <v>42461</v>
      </c>
      <c r="C2389" s="5" t="str">
        <f t="shared" si="75"/>
        <v>2016-04</v>
      </c>
      <c r="D2389" s="3">
        <v>207.44749999999999</v>
      </c>
      <c r="E2389" s="3">
        <v>113.5</v>
      </c>
      <c r="F2389" s="3">
        <v>129.05000000000001</v>
      </c>
      <c r="G2389" s="3">
        <v>121.29</v>
      </c>
      <c r="H2389" s="3">
        <v>82.59</v>
      </c>
      <c r="I2389" s="2">
        <v>40.33</v>
      </c>
      <c r="J2389" s="2">
        <v>358.83</v>
      </c>
      <c r="K2389" s="2">
        <v>232.72</v>
      </c>
      <c r="L2389" s="3">
        <v>70.900000000000006</v>
      </c>
      <c r="M2389" s="2">
        <v>2.83</v>
      </c>
    </row>
    <row r="2390" spans="1:13">
      <c r="A2390" s="9">
        <v>42487</v>
      </c>
      <c r="B2390" s="1">
        <f t="shared" si="74"/>
        <v>42461</v>
      </c>
      <c r="C2390" s="5" t="str">
        <f t="shared" si="75"/>
        <v>2016-04</v>
      </c>
      <c r="D2390" s="3">
        <v>209.35</v>
      </c>
      <c r="E2390" s="3">
        <v>114.81</v>
      </c>
      <c r="F2390" s="3">
        <v>128.52000000000001</v>
      </c>
      <c r="G2390" s="3">
        <v>119.04</v>
      </c>
      <c r="H2390" s="3">
        <v>82.76</v>
      </c>
      <c r="I2390" s="2">
        <v>40.85</v>
      </c>
      <c r="J2390" s="2">
        <v>367.47</v>
      </c>
      <c r="K2390" s="2">
        <v>233.65</v>
      </c>
      <c r="L2390" s="3">
        <v>71.239999999999995</v>
      </c>
      <c r="M2390" s="2">
        <v>2.87</v>
      </c>
    </row>
    <row r="2391" spans="1:13">
      <c r="A2391" s="9">
        <v>42486</v>
      </c>
      <c r="B2391" s="1">
        <f t="shared" si="74"/>
        <v>42461</v>
      </c>
      <c r="C2391" s="5" t="str">
        <f t="shared" si="75"/>
        <v>2016-04</v>
      </c>
      <c r="D2391" s="3">
        <v>208.91919999999999</v>
      </c>
      <c r="E2391" s="3">
        <v>114.41</v>
      </c>
      <c r="F2391" s="3">
        <v>127.25</v>
      </c>
      <c r="G2391" s="3">
        <v>118.7</v>
      </c>
      <c r="H2391" s="3">
        <v>82.81</v>
      </c>
      <c r="I2391" s="2">
        <v>40.65</v>
      </c>
      <c r="J2391" s="2">
        <v>365.96</v>
      </c>
      <c r="K2391" s="2">
        <v>232.16</v>
      </c>
      <c r="L2391" s="3">
        <v>71.319999999999993</v>
      </c>
      <c r="M2391" s="2">
        <v>2.87</v>
      </c>
    </row>
    <row r="2392" spans="1:13">
      <c r="A2392" s="9">
        <v>42485</v>
      </c>
      <c r="B2392" s="1">
        <f t="shared" si="74"/>
        <v>42461</v>
      </c>
      <c r="C2392" s="5" t="str">
        <f t="shared" si="75"/>
        <v>2016-04</v>
      </c>
      <c r="D2392" s="3">
        <v>208.61</v>
      </c>
      <c r="E2392" s="3">
        <v>113.3</v>
      </c>
      <c r="F2392" s="3">
        <v>127.83</v>
      </c>
      <c r="G2392" s="3">
        <v>118.23</v>
      </c>
      <c r="H2392" s="3">
        <v>82.49</v>
      </c>
      <c r="I2392" s="2">
        <v>40.78</v>
      </c>
      <c r="J2392" s="2">
        <v>363.66</v>
      </c>
      <c r="K2392" s="2">
        <v>226.3</v>
      </c>
      <c r="L2392" s="3">
        <v>71.59</v>
      </c>
      <c r="M2392" s="2">
        <v>2.84</v>
      </c>
    </row>
    <row r="2393" spans="1:13">
      <c r="A2393" s="9">
        <v>42482</v>
      </c>
      <c r="B2393" s="1">
        <f t="shared" si="74"/>
        <v>42461</v>
      </c>
      <c r="C2393" s="5" t="str">
        <f t="shared" si="75"/>
        <v>2016-04</v>
      </c>
      <c r="D2393" s="3">
        <v>208.97</v>
      </c>
      <c r="E2393" s="3">
        <v>114.11</v>
      </c>
      <c r="F2393" s="3">
        <v>128.36000000000001</v>
      </c>
      <c r="G2393" s="3">
        <v>117.89</v>
      </c>
      <c r="H2393" s="3">
        <v>81.77</v>
      </c>
      <c r="I2393" s="2">
        <v>40.700000000000003</v>
      </c>
      <c r="J2393" s="2">
        <v>365.47</v>
      </c>
      <c r="K2393" s="2">
        <v>226.83</v>
      </c>
      <c r="L2393" s="3">
        <v>71.87</v>
      </c>
      <c r="M2393" s="2">
        <v>2.85</v>
      </c>
    </row>
    <row r="2394" spans="1:13">
      <c r="A2394" s="9">
        <v>42481</v>
      </c>
      <c r="B2394" s="1">
        <f t="shared" si="74"/>
        <v>42461</v>
      </c>
      <c r="C2394" s="5" t="str">
        <f t="shared" si="75"/>
        <v>2016-04</v>
      </c>
      <c r="D2394" s="3">
        <v>208.97</v>
      </c>
      <c r="E2394" s="3">
        <v>112.99</v>
      </c>
      <c r="F2394" s="3">
        <v>128.69</v>
      </c>
      <c r="G2394" s="3">
        <v>119.42</v>
      </c>
      <c r="H2394" s="3">
        <v>80.930000000000007</v>
      </c>
      <c r="I2394" s="2">
        <v>40.99</v>
      </c>
      <c r="J2394" s="2">
        <v>364.09</v>
      </c>
      <c r="K2394" s="2">
        <v>226.07</v>
      </c>
      <c r="L2394" s="3">
        <v>71.72</v>
      </c>
      <c r="M2394" s="2">
        <v>2.77</v>
      </c>
    </row>
    <row r="2395" spans="1:13">
      <c r="A2395" s="9">
        <v>42480</v>
      </c>
      <c r="B2395" s="1">
        <f t="shared" si="74"/>
        <v>42461</v>
      </c>
      <c r="C2395" s="5" t="str">
        <f t="shared" si="75"/>
        <v>2016-04</v>
      </c>
      <c r="D2395" s="3">
        <v>210.1</v>
      </c>
      <c r="E2395" s="3">
        <v>113.56</v>
      </c>
      <c r="F2395" s="3">
        <v>129.46</v>
      </c>
      <c r="G2395" s="3">
        <v>118.97</v>
      </c>
      <c r="H2395" s="3">
        <v>82.4</v>
      </c>
      <c r="I2395" s="2">
        <v>41.1</v>
      </c>
      <c r="J2395" s="2">
        <v>366.92</v>
      </c>
      <c r="K2395" s="2">
        <v>226.58</v>
      </c>
      <c r="L2395" s="3">
        <v>71.3</v>
      </c>
      <c r="M2395" s="2">
        <v>2.8</v>
      </c>
    </row>
    <row r="2396" spans="1:13">
      <c r="A2396" s="9">
        <v>42479</v>
      </c>
      <c r="B2396" s="1">
        <f t="shared" si="74"/>
        <v>42461</v>
      </c>
      <c r="C2396" s="5" t="str">
        <f t="shared" si="75"/>
        <v>2016-04</v>
      </c>
      <c r="D2396" s="3">
        <v>209.9</v>
      </c>
      <c r="E2396" s="3">
        <v>113.39</v>
      </c>
      <c r="F2396" s="3">
        <v>130.9</v>
      </c>
      <c r="G2396" s="3">
        <v>119.58</v>
      </c>
      <c r="H2396" s="3">
        <v>83.82</v>
      </c>
      <c r="I2396" s="2">
        <v>41.06</v>
      </c>
      <c r="J2396" s="2">
        <v>364.66</v>
      </c>
      <c r="K2396" s="2">
        <v>226.51</v>
      </c>
      <c r="L2396" s="3">
        <v>70.92</v>
      </c>
      <c r="M2396" s="2">
        <v>2.79</v>
      </c>
    </row>
    <row r="2397" spans="1:13">
      <c r="A2397" s="9">
        <v>42478</v>
      </c>
      <c r="B2397" s="1">
        <f t="shared" si="74"/>
        <v>42461</v>
      </c>
      <c r="C2397" s="5" t="str">
        <f t="shared" si="75"/>
        <v>2016-04</v>
      </c>
      <c r="D2397" s="3">
        <v>209.23920000000001</v>
      </c>
      <c r="E2397" s="3">
        <v>113.3</v>
      </c>
      <c r="F2397" s="3">
        <v>131.31</v>
      </c>
      <c r="G2397" s="3">
        <v>117.74</v>
      </c>
      <c r="H2397" s="3">
        <v>83.78</v>
      </c>
      <c r="I2397" s="2">
        <v>41.24</v>
      </c>
      <c r="J2397" s="2">
        <v>358</v>
      </c>
      <c r="K2397" s="2">
        <v>227.14</v>
      </c>
      <c r="L2397" s="3">
        <v>70.67</v>
      </c>
      <c r="M2397" s="2">
        <v>2.71</v>
      </c>
    </row>
    <row r="2398" spans="1:13">
      <c r="A2398" s="9">
        <v>42475</v>
      </c>
      <c r="B2398" s="1">
        <f t="shared" si="74"/>
        <v>42461</v>
      </c>
      <c r="C2398" s="5" t="str">
        <f t="shared" si="75"/>
        <v>2016-04</v>
      </c>
      <c r="D2398" s="3">
        <v>207.78</v>
      </c>
      <c r="E2398" s="3">
        <v>112.45</v>
      </c>
      <c r="F2398" s="3">
        <v>131.88</v>
      </c>
      <c r="G2398" s="3">
        <v>117.92</v>
      </c>
      <c r="H2398" s="3">
        <v>83.38</v>
      </c>
      <c r="I2398" s="2">
        <v>41.02</v>
      </c>
      <c r="J2398" s="2">
        <v>357.74</v>
      </c>
      <c r="K2398" s="2">
        <v>225.81</v>
      </c>
      <c r="L2398" s="3">
        <v>70.02</v>
      </c>
      <c r="M2398" s="2">
        <v>2.68</v>
      </c>
    </row>
    <row r="2399" spans="1:13">
      <c r="A2399" s="9">
        <v>42474</v>
      </c>
      <c r="B2399" s="1">
        <f t="shared" si="74"/>
        <v>42461</v>
      </c>
      <c r="C2399" s="5" t="str">
        <f t="shared" si="75"/>
        <v>2016-04</v>
      </c>
      <c r="D2399" s="3">
        <v>208.01</v>
      </c>
      <c r="E2399" s="3">
        <v>112.17</v>
      </c>
      <c r="F2399" s="3">
        <v>130.76</v>
      </c>
      <c r="G2399" s="3">
        <v>117.11</v>
      </c>
      <c r="H2399" s="3">
        <v>82.76</v>
      </c>
      <c r="I2399" s="2">
        <v>41.24</v>
      </c>
      <c r="J2399" s="2">
        <v>354.91</v>
      </c>
      <c r="K2399" s="2">
        <v>225.44</v>
      </c>
      <c r="L2399" s="3">
        <v>70.069999999999993</v>
      </c>
      <c r="M2399" s="2">
        <v>3.33</v>
      </c>
    </row>
    <row r="2400" spans="1:13">
      <c r="A2400" s="9">
        <v>42473</v>
      </c>
      <c r="B2400" s="1">
        <f t="shared" si="74"/>
        <v>42461</v>
      </c>
      <c r="C2400" s="5" t="str">
        <f t="shared" si="75"/>
        <v>2016-04</v>
      </c>
      <c r="D2400" s="3">
        <v>208.0008</v>
      </c>
      <c r="E2400" s="3">
        <v>112.31</v>
      </c>
      <c r="F2400" s="3">
        <v>131.38999999999999</v>
      </c>
      <c r="G2400" s="3">
        <v>118.77</v>
      </c>
      <c r="H2400" s="3">
        <v>83.22</v>
      </c>
      <c r="I2400" s="2">
        <v>41.31</v>
      </c>
      <c r="J2400" s="2">
        <v>348.29</v>
      </c>
      <c r="K2400" s="2">
        <v>226.38</v>
      </c>
      <c r="L2400" s="3">
        <v>70.03</v>
      </c>
      <c r="M2400" s="2">
        <v>3.38</v>
      </c>
    </row>
    <row r="2401" spans="1:13">
      <c r="A2401" s="9">
        <v>42472</v>
      </c>
      <c r="B2401" s="1">
        <f t="shared" si="74"/>
        <v>42461</v>
      </c>
      <c r="C2401" s="5" t="str">
        <f t="shared" si="75"/>
        <v>2016-04</v>
      </c>
      <c r="D2401" s="3">
        <v>205.92</v>
      </c>
      <c r="E2401" s="3">
        <v>109.94</v>
      </c>
      <c r="F2401" s="3">
        <v>130.93</v>
      </c>
      <c r="G2401" s="3">
        <v>120.05</v>
      </c>
      <c r="H2401" s="3">
        <v>83.59</v>
      </c>
      <c r="I2401" s="2">
        <v>40.42</v>
      </c>
      <c r="J2401" s="2">
        <v>339.31</v>
      </c>
      <c r="K2401" s="2">
        <v>225.98</v>
      </c>
      <c r="L2401" s="3">
        <v>69.38</v>
      </c>
      <c r="M2401" s="2">
        <v>3.31</v>
      </c>
    </row>
    <row r="2402" spans="1:13">
      <c r="A2402" s="9">
        <v>42471</v>
      </c>
      <c r="B2402" s="1">
        <f t="shared" si="74"/>
        <v>42461</v>
      </c>
      <c r="C2402" s="5" t="str">
        <f t="shared" si="75"/>
        <v>2016-04</v>
      </c>
      <c r="D2402" s="3">
        <v>204.02010000000001</v>
      </c>
      <c r="E2402" s="3">
        <v>108.77</v>
      </c>
      <c r="F2402" s="3">
        <v>131.84</v>
      </c>
      <c r="G2402" s="3">
        <v>120.03</v>
      </c>
      <c r="H2402" s="3">
        <v>82.99</v>
      </c>
      <c r="I2402" s="2">
        <v>40.39</v>
      </c>
      <c r="J2402" s="2">
        <v>332.96</v>
      </c>
      <c r="K2402" s="2">
        <v>224.65</v>
      </c>
      <c r="L2402" s="3">
        <v>68.819999999999993</v>
      </c>
      <c r="M2402" s="2">
        <v>3.32</v>
      </c>
    </row>
    <row r="2403" spans="1:13">
      <c r="A2403" s="9">
        <v>42468</v>
      </c>
      <c r="B2403" s="1">
        <f t="shared" si="74"/>
        <v>42461</v>
      </c>
      <c r="C2403" s="5" t="str">
        <f t="shared" si="75"/>
        <v>2016-04</v>
      </c>
      <c r="D2403" s="3">
        <v>204.4992</v>
      </c>
      <c r="E2403" s="3">
        <v>109.11</v>
      </c>
      <c r="F2403" s="3">
        <v>132.01</v>
      </c>
      <c r="G2403" s="3">
        <v>118.43</v>
      </c>
      <c r="H2403" s="3">
        <v>83.16</v>
      </c>
      <c r="I2403" s="2">
        <v>40.36</v>
      </c>
      <c r="J2403" s="2">
        <v>331.6</v>
      </c>
      <c r="K2403" s="2">
        <v>226.3</v>
      </c>
      <c r="L2403" s="3">
        <v>69.349999999999994</v>
      </c>
      <c r="M2403" s="2">
        <v>3.34</v>
      </c>
    </row>
    <row r="2404" spans="1:13">
      <c r="A2404" s="9">
        <v>42467</v>
      </c>
      <c r="B2404" s="1">
        <f t="shared" si="74"/>
        <v>42461</v>
      </c>
      <c r="C2404" s="5" t="str">
        <f t="shared" si="75"/>
        <v>2016-04</v>
      </c>
      <c r="D2404" s="3">
        <v>203.95</v>
      </c>
      <c r="E2404" s="3">
        <v>108.68</v>
      </c>
      <c r="F2404" s="3">
        <v>132.85</v>
      </c>
      <c r="G2404" s="3">
        <v>118.61</v>
      </c>
      <c r="H2404" s="3">
        <v>82.7</v>
      </c>
      <c r="I2404" s="2">
        <v>39.97</v>
      </c>
      <c r="J2404" s="2">
        <v>328.37</v>
      </c>
      <c r="K2404" s="2">
        <v>226.48</v>
      </c>
      <c r="L2404" s="3">
        <v>69.540000000000006</v>
      </c>
      <c r="M2404" s="2">
        <v>3.37</v>
      </c>
    </row>
    <row r="2405" spans="1:13">
      <c r="A2405" s="9">
        <v>42466</v>
      </c>
      <c r="B2405" s="1">
        <f t="shared" si="74"/>
        <v>42461</v>
      </c>
      <c r="C2405" s="5" t="str">
        <f t="shared" si="75"/>
        <v>2016-04</v>
      </c>
      <c r="D2405" s="3">
        <v>206.42</v>
      </c>
      <c r="E2405" s="3">
        <v>110.17</v>
      </c>
      <c r="F2405" s="3">
        <v>131.22999999999999</v>
      </c>
      <c r="G2405" s="3">
        <v>116.94</v>
      </c>
      <c r="H2405" s="3">
        <v>83.22</v>
      </c>
      <c r="I2405" s="2">
        <v>40.75</v>
      </c>
      <c r="J2405" s="2">
        <v>337.2</v>
      </c>
      <c r="K2405" s="2">
        <v>226.63</v>
      </c>
      <c r="L2405" s="3">
        <v>70.3108</v>
      </c>
      <c r="M2405" s="2">
        <v>3.42</v>
      </c>
    </row>
    <row r="2406" spans="1:13">
      <c r="A2406" s="9">
        <v>42465</v>
      </c>
      <c r="B2406" s="1">
        <f t="shared" si="74"/>
        <v>42461</v>
      </c>
      <c r="C2406" s="5" t="str">
        <f t="shared" si="75"/>
        <v>2016-04</v>
      </c>
      <c r="D2406" s="3">
        <v>204.1892</v>
      </c>
      <c r="E2406" s="3">
        <v>108.94</v>
      </c>
      <c r="F2406" s="3">
        <v>132.19</v>
      </c>
      <c r="G2406" s="3">
        <v>117.66</v>
      </c>
      <c r="H2406" s="3">
        <v>83.02</v>
      </c>
      <c r="I2406" s="2">
        <v>40.53</v>
      </c>
      <c r="J2406" s="2">
        <v>334.8</v>
      </c>
      <c r="K2406" s="2">
        <v>225.62</v>
      </c>
      <c r="L2406" s="3">
        <v>68.47</v>
      </c>
      <c r="M2406" s="2">
        <v>3.42</v>
      </c>
    </row>
    <row r="2407" spans="1:13">
      <c r="A2407" s="9">
        <v>42464</v>
      </c>
      <c r="B2407" s="1">
        <f t="shared" si="74"/>
        <v>42461</v>
      </c>
      <c r="C2407" s="5" t="str">
        <f t="shared" si="75"/>
        <v>2016-04</v>
      </c>
      <c r="D2407" s="3">
        <v>206.25</v>
      </c>
      <c r="E2407" s="3">
        <v>110.19</v>
      </c>
      <c r="F2407" s="3">
        <v>130.76</v>
      </c>
      <c r="G2407" s="3">
        <v>116.15</v>
      </c>
      <c r="H2407" s="3">
        <v>83.57</v>
      </c>
      <c r="I2407" s="2">
        <v>41.07</v>
      </c>
      <c r="J2407" s="2">
        <v>338.52</v>
      </c>
      <c r="K2407" s="2">
        <v>224.13</v>
      </c>
      <c r="L2407" s="3">
        <v>69.37</v>
      </c>
      <c r="M2407" s="2">
        <v>3.4</v>
      </c>
    </row>
    <row r="2408" spans="1:13">
      <c r="A2408" s="9">
        <v>42461</v>
      </c>
      <c r="B2408" s="1">
        <f t="shared" si="74"/>
        <v>42461</v>
      </c>
      <c r="C2408" s="5" t="str">
        <f t="shared" si="75"/>
        <v>2016-04</v>
      </c>
      <c r="D2408" s="3">
        <v>206.92</v>
      </c>
      <c r="E2408" s="3">
        <v>111.12</v>
      </c>
      <c r="F2408" s="3">
        <v>130.68</v>
      </c>
      <c r="G2408" s="3">
        <v>116.93</v>
      </c>
      <c r="H2408" s="3">
        <v>83.69</v>
      </c>
      <c r="I2408" s="2">
        <v>41.16</v>
      </c>
      <c r="J2408" s="2">
        <v>342.53</v>
      </c>
      <c r="K2408" s="2">
        <v>223.11</v>
      </c>
      <c r="L2408" s="3">
        <v>68.55</v>
      </c>
      <c r="M2408" s="2">
        <v>3.45</v>
      </c>
    </row>
    <row r="2409" spans="1:13">
      <c r="A2409" s="9">
        <v>42460</v>
      </c>
      <c r="B2409" s="1">
        <f t="shared" si="74"/>
        <v>42430</v>
      </c>
      <c r="C2409" s="5" t="str">
        <f t="shared" si="75"/>
        <v>2016-03</v>
      </c>
      <c r="D2409" s="3">
        <v>205.52</v>
      </c>
      <c r="E2409" s="3">
        <v>110.63</v>
      </c>
      <c r="F2409" s="3">
        <v>130.61000000000001</v>
      </c>
      <c r="G2409" s="3">
        <v>117.64</v>
      </c>
      <c r="H2409" s="3">
        <v>83.8</v>
      </c>
      <c r="I2409" s="2">
        <v>40.909999999999997</v>
      </c>
      <c r="J2409" s="2">
        <v>340.57</v>
      </c>
      <c r="K2409" s="2">
        <v>221.5</v>
      </c>
      <c r="L2409" s="3">
        <v>67.78</v>
      </c>
      <c r="M2409" s="2">
        <v>3.41</v>
      </c>
    </row>
    <row r="2410" spans="1:13">
      <c r="A2410" s="9">
        <v>42459</v>
      </c>
      <c r="B2410" s="1">
        <f t="shared" si="74"/>
        <v>42430</v>
      </c>
      <c r="C2410" s="5" t="str">
        <f t="shared" si="75"/>
        <v>2016-03</v>
      </c>
      <c r="D2410" s="3">
        <v>206.02</v>
      </c>
      <c r="E2410" s="3">
        <v>110.32</v>
      </c>
      <c r="F2410" s="3">
        <v>129.69</v>
      </c>
      <c r="G2410" s="3">
        <v>117.1</v>
      </c>
      <c r="H2410" s="3">
        <v>83.29</v>
      </c>
      <c r="I2410" s="2">
        <v>40.97</v>
      </c>
      <c r="J2410" s="2">
        <v>341.37</v>
      </c>
      <c r="K2410" s="2">
        <v>222.96</v>
      </c>
      <c r="L2410" s="3">
        <v>67.989999999999995</v>
      </c>
      <c r="M2410" s="2">
        <v>3.34</v>
      </c>
    </row>
    <row r="2411" spans="1:13">
      <c r="A2411" s="9">
        <v>42458</v>
      </c>
      <c r="B2411" s="1">
        <f t="shared" si="74"/>
        <v>42430</v>
      </c>
      <c r="C2411" s="5" t="str">
        <f t="shared" si="75"/>
        <v>2016-03</v>
      </c>
      <c r="D2411" s="3">
        <v>205.1208</v>
      </c>
      <c r="E2411" s="3">
        <v>110.31</v>
      </c>
      <c r="F2411" s="3">
        <v>131.07</v>
      </c>
      <c r="G2411" s="3">
        <v>118.76</v>
      </c>
      <c r="H2411" s="3">
        <v>83.45</v>
      </c>
      <c r="I2411" s="2">
        <v>40.700000000000003</v>
      </c>
      <c r="J2411" s="2">
        <v>339.91</v>
      </c>
      <c r="K2411" s="2">
        <v>220.76</v>
      </c>
      <c r="L2411" s="3">
        <v>67.98</v>
      </c>
      <c r="M2411" s="2">
        <v>3.37</v>
      </c>
    </row>
    <row r="2412" spans="1:13">
      <c r="A2412" s="9">
        <v>42457</v>
      </c>
      <c r="B2412" s="1">
        <f t="shared" si="74"/>
        <v>42430</v>
      </c>
      <c r="C2412" s="5" t="str">
        <f t="shared" si="75"/>
        <v>2016-03</v>
      </c>
      <c r="D2412" s="3">
        <v>203.24</v>
      </c>
      <c r="E2412" s="3">
        <v>107.33</v>
      </c>
      <c r="F2412" s="3">
        <v>129.71</v>
      </c>
      <c r="G2412" s="3">
        <v>116.6</v>
      </c>
      <c r="H2412" s="3">
        <v>81.680000000000007</v>
      </c>
      <c r="I2412" s="2">
        <v>40.619999999999997</v>
      </c>
      <c r="J2412" s="2">
        <v>336.91</v>
      </c>
      <c r="K2412" s="2">
        <v>219.06</v>
      </c>
      <c r="L2412" s="3">
        <v>67.2</v>
      </c>
      <c r="M2412" s="2">
        <v>3.27</v>
      </c>
    </row>
    <row r="2413" spans="1:13">
      <c r="A2413" s="9">
        <v>42453</v>
      </c>
      <c r="B2413" s="1">
        <f t="shared" si="74"/>
        <v>42430</v>
      </c>
      <c r="C2413" s="5" t="str">
        <f t="shared" si="75"/>
        <v>2016-03</v>
      </c>
      <c r="D2413" s="3">
        <v>203.12</v>
      </c>
      <c r="E2413" s="3">
        <v>107.2</v>
      </c>
      <c r="F2413" s="3">
        <v>129.54</v>
      </c>
      <c r="G2413" s="3">
        <v>116.33</v>
      </c>
      <c r="H2413" s="3">
        <v>80.95</v>
      </c>
      <c r="I2413" s="2">
        <v>40.97</v>
      </c>
      <c r="J2413" s="2">
        <v>334.28</v>
      </c>
      <c r="K2413" s="2">
        <v>218</v>
      </c>
      <c r="L2413" s="3">
        <v>67.39</v>
      </c>
      <c r="M2413" s="2">
        <v>3.25</v>
      </c>
    </row>
    <row r="2414" spans="1:13">
      <c r="A2414" s="9">
        <v>42452</v>
      </c>
      <c r="B2414" s="1">
        <f t="shared" si="74"/>
        <v>42430</v>
      </c>
      <c r="C2414" s="5" t="str">
        <f t="shared" si="75"/>
        <v>2016-03</v>
      </c>
      <c r="D2414" s="3">
        <v>203.20920000000001</v>
      </c>
      <c r="E2414" s="3">
        <v>106.88</v>
      </c>
      <c r="F2414" s="3">
        <v>129.49</v>
      </c>
      <c r="G2414" s="3">
        <v>116.61</v>
      </c>
      <c r="H2414" s="3">
        <v>80.92</v>
      </c>
      <c r="I2414" s="2">
        <v>40.75</v>
      </c>
      <c r="J2414" s="2">
        <v>339.23</v>
      </c>
      <c r="K2414" s="2">
        <v>221.26</v>
      </c>
      <c r="L2414" s="3">
        <v>67.42</v>
      </c>
      <c r="M2414" s="2">
        <v>3.22</v>
      </c>
    </row>
    <row r="2415" spans="1:13">
      <c r="A2415" s="9">
        <v>42451</v>
      </c>
      <c r="B2415" s="1">
        <f t="shared" si="74"/>
        <v>42430</v>
      </c>
      <c r="C2415" s="5" t="str">
        <f t="shared" si="75"/>
        <v>2016-03</v>
      </c>
      <c r="D2415" s="3">
        <v>204.56</v>
      </c>
      <c r="E2415" s="3">
        <v>109.22</v>
      </c>
      <c r="F2415" s="3">
        <v>128.04</v>
      </c>
      <c r="G2415" s="3">
        <v>119.31</v>
      </c>
      <c r="H2415" s="3">
        <v>81.36</v>
      </c>
      <c r="I2415" s="2">
        <v>41.38</v>
      </c>
      <c r="J2415" s="2">
        <v>340.22</v>
      </c>
      <c r="K2415" s="2">
        <v>220.73</v>
      </c>
      <c r="L2415" s="3">
        <v>67.900000000000006</v>
      </c>
      <c r="M2415" s="2">
        <v>3.3</v>
      </c>
    </row>
    <row r="2416" spans="1:13">
      <c r="A2416" s="9">
        <v>42450</v>
      </c>
      <c r="B2416" s="1">
        <f t="shared" si="74"/>
        <v>42430</v>
      </c>
      <c r="C2416" s="5" t="str">
        <f t="shared" si="75"/>
        <v>2016-03</v>
      </c>
      <c r="D2416" s="3">
        <v>204.67</v>
      </c>
      <c r="E2416" s="3">
        <v>109.35</v>
      </c>
      <c r="F2416" s="3">
        <v>128.07</v>
      </c>
      <c r="G2416" s="3">
        <v>118.96</v>
      </c>
      <c r="H2416" s="3">
        <v>81.36</v>
      </c>
      <c r="I2416" s="2">
        <v>41.61</v>
      </c>
      <c r="J2416" s="2">
        <v>341.98</v>
      </c>
      <c r="K2416" s="2">
        <v>221.26</v>
      </c>
      <c r="L2416" s="3">
        <v>67.23</v>
      </c>
      <c r="M2416" s="2">
        <v>3.3</v>
      </c>
    </row>
    <row r="2417" spans="1:13">
      <c r="A2417" s="9">
        <v>42447</v>
      </c>
      <c r="B2417" s="1">
        <f t="shared" si="74"/>
        <v>42430</v>
      </c>
      <c r="C2417" s="5" t="str">
        <f t="shared" si="75"/>
        <v>2016-03</v>
      </c>
      <c r="D2417" s="3">
        <v>204.38</v>
      </c>
      <c r="E2417" s="3">
        <v>109.61</v>
      </c>
      <c r="F2417" s="3">
        <v>129.06</v>
      </c>
      <c r="G2417" s="3">
        <v>119.8</v>
      </c>
      <c r="H2417" s="3">
        <v>83.02</v>
      </c>
      <c r="I2417" s="2">
        <v>41.48</v>
      </c>
      <c r="J2417" s="2">
        <v>342.56</v>
      </c>
      <c r="K2417" s="2">
        <v>220.91</v>
      </c>
      <c r="L2417" s="3">
        <v>66.84</v>
      </c>
      <c r="M2417" s="2">
        <v>3.29</v>
      </c>
    </row>
    <row r="2418" spans="1:13">
      <c r="A2418" s="9">
        <v>42446</v>
      </c>
      <c r="B2418" s="1">
        <f t="shared" si="74"/>
        <v>42430</v>
      </c>
      <c r="C2418" s="5" t="str">
        <f t="shared" si="75"/>
        <v>2016-03</v>
      </c>
      <c r="D2418" s="3">
        <v>204.63</v>
      </c>
      <c r="E2418" s="3">
        <v>108.63</v>
      </c>
      <c r="F2418" s="3">
        <v>128.79</v>
      </c>
      <c r="G2418" s="3">
        <v>120.13</v>
      </c>
      <c r="H2418" s="3">
        <v>83.38</v>
      </c>
      <c r="I2418" s="2">
        <v>40.61</v>
      </c>
      <c r="J2418" s="2">
        <v>341.94</v>
      </c>
      <c r="K2418" s="2">
        <v>219.25</v>
      </c>
      <c r="L2418" s="3">
        <v>66.3</v>
      </c>
      <c r="M2418" s="2">
        <v>3.31</v>
      </c>
    </row>
    <row r="2419" spans="1:13">
      <c r="A2419" s="9">
        <v>42445</v>
      </c>
      <c r="B2419" s="1">
        <f t="shared" si="74"/>
        <v>42430</v>
      </c>
      <c r="C2419" s="5" t="str">
        <f t="shared" si="75"/>
        <v>2016-03</v>
      </c>
      <c r="D2419" s="3">
        <v>203.34</v>
      </c>
      <c r="E2419" s="3">
        <v>106.99</v>
      </c>
      <c r="F2419" s="3">
        <v>128.26</v>
      </c>
      <c r="G2419" s="3">
        <v>120.59</v>
      </c>
      <c r="H2419" s="3">
        <v>82.22</v>
      </c>
      <c r="I2419" s="2">
        <v>40.22</v>
      </c>
      <c r="J2419" s="2">
        <v>334.07</v>
      </c>
      <c r="K2419" s="2">
        <v>218.19</v>
      </c>
      <c r="L2419" s="3">
        <v>67.08</v>
      </c>
      <c r="M2419" s="2">
        <v>3.24</v>
      </c>
    </row>
    <row r="2420" spans="1:13">
      <c r="A2420" s="9">
        <v>42444</v>
      </c>
      <c r="B2420" s="1">
        <f t="shared" si="74"/>
        <v>42430</v>
      </c>
      <c r="C2420" s="5" t="str">
        <f t="shared" si="75"/>
        <v>2016-03</v>
      </c>
      <c r="D2420" s="3">
        <v>202.17</v>
      </c>
      <c r="E2420" s="3">
        <v>106.24</v>
      </c>
      <c r="F2420" s="3">
        <v>127.88</v>
      </c>
      <c r="G2420" s="3">
        <v>117.96</v>
      </c>
      <c r="H2420" s="3">
        <v>81.239999999999995</v>
      </c>
      <c r="I2420" s="2">
        <v>38.74</v>
      </c>
      <c r="J2420" s="2">
        <v>334.13</v>
      </c>
      <c r="K2420" s="2">
        <v>217.05</v>
      </c>
      <c r="L2420" s="3">
        <v>67.239999999999995</v>
      </c>
      <c r="M2420" s="2">
        <v>3.17</v>
      </c>
    </row>
    <row r="2421" spans="1:13">
      <c r="A2421" s="9">
        <v>42443</v>
      </c>
      <c r="B2421" s="1">
        <f t="shared" si="74"/>
        <v>42430</v>
      </c>
      <c r="C2421" s="5" t="str">
        <f t="shared" si="75"/>
        <v>2016-03</v>
      </c>
      <c r="D2421" s="3">
        <v>202.5</v>
      </c>
      <c r="E2421" s="3">
        <v>107.92</v>
      </c>
      <c r="F2421" s="3">
        <v>127.76</v>
      </c>
      <c r="G2421" s="3">
        <v>117.87</v>
      </c>
      <c r="H2421" s="3">
        <v>81.2</v>
      </c>
      <c r="I2421" s="2">
        <v>38.700000000000003</v>
      </c>
      <c r="J2421" s="2">
        <v>337.82</v>
      </c>
      <c r="K2421" s="2">
        <v>216.6</v>
      </c>
      <c r="L2421" s="3">
        <v>68.3</v>
      </c>
      <c r="M2421" s="2">
        <v>3.23</v>
      </c>
    </row>
    <row r="2422" spans="1:13">
      <c r="A2422" s="9">
        <v>42440</v>
      </c>
      <c r="B2422" s="1">
        <f t="shared" si="74"/>
        <v>42430</v>
      </c>
      <c r="C2422" s="5" t="str">
        <f t="shared" si="75"/>
        <v>2016-03</v>
      </c>
      <c r="D2422" s="3">
        <v>202.76</v>
      </c>
      <c r="E2422" s="3">
        <v>108.2008</v>
      </c>
      <c r="F2422" s="3">
        <v>127.36</v>
      </c>
      <c r="G2422" s="3">
        <v>119.41</v>
      </c>
      <c r="H2422" s="3">
        <v>81.19</v>
      </c>
      <c r="I2422" s="2">
        <v>38.950000000000003</v>
      </c>
      <c r="J2422" s="2">
        <v>339.65</v>
      </c>
      <c r="K2422" s="2">
        <v>217.05</v>
      </c>
      <c r="L2422" s="3">
        <v>68.59</v>
      </c>
      <c r="M2422" s="2">
        <v>3.22</v>
      </c>
    </row>
    <row r="2423" spans="1:13">
      <c r="A2423" s="9">
        <v>42439</v>
      </c>
      <c r="B2423" s="1">
        <f t="shared" si="74"/>
        <v>42430</v>
      </c>
      <c r="C2423" s="5" t="str">
        <f t="shared" si="75"/>
        <v>2016-03</v>
      </c>
      <c r="D2423" s="3">
        <v>199.54</v>
      </c>
      <c r="E2423" s="3">
        <v>105.93</v>
      </c>
      <c r="F2423" s="3">
        <v>128.66</v>
      </c>
      <c r="G2423" s="3">
        <v>121.5</v>
      </c>
      <c r="H2423" s="3">
        <v>79.41</v>
      </c>
      <c r="I2423" s="2">
        <v>38.049999999999997</v>
      </c>
      <c r="J2423" s="2">
        <v>324.99</v>
      </c>
      <c r="K2423" s="2">
        <v>216.56</v>
      </c>
      <c r="L2423" s="3">
        <v>67.28</v>
      </c>
      <c r="M2423" s="2">
        <v>3.17</v>
      </c>
    </row>
    <row r="2424" spans="1:13">
      <c r="A2424" s="9">
        <v>42438</v>
      </c>
      <c r="B2424" s="1">
        <f t="shared" si="74"/>
        <v>42430</v>
      </c>
      <c r="C2424" s="5" t="str">
        <f t="shared" si="75"/>
        <v>2016-03</v>
      </c>
      <c r="D2424" s="3">
        <v>199.38</v>
      </c>
      <c r="E2424" s="3">
        <v>106.8</v>
      </c>
      <c r="F2424" s="3">
        <v>129.19</v>
      </c>
      <c r="G2424" s="3">
        <v>119.58</v>
      </c>
      <c r="H2424" s="3">
        <v>79.7</v>
      </c>
      <c r="I2424" s="2">
        <v>38.479999999999997</v>
      </c>
      <c r="J2424" s="2">
        <v>328.31</v>
      </c>
      <c r="K2424" s="2">
        <v>216.41</v>
      </c>
      <c r="L2424" s="3">
        <v>67.239999999999995</v>
      </c>
      <c r="M2424" s="2">
        <v>3.16</v>
      </c>
    </row>
    <row r="2425" spans="1:13">
      <c r="A2425" s="9">
        <v>42437</v>
      </c>
      <c r="B2425" s="1">
        <f t="shared" si="74"/>
        <v>42430</v>
      </c>
      <c r="C2425" s="5" t="str">
        <f t="shared" si="75"/>
        <v>2016-03</v>
      </c>
      <c r="D2425" s="3">
        <v>198.4</v>
      </c>
      <c r="E2425" s="3">
        <v>106.26</v>
      </c>
      <c r="F2425" s="3">
        <v>129.97999999999999</v>
      </c>
      <c r="G2425" s="3">
        <v>120.58</v>
      </c>
      <c r="H2425" s="3">
        <v>79.260000000000005</v>
      </c>
      <c r="I2425" s="2">
        <v>38.15</v>
      </c>
      <c r="J2425" s="2">
        <v>320.39999999999998</v>
      </c>
      <c r="K2425" s="2">
        <v>215.34</v>
      </c>
      <c r="L2425" s="3">
        <v>67.120800000000003</v>
      </c>
      <c r="M2425" s="2">
        <v>3.14</v>
      </c>
    </row>
    <row r="2426" spans="1:13">
      <c r="A2426" s="9">
        <v>42436</v>
      </c>
      <c r="B2426" s="1">
        <f t="shared" si="74"/>
        <v>42430</v>
      </c>
      <c r="C2426" s="5" t="str">
        <f t="shared" si="75"/>
        <v>2016-03</v>
      </c>
      <c r="D2426" s="3">
        <v>200.59</v>
      </c>
      <c r="E2426" s="3">
        <v>108.8892</v>
      </c>
      <c r="F2426" s="3">
        <v>128.56</v>
      </c>
      <c r="G2426" s="3">
        <v>121.14</v>
      </c>
      <c r="H2426" s="3">
        <v>80.08</v>
      </c>
      <c r="I2426" s="2">
        <v>38.36</v>
      </c>
      <c r="J2426" s="2">
        <v>326.73</v>
      </c>
      <c r="K2426" s="2">
        <v>215.84</v>
      </c>
      <c r="L2426" s="3">
        <v>67.950800000000001</v>
      </c>
      <c r="M2426" s="2">
        <v>3.28</v>
      </c>
    </row>
    <row r="2427" spans="1:13">
      <c r="A2427" s="9">
        <v>42433</v>
      </c>
      <c r="B2427" s="1">
        <f t="shared" si="74"/>
        <v>42430</v>
      </c>
      <c r="C2427" s="5" t="str">
        <f t="shared" si="75"/>
        <v>2016-03</v>
      </c>
      <c r="D2427" s="3">
        <v>200.43</v>
      </c>
      <c r="E2427" s="3">
        <v>107.72</v>
      </c>
      <c r="F2427" s="3">
        <v>128.6</v>
      </c>
      <c r="G2427" s="3">
        <v>120.54</v>
      </c>
      <c r="H2427" s="3">
        <v>79.87</v>
      </c>
      <c r="I2427" s="2">
        <v>37.89</v>
      </c>
      <c r="J2427" s="2">
        <v>323.76</v>
      </c>
      <c r="K2427" s="2">
        <v>218.72</v>
      </c>
      <c r="L2427" s="3">
        <v>67.41</v>
      </c>
      <c r="M2427" s="2">
        <v>3.26</v>
      </c>
    </row>
    <row r="2428" spans="1:13">
      <c r="A2428" s="9">
        <v>42432</v>
      </c>
      <c r="B2428" s="1">
        <f t="shared" si="74"/>
        <v>42430</v>
      </c>
      <c r="C2428" s="5" t="str">
        <f t="shared" si="75"/>
        <v>2016-03</v>
      </c>
      <c r="D2428" s="3">
        <v>199.77500000000001</v>
      </c>
      <c r="E2428" s="3">
        <v>107.13</v>
      </c>
      <c r="F2428" s="3">
        <v>129.43</v>
      </c>
      <c r="G2428" s="3">
        <v>120.73</v>
      </c>
      <c r="H2428" s="3">
        <v>79.86</v>
      </c>
      <c r="I2428" s="2">
        <v>37.89</v>
      </c>
      <c r="J2428" s="2">
        <v>323.14</v>
      </c>
      <c r="K2428" s="2">
        <v>218.52</v>
      </c>
      <c r="L2428" s="3">
        <v>67.569999999999993</v>
      </c>
      <c r="M2428" s="2">
        <v>3.36</v>
      </c>
    </row>
    <row r="2429" spans="1:13">
      <c r="A2429" s="9">
        <v>42431</v>
      </c>
      <c r="B2429" s="1">
        <f t="shared" si="74"/>
        <v>42430</v>
      </c>
      <c r="C2429" s="5" t="str">
        <f t="shared" si="75"/>
        <v>2016-03</v>
      </c>
      <c r="D2429" s="3">
        <v>199</v>
      </c>
      <c r="E2429" s="3">
        <v>106.02079999999999</v>
      </c>
      <c r="F2429" s="3">
        <v>128.96</v>
      </c>
      <c r="G2429" s="3">
        <v>118.68</v>
      </c>
      <c r="H2429" s="3">
        <v>79.44</v>
      </c>
      <c r="I2429" s="2">
        <v>37.76</v>
      </c>
      <c r="J2429" s="2">
        <v>326.73</v>
      </c>
      <c r="K2429" s="2">
        <v>217.2</v>
      </c>
      <c r="L2429" s="3">
        <v>67.760800000000003</v>
      </c>
      <c r="M2429" s="2">
        <v>3.32</v>
      </c>
    </row>
    <row r="2430" spans="1:13">
      <c r="A2430" s="9">
        <v>42430</v>
      </c>
      <c r="B2430" s="1">
        <f t="shared" si="74"/>
        <v>42430</v>
      </c>
      <c r="C2430" s="5" t="str">
        <f t="shared" si="75"/>
        <v>2016-03</v>
      </c>
      <c r="D2430" s="3">
        <v>198.11</v>
      </c>
      <c r="E2430" s="3">
        <v>104.94</v>
      </c>
      <c r="F2430" s="3">
        <v>128.43</v>
      </c>
      <c r="G2430" s="3">
        <v>117.77</v>
      </c>
      <c r="H2430" s="3">
        <v>78.87</v>
      </c>
      <c r="I2430" s="2">
        <v>37.99</v>
      </c>
      <c r="J2430" s="2">
        <v>322.57</v>
      </c>
      <c r="K2430" s="2">
        <v>218.13</v>
      </c>
      <c r="L2430" s="3">
        <v>67.650000000000006</v>
      </c>
      <c r="M2430" s="2">
        <v>3.32</v>
      </c>
    </row>
    <row r="2431" spans="1:13">
      <c r="A2431" s="9">
        <v>42429</v>
      </c>
      <c r="B2431" s="1">
        <f t="shared" si="74"/>
        <v>42401</v>
      </c>
      <c r="C2431" s="5" t="str">
        <f t="shared" si="75"/>
        <v>2016-02</v>
      </c>
      <c r="D2431" s="3">
        <v>193.56</v>
      </c>
      <c r="E2431" s="3">
        <v>102.73</v>
      </c>
      <c r="F2431" s="3">
        <v>130.97999999999999</v>
      </c>
      <c r="G2431" s="3">
        <v>118.64</v>
      </c>
      <c r="H2431" s="3">
        <v>76.709999999999994</v>
      </c>
      <c r="I2431" s="2">
        <v>36.78</v>
      </c>
      <c r="J2431" s="2">
        <v>311.95999999999998</v>
      </c>
      <c r="K2431" s="2">
        <v>215.79</v>
      </c>
      <c r="L2431" s="3">
        <v>66.229200000000006</v>
      </c>
      <c r="M2431" s="2">
        <v>3.25</v>
      </c>
    </row>
    <row r="2432" spans="1:13">
      <c r="A2432" s="9">
        <v>42426</v>
      </c>
      <c r="B2432" s="1">
        <f t="shared" si="74"/>
        <v>42401</v>
      </c>
      <c r="C2432" s="5" t="str">
        <f t="shared" si="75"/>
        <v>2016-02</v>
      </c>
      <c r="D2432" s="3">
        <v>195.08920000000001</v>
      </c>
      <c r="E2432" s="3">
        <v>103.19</v>
      </c>
      <c r="F2432" s="3">
        <v>130.41</v>
      </c>
      <c r="G2432" s="3">
        <v>117.11</v>
      </c>
      <c r="H2432" s="3">
        <v>77.010000000000005</v>
      </c>
      <c r="I2432" s="2">
        <v>36.96</v>
      </c>
      <c r="J2432" s="2">
        <v>313.92</v>
      </c>
      <c r="K2432" s="2">
        <v>217.24</v>
      </c>
      <c r="L2432" s="3">
        <v>67.3</v>
      </c>
      <c r="M2432" s="2">
        <v>3.21</v>
      </c>
    </row>
    <row r="2433" spans="1:13">
      <c r="A2433" s="9">
        <v>42425</v>
      </c>
      <c r="B2433" s="1">
        <f t="shared" si="74"/>
        <v>42401</v>
      </c>
      <c r="C2433" s="5" t="str">
        <f t="shared" si="75"/>
        <v>2016-02</v>
      </c>
      <c r="D2433" s="3">
        <v>195.54</v>
      </c>
      <c r="E2433" s="3">
        <v>102.54</v>
      </c>
      <c r="F2433" s="3">
        <v>131.68</v>
      </c>
      <c r="G2433" s="3">
        <v>117.92</v>
      </c>
      <c r="H2433" s="3">
        <v>77.41</v>
      </c>
      <c r="I2433" s="2">
        <v>37.29</v>
      </c>
      <c r="J2433" s="2">
        <v>313.62</v>
      </c>
      <c r="K2433" s="2">
        <v>220.03</v>
      </c>
      <c r="L2433" s="3">
        <v>67.42</v>
      </c>
      <c r="M2433" s="2">
        <v>3.22</v>
      </c>
    </row>
    <row r="2434" spans="1:13">
      <c r="A2434" s="9">
        <v>42424</v>
      </c>
      <c r="B2434" s="1">
        <f t="shared" ref="B2434:B2497" si="76">EOMONTH(A2434,-1)+1</f>
        <v>42401</v>
      </c>
      <c r="C2434" s="5" t="str">
        <f t="shared" si="75"/>
        <v>2016-02</v>
      </c>
      <c r="D2434" s="3">
        <v>193.2</v>
      </c>
      <c r="E2434" s="3">
        <v>101.61</v>
      </c>
      <c r="F2434" s="3">
        <v>131.21</v>
      </c>
      <c r="G2434" s="3">
        <v>117.61</v>
      </c>
      <c r="H2434" s="3">
        <v>75.86</v>
      </c>
      <c r="I2434" s="2">
        <v>36.630000000000003</v>
      </c>
      <c r="J2434" s="2">
        <v>307.98</v>
      </c>
      <c r="K2434" s="2">
        <v>216.63</v>
      </c>
      <c r="L2434" s="3">
        <v>66.59</v>
      </c>
      <c r="M2434" s="2">
        <v>3.24</v>
      </c>
    </row>
    <row r="2435" spans="1:13">
      <c r="A2435" s="9">
        <v>42423</v>
      </c>
      <c r="B2435" s="1">
        <f t="shared" si="76"/>
        <v>42401</v>
      </c>
      <c r="C2435" s="5" t="str">
        <f t="shared" ref="C2435:C2498" si="77">TEXT(A2435, "yyyy-mm")</f>
        <v>2016-02</v>
      </c>
      <c r="D2435" s="3">
        <v>192.32</v>
      </c>
      <c r="E2435" s="3">
        <v>100.64</v>
      </c>
      <c r="F2435" s="3">
        <v>131.47</v>
      </c>
      <c r="G2435" s="3">
        <v>117.22</v>
      </c>
      <c r="H2435" s="3">
        <v>75.95</v>
      </c>
      <c r="I2435" s="2">
        <v>36.549999999999997</v>
      </c>
      <c r="J2435" s="2">
        <v>309.86</v>
      </c>
      <c r="K2435" s="2">
        <v>215.15</v>
      </c>
      <c r="L2435" s="3">
        <v>66.37</v>
      </c>
      <c r="M2435" s="2">
        <v>3.18</v>
      </c>
    </row>
    <row r="2436" spans="1:13">
      <c r="A2436" s="9">
        <v>42422</v>
      </c>
      <c r="B2436" s="1">
        <f t="shared" si="76"/>
        <v>42401</v>
      </c>
      <c r="C2436" s="5" t="str">
        <f t="shared" si="77"/>
        <v>2016-02</v>
      </c>
      <c r="D2436" s="3">
        <v>194.78</v>
      </c>
      <c r="E2436" s="3">
        <v>101.57</v>
      </c>
      <c r="F2436" s="3">
        <v>130.94</v>
      </c>
      <c r="G2436" s="3">
        <v>115.49</v>
      </c>
      <c r="H2436" s="3">
        <v>76.150000000000006</v>
      </c>
      <c r="I2436" s="2">
        <v>37.11</v>
      </c>
      <c r="J2436" s="2">
        <v>316.45</v>
      </c>
      <c r="K2436" s="2">
        <v>215.01</v>
      </c>
      <c r="L2436" s="3">
        <v>66.87</v>
      </c>
      <c r="M2436" s="2">
        <v>3.23</v>
      </c>
    </row>
    <row r="2437" spans="1:13">
      <c r="A2437" s="9">
        <v>42419</v>
      </c>
      <c r="B2437" s="1">
        <f t="shared" si="76"/>
        <v>42401</v>
      </c>
      <c r="C2437" s="5" t="str">
        <f t="shared" si="77"/>
        <v>2016-02</v>
      </c>
      <c r="D2437" s="3">
        <v>192</v>
      </c>
      <c r="E2437" s="3">
        <v>100.45</v>
      </c>
      <c r="F2437" s="3">
        <v>131.005</v>
      </c>
      <c r="G2437" s="3">
        <v>117.58</v>
      </c>
      <c r="H2437" s="3">
        <v>75.430000000000007</v>
      </c>
      <c r="I2437" s="2">
        <v>36.78</v>
      </c>
      <c r="J2437" s="2">
        <v>314.29000000000002</v>
      </c>
      <c r="K2437" s="2">
        <v>213.62</v>
      </c>
      <c r="L2437" s="3">
        <v>65.930000000000007</v>
      </c>
      <c r="M2437" s="2">
        <v>3.19</v>
      </c>
    </row>
    <row r="2438" spans="1:13">
      <c r="A2438" s="9">
        <v>42418</v>
      </c>
      <c r="B2438" s="1">
        <f t="shared" si="76"/>
        <v>42401</v>
      </c>
      <c r="C2438" s="5" t="str">
        <f t="shared" si="77"/>
        <v>2016-02</v>
      </c>
      <c r="D2438" s="3">
        <v>192.09</v>
      </c>
      <c r="E2438" s="3">
        <v>99.95</v>
      </c>
      <c r="F2438" s="3">
        <v>130.9</v>
      </c>
      <c r="G2438" s="3">
        <v>118.29</v>
      </c>
      <c r="H2438" s="3">
        <v>75</v>
      </c>
      <c r="I2438" s="2">
        <v>36.630000000000003</v>
      </c>
      <c r="J2438" s="2">
        <v>315.97000000000003</v>
      </c>
      <c r="K2438" s="2">
        <v>214.2</v>
      </c>
      <c r="L2438" s="3">
        <v>66</v>
      </c>
      <c r="M2438" s="2">
        <v>3.25</v>
      </c>
    </row>
    <row r="2439" spans="1:13">
      <c r="A2439" s="9">
        <v>42417</v>
      </c>
      <c r="B2439" s="1">
        <f t="shared" si="76"/>
        <v>42401</v>
      </c>
      <c r="C2439" s="5" t="str">
        <f t="shared" si="77"/>
        <v>2016-02</v>
      </c>
      <c r="D2439" s="3">
        <v>192.88</v>
      </c>
      <c r="E2439" s="3">
        <v>100.43</v>
      </c>
      <c r="F2439" s="3">
        <v>129.31</v>
      </c>
      <c r="G2439" s="3">
        <v>115.48</v>
      </c>
      <c r="H2439" s="3">
        <v>74.25</v>
      </c>
      <c r="I2439" s="2">
        <v>36.630000000000003</v>
      </c>
      <c r="J2439" s="2">
        <v>319.88</v>
      </c>
      <c r="K2439" s="2">
        <v>212.74</v>
      </c>
      <c r="L2439" s="3">
        <v>66.41</v>
      </c>
      <c r="M2439" s="2">
        <v>3.22</v>
      </c>
    </row>
    <row r="2440" spans="1:13">
      <c r="A2440" s="9">
        <v>42416</v>
      </c>
      <c r="B2440" s="1">
        <f t="shared" si="76"/>
        <v>42401</v>
      </c>
      <c r="C2440" s="5" t="str">
        <f t="shared" si="77"/>
        <v>2016-02</v>
      </c>
      <c r="D2440" s="3">
        <v>189.78</v>
      </c>
      <c r="E2440" s="3">
        <v>98.88</v>
      </c>
      <c r="F2440" s="3">
        <v>130.11000000000001</v>
      </c>
      <c r="G2440" s="3">
        <v>114.77</v>
      </c>
      <c r="H2440" s="3">
        <v>73.62</v>
      </c>
      <c r="I2440" s="2">
        <v>35.700000000000003</v>
      </c>
      <c r="J2440" s="2">
        <v>314.47000000000003</v>
      </c>
      <c r="K2440" s="2">
        <v>209</v>
      </c>
      <c r="L2440" s="3">
        <v>65.58</v>
      </c>
      <c r="M2440" s="2">
        <v>3.12</v>
      </c>
    </row>
    <row r="2441" spans="1:13">
      <c r="A2441" s="9">
        <v>42412</v>
      </c>
      <c r="B2441" s="1">
        <f t="shared" si="76"/>
        <v>42401</v>
      </c>
      <c r="C2441" s="5" t="str">
        <f t="shared" si="77"/>
        <v>2016-02</v>
      </c>
      <c r="D2441" s="3">
        <v>186.63</v>
      </c>
      <c r="E2441" s="3">
        <v>96.59</v>
      </c>
      <c r="F2441" s="3">
        <v>131.5</v>
      </c>
      <c r="G2441" s="3">
        <v>118.36</v>
      </c>
      <c r="H2441" s="3">
        <v>72.290000000000006</v>
      </c>
      <c r="I2441" s="2">
        <v>35.54</v>
      </c>
      <c r="J2441" s="2">
        <v>306.8</v>
      </c>
      <c r="K2441" s="2">
        <v>206.08</v>
      </c>
      <c r="L2441" s="3">
        <v>64.37</v>
      </c>
      <c r="M2441" s="2">
        <v>2.99</v>
      </c>
    </row>
    <row r="2442" spans="1:13">
      <c r="A2442" s="9">
        <v>42411</v>
      </c>
      <c r="B2442" s="1">
        <f t="shared" si="76"/>
        <v>42401</v>
      </c>
      <c r="C2442" s="5" t="str">
        <f t="shared" si="77"/>
        <v>2016-02</v>
      </c>
      <c r="D2442" s="3">
        <v>182.86</v>
      </c>
      <c r="E2442" s="3">
        <v>94.789199999999994</v>
      </c>
      <c r="F2442" s="3">
        <v>133.72</v>
      </c>
      <c r="G2442" s="3">
        <v>119.0592</v>
      </c>
      <c r="H2442" s="3">
        <v>71.47</v>
      </c>
      <c r="I2442" s="2">
        <v>34.840000000000003</v>
      </c>
      <c r="J2442" s="2">
        <v>294.20999999999998</v>
      </c>
      <c r="K2442" s="2">
        <v>207.18</v>
      </c>
      <c r="L2442" s="3">
        <v>63.52</v>
      </c>
      <c r="M2442" s="2">
        <v>2.97</v>
      </c>
    </row>
    <row r="2443" spans="1:13">
      <c r="A2443" s="9">
        <v>42410</v>
      </c>
      <c r="B2443" s="1">
        <f t="shared" si="76"/>
        <v>42401</v>
      </c>
      <c r="C2443" s="5" t="str">
        <f t="shared" si="77"/>
        <v>2016-02</v>
      </c>
      <c r="D2443" s="3">
        <v>185.27</v>
      </c>
      <c r="E2443" s="3">
        <v>95.83</v>
      </c>
      <c r="F2443" s="3">
        <v>132.79</v>
      </c>
      <c r="G2443" s="3">
        <v>114.46</v>
      </c>
      <c r="H2443" s="3">
        <v>72.5</v>
      </c>
      <c r="I2443" s="2">
        <v>35.200000000000003</v>
      </c>
      <c r="J2443" s="2">
        <v>298.56</v>
      </c>
      <c r="K2443" s="2">
        <v>213.95</v>
      </c>
      <c r="L2443" s="3">
        <v>64.56</v>
      </c>
      <c r="M2443" s="2">
        <v>3</v>
      </c>
    </row>
    <row r="2444" spans="1:13">
      <c r="A2444" s="9">
        <v>42409</v>
      </c>
      <c r="B2444" s="1">
        <f t="shared" si="76"/>
        <v>42401</v>
      </c>
      <c r="C2444" s="5" t="str">
        <f t="shared" si="77"/>
        <v>2016-02</v>
      </c>
      <c r="D2444" s="3">
        <v>185.43</v>
      </c>
      <c r="E2444" s="3">
        <v>95.78</v>
      </c>
      <c r="F2444" s="3">
        <v>131.63</v>
      </c>
      <c r="G2444" s="3">
        <v>113.58</v>
      </c>
      <c r="H2444" s="3">
        <v>72</v>
      </c>
      <c r="I2444" s="2">
        <v>35.08</v>
      </c>
      <c r="J2444" s="2">
        <v>294.52999999999997</v>
      </c>
      <c r="K2444" s="2">
        <v>215.98</v>
      </c>
      <c r="L2444" s="3">
        <v>63.9908</v>
      </c>
      <c r="M2444" s="2">
        <v>3.08</v>
      </c>
    </row>
    <row r="2445" spans="1:13">
      <c r="A2445" s="9">
        <v>42408</v>
      </c>
      <c r="B2445" s="1">
        <f t="shared" si="76"/>
        <v>42401</v>
      </c>
      <c r="C2445" s="5" t="str">
        <f t="shared" si="77"/>
        <v>2016-02</v>
      </c>
      <c r="D2445" s="3">
        <v>185.42</v>
      </c>
      <c r="E2445" s="3">
        <v>96.43</v>
      </c>
      <c r="F2445" s="3">
        <v>131.49</v>
      </c>
      <c r="G2445" s="3">
        <v>113.83</v>
      </c>
      <c r="H2445" s="3">
        <v>73.349999999999994</v>
      </c>
      <c r="I2445" s="2">
        <v>35.61</v>
      </c>
      <c r="J2445" s="2">
        <v>293.45999999999998</v>
      </c>
      <c r="K2445" s="2">
        <v>214.53</v>
      </c>
      <c r="L2445" s="3">
        <v>63.52</v>
      </c>
      <c r="M2445" s="2">
        <v>3.17</v>
      </c>
    </row>
    <row r="2446" spans="1:13">
      <c r="A2446" s="9">
        <v>42405</v>
      </c>
      <c r="B2446" s="1">
        <f t="shared" si="76"/>
        <v>42401</v>
      </c>
      <c r="C2446" s="5" t="str">
        <f t="shared" si="77"/>
        <v>2016-02</v>
      </c>
      <c r="D2446" s="3">
        <v>187.95</v>
      </c>
      <c r="E2446" s="3">
        <v>98.04</v>
      </c>
      <c r="F2446" s="3">
        <v>128.72</v>
      </c>
      <c r="G2446" s="3">
        <v>112.32</v>
      </c>
      <c r="H2446" s="3">
        <v>75.510000000000005</v>
      </c>
      <c r="I2446" s="2">
        <v>35.700000000000003</v>
      </c>
      <c r="J2446" s="2">
        <v>307.75</v>
      </c>
      <c r="K2446" s="2">
        <v>211.94</v>
      </c>
      <c r="L2446" s="3">
        <v>64.400000000000006</v>
      </c>
      <c r="M2446" s="2">
        <v>3.2</v>
      </c>
    </row>
    <row r="2447" spans="1:13">
      <c r="A2447" s="9">
        <v>42404</v>
      </c>
      <c r="B2447" s="1">
        <f t="shared" si="76"/>
        <v>42401</v>
      </c>
      <c r="C2447" s="5" t="str">
        <f t="shared" si="77"/>
        <v>2016-02</v>
      </c>
      <c r="D2447" s="3">
        <v>191.6</v>
      </c>
      <c r="E2447" s="3">
        <v>100.8</v>
      </c>
      <c r="F2447" s="3">
        <v>128.57</v>
      </c>
      <c r="G2447" s="3">
        <v>110.57</v>
      </c>
      <c r="H2447" s="3">
        <v>76.97</v>
      </c>
      <c r="I2447" s="2">
        <v>36.450000000000003</v>
      </c>
      <c r="J2447" s="2">
        <v>313.7</v>
      </c>
      <c r="K2447" s="2">
        <v>210.21</v>
      </c>
      <c r="L2447" s="3">
        <v>65.680000000000007</v>
      </c>
      <c r="M2447" s="2">
        <v>3.23</v>
      </c>
    </row>
    <row r="2448" spans="1:13">
      <c r="A2448" s="9">
        <v>42403</v>
      </c>
      <c r="B2448" s="1">
        <f t="shared" si="76"/>
        <v>42401</v>
      </c>
      <c r="C2448" s="5" t="str">
        <f t="shared" si="77"/>
        <v>2016-02</v>
      </c>
      <c r="D2448" s="3">
        <v>191.3</v>
      </c>
      <c r="E2448" s="3">
        <v>100.41</v>
      </c>
      <c r="F2448" s="3">
        <v>127.95</v>
      </c>
      <c r="G2448" s="3">
        <v>109.25</v>
      </c>
      <c r="H2448" s="3">
        <v>76.930000000000007</v>
      </c>
      <c r="I2448" s="2">
        <v>35.69</v>
      </c>
      <c r="J2448" s="2">
        <v>304.06</v>
      </c>
      <c r="K2448" s="2">
        <v>212.92</v>
      </c>
      <c r="L2448" s="3">
        <v>66.040000000000006</v>
      </c>
      <c r="M2448" s="2">
        <v>3.21</v>
      </c>
    </row>
    <row r="2449" spans="1:13">
      <c r="A2449" s="9">
        <v>42402</v>
      </c>
      <c r="B2449" s="1">
        <f t="shared" si="76"/>
        <v>42401</v>
      </c>
      <c r="C2449" s="5" t="str">
        <f t="shared" si="77"/>
        <v>2016-02</v>
      </c>
      <c r="D2449" s="3">
        <v>190.16</v>
      </c>
      <c r="E2449" s="3">
        <v>100.28</v>
      </c>
      <c r="F2449" s="3">
        <v>129.02000000000001</v>
      </c>
      <c r="G2449" s="3">
        <v>108.09</v>
      </c>
      <c r="H2449" s="3">
        <v>76.42</v>
      </c>
      <c r="I2449" s="2">
        <v>35.35</v>
      </c>
      <c r="J2449" s="2">
        <v>301.20999999999998</v>
      </c>
      <c r="K2449" s="2">
        <v>210.45</v>
      </c>
      <c r="L2449" s="3">
        <v>65.61</v>
      </c>
      <c r="M2449" s="2">
        <v>3.09</v>
      </c>
    </row>
    <row r="2450" spans="1:13">
      <c r="A2450" s="9">
        <v>42401</v>
      </c>
      <c r="B2450" s="1">
        <f t="shared" si="76"/>
        <v>42401</v>
      </c>
      <c r="C2450" s="5" t="str">
        <f t="shared" si="77"/>
        <v>2016-02</v>
      </c>
      <c r="D2450" s="3">
        <v>193.65</v>
      </c>
      <c r="E2450" s="3">
        <v>102.49</v>
      </c>
      <c r="F2450" s="3">
        <v>126.67</v>
      </c>
      <c r="G2450" s="3">
        <v>108.05</v>
      </c>
      <c r="H2450" s="3">
        <v>77.12</v>
      </c>
      <c r="I2450" s="2">
        <v>36.32</v>
      </c>
      <c r="J2450" s="2">
        <v>312.25</v>
      </c>
      <c r="K2450" s="2">
        <v>209.8</v>
      </c>
      <c r="L2450" s="3">
        <v>66.569999999999993</v>
      </c>
      <c r="M2450" s="2">
        <v>3.14</v>
      </c>
    </row>
    <row r="2451" spans="1:13">
      <c r="A2451" s="9">
        <v>42398</v>
      </c>
      <c r="B2451" s="1">
        <f t="shared" si="76"/>
        <v>42370</v>
      </c>
      <c r="C2451" s="5" t="str">
        <f t="shared" si="77"/>
        <v>2016-01</v>
      </c>
      <c r="D2451" s="3">
        <v>193.7208</v>
      </c>
      <c r="E2451" s="3">
        <v>102.96</v>
      </c>
      <c r="F2451" s="3">
        <v>127.3</v>
      </c>
      <c r="G2451" s="3">
        <v>106.9492</v>
      </c>
      <c r="H2451" s="3">
        <v>76.989999999999995</v>
      </c>
      <c r="I2451" s="2">
        <v>36.31</v>
      </c>
      <c r="J2451" s="2">
        <v>314.26</v>
      </c>
      <c r="K2451" s="2">
        <v>211</v>
      </c>
      <c r="L2451" s="3">
        <v>66.47</v>
      </c>
      <c r="M2451" s="2">
        <v>2.98</v>
      </c>
    </row>
    <row r="2452" spans="1:13">
      <c r="A2452" s="9">
        <v>42397</v>
      </c>
      <c r="B2452" s="1">
        <f t="shared" si="76"/>
        <v>42370</v>
      </c>
      <c r="C2452" s="5" t="str">
        <f t="shared" si="77"/>
        <v>2016-01</v>
      </c>
      <c r="D2452" s="3">
        <v>189.11</v>
      </c>
      <c r="E2452" s="3">
        <v>99.69</v>
      </c>
      <c r="F2452" s="3">
        <v>126.23</v>
      </c>
      <c r="G2452" s="3">
        <v>106.54</v>
      </c>
      <c r="H2452" s="3">
        <v>75.44</v>
      </c>
      <c r="I2452" s="2">
        <v>35.33</v>
      </c>
      <c r="J2452" s="2">
        <v>299.17</v>
      </c>
      <c r="K2452" s="2">
        <v>206.66</v>
      </c>
      <c r="L2452" s="3">
        <v>65.400000000000006</v>
      </c>
      <c r="M2452" s="2">
        <v>2.7</v>
      </c>
    </row>
    <row r="2453" spans="1:13">
      <c r="A2453" s="9">
        <v>42396</v>
      </c>
      <c r="B2453" s="1">
        <f t="shared" si="76"/>
        <v>42370</v>
      </c>
      <c r="C2453" s="5" t="str">
        <f t="shared" si="77"/>
        <v>2016-01</v>
      </c>
      <c r="D2453" s="3">
        <v>188.13</v>
      </c>
      <c r="E2453" s="3">
        <v>99.71</v>
      </c>
      <c r="F2453" s="3">
        <v>126.05</v>
      </c>
      <c r="G2453" s="3">
        <v>107.69</v>
      </c>
      <c r="H2453" s="3">
        <v>76.02</v>
      </c>
      <c r="I2453" s="2">
        <v>34.909999999999997</v>
      </c>
      <c r="J2453" s="2">
        <v>302.12</v>
      </c>
      <c r="K2453" s="2">
        <v>207.86</v>
      </c>
      <c r="L2453" s="3">
        <v>66.959999999999994</v>
      </c>
      <c r="M2453" s="2">
        <v>2.73</v>
      </c>
    </row>
    <row r="2454" spans="1:13">
      <c r="A2454" s="9">
        <v>42395</v>
      </c>
      <c r="B2454" s="1">
        <f t="shared" si="76"/>
        <v>42370</v>
      </c>
      <c r="C2454" s="5" t="str">
        <f t="shared" si="77"/>
        <v>2016-01</v>
      </c>
      <c r="D2454" s="3">
        <v>190.2</v>
      </c>
      <c r="E2454" s="3">
        <v>101.1</v>
      </c>
      <c r="F2454" s="3">
        <v>126.08</v>
      </c>
      <c r="G2454" s="3">
        <v>107.29</v>
      </c>
      <c r="H2454" s="3">
        <v>77.52</v>
      </c>
      <c r="I2454" s="2">
        <v>35.229999999999997</v>
      </c>
      <c r="J2454" s="2">
        <v>299.26</v>
      </c>
      <c r="K2454" s="2">
        <v>209.93</v>
      </c>
      <c r="L2454" s="3">
        <v>67.73</v>
      </c>
      <c r="M2454" s="2">
        <v>2.65</v>
      </c>
    </row>
    <row r="2455" spans="1:13">
      <c r="A2455" s="9">
        <v>42394</v>
      </c>
      <c r="B2455" s="1">
        <f t="shared" si="76"/>
        <v>42370</v>
      </c>
      <c r="C2455" s="5" t="str">
        <f t="shared" si="77"/>
        <v>2016-01</v>
      </c>
      <c r="D2455" s="3">
        <v>187.64</v>
      </c>
      <c r="E2455" s="3">
        <v>99.114999999999995</v>
      </c>
      <c r="F2455" s="3">
        <v>126.02</v>
      </c>
      <c r="G2455" s="3">
        <v>106.08</v>
      </c>
      <c r="H2455" s="3">
        <v>75.930000000000007</v>
      </c>
      <c r="I2455" s="2">
        <v>34.340000000000003</v>
      </c>
      <c r="J2455" s="2">
        <v>289.72000000000003</v>
      </c>
      <c r="K2455" s="2">
        <v>211.01</v>
      </c>
      <c r="L2455" s="3">
        <v>67.22</v>
      </c>
      <c r="M2455" s="2">
        <v>2.61</v>
      </c>
    </row>
    <row r="2456" spans="1:13">
      <c r="A2456" s="9">
        <v>42391</v>
      </c>
      <c r="B2456" s="1">
        <f t="shared" si="76"/>
        <v>42370</v>
      </c>
      <c r="C2456" s="5" t="str">
        <f t="shared" si="77"/>
        <v>2016-01</v>
      </c>
      <c r="D2456" s="3">
        <v>190.52</v>
      </c>
      <c r="E2456" s="3">
        <v>101.37</v>
      </c>
      <c r="F2456" s="3">
        <v>125.34</v>
      </c>
      <c r="G2456" s="3">
        <v>105</v>
      </c>
      <c r="H2456" s="3">
        <v>76.41</v>
      </c>
      <c r="I2456" s="2">
        <v>34.799999999999997</v>
      </c>
      <c r="J2456" s="2">
        <v>300.56</v>
      </c>
      <c r="K2456" s="2">
        <v>212.04</v>
      </c>
      <c r="L2456" s="3">
        <v>67.849999999999994</v>
      </c>
      <c r="M2456" s="2">
        <v>2.6</v>
      </c>
    </row>
    <row r="2457" spans="1:13">
      <c r="A2457" s="9">
        <v>42390</v>
      </c>
      <c r="B2457" s="1">
        <f t="shared" si="76"/>
        <v>42370</v>
      </c>
      <c r="C2457" s="5" t="str">
        <f t="shared" si="77"/>
        <v>2016-01</v>
      </c>
      <c r="D2457" s="3">
        <v>186.69</v>
      </c>
      <c r="E2457" s="3">
        <v>98.95</v>
      </c>
      <c r="F2457" s="3">
        <v>125.82</v>
      </c>
      <c r="G2457" s="3">
        <v>105.49</v>
      </c>
      <c r="H2457" s="3">
        <v>74.34</v>
      </c>
      <c r="I2457" s="2">
        <v>34.119999999999997</v>
      </c>
      <c r="J2457" s="2">
        <v>289.89999999999998</v>
      </c>
      <c r="K2457" s="2">
        <v>210.79</v>
      </c>
      <c r="L2457" s="3">
        <v>66.790000000000006</v>
      </c>
      <c r="M2457" s="2">
        <v>2.5</v>
      </c>
    </row>
    <row r="2458" spans="1:13">
      <c r="A2458" s="9">
        <v>42389</v>
      </c>
      <c r="B2458" s="1">
        <f t="shared" si="76"/>
        <v>42370</v>
      </c>
      <c r="C2458" s="5" t="str">
        <f t="shared" si="77"/>
        <v>2016-01</v>
      </c>
      <c r="D2458" s="3">
        <v>185.65</v>
      </c>
      <c r="E2458" s="3">
        <v>99.18</v>
      </c>
      <c r="F2458" s="3">
        <v>126.68</v>
      </c>
      <c r="G2458" s="3">
        <v>105.37</v>
      </c>
      <c r="H2458" s="3">
        <v>73.930000000000007</v>
      </c>
      <c r="I2458" s="2">
        <v>33.94</v>
      </c>
      <c r="J2458" s="2">
        <v>292</v>
      </c>
      <c r="K2458" s="2">
        <v>210.4</v>
      </c>
      <c r="L2458" s="3">
        <v>66.989999999999995</v>
      </c>
      <c r="M2458" s="2">
        <v>2.52</v>
      </c>
    </row>
    <row r="2459" spans="1:13">
      <c r="A2459" s="9">
        <v>42388</v>
      </c>
      <c r="B2459" s="1">
        <f t="shared" si="76"/>
        <v>42370</v>
      </c>
      <c r="C2459" s="5" t="str">
        <f t="shared" si="77"/>
        <v>2016-01</v>
      </c>
      <c r="D2459" s="3">
        <v>188.06</v>
      </c>
      <c r="E2459" s="3">
        <v>98.77</v>
      </c>
      <c r="F2459" s="3">
        <v>125.36</v>
      </c>
      <c r="G2459" s="3">
        <v>103.98</v>
      </c>
      <c r="H2459" s="3">
        <v>75.97</v>
      </c>
      <c r="I2459" s="2">
        <v>34.549999999999997</v>
      </c>
      <c r="J2459" s="2">
        <v>294</v>
      </c>
      <c r="K2459" s="2">
        <v>215.29</v>
      </c>
      <c r="L2459" s="3">
        <v>66.86</v>
      </c>
      <c r="M2459" s="2">
        <v>2.48</v>
      </c>
    </row>
    <row r="2460" spans="1:13">
      <c r="A2460" s="9">
        <v>42384</v>
      </c>
      <c r="B2460" s="1">
        <f t="shared" si="76"/>
        <v>42370</v>
      </c>
      <c r="C2460" s="5" t="str">
        <f t="shared" si="77"/>
        <v>2016-01</v>
      </c>
      <c r="D2460" s="3">
        <v>187.81</v>
      </c>
      <c r="E2460" s="3">
        <v>100.12</v>
      </c>
      <c r="F2460" s="3">
        <v>125.752</v>
      </c>
      <c r="G2460" s="3">
        <v>104.08</v>
      </c>
      <c r="H2460" s="3">
        <v>75.569999999999993</v>
      </c>
      <c r="I2460" s="2">
        <v>34.119999999999997</v>
      </c>
      <c r="J2460" s="2">
        <v>296.58</v>
      </c>
      <c r="K2460" s="2">
        <v>215.99</v>
      </c>
      <c r="L2460" s="3">
        <v>66.87</v>
      </c>
      <c r="M2460" s="2">
        <v>2.44</v>
      </c>
    </row>
    <row r="2461" spans="1:13">
      <c r="A2461" s="9">
        <v>42383</v>
      </c>
      <c r="B2461" s="1">
        <f t="shared" si="76"/>
        <v>42370</v>
      </c>
      <c r="C2461" s="5" t="str">
        <f t="shared" si="77"/>
        <v>2016-01</v>
      </c>
      <c r="D2461" s="3">
        <v>191.93</v>
      </c>
      <c r="E2461" s="3">
        <v>101.77</v>
      </c>
      <c r="F2461" s="3">
        <v>123.82</v>
      </c>
      <c r="G2461" s="3">
        <v>103.02</v>
      </c>
      <c r="H2461" s="3">
        <v>76.09</v>
      </c>
      <c r="I2461" s="2">
        <v>34.79</v>
      </c>
      <c r="J2461" s="2">
        <v>310</v>
      </c>
      <c r="K2461" s="2">
        <v>216.42</v>
      </c>
      <c r="L2461" s="3">
        <v>67.819999999999993</v>
      </c>
      <c r="M2461" s="2">
        <v>2.4500000000000002</v>
      </c>
    </row>
    <row r="2462" spans="1:13">
      <c r="A2462" s="9">
        <v>42382</v>
      </c>
      <c r="B2462" s="1">
        <f t="shared" si="76"/>
        <v>42370</v>
      </c>
      <c r="C2462" s="5" t="str">
        <f t="shared" si="77"/>
        <v>2016-01</v>
      </c>
      <c r="D2462" s="3">
        <v>188.83</v>
      </c>
      <c r="E2462" s="3">
        <v>100.38</v>
      </c>
      <c r="F2462" s="3">
        <v>124.99</v>
      </c>
      <c r="G2462" s="3">
        <v>104.72</v>
      </c>
      <c r="H2462" s="3">
        <v>76.27</v>
      </c>
      <c r="I2462" s="2">
        <v>34.08</v>
      </c>
      <c r="J2462" s="2">
        <v>304.61</v>
      </c>
      <c r="K2462" s="2">
        <v>214.4</v>
      </c>
      <c r="L2462" s="3">
        <v>66.05</v>
      </c>
      <c r="M2462" s="2">
        <v>2.5</v>
      </c>
    </row>
    <row r="2463" spans="1:13">
      <c r="A2463" s="9">
        <v>42381</v>
      </c>
      <c r="B2463" s="1">
        <f t="shared" si="76"/>
        <v>42370</v>
      </c>
      <c r="C2463" s="5" t="str">
        <f t="shared" si="77"/>
        <v>2016-01</v>
      </c>
      <c r="D2463" s="3">
        <v>193.66079999999999</v>
      </c>
      <c r="E2463" s="3">
        <v>103.71</v>
      </c>
      <c r="F2463" s="3">
        <v>123.77</v>
      </c>
      <c r="G2463" s="3">
        <v>104.21</v>
      </c>
      <c r="H2463" s="3">
        <v>77.38</v>
      </c>
      <c r="I2463" s="2">
        <v>35.369999999999997</v>
      </c>
      <c r="J2463" s="2">
        <v>313.58999999999997</v>
      </c>
      <c r="K2463" s="2">
        <v>217.96</v>
      </c>
      <c r="L2463" s="3">
        <v>68.069999999999993</v>
      </c>
      <c r="M2463" s="2">
        <v>2.73</v>
      </c>
    </row>
    <row r="2464" spans="1:13">
      <c r="A2464" s="9">
        <v>42380</v>
      </c>
      <c r="B2464" s="1">
        <f t="shared" si="76"/>
        <v>42370</v>
      </c>
      <c r="C2464" s="5" t="str">
        <f t="shared" si="77"/>
        <v>2016-01</v>
      </c>
      <c r="D2464" s="3">
        <v>192.11</v>
      </c>
      <c r="E2464" s="3">
        <v>103.4</v>
      </c>
      <c r="F2464" s="3">
        <v>122.01</v>
      </c>
      <c r="G2464" s="3">
        <v>104.74</v>
      </c>
      <c r="H2464" s="3">
        <v>77.900000000000006</v>
      </c>
      <c r="I2464" s="2">
        <v>34.94</v>
      </c>
      <c r="J2464" s="2">
        <v>308.32</v>
      </c>
      <c r="K2464" s="2">
        <v>215.35</v>
      </c>
      <c r="L2464" s="3">
        <v>67.209999999999994</v>
      </c>
      <c r="M2464" s="2">
        <v>2.15</v>
      </c>
    </row>
    <row r="2465" spans="1:13">
      <c r="A2465" s="9">
        <v>42377</v>
      </c>
      <c r="B2465" s="1">
        <f t="shared" si="76"/>
        <v>42370</v>
      </c>
      <c r="C2465" s="5" t="str">
        <f t="shared" si="77"/>
        <v>2016-01</v>
      </c>
      <c r="D2465" s="3">
        <v>191.923</v>
      </c>
      <c r="E2465" s="3">
        <v>103.85</v>
      </c>
      <c r="F2465" s="3">
        <v>123.36</v>
      </c>
      <c r="G2465" s="3">
        <v>105.68</v>
      </c>
      <c r="H2465" s="3">
        <v>77.459999999999994</v>
      </c>
      <c r="I2465" s="2">
        <v>34.65</v>
      </c>
      <c r="J2465" s="2">
        <v>307.77999999999997</v>
      </c>
      <c r="K2465" s="2">
        <v>212.91</v>
      </c>
      <c r="L2465" s="3">
        <v>68.02</v>
      </c>
      <c r="M2465" s="2">
        <v>2.2000000000000002</v>
      </c>
    </row>
    <row r="2466" spans="1:13">
      <c r="A2466" s="9">
        <v>42376</v>
      </c>
      <c r="B2466" s="1">
        <f t="shared" si="76"/>
        <v>42370</v>
      </c>
      <c r="C2466" s="5" t="str">
        <f t="shared" si="77"/>
        <v>2016-01</v>
      </c>
      <c r="D2466" s="3">
        <v>194.05</v>
      </c>
      <c r="E2466" s="3">
        <v>105.67</v>
      </c>
      <c r="F2466" s="3">
        <v>122.81</v>
      </c>
      <c r="G2466" s="3">
        <v>106.15</v>
      </c>
      <c r="H2466" s="3">
        <v>78.510000000000005</v>
      </c>
      <c r="I2466" s="2">
        <v>35.04</v>
      </c>
      <c r="J2466" s="2">
        <v>315.73</v>
      </c>
      <c r="K2466" s="2">
        <v>213.29</v>
      </c>
      <c r="L2466" s="3">
        <v>69.06</v>
      </c>
      <c r="M2466" s="2">
        <v>2.2000000000000002</v>
      </c>
    </row>
    <row r="2467" spans="1:13">
      <c r="A2467" s="9">
        <v>42375</v>
      </c>
      <c r="B2467" s="1">
        <f t="shared" si="76"/>
        <v>42370</v>
      </c>
      <c r="C2467" s="5" t="str">
        <f t="shared" si="77"/>
        <v>2016-01</v>
      </c>
      <c r="D2467" s="3">
        <v>198.82</v>
      </c>
      <c r="E2467" s="3">
        <v>108.57</v>
      </c>
      <c r="F2467" s="3">
        <v>122.59</v>
      </c>
      <c r="G2467" s="3">
        <v>104.67</v>
      </c>
      <c r="H2467" s="3">
        <v>80.069999999999993</v>
      </c>
      <c r="I2467" s="2">
        <v>35.82</v>
      </c>
      <c r="J2467" s="2">
        <v>330.16</v>
      </c>
      <c r="K2467" s="2">
        <v>217.63</v>
      </c>
      <c r="L2467" s="3">
        <v>70.489999999999995</v>
      </c>
      <c r="M2467" s="2">
        <v>2.29</v>
      </c>
    </row>
    <row r="2468" spans="1:13">
      <c r="A2468" s="9">
        <v>42374</v>
      </c>
      <c r="B2468" s="1">
        <f t="shared" si="76"/>
        <v>42370</v>
      </c>
      <c r="C2468" s="5" t="str">
        <f t="shared" si="77"/>
        <v>2016-01</v>
      </c>
      <c r="D2468" s="3">
        <v>201.36</v>
      </c>
      <c r="E2468" s="3">
        <v>110.25</v>
      </c>
      <c r="F2468" s="3">
        <v>120.96</v>
      </c>
      <c r="G2468" s="3">
        <v>103.18</v>
      </c>
      <c r="H2468" s="3">
        <v>80.290000000000006</v>
      </c>
      <c r="I2468" s="2">
        <v>35.64</v>
      </c>
      <c r="J2468" s="2">
        <v>333.96</v>
      </c>
      <c r="K2468" s="2">
        <v>218.26</v>
      </c>
      <c r="L2468" s="3">
        <v>71.069999999999993</v>
      </c>
      <c r="M2468" s="2">
        <v>2.31</v>
      </c>
    </row>
    <row r="2469" spans="1:13">
      <c r="A2469" s="9">
        <v>42373</v>
      </c>
      <c r="B2469" s="1">
        <f t="shared" si="76"/>
        <v>42370</v>
      </c>
      <c r="C2469" s="5" t="str">
        <f t="shared" si="77"/>
        <v>2016-01</v>
      </c>
      <c r="D2469" s="3">
        <v>201.01920000000001</v>
      </c>
      <c r="E2469" s="3">
        <v>110.01</v>
      </c>
      <c r="F2469" s="3">
        <v>121.45</v>
      </c>
      <c r="G2469" s="3">
        <v>102.89</v>
      </c>
      <c r="H2469" s="3">
        <v>78.77</v>
      </c>
      <c r="I2469" s="2">
        <v>35.75</v>
      </c>
      <c r="J2469" s="2">
        <v>333.1</v>
      </c>
      <c r="K2469" s="2">
        <v>213.21</v>
      </c>
      <c r="L2469" s="3">
        <v>70.73</v>
      </c>
      <c r="M2469" s="2">
        <v>2.37</v>
      </c>
    </row>
    <row r="2470" spans="1:13">
      <c r="A2470" s="9">
        <v>42369</v>
      </c>
      <c r="B2470" s="1">
        <f t="shared" si="76"/>
        <v>42339</v>
      </c>
      <c r="C2470" s="5" t="str">
        <f t="shared" si="77"/>
        <v>2015-12</v>
      </c>
      <c r="D2470" s="3">
        <v>203.87</v>
      </c>
      <c r="E2470" s="3">
        <v>112.62</v>
      </c>
      <c r="F2470" s="3">
        <v>120.58</v>
      </c>
      <c r="G2470" s="3">
        <v>101.46</v>
      </c>
      <c r="H2470" s="3">
        <v>79.73</v>
      </c>
      <c r="I2470" s="2">
        <v>36.53</v>
      </c>
      <c r="J2470" s="2">
        <v>340.52</v>
      </c>
      <c r="K2470" s="2">
        <v>217.15</v>
      </c>
      <c r="L2470" s="3">
        <v>72.03</v>
      </c>
      <c r="M2470" s="2">
        <v>2.4500000000000002</v>
      </c>
    </row>
    <row r="2471" spans="1:13">
      <c r="A2471" s="9">
        <v>42368</v>
      </c>
      <c r="B2471" s="1">
        <f t="shared" si="76"/>
        <v>42339</v>
      </c>
      <c r="C2471" s="5" t="str">
        <f t="shared" si="77"/>
        <v>2015-12</v>
      </c>
      <c r="D2471" s="3">
        <v>205.93</v>
      </c>
      <c r="E2471" s="3">
        <v>114.04</v>
      </c>
      <c r="F2471" s="3">
        <v>120.04</v>
      </c>
      <c r="G2471" s="3">
        <v>101.42</v>
      </c>
      <c r="H2471" s="3">
        <v>80.430000000000007</v>
      </c>
      <c r="I2471" s="2">
        <v>36.92</v>
      </c>
      <c r="J2471" s="2">
        <v>342.05</v>
      </c>
      <c r="K2471" s="2">
        <v>219.8</v>
      </c>
      <c r="L2471" s="3">
        <v>72.680000000000007</v>
      </c>
      <c r="M2471" s="2">
        <v>2.42</v>
      </c>
    </row>
    <row r="2472" spans="1:13">
      <c r="A2472" s="9">
        <v>42367</v>
      </c>
      <c r="B2472" s="1">
        <f t="shared" si="76"/>
        <v>42339</v>
      </c>
      <c r="C2472" s="5" t="str">
        <f t="shared" si="77"/>
        <v>2015-12</v>
      </c>
      <c r="D2472" s="3">
        <v>207.4</v>
      </c>
      <c r="E2472" s="3">
        <v>115.2</v>
      </c>
      <c r="F2472" s="3">
        <v>120.16</v>
      </c>
      <c r="G2472" s="3">
        <v>102.2</v>
      </c>
      <c r="H2472" s="3">
        <v>80.709999999999994</v>
      </c>
      <c r="I2472" s="2">
        <v>37.04</v>
      </c>
      <c r="J2472" s="2">
        <v>343.6</v>
      </c>
      <c r="K2472" s="2">
        <v>220.47</v>
      </c>
      <c r="L2472" s="3">
        <v>72.989999999999995</v>
      </c>
      <c r="M2472" s="2">
        <v>2.4700000000000002</v>
      </c>
    </row>
    <row r="2473" spans="1:13">
      <c r="A2473" s="9">
        <v>42366</v>
      </c>
      <c r="B2473" s="1">
        <f t="shared" si="76"/>
        <v>42339</v>
      </c>
      <c r="C2473" s="5" t="str">
        <f t="shared" si="77"/>
        <v>2015-12</v>
      </c>
      <c r="D2473" s="3">
        <v>205.21</v>
      </c>
      <c r="E2473" s="3">
        <v>113.97</v>
      </c>
      <c r="F2473" s="3">
        <v>122.19</v>
      </c>
      <c r="G2473" s="3">
        <v>102.27</v>
      </c>
      <c r="H2473" s="3">
        <v>79.86</v>
      </c>
      <c r="I2473" s="2">
        <v>36.79</v>
      </c>
      <c r="J2473" s="2">
        <v>342.45</v>
      </c>
      <c r="K2473" s="2">
        <v>218.41</v>
      </c>
      <c r="L2473" s="3">
        <v>72.11</v>
      </c>
      <c r="M2473" s="2">
        <v>2.44</v>
      </c>
    </row>
    <row r="2474" spans="1:13">
      <c r="A2474" s="9">
        <v>42362</v>
      </c>
      <c r="B2474" s="1">
        <f t="shared" si="76"/>
        <v>42339</v>
      </c>
      <c r="C2474" s="5" t="str">
        <f t="shared" si="77"/>
        <v>2015-12</v>
      </c>
      <c r="D2474" s="3">
        <v>205.68</v>
      </c>
      <c r="E2474" s="3">
        <v>114.5</v>
      </c>
      <c r="F2474" s="3">
        <v>121.83</v>
      </c>
      <c r="G2474" s="3">
        <v>103.05</v>
      </c>
      <c r="H2474" s="3">
        <v>79.42</v>
      </c>
      <c r="I2474" s="2">
        <v>37.01</v>
      </c>
      <c r="J2474" s="2">
        <v>337.4</v>
      </c>
      <c r="K2474" s="2">
        <v>218.56</v>
      </c>
      <c r="L2474" s="3">
        <v>72.45</v>
      </c>
      <c r="M2474" s="2">
        <v>2.4700000000000002</v>
      </c>
    </row>
    <row r="2475" spans="1:13">
      <c r="A2475" s="9">
        <v>42361</v>
      </c>
      <c r="B2475" s="1">
        <f t="shared" si="76"/>
        <v>42339</v>
      </c>
      <c r="C2475" s="5" t="str">
        <f t="shared" si="77"/>
        <v>2015-12</v>
      </c>
      <c r="D2475" s="3">
        <v>206.02</v>
      </c>
      <c r="E2475" s="3">
        <v>114.78</v>
      </c>
      <c r="F2475" s="3">
        <v>121.39</v>
      </c>
      <c r="G2475" s="3">
        <v>102.31</v>
      </c>
      <c r="H2475" s="3">
        <v>79.42</v>
      </c>
      <c r="I2475" s="2">
        <v>36.93</v>
      </c>
      <c r="J2475" s="2">
        <v>339.64</v>
      </c>
      <c r="K2475" s="2">
        <v>217.93</v>
      </c>
      <c r="L2475" s="3">
        <v>72.38</v>
      </c>
      <c r="M2475" s="2">
        <v>2.48</v>
      </c>
    </row>
    <row r="2476" spans="1:13">
      <c r="A2476" s="9">
        <v>42360</v>
      </c>
      <c r="B2476" s="1">
        <f t="shared" si="76"/>
        <v>42339</v>
      </c>
      <c r="C2476" s="5" t="str">
        <f t="shared" si="77"/>
        <v>2015-12</v>
      </c>
      <c r="D2476" s="3">
        <v>203.5</v>
      </c>
      <c r="E2476" s="3">
        <v>113.35</v>
      </c>
      <c r="F2476" s="3">
        <v>122.31</v>
      </c>
      <c r="G2476" s="3">
        <v>102.61</v>
      </c>
      <c r="H2476" s="3">
        <v>79.709999999999994</v>
      </c>
      <c r="I2476" s="2">
        <v>36.590000000000003</v>
      </c>
      <c r="J2476" s="2">
        <v>330.51</v>
      </c>
      <c r="K2476" s="2">
        <v>217.58</v>
      </c>
      <c r="L2476" s="3">
        <v>71.61</v>
      </c>
      <c r="M2476" s="2">
        <v>2.4</v>
      </c>
    </row>
    <row r="2477" spans="1:13">
      <c r="A2477" s="9">
        <v>42359</v>
      </c>
      <c r="B2477" s="1">
        <f t="shared" si="76"/>
        <v>42339</v>
      </c>
      <c r="C2477" s="5" t="str">
        <f t="shared" si="77"/>
        <v>2015-12</v>
      </c>
      <c r="D2477" s="3">
        <v>201.67</v>
      </c>
      <c r="E2477" s="3">
        <v>112.32</v>
      </c>
      <c r="F2477" s="3">
        <v>123.2</v>
      </c>
      <c r="G2477" s="3">
        <v>103.15</v>
      </c>
      <c r="H2477" s="3">
        <v>79.39</v>
      </c>
      <c r="I2477" s="2">
        <v>36.42</v>
      </c>
      <c r="J2477" s="2">
        <v>325.55</v>
      </c>
      <c r="K2477" s="2">
        <v>215.47</v>
      </c>
      <c r="L2477" s="3">
        <v>71.13</v>
      </c>
      <c r="M2477" s="2">
        <v>2.31</v>
      </c>
    </row>
    <row r="2478" spans="1:13">
      <c r="A2478" s="9">
        <v>42356</v>
      </c>
      <c r="B2478" s="1">
        <f t="shared" si="76"/>
        <v>42339</v>
      </c>
      <c r="C2478" s="5" t="str">
        <f t="shared" si="77"/>
        <v>2015-12</v>
      </c>
      <c r="D2478" s="3">
        <v>200.02080000000001</v>
      </c>
      <c r="E2478" s="3">
        <v>111.48</v>
      </c>
      <c r="F2478" s="3">
        <v>123.23</v>
      </c>
      <c r="G2478" s="3">
        <v>102.04</v>
      </c>
      <c r="H2478" s="3">
        <v>79.08</v>
      </c>
      <c r="I2478" s="2">
        <v>36.35</v>
      </c>
      <c r="J2478" s="2">
        <v>321.47000000000003</v>
      </c>
      <c r="K2478" s="2">
        <v>212.18</v>
      </c>
      <c r="L2478" s="3">
        <v>70.489999999999995</v>
      </c>
      <c r="M2478" s="2">
        <v>2.23</v>
      </c>
    </row>
    <row r="2479" spans="1:13">
      <c r="A2479" s="9">
        <v>42355</v>
      </c>
      <c r="B2479" s="1">
        <f t="shared" si="76"/>
        <v>42339</v>
      </c>
      <c r="C2479" s="5" t="str">
        <f t="shared" si="77"/>
        <v>2015-12</v>
      </c>
      <c r="D2479" s="3">
        <v>204.86</v>
      </c>
      <c r="E2479" s="3">
        <v>113.21</v>
      </c>
      <c r="F2479" s="3">
        <v>122.55</v>
      </c>
      <c r="G2479" s="3">
        <v>100.5</v>
      </c>
      <c r="H2479" s="3">
        <v>80.010000000000005</v>
      </c>
      <c r="I2479" s="2">
        <v>36.93</v>
      </c>
      <c r="J2479" s="2">
        <v>330.21</v>
      </c>
      <c r="K2479" s="2">
        <v>215.22</v>
      </c>
      <c r="L2479" s="3">
        <v>71.83</v>
      </c>
      <c r="M2479" s="2">
        <v>2.2799999999999998</v>
      </c>
    </row>
    <row r="2480" spans="1:13">
      <c r="A2480" s="9">
        <v>42354</v>
      </c>
      <c r="B2480" s="1">
        <f t="shared" si="76"/>
        <v>42339</v>
      </c>
      <c r="C2480" s="5" t="str">
        <f t="shared" si="77"/>
        <v>2015-12</v>
      </c>
      <c r="D2480" s="3">
        <v>208.03</v>
      </c>
      <c r="E2480" s="3">
        <v>114.43</v>
      </c>
      <c r="F2480" s="3">
        <v>121.18</v>
      </c>
      <c r="G2480" s="3">
        <v>102.75</v>
      </c>
      <c r="H2480" s="3">
        <v>80.41</v>
      </c>
      <c r="I2480" s="2">
        <v>38.909999999999997</v>
      </c>
      <c r="J2480" s="2">
        <v>331</v>
      </c>
      <c r="K2480" s="2">
        <v>217.5</v>
      </c>
      <c r="L2480" s="3">
        <v>72.61</v>
      </c>
      <c r="M2480" s="2">
        <v>2.3199999999999998</v>
      </c>
    </row>
    <row r="2481" spans="1:13">
      <c r="A2481" s="9">
        <v>42353</v>
      </c>
      <c r="B2481" s="1">
        <f t="shared" si="76"/>
        <v>42339</v>
      </c>
      <c r="C2481" s="5" t="str">
        <f t="shared" si="77"/>
        <v>2015-12</v>
      </c>
      <c r="D2481" s="3">
        <v>205.0308</v>
      </c>
      <c r="E2481" s="3">
        <v>112.71</v>
      </c>
      <c r="F2481" s="3">
        <v>121.44</v>
      </c>
      <c r="G2481" s="3">
        <v>101.52</v>
      </c>
      <c r="H2481" s="3">
        <v>78.87</v>
      </c>
      <c r="I2481" s="2">
        <v>38.21</v>
      </c>
      <c r="J2481" s="2">
        <v>329.54</v>
      </c>
      <c r="K2481" s="2">
        <v>214.84</v>
      </c>
      <c r="L2481" s="3">
        <v>71.680000000000007</v>
      </c>
      <c r="M2481" s="2">
        <v>2.29</v>
      </c>
    </row>
    <row r="2482" spans="1:13">
      <c r="A2482" s="9">
        <v>42352</v>
      </c>
      <c r="B2482" s="1">
        <f t="shared" si="76"/>
        <v>42339</v>
      </c>
      <c r="C2482" s="5" t="str">
        <f t="shared" si="77"/>
        <v>2015-12</v>
      </c>
      <c r="D2482" s="3">
        <v>202.9008</v>
      </c>
      <c r="E2482" s="3">
        <v>111.11</v>
      </c>
      <c r="F2482" s="3">
        <v>122.16</v>
      </c>
      <c r="G2482" s="3">
        <v>101.79</v>
      </c>
      <c r="H2482" s="3">
        <v>78.02</v>
      </c>
      <c r="I2482" s="2">
        <v>37.65</v>
      </c>
      <c r="J2482" s="2">
        <v>319.60000000000002</v>
      </c>
      <c r="K2482" s="2">
        <v>216.58</v>
      </c>
      <c r="L2482" s="3">
        <v>70.760000000000005</v>
      </c>
      <c r="M2482" s="2">
        <v>2.2799999999999998</v>
      </c>
    </row>
    <row r="2483" spans="1:13">
      <c r="A2483" s="9">
        <v>42349</v>
      </c>
      <c r="B2483" s="1">
        <f t="shared" si="76"/>
        <v>42339</v>
      </c>
      <c r="C2483" s="5" t="str">
        <f t="shared" si="77"/>
        <v>2015-12</v>
      </c>
      <c r="D2483" s="3">
        <v>201.88</v>
      </c>
      <c r="E2483" s="3">
        <v>111.91</v>
      </c>
      <c r="F2483" s="3">
        <v>123.76</v>
      </c>
      <c r="G2483" s="3">
        <v>103.11</v>
      </c>
      <c r="H2483" s="3">
        <v>77.66</v>
      </c>
      <c r="I2483" s="2">
        <v>37.21</v>
      </c>
      <c r="J2483" s="2">
        <v>322.77999999999997</v>
      </c>
      <c r="K2483" s="2">
        <v>217.2</v>
      </c>
      <c r="L2483" s="3">
        <v>70.3</v>
      </c>
      <c r="M2483" s="2">
        <v>2.42</v>
      </c>
    </row>
    <row r="2484" spans="1:13">
      <c r="A2484" s="9">
        <v>42348</v>
      </c>
      <c r="B2484" s="1">
        <f t="shared" si="76"/>
        <v>42339</v>
      </c>
      <c r="C2484" s="5" t="str">
        <f t="shared" si="77"/>
        <v>2015-12</v>
      </c>
      <c r="D2484" s="3">
        <v>205.87</v>
      </c>
      <c r="E2484" s="3">
        <v>114.46</v>
      </c>
      <c r="F2484" s="3">
        <v>121.84</v>
      </c>
      <c r="G2484" s="3">
        <v>102.55</v>
      </c>
      <c r="H2484" s="3">
        <v>77.8</v>
      </c>
      <c r="I2484" s="2">
        <v>38.19</v>
      </c>
      <c r="J2484" s="2">
        <v>345.25</v>
      </c>
      <c r="K2484" s="2">
        <v>218.88</v>
      </c>
      <c r="L2484" s="3">
        <v>71.349999999999994</v>
      </c>
      <c r="M2484" s="2">
        <v>2.48</v>
      </c>
    </row>
    <row r="2485" spans="1:13">
      <c r="A2485" s="9">
        <v>42347</v>
      </c>
      <c r="B2485" s="1">
        <f t="shared" si="76"/>
        <v>42339</v>
      </c>
      <c r="C2485" s="5" t="str">
        <f t="shared" si="77"/>
        <v>2015-12</v>
      </c>
      <c r="D2485" s="3">
        <v>205.34</v>
      </c>
      <c r="E2485" s="3">
        <v>114.08</v>
      </c>
      <c r="F2485" s="3">
        <v>121.68</v>
      </c>
      <c r="G2485" s="3">
        <v>102.64</v>
      </c>
      <c r="H2485" s="3">
        <v>78.36</v>
      </c>
      <c r="I2485" s="2">
        <v>38.58</v>
      </c>
      <c r="J2485" s="2">
        <v>344.57</v>
      </c>
      <c r="K2485" s="2">
        <v>217.54</v>
      </c>
      <c r="L2485" s="3">
        <v>70.819999999999993</v>
      </c>
      <c r="M2485" s="2">
        <v>2.39</v>
      </c>
    </row>
    <row r="2486" spans="1:13">
      <c r="A2486" s="9">
        <v>42346</v>
      </c>
      <c r="B2486" s="1">
        <f t="shared" si="76"/>
        <v>42339</v>
      </c>
      <c r="C2486" s="5" t="str">
        <f t="shared" si="77"/>
        <v>2015-12</v>
      </c>
      <c r="D2486" s="3">
        <v>206.94900000000001</v>
      </c>
      <c r="E2486" s="3">
        <v>115.37</v>
      </c>
      <c r="F2486" s="3">
        <v>121.81</v>
      </c>
      <c r="G2486" s="3">
        <v>102.84</v>
      </c>
      <c r="H2486" s="3">
        <v>78.8</v>
      </c>
      <c r="I2486" s="2">
        <v>38.729999999999997</v>
      </c>
      <c r="J2486" s="2">
        <v>348.94</v>
      </c>
      <c r="K2486" s="2">
        <v>218.81</v>
      </c>
      <c r="L2486" s="3">
        <v>71.540000000000006</v>
      </c>
      <c r="M2486" s="2">
        <v>2.5299999999999998</v>
      </c>
    </row>
    <row r="2487" spans="1:13">
      <c r="A2487" s="9">
        <v>42345</v>
      </c>
      <c r="B2487" s="1">
        <f t="shared" si="76"/>
        <v>42339</v>
      </c>
      <c r="C2487" s="5" t="str">
        <f t="shared" si="77"/>
        <v>2015-12</v>
      </c>
      <c r="D2487" s="3">
        <v>208.35</v>
      </c>
      <c r="E2487" s="3">
        <v>116.01</v>
      </c>
      <c r="F2487" s="3">
        <v>121.75</v>
      </c>
      <c r="G2487" s="3">
        <v>102.67</v>
      </c>
      <c r="H2487" s="3">
        <v>78.87</v>
      </c>
      <c r="I2487" s="2">
        <v>38.82</v>
      </c>
      <c r="J2487" s="2">
        <v>355.47</v>
      </c>
      <c r="K2487" s="2">
        <v>219.13</v>
      </c>
      <c r="L2487" s="3">
        <v>71.38</v>
      </c>
      <c r="M2487" s="2">
        <v>2.4900000000000002</v>
      </c>
    </row>
    <row r="2488" spans="1:13">
      <c r="A2488" s="9">
        <v>42342</v>
      </c>
      <c r="B2488" s="1">
        <f t="shared" si="76"/>
        <v>42339</v>
      </c>
      <c r="C2488" s="5" t="str">
        <f t="shared" si="77"/>
        <v>2015-12</v>
      </c>
      <c r="D2488" s="3">
        <v>209.62</v>
      </c>
      <c r="E2488" s="3">
        <v>117.78</v>
      </c>
      <c r="F2488" s="3">
        <v>120.58</v>
      </c>
      <c r="G2488" s="3">
        <v>104.02</v>
      </c>
      <c r="H2488" s="3">
        <v>79.09</v>
      </c>
      <c r="I2488" s="2">
        <v>39.159999999999997</v>
      </c>
      <c r="J2488" s="2">
        <v>360.76</v>
      </c>
      <c r="K2488" s="2">
        <v>218.39</v>
      </c>
      <c r="L2488" s="3">
        <v>71.78</v>
      </c>
      <c r="M2488" s="2">
        <v>2.65</v>
      </c>
    </row>
    <row r="2489" spans="1:13">
      <c r="A2489" s="9">
        <v>42341</v>
      </c>
      <c r="B2489" s="1">
        <f t="shared" si="76"/>
        <v>42339</v>
      </c>
      <c r="C2489" s="5" t="str">
        <f t="shared" si="77"/>
        <v>2015-12</v>
      </c>
      <c r="D2489" s="3">
        <v>205.61</v>
      </c>
      <c r="E2489" s="3">
        <v>116.6</v>
      </c>
      <c r="F2489" s="3">
        <v>119.53</v>
      </c>
      <c r="G2489" s="3">
        <v>101.76</v>
      </c>
      <c r="H2489" s="3">
        <v>77.61</v>
      </c>
      <c r="I2489" s="2">
        <v>37.81</v>
      </c>
      <c r="J2489" s="2">
        <v>352</v>
      </c>
      <c r="K2489" s="2">
        <v>215.46</v>
      </c>
      <c r="L2489" s="3">
        <v>70.13</v>
      </c>
      <c r="M2489" s="2">
        <v>2.64</v>
      </c>
    </row>
    <row r="2490" spans="1:13">
      <c r="A2490" s="9">
        <v>42340</v>
      </c>
      <c r="B2490" s="1">
        <f t="shared" si="76"/>
        <v>42339</v>
      </c>
      <c r="C2490" s="5" t="str">
        <f t="shared" si="77"/>
        <v>2015-12</v>
      </c>
      <c r="D2490" s="3">
        <v>208.529</v>
      </c>
      <c r="E2490" s="3">
        <v>118.6</v>
      </c>
      <c r="F2490" s="3">
        <v>122.87</v>
      </c>
      <c r="G2490" s="3">
        <v>100.69</v>
      </c>
      <c r="H2490" s="3">
        <v>78.849999999999994</v>
      </c>
      <c r="I2490" s="2">
        <v>38.700000000000003</v>
      </c>
      <c r="J2490" s="2">
        <v>358.92</v>
      </c>
      <c r="K2490" s="2">
        <v>218.94</v>
      </c>
      <c r="L2490" s="3">
        <v>71.7</v>
      </c>
      <c r="M2490" s="2">
        <v>2.66</v>
      </c>
    </row>
    <row r="2491" spans="1:13">
      <c r="A2491" s="9">
        <v>42339</v>
      </c>
      <c r="B2491" s="1">
        <f t="shared" si="76"/>
        <v>42339</v>
      </c>
      <c r="C2491" s="5" t="str">
        <f t="shared" si="77"/>
        <v>2015-12</v>
      </c>
      <c r="D2491" s="3">
        <v>210.68</v>
      </c>
      <c r="E2491" s="3">
        <v>119.89</v>
      </c>
      <c r="F2491" s="3">
        <v>122.83</v>
      </c>
      <c r="G2491" s="3">
        <v>102.28</v>
      </c>
      <c r="H2491" s="3">
        <v>80.489999999999995</v>
      </c>
      <c r="I2491" s="2">
        <v>39.229999999999997</v>
      </c>
      <c r="J2491" s="2">
        <v>361.73</v>
      </c>
      <c r="K2491" s="2">
        <v>220.2</v>
      </c>
      <c r="L2491" s="3">
        <v>72.31</v>
      </c>
      <c r="M2491" s="2">
        <v>2.62</v>
      </c>
    </row>
    <row r="2492" spans="1:13">
      <c r="A2492" s="9">
        <v>42338</v>
      </c>
      <c r="B2492" s="1">
        <f t="shared" si="76"/>
        <v>42309</v>
      </c>
      <c r="C2492" s="5" t="str">
        <f t="shared" si="77"/>
        <v>2015-11</v>
      </c>
      <c r="D2492" s="3">
        <v>208.69</v>
      </c>
      <c r="E2492" s="3">
        <v>119.1</v>
      </c>
      <c r="F2492" s="3">
        <v>121.45</v>
      </c>
      <c r="G2492" s="3">
        <v>101.92</v>
      </c>
      <c r="H2492" s="3">
        <v>79.39</v>
      </c>
      <c r="I2492" s="2">
        <v>38.97</v>
      </c>
      <c r="J2492" s="2">
        <v>363.72</v>
      </c>
      <c r="K2492" s="2">
        <v>219.16</v>
      </c>
      <c r="L2492" s="3">
        <v>71.11</v>
      </c>
      <c r="M2492" s="2">
        <v>2.46</v>
      </c>
    </row>
    <row r="2493" spans="1:13">
      <c r="A2493" s="9">
        <v>42335</v>
      </c>
      <c r="B2493" s="1">
        <f t="shared" si="76"/>
        <v>42309</v>
      </c>
      <c r="C2493" s="5" t="str">
        <f t="shared" si="77"/>
        <v>2015-11</v>
      </c>
      <c r="D2493" s="3">
        <v>209.56</v>
      </c>
      <c r="E2493" s="3">
        <v>119.62</v>
      </c>
      <c r="F2493" s="3">
        <v>120.97</v>
      </c>
      <c r="G2493" s="3">
        <v>101.25</v>
      </c>
      <c r="H2493" s="3">
        <v>79.98</v>
      </c>
      <c r="I2493" s="2">
        <v>39.18</v>
      </c>
      <c r="J2493" s="2">
        <v>358.39</v>
      </c>
      <c r="K2493" s="2">
        <v>225.91</v>
      </c>
      <c r="L2493" s="3">
        <v>72.09</v>
      </c>
      <c r="M2493" s="2">
        <v>2.44</v>
      </c>
    </row>
    <row r="2494" spans="1:13">
      <c r="A2494" s="9">
        <v>42333</v>
      </c>
      <c r="B2494" s="1">
        <f t="shared" si="76"/>
        <v>42309</v>
      </c>
      <c r="C2494" s="5" t="str">
        <f t="shared" si="77"/>
        <v>2015-11</v>
      </c>
      <c r="D2494" s="3">
        <v>209.32</v>
      </c>
      <c r="E2494" s="3">
        <v>119.17</v>
      </c>
      <c r="F2494" s="3">
        <v>121.09</v>
      </c>
      <c r="G2494" s="3">
        <v>102.46</v>
      </c>
      <c r="H2494" s="3">
        <v>79.290000000000006</v>
      </c>
      <c r="I2494" s="2">
        <v>39.26</v>
      </c>
      <c r="J2494" s="2">
        <v>360.62</v>
      </c>
      <c r="K2494" s="2">
        <v>225.8</v>
      </c>
      <c r="L2494" s="3">
        <v>71.95</v>
      </c>
      <c r="M2494" s="2">
        <v>2.41</v>
      </c>
    </row>
    <row r="2495" spans="1:13">
      <c r="A2495" s="9">
        <v>42332</v>
      </c>
      <c r="B2495" s="1">
        <f t="shared" si="76"/>
        <v>42309</v>
      </c>
      <c r="C2495" s="5" t="str">
        <f t="shared" si="77"/>
        <v>2015-11</v>
      </c>
      <c r="D2495" s="3">
        <v>209.35</v>
      </c>
      <c r="E2495" s="3">
        <v>118.25</v>
      </c>
      <c r="F2495" s="3">
        <v>120.81</v>
      </c>
      <c r="G2495" s="3">
        <v>102.94</v>
      </c>
      <c r="H2495" s="3">
        <v>78.97</v>
      </c>
      <c r="I2495" s="2">
        <v>39.46</v>
      </c>
      <c r="J2495" s="2">
        <v>356.81</v>
      </c>
      <c r="K2495" s="2">
        <v>226.43</v>
      </c>
      <c r="L2495" s="3">
        <v>71.56</v>
      </c>
      <c r="M2495" s="2">
        <v>2.39</v>
      </c>
    </row>
    <row r="2496" spans="1:13">
      <c r="A2496" s="9">
        <v>42331</v>
      </c>
      <c r="B2496" s="1">
        <f t="shared" si="76"/>
        <v>42309</v>
      </c>
      <c r="C2496" s="5" t="str">
        <f t="shared" si="77"/>
        <v>2015-11</v>
      </c>
      <c r="D2496" s="3">
        <v>209.07</v>
      </c>
      <c r="E2496" s="3">
        <v>117.39</v>
      </c>
      <c r="F2496" s="3">
        <v>120.82</v>
      </c>
      <c r="G2496" s="3">
        <v>102.26</v>
      </c>
      <c r="H2496" s="3">
        <v>79.39</v>
      </c>
      <c r="I2496" s="2">
        <v>39.14</v>
      </c>
      <c r="J2496" s="2">
        <v>363.25</v>
      </c>
      <c r="K2496" s="2">
        <v>226.03</v>
      </c>
      <c r="L2496" s="3">
        <v>71.34</v>
      </c>
      <c r="M2496" s="2">
        <v>2.36</v>
      </c>
    </row>
    <row r="2497" spans="1:13">
      <c r="A2497" s="9">
        <v>42328</v>
      </c>
      <c r="B2497" s="1">
        <f t="shared" si="76"/>
        <v>42309</v>
      </c>
      <c r="C2497" s="5" t="str">
        <f t="shared" si="77"/>
        <v>2015-11</v>
      </c>
      <c r="D2497" s="3">
        <v>209.3108</v>
      </c>
      <c r="E2497" s="3">
        <v>116.81</v>
      </c>
      <c r="F2497" s="3">
        <v>120.45</v>
      </c>
      <c r="G2497" s="3">
        <v>103.09</v>
      </c>
      <c r="H2497" s="3">
        <v>79.22</v>
      </c>
      <c r="I2497" s="2">
        <v>39.340000000000003</v>
      </c>
      <c r="J2497" s="2">
        <v>362.46</v>
      </c>
      <c r="K2497" s="2">
        <v>226.06</v>
      </c>
      <c r="L2497" s="3">
        <v>71.52</v>
      </c>
      <c r="M2497" s="2">
        <v>2.34</v>
      </c>
    </row>
    <row r="2498" spans="1:13">
      <c r="A2498" s="9">
        <v>42327</v>
      </c>
      <c r="B2498" s="1">
        <f t="shared" ref="B2498:B2516" si="78">EOMONTH(A2498,-1)+1</f>
        <v>42309</v>
      </c>
      <c r="C2498" s="5" t="str">
        <f t="shared" si="77"/>
        <v>2015-11</v>
      </c>
      <c r="D2498" s="3">
        <v>208.55</v>
      </c>
      <c r="E2498" s="3">
        <v>116.06</v>
      </c>
      <c r="F2498" s="3">
        <v>120.82</v>
      </c>
      <c r="G2498" s="3">
        <v>103.56</v>
      </c>
      <c r="H2498" s="3">
        <v>78.239999999999995</v>
      </c>
      <c r="I2498" s="2">
        <v>39.020000000000003</v>
      </c>
      <c r="J2498" s="2">
        <v>359.09</v>
      </c>
      <c r="K2498" s="2">
        <v>224</v>
      </c>
      <c r="L2498" s="3">
        <v>70.91</v>
      </c>
      <c r="M2498" s="2">
        <v>2.35</v>
      </c>
    </row>
    <row r="2499" spans="1:13">
      <c r="A2499" s="9">
        <v>42326</v>
      </c>
      <c r="B2499" s="1">
        <f t="shared" si="78"/>
        <v>42309</v>
      </c>
      <c r="C2499" s="5" t="str">
        <f t="shared" ref="C2499:C2516" si="79">TEXT(A2499, "yyyy-mm")</f>
        <v>2015-11</v>
      </c>
      <c r="D2499" s="3">
        <v>208.73</v>
      </c>
      <c r="E2499" s="3">
        <v>116.55</v>
      </c>
      <c r="F2499" s="3">
        <v>120.02</v>
      </c>
      <c r="G2499" s="3">
        <v>102.43</v>
      </c>
      <c r="H2499" s="3">
        <v>78</v>
      </c>
      <c r="I2499" s="2">
        <v>38.700000000000003</v>
      </c>
      <c r="J2499" s="2">
        <v>360.63</v>
      </c>
      <c r="K2499" s="2">
        <v>223.22</v>
      </c>
      <c r="L2499" s="3">
        <v>72.12</v>
      </c>
      <c r="M2499" s="2">
        <v>2.37</v>
      </c>
    </row>
    <row r="2500" spans="1:13">
      <c r="A2500" s="9">
        <v>42325</v>
      </c>
      <c r="B2500" s="1">
        <f t="shared" si="78"/>
        <v>42309</v>
      </c>
      <c r="C2500" s="5" t="str">
        <f t="shared" si="79"/>
        <v>2015-11</v>
      </c>
      <c r="D2500" s="3">
        <v>205.47</v>
      </c>
      <c r="E2500" s="3">
        <v>114.61</v>
      </c>
      <c r="F2500" s="3">
        <v>119.77</v>
      </c>
      <c r="G2500" s="3">
        <v>102.34</v>
      </c>
      <c r="H2500" s="3">
        <v>77.319999999999993</v>
      </c>
      <c r="I2500" s="2">
        <v>38.130000000000003</v>
      </c>
      <c r="J2500" s="2">
        <v>353.42</v>
      </c>
      <c r="K2500" s="2">
        <v>222.39</v>
      </c>
      <c r="L2500" s="3">
        <v>70.739999999999995</v>
      </c>
      <c r="M2500" s="2">
        <v>2.4300000000000002</v>
      </c>
    </row>
    <row r="2501" spans="1:13">
      <c r="A2501" s="9">
        <v>42324</v>
      </c>
      <c r="B2501" s="1">
        <f t="shared" si="78"/>
        <v>42309</v>
      </c>
      <c r="C2501" s="5" t="str">
        <f t="shared" si="79"/>
        <v>2015-11</v>
      </c>
      <c r="D2501" s="3">
        <v>205.62</v>
      </c>
      <c r="E2501" s="3">
        <v>115.05</v>
      </c>
      <c r="F2501" s="3">
        <v>119.57</v>
      </c>
      <c r="G2501" s="3">
        <v>103.71</v>
      </c>
      <c r="H2501" s="3">
        <v>77.319999999999993</v>
      </c>
      <c r="I2501" s="2">
        <v>38.119999999999997</v>
      </c>
      <c r="J2501" s="2">
        <v>352.33</v>
      </c>
      <c r="K2501" s="2">
        <v>220.67</v>
      </c>
      <c r="L2501" s="3">
        <v>70.44</v>
      </c>
      <c r="M2501" s="2">
        <v>2.4700000000000002</v>
      </c>
    </row>
    <row r="2502" spans="1:13">
      <c r="A2502" s="9">
        <v>42321</v>
      </c>
      <c r="B2502" s="1">
        <f t="shared" si="78"/>
        <v>42309</v>
      </c>
      <c r="C2502" s="5" t="str">
        <f t="shared" si="79"/>
        <v>2015-11</v>
      </c>
      <c r="D2502" s="3">
        <v>202.54</v>
      </c>
      <c r="E2502" s="3">
        <v>114.07</v>
      </c>
      <c r="F2502" s="3">
        <v>119.68</v>
      </c>
      <c r="G2502" s="3">
        <v>103.56</v>
      </c>
      <c r="H2502" s="3">
        <v>76.44</v>
      </c>
      <c r="I2502" s="2">
        <v>37.299999999999997</v>
      </c>
      <c r="J2502" s="2">
        <v>343.25</v>
      </c>
      <c r="K2502" s="2">
        <v>213.16</v>
      </c>
      <c r="L2502" s="3">
        <v>69.569999999999993</v>
      </c>
      <c r="M2502" s="2">
        <v>2.5499999999999998</v>
      </c>
    </row>
    <row r="2503" spans="1:13">
      <c r="A2503" s="9">
        <v>42320</v>
      </c>
      <c r="B2503" s="1">
        <f t="shared" si="78"/>
        <v>42309</v>
      </c>
      <c r="C2503" s="5" t="str">
        <f t="shared" si="79"/>
        <v>2015-11</v>
      </c>
      <c r="D2503" s="3">
        <v>204.84</v>
      </c>
      <c r="E2503" s="3">
        <v>114.9</v>
      </c>
      <c r="F2503" s="3">
        <v>119</v>
      </c>
      <c r="G2503" s="3">
        <v>103.85</v>
      </c>
      <c r="H2503" s="3">
        <v>77.319999999999993</v>
      </c>
      <c r="I2503" s="2">
        <v>38.630000000000003</v>
      </c>
      <c r="J2503" s="2">
        <v>345.74</v>
      </c>
      <c r="K2503" s="2">
        <v>213.58</v>
      </c>
      <c r="L2503" s="3">
        <v>69.739999999999995</v>
      </c>
      <c r="M2503" s="2">
        <v>2.64</v>
      </c>
    </row>
    <row r="2504" spans="1:13">
      <c r="A2504" s="9">
        <v>42319</v>
      </c>
      <c r="B2504" s="1">
        <f t="shared" si="78"/>
        <v>42309</v>
      </c>
      <c r="C2504" s="5" t="str">
        <f t="shared" si="79"/>
        <v>2015-11</v>
      </c>
      <c r="D2504" s="3">
        <v>207.74</v>
      </c>
      <c r="E2504" s="3">
        <v>117.14</v>
      </c>
      <c r="F2504" s="3">
        <v>118.43</v>
      </c>
      <c r="G2504" s="3">
        <v>103.83</v>
      </c>
      <c r="H2504" s="3">
        <v>77.849999999999994</v>
      </c>
      <c r="I2504" s="2">
        <v>39.04</v>
      </c>
      <c r="J2504" s="2">
        <v>350.5</v>
      </c>
      <c r="K2504" s="2">
        <v>215.11</v>
      </c>
      <c r="L2504" s="3">
        <v>70.97</v>
      </c>
      <c r="M2504" s="2">
        <v>2.62</v>
      </c>
    </row>
    <row r="2505" spans="1:13">
      <c r="A2505" s="9">
        <v>42318</v>
      </c>
      <c r="B2505" s="1">
        <f t="shared" si="78"/>
        <v>42309</v>
      </c>
      <c r="C2505" s="5" t="str">
        <f t="shared" si="79"/>
        <v>2015-11</v>
      </c>
      <c r="D2505" s="3">
        <v>208.56</v>
      </c>
      <c r="E2505" s="3">
        <v>118.17</v>
      </c>
      <c r="F2505" s="3">
        <v>118.68</v>
      </c>
      <c r="G2505" s="3">
        <v>104.18</v>
      </c>
      <c r="H2505" s="3">
        <v>77.760000000000005</v>
      </c>
      <c r="I2505" s="2">
        <v>39.92</v>
      </c>
      <c r="J2505" s="2">
        <v>350.27</v>
      </c>
      <c r="K2505" s="2">
        <v>214.07</v>
      </c>
      <c r="L2505" s="3">
        <v>71.680000000000007</v>
      </c>
      <c r="M2505" s="2">
        <v>2.93</v>
      </c>
    </row>
    <row r="2506" spans="1:13">
      <c r="A2506" s="9">
        <v>42317</v>
      </c>
      <c r="B2506" s="1">
        <f t="shared" si="78"/>
        <v>42309</v>
      </c>
      <c r="C2506" s="5" t="str">
        <f t="shared" si="79"/>
        <v>2015-11</v>
      </c>
      <c r="D2506" s="3">
        <v>208.08</v>
      </c>
      <c r="E2506" s="3">
        <v>117.82</v>
      </c>
      <c r="F2506" s="3">
        <v>118.33</v>
      </c>
      <c r="G2506" s="3">
        <v>104.4</v>
      </c>
      <c r="H2506" s="3">
        <v>76.88</v>
      </c>
      <c r="I2506" s="2">
        <v>40.1</v>
      </c>
      <c r="J2506" s="2">
        <v>349.57</v>
      </c>
      <c r="K2506" s="2">
        <v>214.7</v>
      </c>
      <c r="L2506" s="3">
        <v>71.2</v>
      </c>
      <c r="M2506" s="2">
        <v>3.03</v>
      </c>
    </row>
    <row r="2507" spans="1:13">
      <c r="A2507" s="9">
        <v>42314</v>
      </c>
      <c r="B2507" s="1">
        <f t="shared" si="78"/>
        <v>42309</v>
      </c>
      <c r="C2507" s="5" t="str">
        <f t="shared" si="79"/>
        <v>2015-11</v>
      </c>
      <c r="D2507" s="3">
        <v>210.04</v>
      </c>
      <c r="E2507" s="3">
        <v>119.22</v>
      </c>
      <c r="F2507" s="3">
        <v>119</v>
      </c>
      <c r="G2507" s="3">
        <v>104.1</v>
      </c>
      <c r="H2507" s="3">
        <v>78.22</v>
      </c>
      <c r="I2507" s="2">
        <v>40.619999999999997</v>
      </c>
      <c r="J2507" s="2">
        <v>356.7</v>
      </c>
      <c r="K2507" s="2">
        <v>216.63</v>
      </c>
      <c r="L2507" s="3">
        <v>71.75</v>
      </c>
      <c r="M2507" s="2">
        <v>3.08</v>
      </c>
    </row>
    <row r="2508" spans="1:13">
      <c r="A2508" s="9">
        <v>42313</v>
      </c>
      <c r="B2508" s="1">
        <f t="shared" si="78"/>
        <v>42309</v>
      </c>
      <c r="C2508" s="5" t="str">
        <f t="shared" si="79"/>
        <v>2015-11</v>
      </c>
      <c r="D2508" s="3">
        <v>210.15</v>
      </c>
      <c r="E2508" s="3">
        <v>118.38</v>
      </c>
      <c r="F2508" s="3">
        <v>120.77</v>
      </c>
      <c r="G2508" s="3">
        <v>105.64</v>
      </c>
      <c r="H2508" s="3">
        <v>80.73</v>
      </c>
      <c r="I2508" s="2">
        <v>40.35</v>
      </c>
      <c r="J2508" s="2">
        <v>357.3</v>
      </c>
      <c r="K2508" s="2">
        <v>218.6</v>
      </c>
      <c r="L2508" s="3">
        <v>72.05</v>
      </c>
      <c r="M2508" s="2">
        <v>3.01</v>
      </c>
    </row>
    <row r="2509" spans="1:13">
      <c r="A2509" s="9">
        <v>42312</v>
      </c>
      <c r="B2509" s="1">
        <f t="shared" si="78"/>
        <v>42309</v>
      </c>
      <c r="C2509" s="5" t="str">
        <f t="shared" si="79"/>
        <v>2015-11</v>
      </c>
      <c r="D2509" s="3">
        <v>210.36</v>
      </c>
      <c r="E2509" s="3">
        <v>118.29</v>
      </c>
      <c r="F2509" s="3">
        <v>121.09</v>
      </c>
      <c r="G2509" s="3">
        <v>105.97</v>
      </c>
      <c r="H2509" s="3">
        <v>80.41</v>
      </c>
      <c r="I2509" s="2">
        <v>40.479999999999997</v>
      </c>
      <c r="J2509" s="2">
        <v>356.49</v>
      </c>
      <c r="K2509" s="2">
        <v>218.83</v>
      </c>
      <c r="L2509" s="3">
        <v>72.28</v>
      </c>
      <c r="M2509" s="2">
        <v>3.01</v>
      </c>
    </row>
    <row r="2510" spans="1:13">
      <c r="A2510" s="9">
        <v>42311</v>
      </c>
      <c r="B2510" s="1">
        <f t="shared" si="78"/>
        <v>42309</v>
      </c>
      <c r="C2510" s="5" t="str">
        <f t="shared" si="79"/>
        <v>2015-11</v>
      </c>
      <c r="D2510" s="3">
        <v>211</v>
      </c>
      <c r="E2510" s="3">
        <v>118.35</v>
      </c>
      <c r="F2510" s="3">
        <v>120.95</v>
      </c>
      <c r="G2510" s="3">
        <v>106.98</v>
      </c>
      <c r="H2510" s="3">
        <v>80.77</v>
      </c>
      <c r="I2510" s="2">
        <v>40.200000000000003</v>
      </c>
      <c r="J2510" s="2">
        <v>358.47</v>
      </c>
      <c r="K2510" s="2">
        <v>218.9</v>
      </c>
      <c r="L2510" s="3">
        <v>72.599999999999994</v>
      </c>
      <c r="M2510" s="2">
        <v>2.99</v>
      </c>
    </row>
    <row r="2511" spans="1:13">
      <c r="A2511" s="9">
        <v>42310</v>
      </c>
      <c r="B2511" s="1">
        <f t="shared" si="78"/>
        <v>42309</v>
      </c>
      <c r="C2511" s="5" t="str">
        <f t="shared" si="79"/>
        <v>2015-11</v>
      </c>
      <c r="D2511" s="3">
        <v>210.39</v>
      </c>
      <c r="E2511" s="3">
        <v>117.74</v>
      </c>
      <c r="F2511" s="3">
        <v>121.95</v>
      </c>
      <c r="G2511" s="3">
        <v>108.59</v>
      </c>
      <c r="H2511" s="3">
        <v>81.59</v>
      </c>
      <c r="I2511" s="2">
        <v>39.75</v>
      </c>
      <c r="J2511" s="2">
        <v>354.57</v>
      </c>
      <c r="K2511" s="2">
        <v>220.59</v>
      </c>
      <c r="L2511" s="3">
        <v>72.86</v>
      </c>
      <c r="M2511" s="2">
        <v>2.97</v>
      </c>
    </row>
    <row r="2512" spans="1:13">
      <c r="A2512" s="9">
        <v>42307</v>
      </c>
      <c r="B2512" s="1">
        <f t="shared" si="78"/>
        <v>42278</v>
      </c>
      <c r="C2512" s="5" t="str">
        <f t="shared" si="79"/>
        <v>2015-10</v>
      </c>
      <c r="D2512" s="3">
        <v>207.93</v>
      </c>
      <c r="E2512" s="3">
        <v>115.34</v>
      </c>
      <c r="F2512" s="3">
        <v>122.78</v>
      </c>
      <c r="G2512" s="3">
        <v>109.3</v>
      </c>
      <c r="H2512" s="3">
        <v>79.89</v>
      </c>
      <c r="I2512" s="2">
        <v>38.840000000000003</v>
      </c>
      <c r="J2512" s="2">
        <v>351.97</v>
      </c>
      <c r="K2512" s="2">
        <v>219.83</v>
      </c>
      <c r="L2512" s="3">
        <v>71.34</v>
      </c>
      <c r="M2512" s="2">
        <v>2.82</v>
      </c>
    </row>
    <row r="2513" spans="1:13">
      <c r="A2513" s="9">
        <v>42306</v>
      </c>
      <c r="B2513" s="1">
        <f t="shared" si="78"/>
        <v>42278</v>
      </c>
      <c r="C2513" s="5" t="str">
        <f t="shared" si="79"/>
        <v>2015-10</v>
      </c>
      <c r="D2513" s="3">
        <v>208.83</v>
      </c>
      <c r="E2513" s="3">
        <v>115.87</v>
      </c>
      <c r="F2513" s="3">
        <v>121.86</v>
      </c>
      <c r="G2513" s="3">
        <v>109.72</v>
      </c>
      <c r="H2513" s="3">
        <v>80.63</v>
      </c>
      <c r="I2513" s="2">
        <v>38.86</v>
      </c>
      <c r="J2513" s="2">
        <v>349.86</v>
      </c>
      <c r="K2513" s="2">
        <v>218.25</v>
      </c>
      <c r="L2513" s="3">
        <v>71.790000000000006</v>
      </c>
      <c r="M2513" s="2">
        <v>2.79</v>
      </c>
    </row>
    <row r="2514" spans="1:13">
      <c r="A2514" s="9">
        <v>42305</v>
      </c>
      <c r="B2514" s="1">
        <f t="shared" si="78"/>
        <v>42278</v>
      </c>
      <c r="C2514" s="5" t="str">
        <f t="shared" si="79"/>
        <v>2015-10</v>
      </c>
      <c r="D2514" s="3">
        <v>208.95</v>
      </c>
      <c r="E2514" s="3">
        <v>117.12</v>
      </c>
      <c r="F2514" s="3">
        <v>123.83</v>
      </c>
      <c r="G2514" s="3">
        <v>110.78</v>
      </c>
      <c r="H2514" s="3">
        <v>80.739999999999995</v>
      </c>
      <c r="I2514" s="2">
        <v>38.880000000000003</v>
      </c>
      <c r="J2514" s="2">
        <v>346.32</v>
      </c>
      <c r="K2514" s="2">
        <v>221.04</v>
      </c>
      <c r="L2514" s="3">
        <v>71.47</v>
      </c>
      <c r="M2514" s="2">
        <v>2.84</v>
      </c>
    </row>
    <row r="2515" spans="1:13">
      <c r="A2515" s="9">
        <v>42304</v>
      </c>
      <c r="B2515" s="1">
        <f t="shared" si="78"/>
        <v>42278</v>
      </c>
      <c r="C2515" s="5" t="str">
        <f t="shared" si="79"/>
        <v>2015-10</v>
      </c>
      <c r="D2515" s="3">
        <v>206.6</v>
      </c>
      <c r="E2515" s="3">
        <v>113.8</v>
      </c>
      <c r="F2515" s="3">
        <v>124.33</v>
      </c>
      <c r="G2515" s="3">
        <v>111.68</v>
      </c>
      <c r="H2515" s="3">
        <v>80.67</v>
      </c>
      <c r="I2515" s="2">
        <v>38.340000000000003</v>
      </c>
      <c r="J2515" s="2">
        <v>335.57</v>
      </c>
      <c r="K2515" s="2">
        <v>223.04</v>
      </c>
      <c r="L2515" s="3">
        <v>70.88</v>
      </c>
      <c r="M2515" s="2">
        <v>2.73</v>
      </c>
    </row>
    <row r="2516" spans="1:13">
      <c r="A2516" s="9">
        <v>42303</v>
      </c>
      <c r="B2516" s="1">
        <f t="shared" si="78"/>
        <v>42278</v>
      </c>
      <c r="C2516" s="5" t="str">
        <f t="shared" si="79"/>
        <v>2015-10</v>
      </c>
      <c r="D2516" s="3">
        <v>207</v>
      </c>
      <c r="E2516" s="3">
        <v>115.06</v>
      </c>
      <c r="F2516" s="3">
        <v>124.02</v>
      </c>
      <c r="G2516" s="3">
        <v>111.43</v>
      </c>
      <c r="H2516" s="3">
        <v>80.7</v>
      </c>
      <c r="I2516" s="2">
        <v>38.369999999999997</v>
      </c>
      <c r="J2516" s="2">
        <v>337.02</v>
      </c>
      <c r="K2516" s="2">
        <v>220.94</v>
      </c>
      <c r="L2516" s="3">
        <v>69.599999999999994</v>
      </c>
      <c r="M2516" s="2">
        <v>2.76</v>
      </c>
    </row>
  </sheetData>
  <sortState xmlns:xlrd2="http://schemas.microsoft.com/office/spreadsheetml/2017/richdata2" ref="A2:A2523">
    <sortCondition descending="1" ref="A2:A25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A875-1E68-4A4E-B583-17E952240C5B}">
  <dimension ref="A1:L128"/>
  <sheetViews>
    <sheetView zoomScale="92" workbookViewId="0">
      <selection activeCell="B3" sqref="B3"/>
    </sheetView>
  </sheetViews>
  <sheetFormatPr defaultColWidth="11" defaultRowHeight="15.95"/>
  <cols>
    <col min="1" max="1" width="18.875" bestFit="1" customWidth="1"/>
    <col min="2" max="2" width="18.375" bestFit="1" customWidth="1"/>
    <col min="3" max="3" width="17" bestFit="1" customWidth="1"/>
    <col min="4" max="4" width="17.125" bestFit="1" customWidth="1"/>
    <col min="5" max="6" width="18.375" bestFit="1" customWidth="1"/>
    <col min="7" max="7" width="18.625" bestFit="1" customWidth="1"/>
    <col min="8" max="9" width="18.375" bestFit="1" customWidth="1"/>
    <col min="10" max="10" width="21.5" bestFit="1" customWidth="1"/>
    <col min="11" max="11" width="22.5" bestFit="1" customWidth="1"/>
  </cols>
  <sheetData>
    <row r="1" spans="1:12">
      <c r="A1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</row>
    <row r="2" spans="1:12">
      <c r="A2" t="s">
        <v>24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</row>
    <row r="3" spans="1:12">
      <c r="A3" t="s">
        <v>25</v>
      </c>
      <c r="B3" s="8">
        <v>584012992500</v>
      </c>
      <c r="C3" s="8">
        <v>62444800500</v>
      </c>
      <c r="D3" s="8">
        <v>49904335323</v>
      </c>
      <c r="E3" s="8">
        <v>103100712000</v>
      </c>
      <c r="F3" s="8">
        <v>27488682000</v>
      </c>
      <c r="G3" s="8">
        <v>805142827620</v>
      </c>
      <c r="H3" s="8">
        <v>176010948434</v>
      </c>
      <c r="I3" s="8">
        <v>112322804156</v>
      </c>
      <c r="J3" s="8">
        <v>24123078500</v>
      </c>
      <c r="K3" s="8">
        <v>28697458043</v>
      </c>
    </row>
    <row r="4" spans="1:12">
      <c r="A4" t="s">
        <v>26</v>
      </c>
      <c r="B4" s="11">
        <f>B3/SUM($B$3:$K$3)</f>
        <v>0.29596523262951385</v>
      </c>
      <c r="C4" s="11">
        <f t="shared" ref="C4:K4" si="0">C3/SUM($B$3:$K$3)</f>
        <v>3.1645682791014422E-2</v>
      </c>
      <c r="D4" s="11">
        <f t="shared" si="0"/>
        <v>2.5290444566767E-2</v>
      </c>
      <c r="E4" s="11">
        <f t="shared" si="0"/>
        <v>5.2249224937146434E-2</v>
      </c>
      <c r="F4" s="11">
        <f t="shared" si="0"/>
        <v>1.3930673233795789E-2</v>
      </c>
      <c r="G4" s="11">
        <f t="shared" si="0"/>
        <v>0.40802908040875113</v>
      </c>
      <c r="H4" s="11">
        <f t="shared" si="0"/>
        <v>8.9198565729871462E-2</v>
      </c>
      <c r="I4" s="11">
        <f t="shared" si="0"/>
        <v>5.6922783034882338E-2</v>
      </c>
      <c r="J4" s="11">
        <f t="shared" si="0"/>
        <v>1.2225057715633826E-2</v>
      </c>
      <c r="K4" s="11">
        <f t="shared" si="0"/>
        <v>1.4543254952623694E-2</v>
      </c>
      <c r="L4" t="s">
        <v>27</v>
      </c>
    </row>
    <row r="7" spans="1:12">
      <c r="A7" s="7" t="s">
        <v>0</v>
      </c>
      <c r="B7" s="4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</row>
    <row r="8" spans="1:12">
      <c r="A8" s="1">
        <v>45931</v>
      </c>
      <c r="B8">
        <f>_xlfn.XLOOKUP(A8, DailyData!$A$2:$A$2516, DailyData!$D$2:$D$2516, " ")</f>
        <v>668.45</v>
      </c>
      <c r="C8">
        <f>_xlfn.XLOOKUP($A8, DailyData!$A$2:$A$2516, DailyData!$E$2:$E$2516, " ")</f>
        <v>242.49</v>
      </c>
      <c r="D8">
        <f>_xlfn.XLOOKUP($A8, DailyData!$A$2:$A$2516, DailyData!F$2:F$2516, " ")</f>
        <v>89.29</v>
      </c>
      <c r="E8">
        <f>_xlfn.XLOOKUP($A8, DailyData!$A$2:$A$2516, DailyData!G$2:G$2516, " ")</f>
        <v>356.03</v>
      </c>
      <c r="F8">
        <f>_xlfn.XLOOKUP($A8, DailyData!$A$2:$A$2516, DailyData!H$2:H$2516, " ")</f>
        <v>91.56</v>
      </c>
      <c r="G8">
        <f>_xlfn.XLOOKUP($A8, DailyData!$A$2:$A$2516, DailyData!I$2:I$2516, " ")</f>
        <v>289.01</v>
      </c>
      <c r="H8">
        <f>_xlfn.XLOOKUP($A8, DailyData!$A$2:$A$2516, DailyData!J$2:J$2516, " ")</f>
        <v>1141.07</v>
      </c>
      <c r="I8">
        <f>_xlfn.XLOOKUP($A8, DailyData!$A$2:$A$2516, DailyData!K$2:K$2516, " ")</f>
        <v>499</v>
      </c>
      <c r="J8">
        <f>_xlfn.XLOOKUP($A8, DailyData!$A$2:$A$2516, DailyData!L$2:L$2516, " ")</f>
        <v>143.47</v>
      </c>
      <c r="K8">
        <f>_xlfn.XLOOKUP($A8, DailyData!$A$2:$A$2516, DailyData!M$2:M$2516, " ")</f>
        <v>52.39</v>
      </c>
    </row>
    <row r="9" spans="1:12">
      <c r="A9" s="1">
        <v>45902</v>
      </c>
      <c r="B9">
        <f>_xlfn.XLOOKUP(A9, DailyData!$A$2:$A$2516, DailyData!$D$2:$D$2516, " ")</f>
        <v>640.27</v>
      </c>
      <c r="C9">
        <f>_xlfn.XLOOKUP($A9, DailyData!$A$2:$A$2516, DailyData!$E$2:$E$2516, " ")</f>
        <v>233.9</v>
      </c>
      <c r="D9">
        <f>_xlfn.XLOOKUP($A9, DailyData!$A$2:$A$2516, DailyData!F$2:F$2516, " ")</f>
        <v>85.63</v>
      </c>
      <c r="E9">
        <f>_xlfn.XLOOKUP($A9, DailyData!$A$2:$A$2516, DailyData!G$2:G$2516, " ")</f>
        <v>325.58999999999997</v>
      </c>
      <c r="F9">
        <f>_xlfn.XLOOKUP($A9, DailyData!$A$2:$A$2516, DailyData!H$2:H$2516, " ")</f>
        <v>90.71</v>
      </c>
      <c r="G9">
        <f>_xlfn.XLOOKUP($A9, DailyData!$A$2:$A$2516, DailyData!I$2:I$2516, " ")</f>
        <v>225.3</v>
      </c>
      <c r="H9">
        <f>_xlfn.XLOOKUP($A9, DailyData!$A$2:$A$2516, DailyData!J$2:J$2516, " ")</f>
        <v>1114.77</v>
      </c>
      <c r="I9">
        <f>_xlfn.XLOOKUP($A9, DailyData!$A$2:$A$2516, DailyData!K$2:K$2516, " ")</f>
        <v>452.5</v>
      </c>
      <c r="J9">
        <f>_xlfn.XLOOKUP($A9, DailyData!$A$2:$A$2516, DailyData!L$2:L$2516, " ")</f>
        <v>137.56</v>
      </c>
      <c r="K9">
        <f>_xlfn.XLOOKUP($A9, DailyData!$A$2:$A$2516, DailyData!M$2:M$2516, " ")</f>
        <v>40.78</v>
      </c>
    </row>
    <row r="10" spans="1:12">
      <c r="A10" s="1">
        <v>45870</v>
      </c>
      <c r="B10">
        <f>_xlfn.XLOOKUP(A10, DailyData!$A$2:$A$2516, DailyData!$D$2:$D$2516, " ")</f>
        <v>621.72</v>
      </c>
      <c r="C10">
        <f>_xlfn.XLOOKUP($A10, DailyData!$A$2:$A$2516, DailyData!$E$2:$E$2516, " ")</f>
        <v>214.92</v>
      </c>
      <c r="D10">
        <f>_xlfn.XLOOKUP($A10, DailyData!$A$2:$A$2516, DailyData!F$2:F$2516, " ")</f>
        <v>87.82</v>
      </c>
      <c r="E10">
        <f>_xlfn.XLOOKUP($A10, DailyData!$A$2:$A$2516, DailyData!G$2:G$2516, " ")</f>
        <v>309.11</v>
      </c>
      <c r="F10">
        <f>_xlfn.XLOOKUP($A10, DailyData!$A$2:$A$2516, DailyData!H$2:H$2516, " ")</f>
        <v>88.92</v>
      </c>
      <c r="G10">
        <f>_xlfn.XLOOKUP($A10, DailyData!$A$2:$A$2516, DailyData!I$2:I$2516, " ")</f>
        <v>244.42</v>
      </c>
      <c r="H10">
        <f>_xlfn.XLOOKUP($A10, DailyData!$A$2:$A$2516, DailyData!J$2:J$2516, " ")</f>
        <v>1091.8</v>
      </c>
      <c r="I10">
        <f>_xlfn.XLOOKUP($A10, DailyData!$A$2:$A$2516, DailyData!K$2:K$2516, " ")</f>
        <v>421.01</v>
      </c>
      <c r="J10">
        <f>_xlfn.XLOOKUP($A10, DailyData!$A$2:$A$2516, DailyData!L$2:L$2516, " ")</f>
        <v>131.13</v>
      </c>
      <c r="K10">
        <f>_xlfn.XLOOKUP($A10, DailyData!$A$2:$A$2516, DailyData!M$2:M$2516, " ")</f>
        <v>56.64</v>
      </c>
    </row>
    <row r="11" spans="1:12">
      <c r="A11" s="1">
        <v>45839</v>
      </c>
      <c r="B11">
        <f>_xlfn.XLOOKUP(A11, DailyData!$A$2:$A$2516, DailyData!$D$2:$D$2516, " ")</f>
        <v>617.65</v>
      </c>
      <c r="C11">
        <f>_xlfn.XLOOKUP($A11, DailyData!$A$2:$A$2516, DailyData!$E$2:$E$2516, " ")</f>
        <v>218.01</v>
      </c>
      <c r="D11">
        <f>_xlfn.XLOOKUP($A11, DailyData!$A$2:$A$2516, DailyData!F$2:F$2516, " ")</f>
        <v>88.14</v>
      </c>
      <c r="E11">
        <f>_xlfn.XLOOKUP($A11, DailyData!$A$2:$A$2516, DailyData!G$2:G$2516, " ")</f>
        <v>307.55</v>
      </c>
      <c r="F11">
        <f>_xlfn.XLOOKUP($A11, DailyData!$A$2:$A$2516, DailyData!H$2:H$2516, " ")</f>
        <v>89.71</v>
      </c>
      <c r="G11">
        <f>_xlfn.XLOOKUP($A11, DailyData!$A$2:$A$2516, DailyData!I$2:I$2516, " ")</f>
        <v>218.96</v>
      </c>
      <c r="H11">
        <f>_xlfn.XLOOKUP($A11, DailyData!$A$2:$A$2516, DailyData!J$2:J$2516, " ")</f>
        <v>1054.27</v>
      </c>
      <c r="I11">
        <f>_xlfn.XLOOKUP($A11, DailyData!$A$2:$A$2516, DailyData!K$2:K$2516, " ")</f>
        <v>465.94</v>
      </c>
      <c r="J11">
        <f>_xlfn.XLOOKUP($A11, DailyData!$A$2:$A$2516, DailyData!L$2:L$2516, " ")</f>
        <v>136.71</v>
      </c>
      <c r="K11">
        <f>_xlfn.XLOOKUP($A11, DailyData!$A$2:$A$2516, DailyData!M$2:M$2516, " ")</f>
        <v>47.2</v>
      </c>
    </row>
    <row r="12" spans="1:12">
      <c r="A12" s="1">
        <v>45810</v>
      </c>
      <c r="B12">
        <f>_xlfn.XLOOKUP(A12, DailyData!$A$2:$A$2516, DailyData!$D$2:$D$2516, " ")</f>
        <v>592.71</v>
      </c>
      <c r="C12">
        <f>_xlfn.XLOOKUP($A12, DailyData!$A$2:$A$2516, DailyData!$E$2:$E$2516, " ")</f>
        <v>205.71</v>
      </c>
      <c r="D12">
        <f>_xlfn.XLOOKUP($A12, DailyData!$A$2:$A$2516, DailyData!F$2:F$2516, " ")</f>
        <v>85.16</v>
      </c>
      <c r="E12">
        <f>_xlfn.XLOOKUP($A12, DailyData!$A$2:$A$2516, DailyData!G$2:G$2516, " ")</f>
        <v>311.67</v>
      </c>
      <c r="F12">
        <f>_xlfn.XLOOKUP($A12, DailyData!$A$2:$A$2516, DailyData!H$2:H$2516, " ")</f>
        <v>89.44</v>
      </c>
      <c r="G12">
        <f>_xlfn.XLOOKUP($A12, DailyData!$A$2:$A$2516, DailyData!I$2:I$2516, " ")</f>
        <v>166.57</v>
      </c>
      <c r="H12">
        <f>_xlfn.XLOOKUP($A12, DailyData!$A$2:$A$2516, DailyData!J$2:J$2516, " ")</f>
        <v>978.07</v>
      </c>
      <c r="I12">
        <f>_xlfn.XLOOKUP($A12, DailyData!$A$2:$A$2516, DailyData!K$2:K$2516, " ")</f>
        <v>478.82</v>
      </c>
      <c r="J12">
        <f>_xlfn.XLOOKUP($A12, DailyData!$A$2:$A$2516, DailyData!L$2:L$2516, " ")</f>
        <v>132.72</v>
      </c>
      <c r="K12">
        <f>_xlfn.XLOOKUP($A12, DailyData!$A$2:$A$2516, DailyData!M$2:M$2516, " ")</f>
        <v>41.2</v>
      </c>
    </row>
    <row r="13" spans="1:12">
      <c r="A13" s="1">
        <v>45778</v>
      </c>
      <c r="B13">
        <f>_xlfn.XLOOKUP(A13, DailyData!$A$2:$A$2516, DailyData!$D$2:$D$2516, " ")</f>
        <v>558.47</v>
      </c>
      <c r="C13">
        <f>_xlfn.XLOOKUP($A13, DailyData!$A$2:$A$2516, DailyData!$E$2:$E$2516, " ")</f>
        <v>196.07</v>
      </c>
      <c r="D13">
        <f>_xlfn.XLOOKUP($A13, DailyData!$A$2:$A$2516, DailyData!F$2:F$2516, " ")</f>
        <v>88.69</v>
      </c>
      <c r="E13">
        <f>_xlfn.XLOOKUP($A13, DailyData!$A$2:$A$2516, DailyData!G$2:G$2516, " ")</f>
        <v>297.45999999999998</v>
      </c>
      <c r="F13">
        <f>_xlfn.XLOOKUP($A13, DailyData!$A$2:$A$2516, DailyData!H$2:H$2516, " ")</f>
        <v>88.62</v>
      </c>
      <c r="G13">
        <f>_xlfn.XLOOKUP($A13, DailyData!$A$2:$A$2516, DailyData!I$2:I$2516, " ")</f>
        <v>145.49</v>
      </c>
      <c r="H13">
        <f>_xlfn.XLOOKUP($A13, DailyData!$A$2:$A$2516, DailyData!J$2:J$2516, " ")</f>
        <v>916.14</v>
      </c>
      <c r="I13">
        <f>_xlfn.XLOOKUP($A13, DailyData!$A$2:$A$2516, DailyData!K$2:K$2516, " ")</f>
        <v>477.72</v>
      </c>
      <c r="J13">
        <f>_xlfn.XLOOKUP($A13, DailyData!$A$2:$A$2516, DailyData!L$2:L$2516, " ")</f>
        <v>136.63999999999999</v>
      </c>
      <c r="K13">
        <f>_xlfn.XLOOKUP($A13, DailyData!$A$2:$A$2516, DailyData!M$2:M$2516, " ")</f>
        <v>32.729999999999997</v>
      </c>
    </row>
    <row r="14" spans="1:12">
      <c r="A14" s="1">
        <v>45748</v>
      </c>
      <c r="B14">
        <f>_xlfn.XLOOKUP(A14, DailyData!$A$2:$A$2516, DailyData!$D$2:$D$2516, " ")</f>
        <v>560.97</v>
      </c>
      <c r="C14">
        <f>_xlfn.XLOOKUP($A14, DailyData!$A$2:$A$2516, DailyData!$E$2:$E$2516, " ")</f>
        <v>199.51</v>
      </c>
      <c r="D14">
        <f>_xlfn.XLOOKUP($A14, DailyData!$A$2:$A$2516, DailyData!F$2:F$2516, " ")</f>
        <v>91.49</v>
      </c>
      <c r="E14">
        <f>_xlfn.XLOOKUP($A14, DailyData!$A$2:$A$2516, DailyData!G$2:G$2516, " ")</f>
        <v>287.57</v>
      </c>
      <c r="F14">
        <f>_xlfn.XLOOKUP($A14, DailyData!$A$2:$A$2516, DailyData!H$2:H$2516, " ")</f>
        <v>90.58</v>
      </c>
      <c r="G14">
        <f>_xlfn.XLOOKUP($A14, DailyData!$A$2:$A$2516, DailyData!I$2:I$2516, " ")</f>
        <v>141.94</v>
      </c>
      <c r="H14">
        <f>_xlfn.XLOOKUP($A14, DailyData!$A$2:$A$2516, DailyData!J$2:J$2516, " ")</f>
        <v>944.08</v>
      </c>
      <c r="I14">
        <f>_xlfn.XLOOKUP($A14, DailyData!$A$2:$A$2516, DailyData!K$2:K$2516, " ")</f>
        <v>448.64</v>
      </c>
      <c r="J14">
        <f>_xlfn.XLOOKUP($A14, DailyData!$A$2:$A$2516, DailyData!L$2:L$2516, " ")</f>
        <v>143.34</v>
      </c>
      <c r="K14">
        <f>_xlfn.XLOOKUP($A14, DailyData!$A$2:$A$2516, DailyData!M$2:M$2516, " ")</f>
        <v>35.049999999999997</v>
      </c>
    </row>
    <row r="15" spans="1:12">
      <c r="A15" s="1">
        <v>45719</v>
      </c>
      <c r="B15">
        <f>_xlfn.XLOOKUP(A15, DailyData!$A$2:$A$2516, DailyData!$D$2:$D$2516, " ")</f>
        <v>583.77</v>
      </c>
      <c r="C15">
        <f>_xlfn.XLOOKUP($A15, DailyData!$A$2:$A$2516, DailyData!$E$2:$E$2516, " ")</f>
        <v>208.78</v>
      </c>
      <c r="D15">
        <f>_xlfn.XLOOKUP($A15, DailyData!$A$2:$A$2516, DailyData!F$2:F$2516, " ")</f>
        <v>92.57</v>
      </c>
      <c r="E15">
        <f>_xlfn.XLOOKUP($A15, DailyData!$A$2:$A$2516, DailyData!G$2:G$2516, " ")</f>
        <v>266.74</v>
      </c>
      <c r="F15">
        <f>_xlfn.XLOOKUP($A15, DailyData!$A$2:$A$2516, DailyData!H$2:H$2516, " ")</f>
        <v>94.34</v>
      </c>
      <c r="G15">
        <f>_xlfn.XLOOKUP($A15, DailyData!$A$2:$A$2516, DailyData!I$2:I$2516, " ")</f>
        <v>162.02000000000001</v>
      </c>
      <c r="H15">
        <f>_xlfn.XLOOKUP($A15, DailyData!$A$2:$A$2516, DailyData!J$2:J$2516, " ")</f>
        <v>966.47</v>
      </c>
      <c r="I15">
        <f>_xlfn.XLOOKUP($A15, DailyData!$A$2:$A$2516, DailyData!K$2:K$2516, " ")</f>
        <v>451.94</v>
      </c>
      <c r="J15">
        <f>_xlfn.XLOOKUP($A15, DailyData!$A$2:$A$2516, DailyData!L$2:L$2516, " ")</f>
        <v>149.58000000000001</v>
      </c>
      <c r="K15">
        <f>_xlfn.XLOOKUP($A15, DailyData!$A$2:$A$2516, DailyData!M$2:M$2516, " ")</f>
        <v>36.07</v>
      </c>
    </row>
    <row r="16" spans="1:12">
      <c r="A16" s="1">
        <v>45691</v>
      </c>
      <c r="B16">
        <f>_xlfn.XLOOKUP(A16, DailyData!$A$2:$A$2516, DailyData!$D$2:$D$2516, " ")</f>
        <v>597.77</v>
      </c>
      <c r="C16">
        <f>_xlfn.XLOOKUP($A16, DailyData!$A$2:$A$2516, DailyData!$E$2:$E$2516, " ")</f>
        <v>223.83</v>
      </c>
      <c r="D16">
        <f>_xlfn.XLOOKUP($A16, DailyData!$A$2:$A$2516, DailyData!F$2:F$2516, " ")</f>
        <v>88.16</v>
      </c>
      <c r="E16">
        <f>_xlfn.XLOOKUP($A16, DailyData!$A$2:$A$2516, DailyData!G$2:G$2516, " ")</f>
        <v>259.94</v>
      </c>
      <c r="F16">
        <f>_xlfn.XLOOKUP($A16, DailyData!$A$2:$A$2516, DailyData!H$2:H$2516, " ")</f>
        <v>90.36</v>
      </c>
      <c r="G16">
        <f>_xlfn.XLOOKUP($A16, DailyData!$A$2:$A$2516, DailyData!I$2:I$2516, " ")</f>
        <v>168.6</v>
      </c>
      <c r="H16">
        <f>_xlfn.XLOOKUP($A16, DailyData!$A$2:$A$2516, DailyData!J$2:J$2516, " ")</f>
        <v>1013.75</v>
      </c>
      <c r="I16">
        <f>_xlfn.XLOOKUP($A16, DailyData!$A$2:$A$2516, DailyData!K$2:K$2516, " ")</f>
        <v>455.42</v>
      </c>
      <c r="J16">
        <f>_xlfn.XLOOKUP($A16, DailyData!$A$2:$A$2516, DailyData!L$2:L$2516, " ")</f>
        <v>147.44</v>
      </c>
      <c r="K16">
        <f>_xlfn.XLOOKUP($A16, DailyData!$A$2:$A$2516, DailyData!M$2:M$2516, " ")</f>
        <v>26.85</v>
      </c>
    </row>
    <row r="17" spans="1:11">
      <c r="A17" s="1">
        <v>45659</v>
      </c>
      <c r="B17">
        <f>_xlfn.XLOOKUP(A17, DailyData!$A$2:$A$2516, DailyData!$D$2:$D$2516, " ")</f>
        <v>584.64</v>
      </c>
      <c r="C17">
        <f>_xlfn.XLOOKUP($A17, DailyData!$A$2:$A$2516, DailyData!$E$2:$E$2516, " ")</f>
        <v>221.14</v>
      </c>
      <c r="D17">
        <f>_xlfn.XLOOKUP($A17, DailyData!$A$2:$A$2516, DailyData!F$2:F$2516, " ")</f>
        <v>87.57</v>
      </c>
      <c r="E17">
        <f>_xlfn.XLOOKUP($A17, DailyData!$A$2:$A$2516, DailyData!G$2:G$2516, " ")</f>
        <v>245.42</v>
      </c>
      <c r="F17">
        <f>_xlfn.XLOOKUP($A17, DailyData!$A$2:$A$2516, DailyData!H$2:H$2516, " ")</f>
        <v>88.29</v>
      </c>
      <c r="G17">
        <f>_xlfn.XLOOKUP($A17, DailyData!$A$2:$A$2516, DailyData!I$2:I$2516, " ")</f>
        <v>166.03</v>
      </c>
      <c r="H17">
        <f>_xlfn.XLOOKUP($A17, DailyData!$A$2:$A$2516, DailyData!J$2:J$2516, " ")</f>
        <v>1017.4</v>
      </c>
      <c r="I17">
        <f>_xlfn.XLOOKUP($A17, DailyData!$A$2:$A$2516, DailyData!K$2:K$2516, " ")</f>
        <v>482.25</v>
      </c>
      <c r="J17">
        <f>_xlfn.XLOOKUP($A17, DailyData!$A$2:$A$2516, DailyData!L$2:L$2516, " ")</f>
        <v>137.61000000000001</v>
      </c>
      <c r="K17">
        <f>_xlfn.XLOOKUP($A17, DailyData!$A$2:$A$2516, DailyData!M$2:M$2516, " ")</f>
        <v>30.05</v>
      </c>
    </row>
    <row r="18" spans="1:11">
      <c r="A18" s="1">
        <v>45628</v>
      </c>
      <c r="B18">
        <f>_xlfn.XLOOKUP(A18, DailyData!$A$2:$A$2516, DailyData!$D$2:$D$2516, " ")</f>
        <v>603.63</v>
      </c>
      <c r="C18">
        <f>_xlfn.XLOOKUP($A18, DailyData!$A$2:$A$2516, DailyData!$E$2:$E$2516, " ")</f>
        <v>241.75</v>
      </c>
      <c r="D18">
        <f>_xlfn.XLOOKUP($A18, DailyData!$A$2:$A$2516, DailyData!F$2:F$2516, " ")</f>
        <v>93.87</v>
      </c>
      <c r="E18">
        <f>_xlfn.XLOOKUP($A18, DailyData!$A$2:$A$2516, DailyData!G$2:G$2516, " ")</f>
        <v>243.44</v>
      </c>
      <c r="F18">
        <f>_xlfn.XLOOKUP($A18, DailyData!$A$2:$A$2516, DailyData!H$2:H$2516, " ")</f>
        <v>96.73</v>
      </c>
      <c r="G18">
        <f>_xlfn.XLOOKUP($A18, DailyData!$A$2:$A$2516, DailyData!I$2:I$2516, " ")</f>
        <v>181.41</v>
      </c>
      <c r="H18">
        <f>_xlfn.XLOOKUP($A18, DailyData!$A$2:$A$2516, DailyData!J$2:J$2516, " ")</f>
        <v>1020.11</v>
      </c>
      <c r="I18">
        <f>_xlfn.XLOOKUP($A18, DailyData!$A$2:$A$2516, DailyData!K$2:K$2516, " ")</f>
        <v>520.34</v>
      </c>
      <c r="J18">
        <f>_xlfn.XLOOKUP($A18, DailyData!$A$2:$A$2516, DailyData!L$2:L$2516, " ")</f>
        <v>147.15</v>
      </c>
      <c r="K18">
        <f>_xlfn.XLOOKUP($A18, DailyData!$A$2:$A$2516, DailyData!M$2:M$2516, " ")</f>
        <v>42</v>
      </c>
    </row>
    <row r="19" spans="1:11">
      <c r="A19" s="1">
        <v>45597</v>
      </c>
      <c r="B19">
        <f>_xlfn.XLOOKUP(A19, DailyData!$A$2:$A$2516, DailyData!$D$2:$D$2516, " ")</f>
        <v>571.04</v>
      </c>
      <c r="C19">
        <f>_xlfn.XLOOKUP($A19, DailyData!$A$2:$A$2516, DailyData!$E$2:$E$2516, " ")</f>
        <v>218.98</v>
      </c>
      <c r="D19">
        <f>_xlfn.XLOOKUP($A19, DailyData!$A$2:$A$2516, DailyData!F$2:F$2516, " ")</f>
        <v>90.84</v>
      </c>
      <c r="E19">
        <f>_xlfn.XLOOKUP($A19, DailyData!$A$2:$A$2516, DailyData!G$2:G$2516, " ")</f>
        <v>252.47</v>
      </c>
      <c r="F19">
        <f>_xlfn.XLOOKUP($A19, DailyData!$A$2:$A$2516, DailyData!H$2:H$2516, " ")</f>
        <v>93.11</v>
      </c>
      <c r="G19">
        <f>_xlfn.XLOOKUP($A19, DailyData!$A$2:$A$2516, DailyData!I$2:I$2516, " ")</f>
        <v>170.02</v>
      </c>
      <c r="H19">
        <f>_xlfn.XLOOKUP($A19, DailyData!$A$2:$A$2516, DailyData!J$2:J$2516, " ")</f>
        <v>985.08</v>
      </c>
      <c r="I19">
        <f>_xlfn.XLOOKUP($A19, DailyData!$A$2:$A$2516, DailyData!K$2:K$2516, " ")</f>
        <v>545.35</v>
      </c>
      <c r="J19">
        <f>_xlfn.XLOOKUP($A19, DailyData!$A$2:$A$2516, DailyData!L$2:L$2516, " ")</f>
        <v>147.74</v>
      </c>
      <c r="K19">
        <f>_xlfn.XLOOKUP($A19, DailyData!$A$2:$A$2516, DailyData!M$2:M$2516, " ")</f>
        <v>26.05</v>
      </c>
    </row>
    <row r="20" spans="1:11">
      <c r="A20" s="1">
        <v>45566</v>
      </c>
      <c r="B20">
        <f>_xlfn.XLOOKUP(A20, DailyData!$A$2:$A$2516, DailyData!$D$2:$D$2516, " ")</f>
        <v>568.62</v>
      </c>
      <c r="C20">
        <f>_xlfn.XLOOKUP($A20, DailyData!$A$2:$A$2516, DailyData!$E$2:$E$2516, " ")</f>
        <v>217.89</v>
      </c>
      <c r="D20">
        <f>_xlfn.XLOOKUP($A20, DailyData!$A$2:$A$2516, DailyData!F$2:F$2516, " ")</f>
        <v>98.49</v>
      </c>
      <c r="E20">
        <f>_xlfn.XLOOKUP($A20, DailyData!$A$2:$A$2516, DailyData!G$2:G$2516, " ")</f>
        <v>245.61</v>
      </c>
      <c r="F20">
        <f>_xlfn.XLOOKUP($A20, DailyData!$A$2:$A$2516, DailyData!H$2:H$2516, " ")</f>
        <v>96.79</v>
      </c>
      <c r="G20">
        <f>_xlfn.XLOOKUP($A20, DailyData!$A$2:$A$2516, DailyData!I$2:I$2516, " ")</f>
        <v>167.16</v>
      </c>
      <c r="H20">
        <f>_xlfn.XLOOKUP($A20, DailyData!$A$2:$A$2516, DailyData!J$2:J$2516, " ")</f>
        <v>934.02</v>
      </c>
      <c r="I20">
        <f>_xlfn.XLOOKUP($A20, DailyData!$A$2:$A$2516, DailyData!K$2:K$2516, " ")</f>
        <v>605.86</v>
      </c>
      <c r="J20">
        <f>_xlfn.XLOOKUP($A20, DailyData!$A$2:$A$2516, DailyData!L$2:L$2516, " ")</f>
        <v>153.21</v>
      </c>
      <c r="K20">
        <f>_xlfn.XLOOKUP($A20, DailyData!$A$2:$A$2516, DailyData!M$2:M$2516, " ")</f>
        <v>40.549999999999997</v>
      </c>
    </row>
    <row r="21" spans="1:11">
      <c r="A21" s="1">
        <v>45538</v>
      </c>
      <c r="B21">
        <f>_xlfn.XLOOKUP(A21, DailyData!$A$2:$A$2516, DailyData!$D$2:$D$2516, " ")</f>
        <v>552.08000000000004</v>
      </c>
      <c r="C21">
        <f>_xlfn.XLOOKUP($A21, DailyData!$A$2:$A$2516, DailyData!$E$2:$E$2516, " ")</f>
        <v>213.35</v>
      </c>
      <c r="D21">
        <f>_xlfn.XLOOKUP($A21, DailyData!$A$2:$A$2516, DailyData!F$2:F$2516, " ")</f>
        <v>97.75</v>
      </c>
      <c r="E21">
        <f>_xlfn.XLOOKUP($A21, DailyData!$A$2:$A$2516, DailyData!G$2:G$2516, " ")</f>
        <v>230.29</v>
      </c>
      <c r="F21">
        <f>_xlfn.XLOOKUP($A21, DailyData!$A$2:$A$2516, DailyData!H$2:H$2516, " ")</f>
        <v>95.08</v>
      </c>
      <c r="G21">
        <f>_xlfn.XLOOKUP($A21, DailyData!$A$2:$A$2516, DailyData!I$2:I$2516, " ")</f>
        <v>139.5</v>
      </c>
      <c r="H21">
        <f>_xlfn.XLOOKUP($A21, DailyData!$A$2:$A$2516, DailyData!J$2:J$2516, " ")</f>
        <v>886.43</v>
      </c>
      <c r="I21">
        <f>_xlfn.XLOOKUP($A21, DailyData!$A$2:$A$2516, DailyData!K$2:K$2516, " ")</f>
        <v>567.22</v>
      </c>
      <c r="J21">
        <f>_xlfn.XLOOKUP($A21, DailyData!$A$2:$A$2516, DailyData!L$2:L$2516, " ")</f>
        <v>156.9</v>
      </c>
      <c r="K21">
        <f>_xlfn.XLOOKUP($A21, DailyData!$A$2:$A$2516, DailyData!M$2:M$2516, " ")</f>
        <v>44.18</v>
      </c>
    </row>
    <row r="22" spans="1:11">
      <c r="A22" s="1">
        <v>45505</v>
      </c>
      <c r="B22">
        <f>_xlfn.XLOOKUP(A22, DailyData!$A$2:$A$2516, DailyData!$D$2:$D$2516, " ")</f>
        <v>543.01</v>
      </c>
      <c r="C22">
        <f>_xlfn.XLOOKUP($A22, DailyData!$A$2:$A$2516, DailyData!$E$2:$E$2516, " ")</f>
        <v>216.58</v>
      </c>
      <c r="D22">
        <f>_xlfn.XLOOKUP($A22, DailyData!$A$2:$A$2516, DailyData!F$2:F$2516, " ")</f>
        <v>95.31</v>
      </c>
      <c r="E22">
        <f>_xlfn.XLOOKUP($A22, DailyData!$A$2:$A$2516, DailyData!G$2:G$2516, " ")</f>
        <v>225.77</v>
      </c>
      <c r="F22">
        <f>_xlfn.XLOOKUP($A22, DailyData!$A$2:$A$2516, DailyData!H$2:H$2516, " ")</f>
        <v>91.32</v>
      </c>
      <c r="G22">
        <f>_xlfn.XLOOKUP($A22, DailyData!$A$2:$A$2516, DailyData!I$2:I$2516, " ")</f>
        <v>137.51</v>
      </c>
      <c r="H22">
        <f>_xlfn.XLOOKUP($A22, DailyData!$A$2:$A$2516, DailyData!J$2:J$2516, " ")</f>
        <v>865.35</v>
      </c>
      <c r="I22">
        <f>_xlfn.XLOOKUP($A22, DailyData!$A$2:$A$2516, DailyData!K$2:K$2516, " ")</f>
        <v>548.86</v>
      </c>
      <c r="J22">
        <f>_xlfn.XLOOKUP($A22, DailyData!$A$2:$A$2516, DailyData!L$2:L$2516, " ")</f>
        <v>151.16</v>
      </c>
      <c r="K22">
        <f>_xlfn.XLOOKUP($A22, DailyData!$A$2:$A$2516, DailyData!M$2:M$2516, " ")</f>
        <v>67.22</v>
      </c>
    </row>
    <row r="23" spans="1:11">
      <c r="A23" s="1">
        <v>45474</v>
      </c>
      <c r="B23">
        <f>_xlfn.XLOOKUP(A23, DailyData!$A$2:$A$2516, DailyData!$D$2:$D$2516, " ")</f>
        <v>545.34</v>
      </c>
      <c r="C23">
        <f>_xlfn.XLOOKUP($A23, DailyData!$A$2:$A$2516, DailyData!$E$2:$E$2516, " ")</f>
        <v>201.19</v>
      </c>
      <c r="D23">
        <f>_xlfn.XLOOKUP($A23, DailyData!$A$2:$A$2516, DailyData!F$2:F$2516, " ")</f>
        <v>89.91</v>
      </c>
      <c r="E23">
        <f>_xlfn.XLOOKUP($A23, DailyData!$A$2:$A$2516, DailyData!G$2:G$2516, " ")</f>
        <v>215.57</v>
      </c>
      <c r="F23">
        <f>_xlfn.XLOOKUP($A23, DailyData!$A$2:$A$2516, DailyData!H$2:H$2516, " ")</f>
        <v>82.97</v>
      </c>
      <c r="G23">
        <f>_xlfn.XLOOKUP($A23, DailyData!$A$2:$A$2516, DailyData!I$2:I$2516, " ")</f>
        <v>143.09</v>
      </c>
      <c r="H23">
        <f>_xlfn.XLOOKUP($A23, DailyData!$A$2:$A$2516, DailyData!J$2:J$2516, " ")</f>
        <v>782.27</v>
      </c>
      <c r="I23">
        <f>_xlfn.XLOOKUP($A23, DailyData!$A$2:$A$2516, DailyData!K$2:K$2516, " ")</f>
        <v>466.44</v>
      </c>
      <c r="J23">
        <f>_xlfn.XLOOKUP($A23, DailyData!$A$2:$A$2516, DailyData!L$2:L$2516, " ")</f>
        <v>144.93</v>
      </c>
      <c r="K23">
        <f>_xlfn.XLOOKUP($A23, DailyData!$A$2:$A$2516, DailyData!M$2:M$2516, " ")</f>
        <v>81.23</v>
      </c>
    </row>
    <row r="24" spans="1:11">
      <c r="A24" s="1">
        <v>45446</v>
      </c>
      <c r="B24">
        <f>_xlfn.XLOOKUP(A24, DailyData!$A$2:$A$2516, DailyData!$D$2:$D$2516, " ")</f>
        <v>527.79999999999995</v>
      </c>
      <c r="C24">
        <f>_xlfn.XLOOKUP($A24, DailyData!$A$2:$A$2516, DailyData!$E$2:$E$2516, " ")</f>
        <v>204.61</v>
      </c>
      <c r="D24">
        <f>_xlfn.XLOOKUP($A24, DailyData!$A$2:$A$2516, DailyData!F$2:F$2516, " ")</f>
        <v>91.6</v>
      </c>
      <c r="E24">
        <f>_xlfn.XLOOKUP($A24, DailyData!$A$2:$A$2516, DailyData!G$2:G$2516, " ")</f>
        <v>217.22</v>
      </c>
      <c r="F24">
        <f>_xlfn.XLOOKUP($A24, DailyData!$A$2:$A$2516, DailyData!H$2:H$2516, " ")</f>
        <v>83.05</v>
      </c>
      <c r="G24">
        <f>_xlfn.XLOOKUP($A24, DailyData!$A$2:$A$2516, DailyData!I$2:I$2516, " ")</f>
        <v>119.28</v>
      </c>
      <c r="H24">
        <f>_xlfn.XLOOKUP($A24, DailyData!$A$2:$A$2516, DailyData!J$2:J$2516, " ")</f>
        <v>777.37</v>
      </c>
      <c r="I24">
        <f>_xlfn.XLOOKUP($A24, DailyData!$A$2:$A$2516, DailyData!K$2:K$2516, " ")</f>
        <v>467.6</v>
      </c>
      <c r="J24">
        <f>_xlfn.XLOOKUP($A24, DailyData!$A$2:$A$2516, DailyData!L$2:L$2516, " ")</f>
        <v>144.71</v>
      </c>
      <c r="K24">
        <f>_xlfn.XLOOKUP($A24, DailyData!$A$2:$A$2516, DailyData!M$2:M$2516, " ")</f>
        <v>77.06</v>
      </c>
    </row>
    <row r="25" spans="1:11">
      <c r="A25" s="1">
        <v>45413</v>
      </c>
      <c r="B25">
        <f>_xlfn.XLOOKUP(A25, DailyData!$A$2:$A$2516, DailyData!$D$2:$D$2516, " ")</f>
        <v>500.35</v>
      </c>
      <c r="C25">
        <f>_xlfn.XLOOKUP($A25, DailyData!$A$2:$A$2516, DailyData!$E$2:$E$2516, " ")</f>
        <v>196.31</v>
      </c>
      <c r="D25">
        <f>_xlfn.XLOOKUP($A25, DailyData!$A$2:$A$2516, DailyData!F$2:F$2516, " ")</f>
        <v>88.56</v>
      </c>
      <c r="E25">
        <f>_xlfn.XLOOKUP($A25, DailyData!$A$2:$A$2516, DailyData!G$2:G$2516, " ")</f>
        <v>213.79</v>
      </c>
      <c r="F25">
        <f>_xlfn.XLOOKUP($A25, DailyData!$A$2:$A$2516, DailyData!H$2:H$2516, " ")</f>
        <v>79.64</v>
      </c>
      <c r="G25">
        <f>_xlfn.XLOOKUP($A25, DailyData!$A$2:$A$2516, DailyData!I$2:I$2516, " ")</f>
        <v>114.63</v>
      </c>
      <c r="H25">
        <f>_xlfn.XLOOKUP($A25, DailyData!$A$2:$A$2516, DailyData!J$2:J$2516, " ")</f>
        <v>751.58</v>
      </c>
      <c r="I25">
        <f>_xlfn.XLOOKUP($A25, DailyData!$A$2:$A$2516, DailyData!K$2:K$2516, " ")</f>
        <v>461.73</v>
      </c>
      <c r="J25">
        <f>_xlfn.XLOOKUP($A25, DailyData!$A$2:$A$2516, DailyData!L$2:L$2516, " ")</f>
        <v>140.58000000000001</v>
      </c>
      <c r="K25">
        <f>_xlfn.XLOOKUP($A25, DailyData!$A$2:$A$2516, DailyData!M$2:M$2516, " ")</f>
        <v>73.83</v>
      </c>
    </row>
    <row r="26" spans="1:11">
      <c r="A26" s="1">
        <v>45383</v>
      </c>
      <c r="B26">
        <f>_xlfn.XLOOKUP(A26, DailyData!$A$2:$A$2516, DailyData!$D$2:$D$2516, " ")</f>
        <v>522.16</v>
      </c>
      <c r="C26">
        <f>_xlfn.XLOOKUP($A26, DailyData!$A$2:$A$2516, DailyData!$E$2:$E$2516, " ")</f>
        <v>208.32</v>
      </c>
      <c r="D26">
        <f>_xlfn.XLOOKUP($A26, DailyData!$A$2:$A$2516, DailyData!F$2:F$2516, " ")</f>
        <v>92.55</v>
      </c>
      <c r="E26">
        <f>_xlfn.XLOOKUP($A26, DailyData!$A$2:$A$2516, DailyData!G$2:G$2516, " ")</f>
        <v>207.82</v>
      </c>
      <c r="F26">
        <f>_xlfn.XLOOKUP($A26, DailyData!$A$2:$A$2516, DailyData!H$2:H$2516, " ")</f>
        <v>85.03</v>
      </c>
      <c r="G26">
        <f>_xlfn.XLOOKUP($A26, DailyData!$A$2:$A$2516, DailyData!I$2:I$2516, " ")</f>
        <v>125.48</v>
      </c>
      <c r="H26">
        <f>_xlfn.XLOOKUP($A26, DailyData!$A$2:$A$2516, DailyData!J$2:J$2516, " ")</f>
        <v>826.77</v>
      </c>
      <c r="I26">
        <f>_xlfn.XLOOKUP($A26, DailyData!$A$2:$A$2516, DailyData!K$2:K$2516, " ")</f>
        <v>452.79</v>
      </c>
      <c r="J26">
        <f>_xlfn.XLOOKUP($A26, DailyData!$A$2:$A$2516, DailyData!L$2:L$2516, " ")</f>
        <v>146.47</v>
      </c>
      <c r="K26">
        <f>_xlfn.XLOOKUP($A26, DailyData!$A$2:$A$2516, DailyData!M$2:M$2516, " ")</f>
        <v>103.72</v>
      </c>
    </row>
    <row r="27" spans="1:11">
      <c r="A27" s="1">
        <v>45352</v>
      </c>
      <c r="B27">
        <f>_xlfn.XLOOKUP(A27, DailyData!$A$2:$A$2516, DailyData!$D$2:$D$2516, " ")</f>
        <v>512.85</v>
      </c>
      <c r="C27">
        <f>_xlfn.XLOOKUP($A27, DailyData!$A$2:$A$2516, DailyData!$E$2:$E$2516, " ")</f>
        <v>205.89</v>
      </c>
      <c r="D27">
        <f>_xlfn.XLOOKUP($A27, DailyData!$A$2:$A$2516, DailyData!F$2:F$2516, " ")</f>
        <v>94.47</v>
      </c>
      <c r="E27">
        <f>_xlfn.XLOOKUP($A27, DailyData!$A$2:$A$2516, DailyData!G$2:G$2516, " ")</f>
        <v>192.89</v>
      </c>
      <c r="F27">
        <f>_xlfn.XLOOKUP($A27, DailyData!$A$2:$A$2516, DailyData!H$2:H$2516, " ")</f>
        <v>86.57</v>
      </c>
      <c r="G27">
        <f>_xlfn.XLOOKUP($A27, DailyData!$A$2:$A$2516, DailyData!I$2:I$2516, " ")</f>
        <v>113.78</v>
      </c>
      <c r="H27">
        <f>_xlfn.XLOOKUP($A27, DailyData!$A$2:$A$2516, DailyData!J$2:J$2516, " ")</f>
        <v>814.83</v>
      </c>
      <c r="I27">
        <f>_xlfn.XLOOKUP($A27, DailyData!$A$2:$A$2516, DailyData!K$2:K$2516, " ")</f>
        <v>426.46</v>
      </c>
      <c r="J27">
        <f>_xlfn.XLOOKUP($A27, DailyData!$A$2:$A$2516, DailyData!L$2:L$2516, " ")</f>
        <v>146.34</v>
      </c>
      <c r="K27">
        <f>_xlfn.XLOOKUP($A27, DailyData!$A$2:$A$2516, DailyData!M$2:M$2516, " ")</f>
        <v>90.55</v>
      </c>
    </row>
    <row r="28" spans="1:11">
      <c r="A28" s="1">
        <v>45323</v>
      </c>
      <c r="B28">
        <f>_xlfn.XLOOKUP(A28, DailyData!$A$2:$A$2516, DailyData!$D$2:$D$2516, " ")</f>
        <v>489.2</v>
      </c>
      <c r="C28">
        <f>_xlfn.XLOOKUP($A28, DailyData!$A$2:$A$2516, DailyData!$E$2:$E$2516, " ")</f>
        <v>195.44</v>
      </c>
      <c r="D28">
        <f>_xlfn.XLOOKUP($A28, DailyData!$A$2:$A$2516, DailyData!F$2:F$2516, " ")</f>
        <v>98.24</v>
      </c>
      <c r="E28">
        <f>_xlfn.XLOOKUP($A28, DailyData!$A$2:$A$2516, DailyData!G$2:G$2516, " ")</f>
        <v>190.41</v>
      </c>
      <c r="F28">
        <f>_xlfn.XLOOKUP($A28, DailyData!$A$2:$A$2516, DailyData!H$2:H$2516, " ")</f>
        <v>85.41</v>
      </c>
      <c r="G28">
        <f>_xlfn.XLOOKUP($A28, DailyData!$A$2:$A$2516, DailyData!I$2:I$2516, " ")</f>
        <v>115.53</v>
      </c>
      <c r="H28">
        <f>_xlfn.XLOOKUP($A28, DailyData!$A$2:$A$2516, DailyData!J$2:J$2516, " ")</f>
        <v>784.93</v>
      </c>
      <c r="I28">
        <f>_xlfn.XLOOKUP($A28, DailyData!$A$2:$A$2516, DailyData!K$2:K$2516, " ")</f>
        <v>429.77</v>
      </c>
      <c r="J28">
        <f>_xlfn.XLOOKUP($A28, DailyData!$A$2:$A$2516, DailyData!L$2:L$2516, " ")</f>
        <v>142.19999999999999</v>
      </c>
      <c r="K28">
        <f>_xlfn.XLOOKUP($A28, DailyData!$A$2:$A$2516, DailyData!M$2:M$2516, " ")</f>
        <v>58.35</v>
      </c>
    </row>
    <row r="29" spans="1:11">
      <c r="A29" s="1">
        <v>45293</v>
      </c>
      <c r="B29">
        <f>_xlfn.XLOOKUP(A29, DailyData!$A$2:$A$2516, DailyData!$D$2:$D$2516, " ")</f>
        <v>472.65</v>
      </c>
      <c r="C29">
        <f>_xlfn.XLOOKUP($A29, DailyData!$A$2:$A$2516, DailyData!$E$2:$E$2516, " ")</f>
        <v>199.52</v>
      </c>
      <c r="D29">
        <f>_xlfn.XLOOKUP($A29, DailyData!$A$2:$A$2516, DailyData!F$2:F$2516, " ")</f>
        <v>98.31</v>
      </c>
      <c r="E29">
        <f>_xlfn.XLOOKUP($A29, DailyData!$A$2:$A$2516, DailyData!G$2:G$2516, " ")</f>
        <v>190.72</v>
      </c>
      <c r="F29">
        <f>_xlfn.XLOOKUP($A29, DailyData!$A$2:$A$2516, DailyData!H$2:H$2516, " ")</f>
        <v>89.12</v>
      </c>
      <c r="G29">
        <f>_xlfn.XLOOKUP($A29, DailyData!$A$2:$A$2516, DailyData!I$2:I$2516, " ")</f>
        <v>104.06</v>
      </c>
      <c r="H29">
        <f>_xlfn.XLOOKUP($A29, DailyData!$A$2:$A$2516, DailyData!J$2:J$2516, " ")</f>
        <v>800.3</v>
      </c>
      <c r="I29">
        <f>_xlfn.XLOOKUP($A29, DailyData!$A$2:$A$2516, DailyData!K$2:K$2516, " ")</f>
        <v>456.12</v>
      </c>
      <c r="J29">
        <f>_xlfn.XLOOKUP($A29, DailyData!$A$2:$A$2516, DailyData!L$2:L$2516, " ")</f>
        <v>138.78</v>
      </c>
      <c r="K29">
        <f>_xlfn.XLOOKUP($A29, DailyData!$A$2:$A$2516, DailyData!M$2:M$2516, " ")</f>
        <v>28.55</v>
      </c>
    </row>
    <row r="30" spans="1:11">
      <c r="A30" s="1">
        <v>45261</v>
      </c>
      <c r="B30">
        <f>_xlfn.XLOOKUP(A30, DailyData!$A$2:$A$2516, DailyData!$D$2:$D$2516, " ")</f>
        <v>459.1</v>
      </c>
      <c r="C30">
        <f>_xlfn.XLOOKUP($A30, DailyData!$A$2:$A$2516, DailyData!$E$2:$E$2516, " ")</f>
        <v>184.91</v>
      </c>
      <c r="D30">
        <f>_xlfn.XLOOKUP($A30, DailyData!$A$2:$A$2516, DailyData!F$2:F$2516, " ")</f>
        <v>92.99</v>
      </c>
      <c r="E30">
        <f>_xlfn.XLOOKUP($A30, DailyData!$A$2:$A$2516, DailyData!G$2:G$2516, " ")</f>
        <v>192.01</v>
      </c>
      <c r="F30">
        <f>_xlfn.XLOOKUP($A30, DailyData!$A$2:$A$2516, DailyData!H$2:H$2516, " ")</f>
        <v>83.74</v>
      </c>
      <c r="G30">
        <f>_xlfn.XLOOKUP($A30, DailyData!$A$2:$A$2516, DailyData!I$2:I$2516, " ")</f>
        <v>117.16</v>
      </c>
      <c r="H30">
        <f>_xlfn.XLOOKUP($A30, DailyData!$A$2:$A$2516, DailyData!J$2:J$2516, " ")</f>
        <v>756.35</v>
      </c>
      <c r="I30">
        <f>_xlfn.XLOOKUP($A30, DailyData!$A$2:$A$2516, DailyData!K$2:K$2516, " ")</f>
        <v>449.41</v>
      </c>
      <c r="J30">
        <f>_xlfn.XLOOKUP($A30, DailyData!$A$2:$A$2516, DailyData!L$2:L$2516, " ")</f>
        <v>131.83000000000001</v>
      </c>
      <c r="K30">
        <f>_xlfn.XLOOKUP($A30, DailyData!$A$2:$A$2516, DailyData!M$2:M$2516, " ")</f>
        <v>26.96</v>
      </c>
    </row>
    <row r="31" spans="1:11">
      <c r="A31" s="1">
        <v>45231</v>
      </c>
      <c r="B31">
        <f>_xlfn.XLOOKUP(A31, DailyData!$A$2:$A$2516, DailyData!$D$2:$D$2516, " ")</f>
        <v>422.66</v>
      </c>
      <c r="C31">
        <f>_xlfn.XLOOKUP($A31, DailyData!$A$2:$A$2516, DailyData!$E$2:$E$2516, " ")</f>
        <v>165.46</v>
      </c>
      <c r="D31">
        <f>_xlfn.XLOOKUP($A31, DailyData!$A$2:$A$2516, DailyData!F$2:F$2516, " ")</f>
        <v>85.1</v>
      </c>
      <c r="E31">
        <f>_xlfn.XLOOKUP($A31, DailyData!$A$2:$A$2516, DailyData!G$2:G$2516, " ")</f>
        <v>183.51</v>
      </c>
      <c r="F31">
        <f>_xlfn.XLOOKUP($A31, DailyData!$A$2:$A$2516, DailyData!H$2:H$2516, " ")</f>
        <v>73.37</v>
      </c>
      <c r="G31">
        <f>_xlfn.XLOOKUP($A31, DailyData!$A$2:$A$2516, DailyData!I$2:I$2516, " ")</f>
        <v>105.75</v>
      </c>
      <c r="H31">
        <f>_xlfn.XLOOKUP($A31, DailyData!$A$2:$A$2516, DailyData!J$2:J$2516, " ")</f>
        <v>616.21</v>
      </c>
      <c r="I31">
        <f>_xlfn.XLOOKUP($A31, DailyData!$A$2:$A$2516, DailyData!K$2:K$2516, " ")</f>
        <v>452.38</v>
      </c>
      <c r="J31">
        <f>_xlfn.XLOOKUP($A31, DailyData!$A$2:$A$2516, DailyData!L$2:L$2516, " ")</f>
        <v>124.8</v>
      </c>
      <c r="K31">
        <f>_xlfn.XLOOKUP($A31, DailyData!$A$2:$A$2516, DailyData!M$2:M$2516, " ")</f>
        <v>25.23</v>
      </c>
    </row>
    <row r="32" spans="1:11">
      <c r="A32" s="1">
        <v>45201</v>
      </c>
      <c r="B32">
        <f>_xlfn.XLOOKUP(A32, DailyData!$A$2:$A$2516, DailyData!$D$2:$D$2516, " ")</f>
        <v>427.31</v>
      </c>
      <c r="C32">
        <f>_xlfn.XLOOKUP($A32, DailyData!$A$2:$A$2516, DailyData!$E$2:$E$2516, " ")</f>
        <v>174.07</v>
      </c>
      <c r="D32">
        <f>_xlfn.XLOOKUP($A32, DailyData!$A$2:$A$2516, DailyData!F$2:F$2516, " ")</f>
        <v>86.93</v>
      </c>
      <c r="E32">
        <f>_xlfn.XLOOKUP($A32, DailyData!$A$2:$A$2516, DailyData!G$2:G$2516, " ")</f>
        <v>169.65</v>
      </c>
      <c r="F32">
        <f>_xlfn.XLOOKUP($A32, DailyData!$A$2:$A$2516, DailyData!H$2:H$2516, " ")</f>
        <v>74.27</v>
      </c>
      <c r="G32">
        <f>_xlfn.XLOOKUP($A32, DailyData!$A$2:$A$2516, DailyData!I$2:I$2516, " ")</f>
        <v>106.71</v>
      </c>
      <c r="H32">
        <f>_xlfn.XLOOKUP($A32, DailyData!$A$2:$A$2516, DailyData!J$2:J$2516, " ")</f>
        <v>643.04</v>
      </c>
      <c r="I32">
        <f>_xlfn.XLOOKUP($A32, DailyData!$A$2:$A$2516, DailyData!K$2:K$2516, " ")</f>
        <v>407.82</v>
      </c>
      <c r="J32">
        <f>_xlfn.XLOOKUP($A32, DailyData!$A$2:$A$2516, DailyData!L$2:L$2516, " ")</f>
        <v>128.56</v>
      </c>
      <c r="K32">
        <f>_xlfn.XLOOKUP($A32, DailyData!$A$2:$A$2516, DailyData!M$2:M$2516, " ")</f>
        <v>28.89</v>
      </c>
    </row>
    <row r="33" spans="1:11">
      <c r="A33" s="1">
        <v>45170</v>
      </c>
      <c r="B33">
        <f>_xlfn.XLOOKUP(A33, DailyData!$A$2:$A$2516, DailyData!$D$2:$D$2516, " ")</f>
        <v>451.19</v>
      </c>
      <c r="C33">
        <f>_xlfn.XLOOKUP($A33, DailyData!$A$2:$A$2516, DailyData!$E$2:$E$2516, " ")</f>
        <v>190.85</v>
      </c>
      <c r="D33">
        <f>_xlfn.XLOOKUP($A33, DailyData!$A$2:$A$2516, DailyData!F$2:F$2516, " ")</f>
        <v>94.85</v>
      </c>
      <c r="E33">
        <f>_xlfn.XLOOKUP($A33, DailyData!$A$2:$A$2516, DailyData!G$2:G$2516, " ")</f>
        <v>180.11</v>
      </c>
      <c r="F33">
        <f>_xlfn.XLOOKUP($A33, DailyData!$A$2:$A$2516, DailyData!H$2:H$2516, " ")</f>
        <v>82.52</v>
      </c>
      <c r="G33">
        <f>_xlfn.XLOOKUP($A33, DailyData!$A$2:$A$2516, DailyData!I$2:I$2516, " ")</f>
        <v>120.93</v>
      </c>
      <c r="H33">
        <f>_xlfn.XLOOKUP($A33, DailyData!$A$2:$A$2516, DailyData!J$2:J$2516, " ")</f>
        <v>706.19</v>
      </c>
      <c r="I33">
        <f>_xlfn.XLOOKUP($A33, DailyData!$A$2:$A$2516, DailyData!K$2:K$2516, " ")</f>
        <v>448.18</v>
      </c>
      <c r="J33">
        <f>_xlfn.XLOOKUP($A33, DailyData!$A$2:$A$2516, DailyData!L$2:L$2516, " ")</f>
        <v>133.57</v>
      </c>
      <c r="K33">
        <f>_xlfn.XLOOKUP($A33, DailyData!$A$2:$A$2516, DailyData!M$2:M$2516, " ")</f>
        <v>28.22</v>
      </c>
    </row>
    <row r="34" spans="1:11">
      <c r="A34" s="1">
        <v>45139</v>
      </c>
      <c r="B34">
        <f>_xlfn.XLOOKUP(A34, DailyData!$A$2:$A$2516, DailyData!$D$2:$D$2516, " ")</f>
        <v>456.48</v>
      </c>
      <c r="C34">
        <f>_xlfn.XLOOKUP($A34, DailyData!$A$2:$A$2516, DailyData!$E$2:$E$2516, " ")</f>
        <v>197.8</v>
      </c>
      <c r="D34">
        <f>_xlfn.XLOOKUP($A34, DailyData!$A$2:$A$2516, DailyData!F$2:F$2516, " ")</f>
        <v>98.14</v>
      </c>
      <c r="E34">
        <f>_xlfn.XLOOKUP($A34, DailyData!$A$2:$A$2516, DailyData!G$2:G$2516, " ")</f>
        <v>180.46</v>
      </c>
      <c r="F34">
        <f>_xlfn.XLOOKUP($A34, DailyData!$A$2:$A$2516, DailyData!H$2:H$2516, " ")</f>
        <v>85.12</v>
      </c>
      <c r="G34">
        <f>_xlfn.XLOOKUP($A34, DailyData!$A$2:$A$2516, DailyData!I$2:I$2516, " ")</f>
        <v>117.91</v>
      </c>
      <c r="H34">
        <f>_xlfn.XLOOKUP($A34, DailyData!$A$2:$A$2516, DailyData!J$2:J$2516, " ")</f>
        <v>732.26</v>
      </c>
      <c r="I34">
        <f>_xlfn.XLOOKUP($A34, DailyData!$A$2:$A$2516, DailyData!K$2:K$2516, " ")</f>
        <v>451.28</v>
      </c>
      <c r="J34">
        <f>_xlfn.XLOOKUP($A34, DailyData!$A$2:$A$2516, DailyData!L$2:L$2516, " ")</f>
        <v>133.44999999999999</v>
      </c>
      <c r="K34">
        <f>_xlfn.XLOOKUP($A34, DailyData!$A$2:$A$2516, DailyData!M$2:M$2516, " ")</f>
        <v>33.76</v>
      </c>
    </row>
    <row r="35" spans="1:11">
      <c r="A35" s="1">
        <v>45110</v>
      </c>
      <c r="B35">
        <f>_xlfn.XLOOKUP(A35, DailyData!$A$2:$A$2516, DailyData!$D$2:$D$2516, " ")</f>
        <v>443.79</v>
      </c>
      <c r="C35">
        <f>_xlfn.XLOOKUP($A35, DailyData!$A$2:$A$2516, DailyData!$E$2:$E$2516, " ")</f>
        <v>187.65</v>
      </c>
      <c r="D35">
        <f>_xlfn.XLOOKUP($A35, DailyData!$A$2:$A$2516, DailyData!F$2:F$2516, " ")</f>
        <v>102.08</v>
      </c>
      <c r="E35">
        <f>_xlfn.XLOOKUP($A35, DailyData!$A$2:$A$2516, DailyData!G$2:G$2516, " ")</f>
        <v>178.47</v>
      </c>
      <c r="F35">
        <f>_xlfn.XLOOKUP($A35, DailyData!$A$2:$A$2516, DailyData!H$2:H$2516, " ")</f>
        <v>84.38</v>
      </c>
      <c r="G35">
        <f>_xlfn.XLOOKUP($A35, DailyData!$A$2:$A$2516, DailyData!I$2:I$2516, " ")</f>
        <v>117.15</v>
      </c>
      <c r="H35">
        <f>_xlfn.XLOOKUP($A35, DailyData!$A$2:$A$2516, DailyData!J$2:J$2516, " ")</f>
        <v>693.58</v>
      </c>
      <c r="I35">
        <f>_xlfn.XLOOKUP($A35, DailyData!$A$2:$A$2516, DailyData!K$2:K$2516, " ")</f>
        <v>462.58</v>
      </c>
      <c r="J35">
        <f>_xlfn.XLOOKUP($A35, DailyData!$A$2:$A$2516, DailyData!L$2:L$2516, " ")</f>
        <v>131.63999999999999</v>
      </c>
      <c r="K35">
        <f>_xlfn.XLOOKUP($A35, DailyData!$A$2:$A$2516, DailyData!M$2:M$2516, " ")</f>
        <v>24.92</v>
      </c>
    </row>
    <row r="36" spans="1:11">
      <c r="A36" s="1">
        <v>45078</v>
      </c>
      <c r="B36">
        <f>_xlfn.XLOOKUP(A36, DailyData!$A$2:$A$2516, DailyData!$D$2:$D$2516, " ")</f>
        <v>421.82</v>
      </c>
      <c r="C36">
        <f>_xlfn.XLOOKUP($A36, DailyData!$A$2:$A$2516, DailyData!$E$2:$E$2516, " ")</f>
        <v>175.65</v>
      </c>
      <c r="D36">
        <f>_xlfn.XLOOKUP($A36, DailyData!$A$2:$A$2516, DailyData!F$2:F$2516, " ")</f>
        <v>103.12</v>
      </c>
      <c r="E36">
        <f>_xlfn.XLOOKUP($A36, DailyData!$A$2:$A$2516, DailyData!G$2:G$2516, " ")</f>
        <v>183.76</v>
      </c>
      <c r="F36">
        <f>_xlfn.XLOOKUP($A36, DailyData!$A$2:$A$2516, DailyData!H$2:H$2516, " ")</f>
        <v>80.010000000000005</v>
      </c>
      <c r="G36">
        <f>_xlfn.XLOOKUP($A36, DailyData!$A$2:$A$2516, DailyData!I$2:I$2516, " ")</f>
        <v>105.99</v>
      </c>
      <c r="H36">
        <f>_xlfn.XLOOKUP($A36, DailyData!$A$2:$A$2516, DailyData!J$2:J$2516, " ")</f>
        <v>668.84</v>
      </c>
      <c r="I36">
        <f>_xlfn.XLOOKUP($A36, DailyData!$A$2:$A$2516, DailyData!K$2:K$2516, " ")</f>
        <v>449.67</v>
      </c>
      <c r="J36">
        <f>_xlfn.XLOOKUP($A36, DailyData!$A$2:$A$2516, DailyData!L$2:L$2516, " ")</f>
        <v>128.66999999999999</v>
      </c>
      <c r="K36">
        <f>_xlfn.XLOOKUP($A36, DailyData!$A$2:$A$2516, DailyData!M$2:M$2516, " ")</f>
        <v>23.1</v>
      </c>
    </row>
    <row r="37" spans="1:11">
      <c r="A37" s="1">
        <v>45047</v>
      </c>
      <c r="B37">
        <f>_xlfn.XLOOKUP(A37, DailyData!$A$2:$A$2516, DailyData!$D$2:$D$2516, " ")</f>
        <v>415.51</v>
      </c>
      <c r="C37">
        <f>_xlfn.XLOOKUP($A37, DailyData!$A$2:$A$2516, DailyData!$E$2:$E$2516, " ")</f>
        <v>175.3</v>
      </c>
      <c r="D37">
        <f>_xlfn.XLOOKUP($A37, DailyData!$A$2:$A$2516, DailyData!F$2:F$2516, " ")</f>
        <v>103.13</v>
      </c>
      <c r="E37">
        <f>_xlfn.XLOOKUP($A37, DailyData!$A$2:$A$2516, DailyData!G$2:G$2516, " ")</f>
        <v>183.97</v>
      </c>
      <c r="F37">
        <f>_xlfn.XLOOKUP($A37, DailyData!$A$2:$A$2516, DailyData!H$2:H$2516, " ")</f>
        <v>82.68</v>
      </c>
      <c r="G37">
        <f>_xlfn.XLOOKUP($A37, DailyData!$A$2:$A$2516, DailyData!I$2:I$2516, " ")</f>
        <v>94.87</v>
      </c>
      <c r="H37">
        <f>_xlfn.XLOOKUP($A37, DailyData!$A$2:$A$2516, DailyData!J$2:J$2516, " ")</f>
        <v>662.97</v>
      </c>
      <c r="I37">
        <f>_xlfn.XLOOKUP($A37, DailyData!$A$2:$A$2516, DailyData!K$2:K$2516, " ")</f>
        <v>469.43</v>
      </c>
      <c r="J37">
        <f>_xlfn.XLOOKUP($A37, DailyData!$A$2:$A$2516, DailyData!L$2:L$2516, " ")</f>
        <v>134.22</v>
      </c>
      <c r="K37">
        <f>_xlfn.XLOOKUP($A37, DailyData!$A$2:$A$2516, DailyData!M$2:M$2516, " ")</f>
        <v>10.51</v>
      </c>
    </row>
    <row r="38" spans="1:11">
      <c r="A38" s="1">
        <v>45019</v>
      </c>
      <c r="B38">
        <f>_xlfn.XLOOKUP(A38, DailyData!$A$2:$A$2516, DailyData!$D$2:$D$2516, " ")</f>
        <v>410.95</v>
      </c>
      <c r="C38">
        <f>_xlfn.XLOOKUP($A38, DailyData!$A$2:$A$2516, DailyData!$E$2:$E$2516, " ")</f>
        <v>178.48</v>
      </c>
      <c r="D38">
        <f>_xlfn.XLOOKUP($A38, DailyData!$A$2:$A$2516, DailyData!F$2:F$2516, " ")</f>
        <v>106.6</v>
      </c>
      <c r="E38">
        <f>_xlfn.XLOOKUP($A38, DailyData!$A$2:$A$2516, DailyData!G$2:G$2516, " ")</f>
        <v>184.54</v>
      </c>
      <c r="F38">
        <f>_xlfn.XLOOKUP($A38, DailyData!$A$2:$A$2516, DailyData!H$2:H$2516, " ")</f>
        <v>82.38</v>
      </c>
      <c r="G38">
        <f>_xlfn.XLOOKUP($A38, DailyData!$A$2:$A$2516, DailyData!I$2:I$2516, " ")</f>
        <v>93.92</v>
      </c>
      <c r="H38">
        <f>_xlfn.XLOOKUP($A38, DailyData!$A$2:$A$2516, DailyData!J$2:J$2516, " ")</f>
        <v>666.41</v>
      </c>
      <c r="I38">
        <f>_xlfn.XLOOKUP($A38, DailyData!$A$2:$A$2516, DailyData!K$2:K$2516, " ")</f>
        <v>486.62</v>
      </c>
      <c r="J38">
        <f>_xlfn.XLOOKUP($A38, DailyData!$A$2:$A$2516, DailyData!L$2:L$2516, " ")</f>
        <v>130.91</v>
      </c>
      <c r="K38">
        <f>_xlfn.XLOOKUP($A38, DailyData!$A$2:$A$2516, DailyData!M$2:M$2516, " ")</f>
        <v>11.27</v>
      </c>
    </row>
    <row r="39" spans="1:11">
      <c r="A39" s="1">
        <v>44986</v>
      </c>
      <c r="B39">
        <f>_xlfn.XLOOKUP(A39, DailyData!$A$2:$A$2516, DailyData!$D$2:$D$2516, " ")</f>
        <v>394.74</v>
      </c>
      <c r="C39">
        <f>_xlfn.XLOOKUP($A39, DailyData!$A$2:$A$2516, DailyData!$E$2:$E$2516, " ")</f>
        <v>188.42</v>
      </c>
      <c r="D39">
        <f>_xlfn.XLOOKUP($A39, DailyData!$A$2:$A$2516, DailyData!F$2:F$2516, " ")</f>
        <v>100.37</v>
      </c>
      <c r="E39">
        <f>_xlfn.XLOOKUP($A39, DailyData!$A$2:$A$2516, DailyData!G$2:G$2516, " ")</f>
        <v>170.76</v>
      </c>
      <c r="F39">
        <f>_xlfn.XLOOKUP($A39, DailyData!$A$2:$A$2516, DailyData!H$2:H$2516, " ")</f>
        <v>84.64</v>
      </c>
      <c r="G39">
        <f>_xlfn.XLOOKUP($A39, DailyData!$A$2:$A$2516, DailyData!I$2:I$2516, " ")</f>
        <v>86.34</v>
      </c>
      <c r="H39">
        <f>_xlfn.XLOOKUP($A39, DailyData!$A$2:$A$2516, DailyData!J$2:J$2516, " ")</f>
        <v>680.56</v>
      </c>
      <c r="I39">
        <f>_xlfn.XLOOKUP($A39, DailyData!$A$2:$A$2516, DailyData!K$2:K$2516, " ")</f>
        <v>474.33</v>
      </c>
      <c r="J39">
        <f>_xlfn.XLOOKUP($A39, DailyData!$A$2:$A$2516, DailyData!L$2:L$2516, " ")</f>
        <v>126.96</v>
      </c>
      <c r="K39">
        <f>_xlfn.XLOOKUP($A39, DailyData!$A$2:$A$2516, DailyData!M$2:M$2516, " ")</f>
        <v>10.199999999999999</v>
      </c>
    </row>
    <row r="40" spans="1:11">
      <c r="A40" s="1">
        <v>44958</v>
      </c>
      <c r="B40">
        <f>_xlfn.XLOOKUP(A40, DailyData!$A$2:$A$2516, DailyData!$D$2:$D$2516, " ")</f>
        <v>410.8</v>
      </c>
      <c r="C40">
        <f>_xlfn.XLOOKUP($A40, DailyData!$A$2:$A$2516, DailyData!$E$2:$E$2516, " ")</f>
        <v>194.49</v>
      </c>
      <c r="D40">
        <f>_xlfn.XLOOKUP($A40, DailyData!$A$2:$A$2516, DailyData!F$2:F$2516, " ")</f>
        <v>108.18</v>
      </c>
      <c r="E40">
        <f>_xlfn.XLOOKUP($A40, DailyData!$A$2:$A$2516, DailyData!G$2:G$2516, " ")</f>
        <v>181.67</v>
      </c>
      <c r="F40">
        <f>_xlfn.XLOOKUP($A40, DailyData!$A$2:$A$2516, DailyData!H$2:H$2516, " ")</f>
        <v>91.62</v>
      </c>
      <c r="G40">
        <f>_xlfn.XLOOKUP($A40, DailyData!$A$2:$A$2516, DailyData!I$2:I$2516, " ")</f>
        <v>90.05</v>
      </c>
      <c r="H40">
        <f>_xlfn.XLOOKUP($A40, DailyData!$A$2:$A$2516, DailyData!J$2:J$2516, " ")</f>
        <v>762.63</v>
      </c>
      <c r="I40">
        <f>_xlfn.XLOOKUP($A40, DailyData!$A$2:$A$2516, DailyData!K$2:K$2516, " ")</f>
        <v>462.25</v>
      </c>
      <c r="J40">
        <f>_xlfn.XLOOKUP($A40, DailyData!$A$2:$A$2516, DailyData!L$2:L$2516, " ")</f>
        <v>133.99</v>
      </c>
      <c r="K40">
        <f>_xlfn.XLOOKUP($A40, DailyData!$A$2:$A$2516, DailyData!M$2:M$2516, " ")</f>
        <v>7.97</v>
      </c>
    </row>
    <row r="41" spans="1:11">
      <c r="A41" s="1">
        <v>44929</v>
      </c>
      <c r="B41">
        <f>_xlfn.XLOOKUP(A41, DailyData!$A$2:$A$2516, DailyData!$D$2:$D$2516, " ")</f>
        <v>380.82</v>
      </c>
      <c r="C41">
        <f>_xlfn.XLOOKUP($A41, DailyData!$A$2:$A$2516, DailyData!$E$2:$E$2516, " ")</f>
        <v>173.4</v>
      </c>
      <c r="D41">
        <f>_xlfn.XLOOKUP($A41, DailyData!$A$2:$A$2516, DailyData!F$2:F$2516, " ")</f>
        <v>101.46</v>
      </c>
      <c r="E41">
        <f>_xlfn.XLOOKUP($A41, DailyData!$A$2:$A$2516, DailyData!G$2:G$2516, " ")</f>
        <v>171.06</v>
      </c>
      <c r="F41">
        <f>_xlfn.XLOOKUP($A41, DailyData!$A$2:$A$2516, DailyData!H$2:H$2516, " ")</f>
        <v>82.56</v>
      </c>
      <c r="G41">
        <f>_xlfn.XLOOKUP($A41, DailyData!$A$2:$A$2516, DailyData!I$2:I$2516, " ")</f>
        <v>83.72</v>
      </c>
      <c r="H41">
        <f>_xlfn.XLOOKUP($A41, DailyData!$A$2:$A$2516, DailyData!J$2:J$2516, " ")</f>
        <v>712.04</v>
      </c>
      <c r="I41">
        <f>_xlfn.XLOOKUP($A41, DailyData!$A$2:$A$2516, DailyData!K$2:K$2516, " ")</f>
        <v>477.53</v>
      </c>
      <c r="J41">
        <f>_xlfn.XLOOKUP($A41, DailyData!$A$2:$A$2516, DailyData!L$2:L$2516, " ")</f>
        <v>135.46</v>
      </c>
      <c r="K41">
        <f>_xlfn.XLOOKUP($A41, DailyData!$A$2:$A$2516, DailyData!M$2:M$2516, " ")</f>
        <v>8.39</v>
      </c>
    </row>
    <row r="42" spans="1:11">
      <c r="A42" s="1">
        <v>44896</v>
      </c>
      <c r="B42">
        <f>_xlfn.XLOOKUP(A42, DailyData!$A$2:$A$2516, DailyData!$D$2:$D$2516, " ")</f>
        <v>407.38</v>
      </c>
      <c r="C42">
        <f>_xlfn.XLOOKUP($A42, DailyData!$A$2:$A$2516, DailyData!$E$2:$E$2516, " ")</f>
        <v>186.96</v>
      </c>
      <c r="D42">
        <f>_xlfn.XLOOKUP($A42, DailyData!$A$2:$A$2516, DailyData!F$2:F$2516, " ")</f>
        <v>105.76</v>
      </c>
      <c r="E42">
        <f>_xlfn.XLOOKUP($A42, DailyData!$A$2:$A$2516, DailyData!G$2:G$2516, " ")</f>
        <v>167.84</v>
      </c>
      <c r="F42">
        <f>_xlfn.XLOOKUP($A42, DailyData!$A$2:$A$2516, DailyData!H$2:H$2516, " ")</f>
        <v>87.89</v>
      </c>
      <c r="G42">
        <f>_xlfn.XLOOKUP($A42, DailyData!$A$2:$A$2516, DailyData!I$2:I$2516, " ")</f>
        <v>84.11</v>
      </c>
      <c r="H42">
        <f>_xlfn.XLOOKUP($A42, DailyData!$A$2:$A$2516, DailyData!J$2:J$2516, " ")</f>
        <v>722.18</v>
      </c>
      <c r="I42">
        <f>_xlfn.XLOOKUP($A42, DailyData!$A$2:$A$2516, DailyData!K$2:K$2516, " ")</f>
        <v>483.69</v>
      </c>
      <c r="J42">
        <f>_xlfn.XLOOKUP($A42, DailyData!$A$2:$A$2516, DailyData!L$2:L$2516, " ")</f>
        <v>139.41999999999999</v>
      </c>
      <c r="K42">
        <f>_xlfn.XLOOKUP($A42, DailyData!$A$2:$A$2516, DailyData!M$2:M$2516, " ")</f>
        <v>9.0500000000000007</v>
      </c>
    </row>
    <row r="43" spans="1:11">
      <c r="A43" s="1">
        <v>44866</v>
      </c>
      <c r="B43">
        <f>_xlfn.XLOOKUP(A43, DailyData!$A$2:$A$2516, DailyData!$D$2:$D$2516, " ")</f>
        <v>384.52</v>
      </c>
      <c r="C43">
        <f>_xlfn.XLOOKUP($A43, DailyData!$A$2:$A$2516, DailyData!$E$2:$E$2516, " ")</f>
        <v>183.58</v>
      </c>
      <c r="D43">
        <f>_xlfn.XLOOKUP($A43, DailyData!$A$2:$A$2516, DailyData!F$2:F$2516, " ")</f>
        <v>96.77</v>
      </c>
      <c r="E43">
        <f>_xlfn.XLOOKUP($A43, DailyData!$A$2:$A$2516, DailyData!G$2:G$2516, " ")</f>
        <v>153.46</v>
      </c>
      <c r="F43">
        <f>_xlfn.XLOOKUP($A43, DailyData!$A$2:$A$2516, DailyData!H$2:H$2516, " ")</f>
        <v>82.95</v>
      </c>
      <c r="G43">
        <f>_xlfn.XLOOKUP($A43, DailyData!$A$2:$A$2516, DailyData!I$2:I$2516, " ")</f>
        <v>77.11</v>
      </c>
      <c r="H43">
        <f>_xlfn.XLOOKUP($A43, DailyData!$A$2:$A$2516, DailyData!J$2:J$2516, " ")</f>
        <v>652</v>
      </c>
      <c r="I43">
        <f>_xlfn.XLOOKUP($A43, DailyData!$A$2:$A$2516, DailyData!K$2:K$2516, " ")</f>
        <v>485.63</v>
      </c>
      <c r="J43">
        <f>_xlfn.XLOOKUP($A43, DailyData!$A$2:$A$2516, DailyData!L$2:L$2516, " ")</f>
        <v>132.83000000000001</v>
      </c>
      <c r="K43">
        <f>_xlfn.XLOOKUP($A43, DailyData!$A$2:$A$2516, DailyData!M$2:M$2516, " ")</f>
        <v>7.19</v>
      </c>
    </row>
    <row r="44" spans="1:11">
      <c r="A44" s="1">
        <v>44837</v>
      </c>
      <c r="B44">
        <f>_xlfn.XLOOKUP(A44, DailyData!$A$2:$A$2516, DailyData!$D$2:$D$2516, " ")</f>
        <v>366.61</v>
      </c>
      <c r="C44">
        <f>_xlfn.XLOOKUP($A44, DailyData!$A$2:$A$2516, DailyData!$E$2:$E$2516, " ")</f>
        <v>169.29</v>
      </c>
      <c r="D44">
        <f>_xlfn.XLOOKUP($A44, DailyData!$A$2:$A$2516, DailyData!F$2:F$2516, " ")</f>
        <v>103.83</v>
      </c>
      <c r="E44">
        <f>_xlfn.XLOOKUP($A44, DailyData!$A$2:$A$2516, DailyData!G$2:G$2516, " ")</f>
        <v>158.43</v>
      </c>
      <c r="F44">
        <f>_xlfn.XLOOKUP($A44, DailyData!$A$2:$A$2516, DailyData!H$2:H$2516, " ")</f>
        <v>81.599999999999994</v>
      </c>
      <c r="G44">
        <f>_xlfn.XLOOKUP($A44, DailyData!$A$2:$A$2516, DailyData!I$2:I$2516, " ")</f>
        <v>63.08</v>
      </c>
      <c r="H44">
        <f>_xlfn.XLOOKUP($A44, DailyData!$A$2:$A$2516, DailyData!J$2:J$2516, " ")</f>
        <v>572.72</v>
      </c>
      <c r="I44">
        <f>_xlfn.XLOOKUP($A44, DailyData!$A$2:$A$2516, DailyData!K$2:K$2516, " ")</f>
        <v>399.74</v>
      </c>
      <c r="J44">
        <f>_xlfn.XLOOKUP($A44, DailyData!$A$2:$A$2516, DailyData!L$2:L$2516, " ")</f>
        <v>123.6</v>
      </c>
      <c r="K44">
        <f>_xlfn.XLOOKUP($A44, DailyData!$A$2:$A$2516, DailyData!M$2:M$2516, " ")</f>
        <v>5.71</v>
      </c>
    </row>
    <row r="45" spans="1:11">
      <c r="A45" s="1">
        <v>44805</v>
      </c>
      <c r="B45">
        <f>_xlfn.XLOOKUP(A45, DailyData!$A$2:$A$2516, DailyData!$D$2:$D$2516, " ")</f>
        <v>396.42</v>
      </c>
      <c r="C45">
        <f>_xlfn.XLOOKUP($A45, DailyData!$A$2:$A$2516, DailyData!$E$2:$E$2516, " ")</f>
        <v>181.5</v>
      </c>
      <c r="D45">
        <f>_xlfn.XLOOKUP($A45, DailyData!$A$2:$A$2516, DailyData!F$2:F$2516, " ")</f>
        <v>109.6</v>
      </c>
      <c r="E45">
        <f>_xlfn.XLOOKUP($A45, DailyData!$A$2:$A$2516, DailyData!G$2:G$2516, " ")</f>
        <v>157.87</v>
      </c>
      <c r="F45">
        <f>_xlfn.XLOOKUP($A45, DailyData!$A$2:$A$2516, DailyData!H$2:H$2516, " ")</f>
        <v>93.18</v>
      </c>
      <c r="G45">
        <f>_xlfn.XLOOKUP($A45, DailyData!$A$2:$A$2516, DailyData!I$2:I$2516, " ")</f>
        <v>75.3</v>
      </c>
      <c r="H45">
        <f>_xlfn.XLOOKUP($A45, DailyData!$A$2:$A$2516, DailyData!J$2:J$2516, " ")</f>
        <v>664.85</v>
      </c>
      <c r="I45">
        <f>_xlfn.XLOOKUP($A45, DailyData!$A$2:$A$2516, DailyData!K$2:K$2516, " ")</f>
        <v>422.61</v>
      </c>
      <c r="J45">
        <f>_xlfn.XLOOKUP($A45, DailyData!$A$2:$A$2516, DailyData!L$2:L$2516, " ")</f>
        <v>126.81</v>
      </c>
      <c r="K45">
        <f>_xlfn.XLOOKUP($A45, DailyData!$A$2:$A$2516, DailyData!M$2:M$2516, " ")</f>
        <v>6.33</v>
      </c>
    </row>
    <row r="46" spans="1:11">
      <c r="A46" s="1">
        <v>44774</v>
      </c>
      <c r="B46">
        <f>_xlfn.XLOOKUP(A46, DailyData!$A$2:$A$2516, DailyData!$D$2:$D$2516, " ")</f>
        <v>410.77</v>
      </c>
      <c r="C46">
        <f>_xlfn.XLOOKUP($A46, DailyData!$A$2:$A$2516, DailyData!$E$2:$E$2516, " ")</f>
        <v>187.18</v>
      </c>
      <c r="D46">
        <f>_xlfn.XLOOKUP($A46, DailyData!$A$2:$A$2516, DailyData!F$2:F$2516, " ")</f>
        <v>120.04</v>
      </c>
      <c r="E46">
        <f>_xlfn.XLOOKUP($A46, DailyData!$A$2:$A$2516, DailyData!G$2:G$2516, " ")</f>
        <v>165.03</v>
      </c>
      <c r="F46">
        <f>_xlfn.XLOOKUP($A46, DailyData!$A$2:$A$2516, DailyData!H$2:H$2516, " ")</f>
        <v>98.16</v>
      </c>
      <c r="G46">
        <f>_xlfn.XLOOKUP($A46, DailyData!$A$2:$A$2516, DailyData!I$2:I$2516, " ")</f>
        <v>77.44</v>
      </c>
      <c r="H46">
        <f>_xlfn.XLOOKUP($A46, DailyData!$A$2:$A$2516, DailyData!J$2:J$2516, " ")</f>
        <v>671.39</v>
      </c>
      <c r="I46">
        <f>_xlfn.XLOOKUP($A46, DailyData!$A$2:$A$2516, DailyData!K$2:K$2516, " ")</f>
        <v>419.28</v>
      </c>
      <c r="J46">
        <f>_xlfn.XLOOKUP($A46, DailyData!$A$2:$A$2516, DailyData!L$2:L$2516, " ")</f>
        <v>131.41999999999999</v>
      </c>
      <c r="K46">
        <f>_xlfn.XLOOKUP($A46, DailyData!$A$2:$A$2516, DailyData!M$2:M$2516, " ")</f>
        <v>5.52</v>
      </c>
    </row>
    <row r="47" spans="1:11">
      <c r="A47" s="1">
        <v>44743</v>
      </c>
      <c r="B47">
        <f>_xlfn.XLOOKUP(A47, DailyData!$A$2:$A$2516, DailyData!$D$2:$D$2516, " ")</f>
        <v>381.24</v>
      </c>
      <c r="C47">
        <f>_xlfn.XLOOKUP($A47, DailyData!$A$2:$A$2516, DailyData!$E$2:$E$2516, " ")</f>
        <v>171.41</v>
      </c>
      <c r="D47">
        <f>_xlfn.XLOOKUP($A47, DailyData!$A$2:$A$2516, DailyData!F$2:F$2516, " ")</f>
        <v>115.82</v>
      </c>
      <c r="E47">
        <f>_xlfn.XLOOKUP($A47, DailyData!$A$2:$A$2516, DailyData!G$2:G$2516, " ")</f>
        <v>168.32</v>
      </c>
      <c r="F47">
        <f>_xlfn.XLOOKUP($A47, DailyData!$A$2:$A$2516, DailyData!H$2:H$2516, " ")</f>
        <v>92.75</v>
      </c>
      <c r="G47">
        <f>_xlfn.XLOOKUP($A47, DailyData!$A$2:$A$2516, DailyData!I$2:I$2516, " ")</f>
        <v>70.87</v>
      </c>
      <c r="H47">
        <f>_xlfn.XLOOKUP($A47, DailyData!$A$2:$A$2516, DailyData!J$2:J$2516, " ")</f>
        <v>616.70000000000005</v>
      </c>
      <c r="I47">
        <f>_xlfn.XLOOKUP($A47, DailyData!$A$2:$A$2516, DailyData!K$2:K$2516, " ")</f>
        <v>433.52</v>
      </c>
      <c r="J47">
        <f>_xlfn.XLOOKUP($A47, DailyData!$A$2:$A$2516, DailyData!L$2:L$2516, " ")</f>
        <v>129.68</v>
      </c>
      <c r="K47">
        <f>_xlfn.XLOOKUP($A47, DailyData!$A$2:$A$2516, DailyData!M$2:M$2516, " ")</f>
        <v>3.91</v>
      </c>
    </row>
    <row r="48" spans="1:11">
      <c r="A48" s="1">
        <v>44713</v>
      </c>
      <c r="B48">
        <f>_xlfn.XLOOKUP(A48, DailyData!$A$2:$A$2516, DailyData!$D$2:$D$2516, " ")</f>
        <v>409.59</v>
      </c>
      <c r="C48">
        <f>_xlfn.XLOOKUP($A48, DailyData!$A$2:$A$2516, DailyData!$E$2:$E$2516, " ")</f>
        <v>184.26</v>
      </c>
      <c r="D48">
        <f>_xlfn.XLOOKUP($A48, DailyData!$A$2:$A$2516, DailyData!F$2:F$2516, " ")</f>
        <v>116.22</v>
      </c>
      <c r="E48">
        <f>_xlfn.XLOOKUP($A48, DailyData!$A$2:$A$2516, DailyData!G$2:G$2516, " ")</f>
        <v>172.23</v>
      </c>
      <c r="F48">
        <f>_xlfn.XLOOKUP($A48, DailyData!$A$2:$A$2516, DailyData!H$2:H$2516, " ")</f>
        <v>98.25</v>
      </c>
      <c r="G48">
        <f>_xlfn.XLOOKUP($A48, DailyData!$A$2:$A$2516, DailyData!I$2:I$2516, " ")</f>
        <v>71.599999999999994</v>
      </c>
      <c r="H48">
        <f>_xlfn.XLOOKUP($A48, DailyData!$A$2:$A$2516, DailyData!J$2:J$2516, " ")</f>
        <v>660.51</v>
      </c>
      <c r="I48">
        <f>_xlfn.XLOOKUP($A48, DailyData!$A$2:$A$2516, DailyData!K$2:K$2516, " ")</f>
        <v>439.3</v>
      </c>
      <c r="J48">
        <f>_xlfn.XLOOKUP($A48, DailyData!$A$2:$A$2516, DailyData!L$2:L$2516, " ")</f>
        <v>130.33000000000001</v>
      </c>
      <c r="K48">
        <f>_xlfn.XLOOKUP($A48, DailyData!$A$2:$A$2516, DailyData!M$2:M$2516, " ")</f>
        <v>5.17</v>
      </c>
    </row>
    <row r="49" spans="1:11">
      <c r="A49" s="1">
        <v>44683</v>
      </c>
      <c r="B49">
        <f>_xlfn.XLOOKUP(A49, DailyData!$A$2:$A$2516, DailyData!$D$2:$D$2516, " ")</f>
        <v>414.48</v>
      </c>
      <c r="C49">
        <f>_xlfn.XLOOKUP($A49, DailyData!$A$2:$A$2516, DailyData!$E$2:$E$2516, " ")</f>
        <v>186.89</v>
      </c>
      <c r="D49">
        <f>_xlfn.XLOOKUP($A49, DailyData!$A$2:$A$2516, DailyData!F$2:F$2516, " ")</f>
        <v>117.18</v>
      </c>
      <c r="E49">
        <f>_xlfn.XLOOKUP($A49, DailyData!$A$2:$A$2516, DailyData!G$2:G$2516, " ")</f>
        <v>173.63</v>
      </c>
      <c r="F49">
        <f>_xlfn.XLOOKUP($A49, DailyData!$A$2:$A$2516, DailyData!H$2:H$2516, " ")</f>
        <v>101.43</v>
      </c>
      <c r="G49">
        <f>_xlfn.XLOOKUP($A49, DailyData!$A$2:$A$2516, DailyData!I$2:I$2516, " ")</f>
        <v>74</v>
      </c>
      <c r="H49">
        <f>_xlfn.XLOOKUP($A49, DailyData!$A$2:$A$2516, DailyData!J$2:J$2516, " ")</f>
        <v>624.79999999999995</v>
      </c>
      <c r="I49">
        <f>_xlfn.XLOOKUP($A49, DailyData!$A$2:$A$2516, DailyData!K$2:K$2516, " ")</f>
        <v>430.81</v>
      </c>
      <c r="J49">
        <f>_xlfn.XLOOKUP($A49, DailyData!$A$2:$A$2516, DailyData!L$2:L$2516, " ")</f>
        <v>129.47999999999999</v>
      </c>
      <c r="K49">
        <f>_xlfn.XLOOKUP($A49, DailyData!$A$2:$A$2516, DailyData!M$2:M$2516, " ")</f>
        <v>4.24</v>
      </c>
    </row>
    <row r="50" spans="1:11">
      <c r="A50" s="1">
        <v>44652</v>
      </c>
      <c r="B50">
        <f>_xlfn.XLOOKUP(A50, DailyData!$A$2:$A$2516, DailyData!$D$2:$D$2516, " ")</f>
        <v>452.92</v>
      </c>
      <c r="C50">
        <f>_xlfn.XLOOKUP($A50, DailyData!$A$2:$A$2516, DailyData!$E$2:$E$2516, " ")</f>
        <v>207.57</v>
      </c>
      <c r="D50">
        <f>_xlfn.XLOOKUP($A50, DailyData!$A$2:$A$2516, DailyData!F$2:F$2516, " ")</f>
        <v>132.38</v>
      </c>
      <c r="E50">
        <f>_xlfn.XLOOKUP($A50, DailyData!$A$2:$A$2516, DailyData!G$2:G$2516, " ")</f>
        <v>179.5</v>
      </c>
      <c r="F50">
        <f>_xlfn.XLOOKUP($A50, DailyData!$A$2:$A$2516, DailyData!H$2:H$2516, " ")</f>
        <v>110.48</v>
      </c>
      <c r="G50">
        <f>_xlfn.XLOOKUP($A50, DailyData!$A$2:$A$2516, DailyData!I$2:I$2516, " ")</f>
        <v>82.01</v>
      </c>
      <c r="H50">
        <f>_xlfn.XLOOKUP($A50, DailyData!$A$2:$A$2516, DailyData!J$2:J$2516, " ")</f>
        <v>769.76</v>
      </c>
      <c r="I50">
        <f>_xlfn.XLOOKUP($A50, DailyData!$A$2:$A$2516, DailyData!K$2:K$2516, " ")</f>
        <v>445.98</v>
      </c>
      <c r="J50">
        <f>_xlfn.XLOOKUP($A50, DailyData!$A$2:$A$2516, DailyData!L$2:L$2516, " ")</f>
        <v>138.07</v>
      </c>
      <c r="K50">
        <f>_xlfn.XLOOKUP($A50, DailyData!$A$2:$A$2516, DailyData!M$2:M$2516, " ")</f>
        <v>3.79</v>
      </c>
    </row>
    <row r="51" spans="1:11">
      <c r="A51" s="1">
        <v>44621</v>
      </c>
      <c r="B51">
        <f>_xlfn.XLOOKUP(A51, DailyData!$A$2:$A$2516, DailyData!$D$2:$D$2516, " ")</f>
        <v>429.98</v>
      </c>
      <c r="C51">
        <f>_xlfn.XLOOKUP($A51, DailyData!$A$2:$A$2516, DailyData!$E$2:$E$2516, " ")</f>
        <v>199.49</v>
      </c>
      <c r="D51">
        <f>_xlfn.XLOOKUP($A51, DailyData!$A$2:$A$2516, DailyData!F$2:F$2516, " ")</f>
        <v>141.30000000000001</v>
      </c>
      <c r="E51">
        <f>_xlfn.XLOOKUP($A51, DailyData!$A$2:$A$2516, DailyData!G$2:G$2516, " ")</f>
        <v>181.62</v>
      </c>
      <c r="F51">
        <f>_xlfn.XLOOKUP($A51, DailyData!$A$2:$A$2516, DailyData!H$2:H$2516, " ")</f>
        <v>102</v>
      </c>
      <c r="G51">
        <f>_xlfn.XLOOKUP($A51, DailyData!$A$2:$A$2516, DailyData!I$2:I$2516, " ")</f>
        <v>76.010000000000005</v>
      </c>
      <c r="H51">
        <f>_xlfn.XLOOKUP($A51, DailyData!$A$2:$A$2516, DailyData!J$2:J$2516, " ")</f>
        <v>714.81</v>
      </c>
      <c r="I51">
        <f>_xlfn.XLOOKUP($A51, DailyData!$A$2:$A$2516, DailyData!K$2:K$2516, " ")</f>
        <v>456.61</v>
      </c>
      <c r="J51">
        <f>_xlfn.XLOOKUP($A51, DailyData!$A$2:$A$2516, DailyData!L$2:L$2516, " ")</f>
        <v>129.24</v>
      </c>
      <c r="K51">
        <f>_xlfn.XLOOKUP($A51, DailyData!$A$2:$A$2516, DailyData!M$2:M$2516, " ")</f>
        <v>3.99</v>
      </c>
    </row>
    <row r="52" spans="1:11">
      <c r="A52" s="1">
        <v>44593</v>
      </c>
      <c r="B52">
        <f>_xlfn.XLOOKUP(A52, DailyData!$A$2:$A$2516, DailyData!$D$2:$D$2516, " ")</f>
        <v>452.95</v>
      </c>
      <c r="C52">
        <f>_xlfn.XLOOKUP($A52, DailyData!$A$2:$A$2516, DailyData!$E$2:$E$2516, " ")</f>
        <v>203.36</v>
      </c>
      <c r="D52">
        <f>_xlfn.XLOOKUP($A52, DailyData!$A$2:$A$2516, DailyData!F$2:F$2516, " ")</f>
        <v>141.72</v>
      </c>
      <c r="E52">
        <f>_xlfn.XLOOKUP($A52, DailyData!$A$2:$A$2516, DailyData!G$2:G$2516, " ")</f>
        <v>168.23</v>
      </c>
      <c r="F52">
        <f>_xlfn.XLOOKUP($A52, DailyData!$A$2:$A$2516, DailyData!H$2:H$2516, " ")</f>
        <v>105.86</v>
      </c>
      <c r="G52">
        <f>_xlfn.XLOOKUP($A52, DailyData!$A$2:$A$2516, DailyData!I$2:I$2516, " ")</f>
        <v>81.040000000000006</v>
      </c>
      <c r="H52">
        <f>_xlfn.XLOOKUP($A52, DailyData!$A$2:$A$2516, DailyData!J$2:J$2516, " ")</f>
        <v>825.95</v>
      </c>
      <c r="I52">
        <f>_xlfn.XLOOKUP($A52, DailyData!$A$2:$A$2516, DailyData!K$2:K$2516, " ")</f>
        <v>387.01</v>
      </c>
      <c r="J52">
        <f>_xlfn.XLOOKUP($A52, DailyData!$A$2:$A$2516, DailyData!L$2:L$2516, " ")</f>
        <v>131.58000000000001</v>
      </c>
      <c r="K52">
        <f>_xlfn.XLOOKUP($A52, DailyData!$A$2:$A$2516, DailyData!M$2:M$2516, " ")</f>
        <v>4.17</v>
      </c>
    </row>
    <row r="53" spans="1:11">
      <c r="A53" s="1">
        <v>44564</v>
      </c>
      <c r="B53">
        <f>_xlfn.XLOOKUP(A53, DailyData!$A$2:$A$2516, DailyData!$D$2:$D$2516, " ")</f>
        <v>477.71</v>
      </c>
      <c r="C53">
        <f>_xlfn.XLOOKUP($A53, DailyData!$A$2:$A$2516, DailyData!$E$2:$E$2516, " ")</f>
        <v>225.32</v>
      </c>
      <c r="D53">
        <f>_xlfn.XLOOKUP($A53, DailyData!$A$2:$A$2516, DailyData!F$2:F$2516, " ")</f>
        <v>144.30000000000001</v>
      </c>
      <c r="E53">
        <f>_xlfn.XLOOKUP($A53, DailyData!$A$2:$A$2516, DailyData!G$2:G$2516, " ")</f>
        <v>168.33</v>
      </c>
      <c r="F53">
        <f>_xlfn.XLOOKUP($A53, DailyData!$A$2:$A$2516, DailyData!H$2:H$2516, " ")</f>
        <v>115.1</v>
      </c>
      <c r="G53">
        <f>_xlfn.XLOOKUP($A53, DailyData!$A$2:$A$2516, DailyData!I$2:I$2516, " ")</f>
        <v>87.9</v>
      </c>
      <c r="H53">
        <f>_xlfn.XLOOKUP($A53, DailyData!$A$2:$A$2516, DailyData!J$2:J$2516, " ")</f>
        <v>911.73</v>
      </c>
      <c r="I53">
        <f>_xlfn.XLOOKUP($A53, DailyData!$A$2:$A$2516, DailyData!K$2:K$2516, " ")</f>
        <v>354.36</v>
      </c>
      <c r="J53">
        <f>_xlfn.XLOOKUP($A53, DailyData!$A$2:$A$2516, DailyData!L$2:L$2516, " ")</f>
        <v>139.44</v>
      </c>
      <c r="K53">
        <f>_xlfn.XLOOKUP($A53, DailyData!$A$2:$A$2516, DailyData!M$2:M$2516, " ")</f>
        <v>4.5599999999999996</v>
      </c>
    </row>
    <row r="54" spans="1:11">
      <c r="A54" s="1">
        <v>44531</v>
      </c>
      <c r="B54">
        <f>_xlfn.XLOOKUP(A54, DailyData!$A$2:$A$2516, DailyData!$D$2:$D$2516, " ")</f>
        <v>450.5</v>
      </c>
      <c r="C54">
        <f>_xlfn.XLOOKUP($A54, DailyData!$A$2:$A$2516, DailyData!$E$2:$E$2516, " ")</f>
        <v>213.26</v>
      </c>
      <c r="D54">
        <f>_xlfn.XLOOKUP($A54, DailyData!$A$2:$A$2516, DailyData!F$2:F$2516, " ")</f>
        <v>152.34</v>
      </c>
      <c r="E54">
        <f>_xlfn.XLOOKUP($A54, DailyData!$A$2:$A$2516, DailyData!G$2:G$2516, " ")</f>
        <v>166.16</v>
      </c>
      <c r="F54">
        <f>_xlfn.XLOOKUP($A54, DailyData!$A$2:$A$2516, DailyData!H$2:H$2516, " ")</f>
        <v>104.98</v>
      </c>
      <c r="G54">
        <f>_xlfn.XLOOKUP($A54, DailyData!$A$2:$A$2516, DailyData!I$2:I$2516, " ")</f>
        <v>89.75</v>
      </c>
      <c r="H54">
        <f>_xlfn.XLOOKUP($A54, DailyData!$A$2:$A$2516, DailyData!J$2:J$2516, " ")</f>
        <v>900.33</v>
      </c>
      <c r="I54">
        <f>_xlfn.XLOOKUP($A54, DailyData!$A$2:$A$2516, DailyData!K$2:K$2516, " ")</f>
        <v>328.42</v>
      </c>
      <c r="J54">
        <f>_xlfn.XLOOKUP($A54, DailyData!$A$2:$A$2516, DailyData!L$2:L$2516, " ")</f>
        <v>129.5</v>
      </c>
      <c r="K54">
        <f>_xlfn.XLOOKUP($A54, DailyData!$A$2:$A$2516, DailyData!M$2:M$2516, " ")</f>
        <v>4.24</v>
      </c>
    </row>
    <row r="55" spans="1:11">
      <c r="A55" s="1">
        <v>44501</v>
      </c>
      <c r="B55">
        <f>_xlfn.XLOOKUP(A55, DailyData!$A$2:$A$2516, DailyData!$D$2:$D$2516, " ")</f>
        <v>460.04</v>
      </c>
      <c r="C55">
        <f>_xlfn.XLOOKUP($A55, DailyData!$A$2:$A$2516, DailyData!$E$2:$E$2516, " ")</f>
        <v>233.96</v>
      </c>
      <c r="D55">
        <f>_xlfn.XLOOKUP($A55, DailyData!$A$2:$A$2516, DailyData!F$2:F$2516, " ")</f>
        <v>146.44</v>
      </c>
      <c r="E55">
        <f>_xlfn.XLOOKUP($A55, DailyData!$A$2:$A$2516, DailyData!G$2:G$2516, " ")</f>
        <v>167.52</v>
      </c>
      <c r="F55">
        <f>_xlfn.XLOOKUP($A55, DailyData!$A$2:$A$2516, DailyData!H$2:H$2516, " ")</f>
        <v>109.58</v>
      </c>
      <c r="G55">
        <f>_xlfn.XLOOKUP($A55, DailyData!$A$2:$A$2516, DailyData!I$2:I$2516, " ")</f>
        <v>94.38</v>
      </c>
      <c r="H55">
        <f>_xlfn.XLOOKUP($A55, DailyData!$A$2:$A$2516, DailyData!J$2:J$2516, " ")</f>
        <v>936.23</v>
      </c>
      <c r="I55">
        <f>_xlfn.XLOOKUP($A55, DailyData!$A$2:$A$2516, DailyData!K$2:K$2516, " ")</f>
        <v>330.93</v>
      </c>
      <c r="J55">
        <f>_xlfn.XLOOKUP($A55, DailyData!$A$2:$A$2516, DailyData!L$2:L$2516, " ")</f>
        <v>133.66</v>
      </c>
      <c r="K55">
        <f>_xlfn.XLOOKUP($A55, DailyData!$A$2:$A$2516, DailyData!M$2:M$2516, " ")</f>
        <v>3.67</v>
      </c>
    </row>
    <row r="56" spans="1:11">
      <c r="A56" s="1">
        <v>44470</v>
      </c>
      <c r="B56">
        <f>_xlfn.XLOOKUP(A56, DailyData!$A$2:$A$2516, DailyData!$D$2:$D$2516, " ")</f>
        <v>434.24</v>
      </c>
      <c r="C56">
        <f>_xlfn.XLOOKUP($A56, DailyData!$A$2:$A$2516, DailyData!$E$2:$E$2516, " ")</f>
        <v>222.28</v>
      </c>
      <c r="D56">
        <f>_xlfn.XLOOKUP($A56, DailyData!$A$2:$A$2516, DailyData!F$2:F$2516, " ")</f>
        <v>145.35</v>
      </c>
      <c r="E56">
        <f>_xlfn.XLOOKUP($A56, DailyData!$A$2:$A$2516, DailyData!G$2:G$2516, " ")</f>
        <v>164.59</v>
      </c>
      <c r="F56">
        <f>_xlfn.XLOOKUP($A56, DailyData!$A$2:$A$2516, DailyData!H$2:H$2516, " ")</f>
        <v>103.22</v>
      </c>
      <c r="G56">
        <f>_xlfn.XLOOKUP($A56, DailyData!$A$2:$A$2516, DailyData!I$2:I$2516, " ")</f>
        <v>89.74</v>
      </c>
      <c r="H56">
        <f>_xlfn.XLOOKUP($A56, DailyData!$A$2:$A$2516, DailyData!J$2:J$2516, " ")</f>
        <v>841.89</v>
      </c>
      <c r="I56">
        <f>_xlfn.XLOOKUP($A56, DailyData!$A$2:$A$2516, DailyData!K$2:K$2516, " ")</f>
        <v>347.8</v>
      </c>
      <c r="J56">
        <f>_xlfn.XLOOKUP($A56, DailyData!$A$2:$A$2516, DailyData!L$2:L$2516, " ")</f>
        <v>127.33</v>
      </c>
      <c r="K56">
        <f>_xlfn.XLOOKUP($A56, DailyData!$A$2:$A$2516, DailyData!M$2:M$2516, " ")</f>
        <v>3.74</v>
      </c>
    </row>
    <row r="57" spans="1:11">
      <c r="A57" s="1">
        <v>44440</v>
      </c>
      <c r="B57">
        <f>_xlfn.XLOOKUP(A57, DailyData!$A$2:$A$2516, DailyData!$D$2:$D$2516, " ")</f>
        <v>451.8</v>
      </c>
      <c r="C57">
        <f>_xlfn.XLOOKUP($A57, DailyData!$A$2:$A$2516, DailyData!$E$2:$E$2516, " ")</f>
        <v>227.44</v>
      </c>
      <c r="D57">
        <f>_xlfn.XLOOKUP($A57, DailyData!$A$2:$A$2516, DailyData!F$2:F$2516, " ")</f>
        <v>148.88999999999999</v>
      </c>
      <c r="E57">
        <f>_xlfn.XLOOKUP($A57, DailyData!$A$2:$A$2516, DailyData!G$2:G$2516, " ")</f>
        <v>169.7</v>
      </c>
      <c r="F57">
        <f>_xlfn.XLOOKUP($A57, DailyData!$A$2:$A$2516, DailyData!H$2:H$2516, " ")</f>
        <v>110.32</v>
      </c>
      <c r="G57">
        <f>_xlfn.XLOOKUP($A57, DailyData!$A$2:$A$2516, DailyData!I$2:I$2516, " ")</f>
        <v>89.95</v>
      </c>
      <c r="H57">
        <f>_xlfn.XLOOKUP($A57, DailyData!$A$2:$A$2516, DailyData!J$2:J$2516, " ")</f>
        <v>943.82</v>
      </c>
      <c r="I57">
        <f>_xlfn.XLOOKUP($A57, DailyData!$A$2:$A$2516, DailyData!K$2:K$2516, " ")</f>
        <v>356.66</v>
      </c>
      <c r="J57">
        <f>_xlfn.XLOOKUP($A57, DailyData!$A$2:$A$2516, DailyData!L$2:L$2516, " ")</f>
        <v>135.25</v>
      </c>
      <c r="K57">
        <f>_xlfn.XLOOKUP($A57, DailyData!$A$2:$A$2516, DailyData!M$2:M$2516, " ")</f>
        <v>3.75</v>
      </c>
    </row>
    <row r="58" spans="1:11">
      <c r="A58" s="1">
        <v>44410</v>
      </c>
      <c r="B58">
        <f>_xlfn.XLOOKUP(A58, DailyData!$A$2:$A$2516, DailyData!$D$2:$D$2516, " ")</f>
        <v>437.59</v>
      </c>
      <c r="C58">
        <f>_xlfn.XLOOKUP($A58, DailyData!$A$2:$A$2516, DailyData!$E$2:$E$2516, " ")</f>
        <v>219.95</v>
      </c>
      <c r="D58">
        <f>_xlfn.XLOOKUP($A58, DailyData!$A$2:$A$2516, DailyData!F$2:F$2516, " ")</f>
        <v>150.66999999999999</v>
      </c>
      <c r="E58">
        <f>_xlfn.XLOOKUP($A58, DailyData!$A$2:$A$2516, DailyData!G$2:G$2516, " ")</f>
        <v>169.61</v>
      </c>
      <c r="F58">
        <f>_xlfn.XLOOKUP($A58, DailyData!$A$2:$A$2516, DailyData!H$2:H$2516, " ")</f>
        <v>106.06</v>
      </c>
      <c r="G58">
        <f>_xlfn.XLOOKUP($A58, DailyData!$A$2:$A$2516, DailyData!I$2:I$2516, " ")</f>
        <v>87.6</v>
      </c>
      <c r="H58">
        <f>_xlfn.XLOOKUP($A58, DailyData!$A$2:$A$2516, DailyData!J$2:J$2516, " ")</f>
        <v>873.26</v>
      </c>
      <c r="I58">
        <f>_xlfn.XLOOKUP($A58, DailyData!$A$2:$A$2516, DailyData!K$2:K$2516, " ")</f>
        <v>368.3</v>
      </c>
      <c r="J58">
        <f>_xlfn.XLOOKUP($A58, DailyData!$A$2:$A$2516, DailyData!L$2:L$2516, " ")</f>
        <v>132.33000000000001</v>
      </c>
      <c r="K58">
        <f>_xlfn.XLOOKUP($A58, DailyData!$A$2:$A$2516, DailyData!M$2:M$2516, " ")</f>
        <v>3.75</v>
      </c>
    </row>
    <row r="59" spans="1:11">
      <c r="A59" s="1">
        <v>44378</v>
      </c>
      <c r="B59">
        <f>_xlfn.XLOOKUP(A59, DailyData!$A$2:$A$2516, DailyData!$D$2:$D$2516, " ")</f>
        <v>430.43</v>
      </c>
      <c r="C59">
        <f>_xlfn.XLOOKUP($A59, DailyData!$A$2:$A$2516, DailyData!$E$2:$E$2516, " ")</f>
        <v>231.39</v>
      </c>
      <c r="D59">
        <f>_xlfn.XLOOKUP($A59, DailyData!$A$2:$A$2516, DailyData!F$2:F$2516, " ")</f>
        <v>144.16999999999999</v>
      </c>
      <c r="E59">
        <f>_xlfn.XLOOKUP($A59, DailyData!$A$2:$A$2516, DailyData!G$2:G$2516, " ")</f>
        <v>166.2</v>
      </c>
      <c r="F59">
        <f>_xlfn.XLOOKUP($A59, DailyData!$A$2:$A$2516, DailyData!H$2:H$2516, " ")</f>
        <v>102.23</v>
      </c>
      <c r="G59">
        <f>_xlfn.XLOOKUP($A59, DailyData!$A$2:$A$2516, DailyData!I$2:I$2516, " ")</f>
        <v>79.540000000000006</v>
      </c>
      <c r="H59">
        <f>_xlfn.XLOOKUP($A59, DailyData!$A$2:$A$2516, DailyData!J$2:J$2516, " ")</f>
        <v>879.23</v>
      </c>
      <c r="I59">
        <f>_xlfn.XLOOKUP($A59, DailyData!$A$2:$A$2516, DailyData!K$2:K$2516, " ")</f>
        <v>380.22</v>
      </c>
      <c r="J59">
        <f>_xlfn.XLOOKUP($A59, DailyData!$A$2:$A$2516, DailyData!L$2:L$2516, " ")</f>
        <v>127.07</v>
      </c>
      <c r="K59">
        <f>_xlfn.XLOOKUP($A59, DailyData!$A$2:$A$2516, DailyData!M$2:M$2516, " ")</f>
        <v>3.55</v>
      </c>
    </row>
    <row r="60" spans="1:11">
      <c r="A60" s="1">
        <v>44348</v>
      </c>
      <c r="B60">
        <f>_xlfn.XLOOKUP(A60, DailyData!$A$2:$A$2516, DailyData!$D$2:$D$2516, " ")</f>
        <v>419.67</v>
      </c>
      <c r="C60">
        <f>_xlfn.XLOOKUP($A60, DailyData!$A$2:$A$2516, DailyData!$E$2:$E$2516, " ")</f>
        <v>228.06</v>
      </c>
      <c r="D60">
        <f>_xlfn.XLOOKUP($A60, DailyData!$A$2:$A$2516, DailyData!F$2:F$2516, " ")</f>
        <v>138.21</v>
      </c>
      <c r="E60">
        <f>_xlfn.XLOOKUP($A60, DailyData!$A$2:$A$2516, DailyData!G$2:G$2516, " ")</f>
        <v>177.9</v>
      </c>
      <c r="F60">
        <f>_xlfn.XLOOKUP($A60, DailyData!$A$2:$A$2516, DailyData!H$2:H$2516, " ")</f>
        <v>101.68</v>
      </c>
      <c r="G60">
        <f>_xlfn.XLOOKUP($A60, DailyData!$A$2:$A$2516, DailyData!I$2:I$2516, " ")</f>
        <v>79.569999999999993</v>
      </c>
      <c r="H60">
        <f>_xlfn.XLOOKUP($A60, DailyData!$A$2:$A$2516, DailyData!J$2:J$2516, " ")</f>
        <v>876.91</v>
      </c>
      <c r="I60">
        <f>_xlfn.XLOOKUP($A60, DailyData!$A$2:$A$2516, DailyData!K$2:K$2516, " ")</f>
        <v>381.92</v>
      </c>
      <c r="J60">
        <f>_xlfn.XLOOKUP($A60, DailyData!$A$2:$A$2516, DailyData!L$2:L$2516, " ")</f>
        <v>121.57</v>
      </c>
      <c r="K60">
        <f>_xlfn.XLOOKUP($A60, DailyData!$A$2:$A$2516, DailyData!M$2:M$2516, " ")</f>
        <v>3.52</v>
      </c>
    </row>
    <row r="61" spans="1:11">
      <c r="A61" s="1">
        <v>44319</v>
      </c>
      <c r="B61">
        <f>_xlfn.XLOOKUP(A61, DailyData!$A$2:$A$2516, DailyData!$D$2:$D$2516, " ")</f>
        <v>418.2</v>
      </c>
      <c r="C61">
        <f>_xlfn.XLOOKUP($A61, DailyData!$A$2:$A$2516, DailyData!$E$2:$E$2516, " ")</f>
        <v>225.99</v>
      </c>
      <c r="D61">
        <f>_xlfn.XLOOKUP($A61, DailyData!$A$2:$A$2516, DailyData!F$2:F$2516, " ")</f>
        <v>138.52000000000001</v>
      </c>
      <c r="E61">
        <f>_xlfn.XLOOKUP($A61, DailyData!$A$2:$A$2516, DailyData!G$2:G$2516, " ")</f>
        <v>167.81</v>
      </c>
      <c r="F61">
        <f>_xlfn.XLOOKUP($A61, DailyData!$A$2:$A$2516, DailyData!H$2:H$2516, " ")</f>
        <v>98.89</v>
      </c>
      <c r="G61">
        <f>_xlfn.XLOOKUP($A61, DailyData!$A$2:$A$2516, DailyData!I$2:I$2516, " ")</f>
        <v>77.33</v>
      </c>
      <c r="H61">
        <f>_xlfn.XLOOKUP($A61, DailyData!$A$2:$A$2516, DailyData!J$2:J$2516, " ")</f>
        <v>825.62</v>
      </c>
      <c r="I61">
        <f>_xlfn.XLOOKUP($A61, DailyData!$A$2:$A$2516, DailyData!K$2:K$2516, " ")</f>
        <v>385.31</v>
      </c>
      <c r="J61">
        <f>_xlfn.XLOOKUP($A61, DailyData!$A$2:$A$2516, DailyData!L$2:L$2516, " ")</f>
        <v>122.71</v>
      </c>
      <c r="K61">
        <f>_xlfn.XLOOKUP($A61, DailyData!$A$2:$A$2516, DailyData!M$2:M$2516, " ")</f>
        <v>3.73</v>
      </c>
    </row>
    <row r="62" spans="1:11">
      <c r="A62" s="1">
        <v>44287</v>
      </c>
      <c r="B62">
        <f>_xlfn.XLOOKUP(A62, DailyData!$A$2:$A$2516, DailyData!$D$2:$D$2516, " ")</f>
        <v>400.61</v>
      </c>
      <c r="C62">
        <f>_xlfn.XLOOKUP($A62, DailyData!$A$2:$A$2516, DailyData!$E$2:$E$2516, " ")</f>
        <v>223.74</v>
      </c>
      <c r="D62">
        <f>_xlfn.XLOOKUP($A62, DailyData!$A$2:$A$2516, DailyData!F$2:F$2516, " ")</f>
        <v>137.51</v>
      </c>
      <c r="E62">
        <f>_xlfn.XLOOKUP($A62, DailyData!$A$2:$A$2516, DailyData!G$2:G$2516, " ")</f>
        <v>161.97999999999999</v>
      </c>
      <c r="F62">
        <f>_xlfn.XLOOKUP($A62, DailyData!$A$2:$A$2516, DailyData!H$2:H$2516, " ")</f>
        <v>93.53</v>
      </c>
      <c r="G62">
        <f>_xlfn.XLOOKUP($A62, DailyData!$A$2:$A$2516, DailyData!I$2:I$2516, " ")</f>
        <v>71.81</v>
      </c>
      <c r="H62">
        <f>_xlfn.XLOOKUP($A62, DailyData!$A$2:$A$2516, DailyData!J$2:J$2516, " ")</f>
        <v>766.83</v>
      </c>
      <c r="I62">
        <f>_xlfn.XLOOKUP($A62, DailyData!$A$2:$A$2516, DailyData!K$2:K$2516, " ")</f>
        <v>371.02</v>
      </c>
      <c r="J62">
        <f>_xlfn.XLOOKUP($A62, DailyData!$A$2:$A$2516, DailyData!L$2:L$2516, " ")</f>
        <v>116.39</v>
      </c>
      <c r="K62">
        <f>_xlfn.XLOOKUP($A62, DailyData!$A$2:$A$2516, DailyData!M$2:M$2516, " ")</f>
        <v>3.96</v>
      </c>
    </row>
    <row r="63" spans="1:11">
      <c r="A63" s="1">
        <v>44256</v>
      </c>
      <c r="B63">
        <f>_xlfn.XLOOKUP(A63, DailyData!$A$2:$A$2516, DailyData!$D$2:$D$2516, " ")</f>
        <v>389.58</v>
      </c>
      <c r="C63">
        <f>_xlfn.XLOOKUP($A63, DailyData!$A$2:$A$2516, DailyData!$E$2:$E$2516, " ")</f>
        <v>226.07</v>
      </c>
      <c r="D63">
        <f>_xlfn.XLOOKUP($A63, DailyData!$A$2:$A$2516, DailyData!F$2:F$2516, " ")</f>
        <v>141.06</v>
      </c>
      <c r="E63">
        <f>_xlfn.XLOOKUP($A63, DailyData!$A$2:$A$2516, DailyData!G$2:G$2516, " ")</f>
        <v>161.53</v>
      </c>
      <c r="F63">
        <f>_xlfn.XLOOKUP($A63, DailyData!$A$2:$A$2516, DailyData!H$2:H$2516, " ")</f>
        <v>88.26</v>
      </c>
      <c r="G63">
        <f>_xlfn.XLOOKUP($A63, DailyData!$A$2:$A$2516, DailyData!I$2:I$2516, " ")</f>
        <v>66.17</v>
      </c>
      <c r="H63">
        <f>_xlfn.XLOOKUP($A63, DailyData!$A$2:$A$2516, DailyData!J$2:J$2516, " ")</f>
        <v>719.2</v>
      </c>
      <c r="I63">
        <f>_xlfn.XLOOKUP($A63, DailyData!$A$2:$A$2516, DailyData!K$2:K$2516, " ")</f>
        <v>333.47</v>
      </c>
      <c r="J63">
        <f>_xlfn.XLOOKUP($A63, DailyData!$A$2:$A$2516, DailyData!L$2:L$2516, " ")</f>
        <v>114.08</v>
      </c>
      <c r="K63">
        <f>_xlfn.XLOOKUP($A63, DailyData!$A$2:$A$2516, DailyData!M$2:M$2516, " ")</f>
        <v>3.43</v>
      </c>
    </row>
    <row r="64" spans="1:11">
      <c r="A64" s="1">
        <v>44228</v>
      </c>
      <c r="B64">
        <f>_xlfn.XLOOKUP(A64, DailyData!$A$2:$A$2516, DailyData!$D$2:$D$2516, " ")</f>
        <v>376.23</v>
      </c>
      <c r="C64">
        <f>_xlfn.XLOOKUP($A64, DailyData!$A$2:$A$2516, DailyData!$E$2:$E$2516, " ")</f>
        <v>210.61</v>
      </c>
      <c r="D64">
        <f>_xlfn.XLOOKUP($A64, DailyData!$A$2:$A$2516, DailyData!F$2:F$2516, " ")</f>
        <v>152</v>
      </c>
      <c r="E64">
        <f>_xlfn.XLOOKUP($A64, DailyData!$A$2:$A$2516, DailyData!G$2:G$2516, " ")</f>
        <v>174.23</v>
      </c>
      <c r="F64">
        <f>_xlfn.XLOOKUP($A64, DailyData!$A$2:$A$2516, DailyData!H$2:H$2516, " ")</f>
        <v>86.9</v>
      </c>
      <c r="G64">
        <f>_xlfn.XLOOKUP($A64, DailyData!$A$2:$A$2516, DailyData!I$2:I$2516, " ")</f>
        <v>61.51</v>
      </c>
      <c r="H64">
        <f>_xlfn.XLOOKUP($A64, DailyData!$A$2:$A$2516, DailyData!J$2:J$2516, " ")</f>
        <v>713.17</v>
      </c>
      <c r="I64">
        <f>_xlfn.XLOOKUP($A64, DailyData!$A$2:$A$2516, DailyData!K$2:K$2516, " ")</f>
        <v>324.02999999999997</v>
      </c>
      <c r="J64">
        <f>_xlfn.XLOOKUP($A64, DailyData!$A$2:$A$2516, DailyData!L$2:L$2516, " ")</f>
        <v>115.47</v>
      </c>
      <c r="K64">
        <f>_xlfn.XLOOKUP($A64, DailyData!$A$2:$A$2516, DailyData!M$2:M$2516, " ")</f>
        <v>3.15</v>
      </c>
    </row>
    <row r="65" spans="1:11">
      <c r="A65" s="1">
        <v>44200</v>
      </c>
      <c r="B65">
        <f>_xlfn.XLOOKUP(A65, DailyData!$A$2:$A$2516, DailyData!$D$2:$D$2516, " ")</f>
        <v>368.79</v>
      </c>
      <c r="C65">
        <f>_xlfn.XLOOKUP($A65, DailyData!$A$2:$A$2516, DailyData!$E$2:$E$2516, " ")</f>
        <v>193.5</v>
      </c>
      <c r="D65">
        <f>_xlfn.XLOOKUP($A65, DailyData!$A$2:$A$2516, DailyData!F$2:F$2516, " ")</f>
        <v>157.54</v>
      </c>
      <c r="E65">
        <f>_xlfn.XLOOKUP($A65, DailyData!$A$2:$A$2516, DailyData!G$2:G$2516, " ")</f>
        <v>182.33</v>
      </c>
      <c r="F65">
        <f>_xlfn.XLOOKUP($A65, DailyData!$A$2:$A$2516, DailyData!H$2:H$2516, " ")</f>
        <v>82.17</v>
      </c>
      <c r="G65">
        <f>_xlfn.XLOOKUP($A65, DailyData!$A$2:$A$2516, DailyData!I$2:I$2516, " ")</f>
        <v>63.75</v>
      </c>
      <c r="H65">
        <f>_xlfn.XLOOKUP($A65, DailyData!$A$2:$A$2516, DailyData!J$2:J$2516, " ")</f>
        <v>710.82</v>
      </c>
      <c r="I65">
        <f>_xlfn.XLOOKUP($A65, DailyData!$A$2:$A$2516, DailyData!K$2:K$2516, " ")</f>
        <v>344.64</v>
      </c>
      <c r="J65">
        <f>_xlfn.XLOOKUP($A65, DailyData!$A$2:$A$2516, DailyData!L$2:L$2516, " ")</f>
        <v>112.95</v>
      </c>
      <c r="K65">
        <f>_xlfn.XLOOKUP($A65, DailyData!$A$2:$A$2516, DailyData!M$2:M$2516, " ")</f>
        <v>3.11</v>
      </c>
    </row>
    <row r="66" spans="1:11">
      <c r="A66" s="1">
        <v>44166</v>
      </c>
      <c r="B66">
        <f>_xlfn.XLOOKUP(A66, DailyData!$A$2:$A$2516, DailyData!$D$2:$D$2516, " ")</f>
        <v>366.02</v>
      </c>
      <c r="C66">
        <f>_xlfn.XLOOKUP($A66, DailyData!$A$2:$A$2516, DailyData!$E$2:$E$2516, " ")</f>
        <v>182.7</v>
      </c>
      <c r="D66">
        <f>_xlfn.XLOOKUP($A66, DailyData!$A$2:$A$2516, DailyData!F$2:F$2516, " ")</f>
        <v>157.5</v>
      </c>
      <c r="E66">
        <f>_xlfn.XLOOKUP($A66, DailyData!$A$2:$A$2516, DailyData!G$2:G$2516, " ")</f>
        <v>170.18</v>
      </c>
      <c r="F66">
        <f>_xlfn.XLOOKUP($A66, DailyData!$A$2:$A$2516, DailyData!H$2:H$2516, " ")</f>
        <v>85.08</v>
      </c>
      <c r="G66">
        <f>_xlfn.XLOOKUP($A66, DailyData!$A$2:$A$2516, DailyData!I$2:I$2516, " ")</f>
        <v>58.74</v>
      </c>
      <c r="H66">
        <f>_xlfn.XLOOKUP($A66, DailyData!$A$2:$A$2516, DailyData!J$2:J$2516, " ")</f>
        <v>715.23</v>
      </c>
      <c r="I66">
        <f>_xlfn.XLOOKUP($A66, DailyData!$A$2:$A$2516, DailyData!K$2:K$2516, " ")</f>
        <v>364.99</v>
      </c>
      <c r="J66">
        <f>_xlfn.XLOOKUP($A66, DailyData!$A$2:$A$2516, DailyData!L$2:L$2516, " ")</f>
        <v>110.66</v>
      </c>
      <c r="K66">
        <f>_xlfn.XLOOKUP($A66, DailyData!$A$2:$A$2516, DailyData!M$2:M$2516, " ")</f>
        <v>2.89</v>
      </c>
    </row>
    <row r="67" spans="1:11">
      <c r="A67" s="1">
        <v>44137</v>
      </c>
      <c r="B67">
        <f>_xlfn.XLOOKUP(A67, DailyData!$A$2:$A$2516, DailyData!$D$2:$D$2516, " ")</f>
        <v>330.2</v>
      </c>
      <c r="C67">
        <f>_xlfn.XLOOKUP($A67, DailyData!$A$2:$A$2516, DailyData!$E$2:$E$2516, " ")</f>
        <v>155.82</v>
      </c>
      <c r="D67">
        <f>_xlfn.XLOOKUP($A67, DailyData!$A$2:$A$2516, DailyData!F$2:F$2516, " ")</f>
        <v>158.58000000000001</v>
      </c>
      <c r="E67">
        <f>_xlfn.XLOOKUP($A67, DailyData!$A$2:$A$2516, DailyData!G$2:G$2516, " ")</f>
        <v>177.91</v>
      </c>
      <c r="F67">
        <f>_xlfn.XLOOKUP($A67, DailyData!$A$2:$A$2516, DailyData!H$2:H$2516, " ")</f>
        <v>78.42</v>
      </c>
      <c r="G67">
        <f>_xlfn.XLOOKUP($A67, DailyData!$A$2:$A$2516, DailyData!I$2:I$2516, " ")</f>
        <v>56.45</v>
      </c>
      <c r="H67">
        <f>_xlfn.XLOOKUP($A67, DailyData!$A$2:$A$2516, DailyData!J$2:J$2516, " ")</f>
        <v>614.87</v>
      </c>
      <c r="I67">
        <f>_xlfn.XLOOKUP($A67, DailyData!$A$2:$A$2516, DailyData!K$2:K$2516, " ")</f>
        <v>352.42</v>
      </c>
      <c r="J67">
        <f>_xlfn.XLOOKUP($A67, DailyData!$A$2:$A$2516, DailyData!L$2:L$2516, " ")</f>
        <v>103.49</v>
      </c>
      <c r="K67">
        <f>_xlfn.XLOOKUP($A67, DailyData!$A$2:$A$2516, DailyData!M$2:M$2516, " ")</f>
        <v>2.2999999999999998</v>
      </c>
    </row>
    <row r="68" spans="1:11">
      <c r="A68" s="1">
        <v>44105</v>
      </c>
      <c r="B68">
        <f>_xlfn.XLOOKUP(A68, DailyData!$A$2:$A$2516, DailyData!$D$2:$D$2516, " ")</f>
        <v>337.04</v>
      </c>
      <c r="C68">
        <f>_xlfn.XLOOKUP($A68, DailyData!$A$2:$A$2516, DailyData!$E$2:$E$2516, " ")</f>
        <v>152.18</v>
      </c>
      <c r="D68">
        <f>_xlfn.XLOOKUP($A68, DailyData!$A$2:$A$2516, DailyData!F$2:F$2516, " ")</f>
        <v>163.36000000000001</v>
      </c>
      <c r="E68">
        <f>_xlfn.XLOOKUP($A68, DailyData!$A$2:$A$2516, DailyData!G$2:G$2516, " ")</f>
        <v>178.7</v>
      </c>
      <c r="F68">
        <f>_xlfn.XLOOKUP($A68, DailyData!$A$2:$A$2516, DailyData!H$2:H$2516, " ")</f>
        <v>80.540000000000006</v>
      </c>
      <c r="G68">
        <f>_xlfn.XLOOKUP($A68, DailyData!$A$2:$A$2516, DailyData!I$2:I$2516, " ")</f>
        <v>59.68</v>
      </c>
      <c r="H68">
        <f>_xlfn.XLOOKUP($A68, DailyData!$A$2:$A$2516, DailyData!J$2:J$2516, " ")</f>
        <v>567.91</v>
      </c>
      <c r="I68">
        <f>_xlfn.XLOOKUP($A68, DailyData!$A$2:$A$2516, DailyData!K$2:K$2516, " ")</f>
        <v>380.89</v>
      </c>
      <c r="J68">
        <f>_xlfn.XLOOKUP($A68, DailyData!$A$2:$A$2516, DailyData!L$2:L$2516, " ")</f>
        <v>105.12</v>
      </c>
      <c r="K68">
        <f>_xlfn.XLOOKUP($A68, DailyData!$A$2:$A$2516, DailyData!M$2:M$2516, " ")</f>
        <v>2.62</v>
      </c>
    </row>
    <row r="69" spans="1:11">
      <c r="A69" s="1">
        <v>44075</v>
      </c>
      <c r="B69">
        <f>_xlfn.XLOOKUP(A69, DailyData!$A$2:$A$2516, DailyData!$D$2:$D$2516, " ")</f>
        <v>352.6</v>
      </c>
      <c r="C69">
        <f>_xlfn.XLOOKUP($A69, DailyData!$A$2:$A$2516, DailyData!$E$2:$E$2516, " ")</f>
        <v>157.21</v>
      </c>
      <c r="D69">
        <f>_xlfn.XLOOKUP($A69, DailyData!$A$2:$A$2516, DailyData!F$2:F$2516, " ")</f>
        <v>163.86</v>
      </c>
      <c r="E69">
        <f>_xlfn.XLOOKUP($A69, DailyData!$A$2:$A$2516, DailyData!G$2:G$2516, " ")</f>
        <v>185.05</v>
      </c>
      <c r="F69">
        <f>_xlfn.XLOOKUP($A69, DailyData!$A$2:$A$2516, DailyData!H$2:H$2516, " ")</f>
        <v>81.81</v>
      </c>
      <c r="G69">
        <f>_xlfn.XLOOKUP($A69, DailyData!$A$2:$A$2516, DailyData!I$2:I$2516, " ")</f>
        <v>57.66</v>
      </c>
      <c r="H69">
        <f>_xlfn.XLOOKUP($A69, DailyData!$A$2:$A$2516, DailyData!J$2:J$2516, " ")</f>
        <v>596.24</v>
      </c>
      <c r="I69">
        <f>_xlfn.XLOOKUP($A69, DailyData!$A$2:$A$2516, DailyData!K$2:K$2516, " ")</f>
        <v>386.81</v>
      </c>
      <c r="J69">
        <f>_xlfn.XLOOKUP($A69, DailyData!$A$2:$A$2516, DailyData!L$2:L$2516, " ")</f>
        <v>107.29</v>
      </c>
      <c r="K69">
        <f>_xlfn.XLOOKUP($A69, DailyData!$A$2:$A$2516, DailyData!M$2:M$2516, " ")</f>
        <v>2.71</v>
      </c>
    </row>
    <row r="70" spans="1:11">
      <c r="A70" s="1">
        <v>44046</v>
      </c>
      <c r="B70">
        <f>_xlfn.XLOOKUP(A70, DailyData!$A$2:$A$2516, DailyData!$D$2:$D$2516, " ")</f>
        <v>328.79</v>
      </c>
      <c r="C70">
        <f>_xlfn.XLOOKUP($A70, DailyData!$A$2:$A$2516, DailyData!$E$2:$E$2516, " ")</f>
        <v>149.76</v>
      </c>
      <c r="D70">
        <f>_xlfn.XLOOKUP($A70, DailyData!$A$2:$A$2516, DailyData!F$2:F$2516, " ")</f>
        <v>169.95</v>
      </c>
      <c r="E70">
        <f>_xlfn.XLOOKUP($A70, DailyData!$A$2:$A$2516, DailyData!G$2:G$2516, " ")</f>
        <v>185.64</v>
      </c>
      <c r="F70">
        <f>_xlfn.XLOOKUP($A70, DailyData!$A$2:$A$2516, DailyData!H$2:H$2516, " ")</f>
        <v>80.31</v>
      </c>
      <c r="G70">
        <f>_xlfn.XLOOKUP($A70, DailyData!$A$2:$A$2516, DailyData!I$2:I$2516, " ")</f>
        <v>55.98</v>
      </c>
      <c r="H70">
        <f>_xlfn.XLOOKUP($A70, DailyData!$A$2:$A$2516, DailyData!J$2:J$2516, " ")</f>
        <v>579.95000000000005</v>
      </c>
      <c r="I70">
        <f>_xlfn.XLOOKUP($A70, DailyData!$A$2:$A$2516, DailyData!K$2:K$2516, " ")</f>
        <v>377.1</v>
      </c>
      <c r="J70">
        <f>_xlfn.XLOOKUP($A70, DailyData!$A$2:$A$2516, DailyData!L$2:L$2516, " ")</f>
        <v>106.62</v>
      </c>
      <c r="K70">
        <f>_xlfn.XLOOKUP($A70, DailyData!$A$2:$A$2516, DailyData!M$2:M$2516, " ")</f>
        <v>3.03</v>
      </c>
    </row>
    <row r="71" spans="1:11">
      <c r="A71" s="1">
        <v>44013</v>
      </c>
      <c r="B71">
        <f>_xlfn.XLOOKUP(A71, DailyData!$A$2:$A$2516, DailyData!$D$2:$D$2516, " ")</f>
        <v>310.52</v>
      </c>
      <c r="C71">
        <f>_xlfn.XLOOKUP($A71, DailyData!$A$2:$A$2516, DailyData!$E$2:$E$2516, " ")</f>
        <v>141.82</v>
      </c>
      <c r="D71">
        <f>_xlfn.XLOOKUP($A71, DailyData!$A$2:$A$2516, DailyData!F$2:F$2516, " ")</f>
        <v>163.41999999999999</v>
      </c>
      <c r="E71">
        <f>_xlfn.XLOOKUP($A71, DailyData!$A$2:$A$2516, DailyData!G$2:G$2516, " ")</f>
        <v>166.62</v>
      </c>
      <c r="F71">
        <f>_xlfn.XLOOKUP($A71, DailyData!$A$2:$A$2516, DailyData!H$2:H$2516, " ")</f>
        <v>80.34</v>
      </c>
      <c r="G71">
        <f>_xlfn.XLOOKUP($A71, DailyData!$A$2:$A$2516, DailyData!I$2:I$2516, " ")</f>
        <v>55.49</v>
      </c>
      <c r="H71">
        <f>_xlfn.XLOOKUP($A71, DailyData!$A$2:$A$2516, DailyData!J$2:J$2516, " ")</f>
        <v>544.32000000000005</v>
      </c>
      <c r="I71">
        <f>_xlfn.XLOOKUP($A71, DailyData!$A$2:$A$2516, DailyData!K$2:K$2516, " ")</f>
        <v>360.42</v>
      </c>
      <c r="J71">
        <f>_xlfn.XLOOKUP($A71, DailyData!$A$2:$A$2516, DailyData!L$2:L$2516, " ")</f>
        <v>100.84</v>
      </c>
      <c r="K71">
        <f>_xlfn.XLOOKUP($A71, DailyData!$A$2:$A$2516, DailyData!M$2:M$2516, " ")</f>
        <v>2.79</v>
      </c>
    </row>
    <row r="72" spans="1:11">
      <c r="A72" s="1">
        <v>43983</v>
      </c>
      <c r="B72">
        <f>_xlfn.XLOOKUP(A72, DailyData!$A$2:$A$2516, DailyData!$D$2:$D$2516, " ")</f>
        <v>305.55</v>
      </c>
      <c r="C72">
        <f>_xlfn.XLOOKUP($A72, DailyData!$A$2:$A$2516, DailyData!$E$2:$E$2516, " ")</f>
        <v>140.22999999999999</v>
      </c>
      <c r="D72">
        <f>_xlfn.XLOOKUP($A72, DailyData!$A$2:$A$2516, DailyData!F$2:F$2516, " ")</f>
        <v>162.28</v>
      </c>
      <c r="E72">
        <f>_xlfn.XLOOKUP($A72, DailyData!$A$2:$A$2516, DailyData!G$2:G$2516, " ")</f>
        <v>163.66</v>
      </c>
      <c r="F72">
        <f>_xlfn.XLOOKUP($A72, DailyData!$A$2:$A$2516, DailyData!H$2:H$2516, " ")</f>
        <v>79.22</v>
      </c>
      <c r="G72">
        <f>_xlfn.XLOOKUP($A72, DailyData!$A$2:$A$2516, DailyData!I$2:I$2516, " ")</f>
        <v>53.06</v>
      </c>
      <c r="H72">
        <f>_xlfn.XLOOKUP($A72, DailyData!$A$2:$A$2516, DailyData!J$2:J$2516, " ")</f>
        <v>538.23</v>
      </c>
      <c r="I72">
        <f>_xlfn.XLOOKUP($A72, DailyData!$A$2:$A$2516, DailyData!K$2:K$2516, " ")</f>
        <v>388.96</v>
      </c>
      <c r="J72">
        <f>_xlfn.XLOOKUP($A72, DailyData!$A$2:$A$2516, DailyData!L$2:L$2516, " ")</f>
        <v>101.99</v>
      </c>
      <c r="K72">
        <f>_xlfn.XLOOKUP($A72, DailyData!$A$2:$A$2516, DailyData!M$2:M$2516, " ")</f>
        <v>2.66</v>
      </c>
    </row>
    <row r="73" spans="1:11">
      <c r="A73" s="1">
        <v>43952</v>
      </c>
      <c r="B73">
        <f>_xlfn.XLOOKUP(A73, DailyData!$A$2:$A$2516, DailyData!$D$2:$D$2516, " ")</f>
        <v>282.79000000000002</v>
      </c>
      <c r="C73">
        <f>_xlfn.XLOOKUP($A73, DailyData!$A$2:$A$2516, DailyData!$E$2:$E$2516, " ")</f>
        <v>125.14</v>
      </c>
      <c r="D73">
        <f>_xlfn.XLOOKUP($A73, DailyData!$A$2:$A$2516, DailyData!F$2:F$2516, " ")</f>
        <v>167.95</v>
      </c>
      <c r="E73">
        <f>_xlfn.XLOOKUP($A73, DailyData!$A$2:$A$2516, DailyData!G$2:G$2516, " ")</f>
        <v>159.78</v>
      </c>
      <c r="F73">
        <f>_xlfn.XLOOKUP($A73, DailyData!$A$2:$A$2516, DailyData!H$2:H$2516, " ")</f>
        <v>73.540000000000006</v>
      </c>
      <c r="G73">
        <f>_xlfn.XLOOKUP($A73, DailyData!$A$2:$A$2516, DailyData!I$2:I$2516, " ")</f>
        <v>51.79</v>
      </c>
      <c r="H73">
        <f>_xlfn.XLOOKUP($A73, DailyData!$A$2:$A$2516, DailyData!J$2:J$2516, " ")</f>
        <v>484.16</v>
      </c>
      <c r="I73">
        <f>_xlfn.XLOOKUP($A73, DailyData!$A$2:$A$2516, DailyData!K$2:K$2516, " ")</f>
        <v>383.47</v>
      </c>
      <c r="J73">
        <f>_xlfn.XLOOKUP($A73, DailyData!$A$2:$A$2516, DailyData!L$2:L$2516, " ")</f>
        <v>97.83</v>
      </c>
      <c r="K73">
        <f>_xlfn.XLOOKUP($A73, DailyData!$A$2:$A$2516, DailyData!M$2:M$2516, " ")</f>
        <v>2.2200000000000002</v>
      </c>
    </row>
    <row r="74" spans="1:11">
      <c r="A74" s="1">
        <v>43922</v>
      </c>
      <c r="B74">
        <f>_xlfn.XLOOKUP(A74, DailyData!$A$2:$A$2516, DailyData!$D$2:$D$2516, " ")</f>
        <v>246.15</v>
      </c>
      <c r="C74">
        <f>_xlfn.XLOOKUP($A74, DailyData!$A$2:$A$2516, DailyData!$E$2:$E$2516, " ")</f>
        <v>106.66</v>
      </c>
      <c r="D74">
        <f>_xlfn.XLOOKUP($A74, DailyData!$A$2:$A$2516, DailyData!F$2:F$2516, " ")</f>
        <v>167.04</v>
      </c>
      <c r="E74">
        <f>_xlfn.XLOOKUP($A74, DailyData!$A$2:$A$2516, DailyData!G$2:G$2516, " ")</f>
        <v>149.44999999999999</v>
      </c>
      <c r="F74">
        <f>_xlfn.XLOOKUP($A74, DailyData!$A$2:$A$2516, DailyData!H$2:H$2516, " ")</f>
        <v>65.260000000000005</v>
      </c>
      <c r="G74">
        <f>_xlfn.XLOOKUP($A74, DailyData!$A$2:$A$2516, DailyData!I$2:I$2516, " ")</f>
        <v>48.71</v>
      </c>
      <c r="H74">
        <f>_xlfn.XLOOKUP($A74, DailyData!$A$2:$A$2516, DailyData!J$2:J$2516, " ")</f>
        <v>409.54</v>
      </c>
      <c r="I74">
        <f>_xlfn.XLOOKUP($A74, DailyData!$A$2:$A$2516, DailyData!K$2:K$2516, " ")</f>
        <v>338.52</v>
      </c>
      <c r="J74">
        <f>_xlfn.XLOOKUP($A74, DailyData!$A$2:$A$2516, DailyData!L$2:L$2516, " ")</f>
        <v>85.21</v>
      </c>
      <c r="K74">
        <f>_xlfn.XLOOKUP($A74, DailyData!$A$2:$A$2516, DailyData!M$2:M$2516, " ")</f>
        <v>2.0499999999999998</v>
      </c>
    </row>
    <row r="75" spans="1:11">
      <c r="A75" s="1">
        <v>43892</v>
      </c>
      <c r="B75">
        <f>_xlfn.XLOOKUP(A75, DailyData!$A$2:$A$2516, DailyData!$D$2:$D$2516, " ")</f>
        <v>309.08999999999997</v>
      </c>
      <c r="C75">
        <f>_xlfn.XLOOKUP($A75, DailyData!$A$2:$A$2516, DailyData!$E$2:$E$2516, " ")</f>
        <v>151.03</v>
      </c>
      <c r="D75">
        <f>_xlfn.XLOOKUP($A75, DailyData!$A$2:$A$2516, DailyData!F$2:F$2516, " ")</f>
        <v>153.94</v>
      </c>
      <c r="E75">
        <f>_xlfn.XLOOKUP($A75, DailyData!$A$2:$A$2516, DailyData!G$2:G$2516, " ")</f>
        <v>149.19999999999999</v>
      </c>
      <c r="F75">
        <f>_xlfn.XLOOKUP($A75, DailyData!$A$2:$A$2516, DailyData!H$2:H$2516, " ")</f>
        <v>91.06</v>
      </c>
      <c r="G75">
        <f>_xlfn.XLOOKUP($A75, DailyData!$A$2:$A$2516, DailyData!I$2:I$2516, " ")</f>
        <v>50.9</v>
      </c>
      <c r="H75">
        <f>_xlfn.XLOOKUP($A75, DailyData!$A$2:$A$2516, DailyData!J$2:J$2516, " ")</f>
        <v>487.94</v>
      </c>
      <c r="I75">
        <f>_xlfn.XLOOKUP($A75, DailyData!$A$2:$A$2516, DailyData!K$2:K$2516, " ")</f>
        <v>381.35</v>
      </c>
      <c r="J75">
        <f>_xlfn.XLOOKUP($A75, DailyData!$A$2:$A$2516, DailyData!L$2:L$2516, " ")</f>
        <v>96.95</v>
      </c>
      <c r="K75">
        <f>_xlfn.XLOOKUP($A75, DailyData!$A$2:$A$2516, DailyData!M$2:M$2516, " ")</f>
        <v>2.62</v>
      </c>
    </row>
    <row r="76" spans="1:11">
      <c r="A76" s="1">
        <v>43864</v>
      </c>
      <c r="B76">
        <f>_xlfn.XLOOKUP(A76, DailyData!$A$2:$A$2516, DailyData!$D$2:$D$2516, " ")</f>
        <v>324.12</v>
      </c>
      <c r="C76">
        <f>_xlfn.XLOOKUP($A76, DailyData!$A$2:$A$2516, DailyData!$E$2:$E$2516, " ")</f>
        <v>162.32</v>
      </c>
      <c r="D76">
        <f>_xlfn.XLOOKUP($A76, DailyData!$A$2:$A$2516, DailyData!F$2:F$2516, " ")</f>
        <v>145.54</v>
      </c>
      <c r="E76">
        <f>_xlfn.XLOOKUP($A76, DailyData!$A$2:$A$2516, DailyData!G$2:G$2516, " ")</f>
        <v>148.36000000000001</v>
      </c>
      <c r="F76">
        <f>_xlfn.XLOOKUP($A76, DailyData!$A$2:$A$2516, DailyData!H$2:H$2516, " ")</f>
        <v>94.24</v>
      </c>
      <c r="G76">
        <f>_xlfn.XLOOKUP($A76, DailyData!$A$2:$A$2516, DailyData!I$2:I$2516, " ")</f>
        <v>53.09</v>
      </c>
      <c r="H76">
        <f>_xlfn.XLOOKUP($A76, DailyData!$A$2:$A$2516, DailyData!J$2:J$2516, " ")</f>
        <v>530.08000000000004</v>
      </c>
      <c r="I76">
        <f>_xlfn.XLOOKUP($A76, DailyData!$A$2:$A$2516, DailyData!K$2:K$2516, " ")</f>
        <v>423.86</v>
      </c>
      <c r="J76">
        <f>_xlfn.XLOOKUP($A76, DailyData!$A$2:$A$2516, DailyData!L$2:L$2516, " ")</f>
        <v>100.04</v>
      </c>
      <c r="K76">
        <f>_xlfn.XLOOKUP($A76, DailyData!$A$2:$A$2516, DailyData!M$2:M$2516, " ")</f>
        <v>2.87</v>
      </c>
    </row>
    <row r="77" spans="1:11">
      <c r="A77" s="1">
        <v>43832</v>
      </c>
      <c r="B77">
        <f>_xlfn.XLOOKUP(A77, DailyData!$A$2:$A$2516, DailyData!$D$2:$D$2516, " ")</f>
        <v>324.87</v>
      </c>
      <c r="C77">
        <f>_xlfn.XLOOKUP($A77, DailyData!$A$2:$A$2516, DailyData!$E$2:$E$2516, " ")</f>
        <v>165.78</v>
      </c>
      <c r="D77">
        <f>_xlfn.XLOOKUP($A77, DailyData!$A$2:$A$2516, DailyData!F$2:F$2516, " ")</f>
        <v>137.01499999999999</v>
      </c>
      <c r="E77">
        <f>_xlfn.XLOOKUP($A77, DailyData!$A$2:$A$2516, DailyData!G$2:G$2516, " ")</f>
        <v>143.94999999999999</v>
      </c>
      <c r="F77">
        <f>_xlfn.XLOOKUP($A77, DailyData!$A$2:$A$2516, DailyData!H$2:H$2516, " ")</f>
        <v>91.7</v>
      </c>
      <c r="G77">
        <f>_xlfn.XLOOKUP($A77, DailyData!$A$2:$A$2516, DailyData!I$2:I$2516, " ")</f>
        <v>53.95</v>
      </c>
      <c r="H77">
        <f>_xlfn.XLOOKUP($A77, DailyData!$A$2:$A$2516, DailyData!J$2:J$2516, " ")</f>
        <v>508.98</v>
      </c>
      <c r="I77">
        <f>_xlfn.XLOOKUP($A77, DailyData!$A$2:$A$2516, DailyData!K$2:K$2516, " ")</f>
        <v>399.37</v>
      </c>
      <c r="J77">
        <f>_xlfn.XLOOKUP($A77, DailyData!$A$2:$A$2516, DailyData!L$2:L$2516, " ")</f>
        <v>102.13</v>
      </c>
      <c r="K77">
        <f>_xlfn.XLOOKUP($A77, DailyData!$A$2:$A$2516, DailyData!M$2:M$2516, " ")</f>
        <v>2.36</v>
      </c>
    </row>
    <row r="78" spans="1:11">
      <c r="A78" s="1">
        <v>43801</v>
      </c>
      <c r="B78">
        <f>_xlfn.XLOOKUP(A78, DailyData!$A$2:$A$2516, DailyData!$D$2:$D$2516, " ")</f>
        <v>311.64</v>
      </c>
      <c r="C78">
        <f>_xlfn.XLOOKUP($A78, DailyData!$A$2:$A$2516, DailyData!$E$2:$E$2516, " ")</f>
        <v>160.19</v>
      </c>
      <c r="D78">
        <f>_xlfn.XLOOKUP($A78, DailyData!$A$2:$A$2516, DailyData!F$2:F$2516, " ")</f>
        <v>138.31</v>
      </c>
      <c r="E78">
        <f>_xlfn.XLOOKUP($A78, DailyData!$A$2:$A$2516, DailyData!G$2:G$2516, " ")</f>
        <v>137.79</v>
      </c>
      <c r="F78">
        <f>_xlfn.XLOOKUP($A78, DailyData!$A$2:$A$2516, DailyData!H$2:H$2516, " ")</f>
        <v>91.66</v>
      </c>
      <c r="G78">
        <f>_xlfn.XLOOKUP($A78, DailyData!$A$2:$A$2516, DailyData!I$2:I$2516, " ")</f>
        <v>55.43</v>
      </c>
      <c r="H78">
        <f>_xlfn.XLOOKUP($A78, DailyData!$A$2:$A$2516, DailyData!J$2:J$2516, " ")</f>
        <v>489.7</v>
      </c>
      <c r="I78">
        <f>_xlfn.XLOOKUP($A78, DailyData!$A$2:$A$2516, DailyData!K$2:K$2516, " ")</f>
        <v>383.62</v>
      </c>
      <c r="J78">
        <f>_xlfn.XLOOKUP($A78, DailyData!$A$2:$A$2516, DailyData!L$2:L$2516, " ")</f>
        <v>99.05</v>
      </c>
      <c r="K78">
        <f>_xlfn.XLOOKUP($A78, DailyData!$A$2:$A$2516, DailyData!M$2:M$2516, " ")</f>
        <v>2.15</v>
      </c>
    </row>
    <row r="79" spans="1:11">
      <c r="A79" s="1">
        <v>43770</v>
      </c>
      <c r="B79">
        <f>_xlfn.XLOOKUP(A79, DailyData!$A$2:$A$2516, DailyData!$D$2:$D$2516, " ")</f>
        <v>306.14</v>
      </c>
      <c r="C79">
        <f>_xlfn.XLOOKUP($A79, DailyData!$A$2:$A$2516, DailyData!$E$2:$E$2516, " ")</f>
        <v>158.1</v>
      </c>
      <c r="D79">
        <f>_xlfn.XLOOKUP($A79, DailyData!$A$2:$A$2516, DailyData!F$2:F$2516, " ")</f>
        <v>140.56</v>
      </c>
      <c r="E79">
        <f>_xlfn.XLOOKUP($A79, DailyData!$A$2:$A$2516, DailyData!G$2:G$2516, " ")</f>
        <v>142.56</v>
      </c>
      <c r="F79">
        <f>_xlfn.XLOOKUP($A79, DailyData!$A$2:$A$2516, DailyData!H$2:H$2516, " ")</f>
        <v>94.28</v>
      </c>
      <c r="G79">
        <f>_xlfn.XLOOKUP($A79, DailyData!$A$2:$A$2516, DailyData!I$2:I$2516, " ")</f>
        <v>55</v>
      </c>
      <c r="H79">
        <f>_xlfn.XLOOKUP($A79, DailyData!$A$2:$A$2516, DailyData!J$2:J$2516, " ")</f>
        <v>469.17</v>
      </c>
      <c r="I79">
        <f>_xlfn.XLOOKUP($A79, DailyData!$A$2:$A$2516, DailyData!K$2:K$2516, " ")</f>
        <v>379.17</v>
      </c>
      <c r="J79">
        <f>_xlfn.XLOOKUP($A79, DailyData!$A$2:$A$2516, DailyData!L$2:L$2516, " ")</f>
        <v>94.87</v>
      </c>
      <c r="K79">
        <f>_xlfn.XLOOKUP($A79, DailyData!$A$2:$A$2516, DailyData!M$2:M$2516, " ")</f>
        <v>2.0499999999999998</v>
      </c>
    </row>
    <row r="80" spans="1:11">
      <c r="A80" s="1">
        <v>43739</v>
      </c>
      <c r="B80">
        <f>_xlfn.XLOOKUP(A80, DailyData!$A$2:$A$2516, DailyData!$D$2:$D$2516, " ")</f>
        <v>293.24</v>
      </c>
      <c r="C80">
        <f>_xlfn.XLOOKUP($A80, DailyData!$A$2:$A$2516, DailyData!$E$2:$E$2516, " ")</f>
        <v>148.37</v>
      </c>
      <c r="D80">
        <f>_xlfn.XLOOKUP($A80, DailyData!$A$2:$A$2516, DailyData!F$2:F$2516, " ")</f>
        <v>143.26</v>
      </c>
      <c r="E80">
        <f>_xlfn.XLOOKUP($A80, DailyData!$A$2:$A$2516, DailyData!G$2:G$2516, " ")</f>
        <v>139.63</v>
      </c>
      <c r="F80">
        <f>_xlfn.XLOOKUP($A80, DailyData!$A$2:$A$2516, DailyData!H$2:H$2516, " ")</f>
        <v>92.37</v>
      </c>
      <c r="G80">
        <f>_xlfn.XLOOKUP($A80, DailyData!$A$2:$A$2516, DailyData!I$2:I$2516, " ")</f>
        <v>53.8</v>
      </c>
      <c r="H80">
        <f>_xlfn.XLOOKUP($A80, DailyData!$A$2:$A$2516, DailyData!J$2:J$2516, " ")</f>
        <v>433.69</v>
      </c>
      <c r="I80">
        <f>_xlfn.XLOOKUP($A80, DailyData!$A$2:$A$2516, DailyData!K$2:K$2516, " ")</f>
        <v>384.19</v>
      </c>
      <c r="J80">
        <f>_xlfn.XLOOKUP($A80, DailyData!$A$2:$A$2516, DailyData!L$2:L$2516, " ")</f>
        <v>89.25</v>
      </c>
      <c r="K80">
        <f>_xlfn.XLOOKUP($A80, DailyData!$A$2:$A$2516, DailyData!M$2:M$2516, " ")</f>
        <v>1.94</v>
      </c>
    </row>
    <row r="81" spans="1:11">
      <c r="A81" s="1">
        <v>43711</v>
      </c>
      <c r="B81">
        <f>_xlfn.XLOOKUP(A81, DailyData!$A$2:$A$2516, DailyData!$D$2:$D$2516, " ")</f>
        <v>290.74</v>
      </c>
      <c r="C81">
        <f>_xlfn.XLOOKUP($A81, DailyData!$A$2:$A$2516, DailyData!$E$2:$E$2516, " ")</f>
        <v>146.66</v>
      </c>
      <c r="D81">
        <f>_xlfn.XLOOKUP($A81, DailyData!$A$2:$A$2516, DailyData!F$2:F$2516, " ")</f>
        <v>147.21</v>
      </c>
      <c r="E81">
        <f>_xlfn.XLOOKUP($A81, DailyData!$A$2:$A$2516, DailyData!G$2:G$2516, " ")</f>
        <v>145.75</v>
      </c>
      <c r="F81">
        <f>_xlfn.XLOOKUP($A81, DailyData!$A$2:$A$2516, DailyData!H$2:H$2516, " ")</f>
        <v>93.14</v>
      </c>
      <c r="G81">
        <f>_xlfn.XLOOKUP($A81, DailyData!$A$2:$A$2516, DailyData!I$2:I$2516, " ")</f>
        <v>51.89</v>
      </c>
      <c r="H81">
        <f>_xlfn.XLOOKUP($A81, DailyData!$A$2:$A$2516, DailyData!J$2:J$2516, " ")</f>
        <v>415.82</v>
      </c>
      <c r="I81">
        <f>_xlfn.XLOOKUP($A81, DailyData!$A$2:$A$2516, DailyData!K$2:K$2516, " ")</f>
        <v>384.69</v>
      </c>
      <c r="J81">
        <f>_xlfn.XLOOKUP($A81, DailyData!$A$2:$A$2516, DailyData!L$2:L$2516, " ")</f>
        <v>90.07</v>
      </c>
      <c r="K81">
        <f>_xlfn.XLOOKUP($A81, DailyData!$A$2:$A$2516, DailyData!M$2:M$2516, " ")</f>
        <v>1.84</v>
      </c>
    </row>
    <row r="82" spans="1:11">
      <c r="A82" s="1">
        <v>43678</v>
      </c>
      <c r="B82">
        <f>_xlfn.XLOOKUP(A82, DailyData!$A$2:$A$2516, DailyData!$D$2:$D$2516, " ")</f>
        <v>294.83999999999997</v>
      </c>
      <c r="C82">
        <f>_xlfn.XLOOKUP($A82, DailyData!$A$2:$A$2516, DailyData!$E$2:$E$2516, " ")</f>
        <v>154.29</v>
      </c>
      <c r="D82">
        <f>_xlfn.XLOOKUP($A82, DailyData!$A$2:$A$2516, DailyData!F$2:F$2516, " ")</f>
        <v>135.26</v>
      </c>
      <c r="E82">
        <f>_xlfn.XLOOKUP($A82, DailyData!$A$2:$A$2516, DailyData!G$2:G$2516, " ")</f>
        <v>136.41</v>
      </c>
      <c r="F82">
        <f>_xlfn.XLOOKUP($A82, DailyData!$A$2:$A$2516, DailyData!H$2:H$2516, " ")</f>
        <v>88.89</v>
      </c>
      <c r="G82">
        <f>_xlfn.XLOOKUP($A82, DailyData!$A$2:$A$2516, DailyData!I$2:I$2516, " ")</f>
        <v>55.88</v>
      </c>
      <c r="H82">
        <f>_xlfn.XLOOKUP($A82, DailyData!$A$2:$A$2516, DailyData!J$2:J$2516, " ")</f>
        <v>451.95</v>
      </c>
      <c r="I82">
        <f>_xlfn.XLOOKUP($A82, DailyData!$A$2:$A$2516, DailyData!K$2:K$2516, " ")</f>
        <v>363.09</v>
      </c>
      <c r="J82">
        <f>_xlfn.XLOOKUP($A82, DailyData!$A$2:$A$2516, DailyData!L$2:L$2516, " ")</f>
        <v>91.26</v>
      </c>
      <c r="K82">
        <f>_xlfn.XLOOKUP($A82, DailyData!$A$2:$A$2516, DailyData!M$2:M$2516, " ")</f>
        <v>1.81</v>
      </c>
    </row>
    <row r="83" spans="1:11">
      <c r="A83" s="1">
        <v>43647</v>
      </c>
      <c r="B83">
        <f>_xlfn.XLOOKUP(A83, DailyData!$A$2:$A$2516, DailyData!$D$2:$D$2516, " ")</f>
        <v>295.66000000000003</v>
      </c>
      <c r="C83">
        <f>_xlfn.XLOOKUP($A83, DailyData!$A$2:$A$2516, DailyData!$E$2:$E$2516, " ")</f>
        <v>156.1</v>
      </c>
      <c r="D83">
        <f>_xlfn.XLOOKUP($A83, DailyData!$A$2:$A$2516, DailyData!F$2:F$2516, " ")</f>
        <v>132.24</v>
      </c>
      <c r="E83">
        <f>_xlfn.XLOOKUP($A83, DailyData!$A$2:$A$2516, DailyData!G$2:G$2516, " ")</f>
        <v>130.62</v>
      </c>
      <c r="F83">
        <f>_xlfn.XLOOKUP($A83, DailyData!$A$2:$A$2516, DailyData!H$2:H$2516, " ")</f>
        <v>87.36</v>
      </c>
      <c r="G83">
        <f>_xlfn.XLOOKUP($A83, DailyData!$A$2:$A$2516, DailyData!I$2:I$2516, " ")</f>
        <v>58.01</v>
      </c>
      <c r="H83">
        <f>_xlfn.XLOOKUP($A83, DailyData!$A$2:$A$2516, DailyData!J$2:J$2516, " ")</f>
        <v>472.93</v>
      </c>
      <c r="I83">
        <f>_xlfn.XLOOKUP($A83, DailyData!$A$2:$A$2516, DailyData!K$2:K$2516, " ")</f>
        <v>361.47</v>
      </c>
      <c r="J83">
        <f>_xlfn.XLOOKUP($A83, DailyData!$A$2:$A$2516, DailyData!L$2:L$2516, " ")</f>
        <v>93.1</v>
      </c>
      <c r="K83">
        <f>_xlfn.XLOOKUP($A83, DailyData!$A$2:$A$2516, DailyData!M$2:M$2516, " ")</f>
        <v>1.93</v>
      </c>
    </row>
    <row r="84" spans="1:11">
      <c r="A84" s="1">
        <v>43619</v>
      </c>
      <c r="B84">
        <f>_xlfn.XLOOKUP(A84, DailyData!$A$2:$A$2516, DailyData!$D$2:$D$2516, " ")</f>
        <v>274.57</v>
      </c>
      <c r="C84">
        <f>_xlfn.XLOOKUP($A84, DailyData!$A$2:$A$2516, DailyData!$E$2:$E$2516, " ")</f>
        <v>146.37</v>
      </c>
      <c r="D84">
        <f>_xlfn.XLOOKUP($A84, DailyData!$A$2:$A$2516, DailyData!F$2:F$2516, " ")</f>
        <v>132.44</v>
      </c>
      <c r="E84">
        <f>_xlfn.XLOOKUP($A84, DailyData!$A$2:$A$2516, DailyData!G$2:G$2516, " ")</f>
        <v>125.11</v>
      </c>
      <c r="F84">
        <f>_xlfn.XLOOKUP($A84, DailyData!$A$2:$A$2516, DailyData!H$2:H$2516, " ")</f>
        <v>87.1</v>
      </c>
      <c r="G84">
        <f>_xlfn.XLOOKUP($A84, DailyData!$A$2:$A$2516, DailyData!I$2:I$2516, " ")</f>
        <v>50.24</v>
      </c>
      <c r="H84">
        <f>_xlfn.XLOOKUP($A84, DailyData!$A$2:$A$2516, DailyData!J$2:J$2516, " ")</f>
        <v>419.9</v>
      </c>
      <c r="I84">
        <f>_xlfn.XLOOKUP($A84, DailyData!$A$2:$A$2516, DailyData!K$2:K$2516, " ")</f>
        <v>344.57</v>
      </c>
      <c r="J84">
        <f>_xlfn.XLOOKUP($A84, DailyData!$A$2:$A$2516, DailyData!L$2:L$2516, " ")</f>
        <v>87.49</v>
      </c>
      <c r="K84">
        <f>_xlfn.XLOOKUP($A84, DailyData!$A$2:$A$2516, DailyData!M$2:M$2516, " ")</f>
        <v>1.93</v>
      </c>
    </row>
    <row r="85" spans="1:11">
      <c r="A85" s="1">
        <v>43586</v>
      </c>
      <c r="B85">
        <f>_xlfn.XLOOKUP(A85, DailyData!$A$2:$A$2516, DailyData!$D$2:$D$2516, " ")</f>
        <v>291.81</v>
      </c>
      <c r="C85">
        <f>_xlfn.XLOOKUP($A85, DailyData!$A$2:$A$2516, DailyData!$E$2:$E$2516, " ")</f>
        <v>156.79</v>
      </c>
      <c r="D85">
        <f>_xlfn.XLOOKUP($A85, DailyData!$A$2:$A$2516, DailyData!F$2:F$2516, " ")</f>
        <v>123.9</v>
      </c>
      <c r="E85">
        <f>_xlfn.XLOOKUP($A85, DailyData!$A$2:$A$2516, DailyData!G$2:G$2516, " ")</f>
        <v>120.4</v>
      </c>
      <c r="F85">
        <f>_xlfn.XLOOKUP($A85, DailyData!$A$2:$A$2516, DailyData!H$2:H$2516, " ")</f>
        <v>86.84</v>
      </c>
      <c r="G85">
        <f>_xlfn.XLOOKUP($A85, DailyData!$A$2:$A$2516, DailyData!I$2:I$2516, " ")</f>
        <v>54.88</v>
      </c>
      <c r="H85">
        <f>_xlfn.XLOOKUP($A85, DailyData!$A$2:$A$2516, DailyData!J$2:J$2516, " ")</f>
        <v>479.13</v>
      </c>
      <c r="I85">
        <f>_xlfn.XLOOKUP($A85, DailyData!$A$2:$A$2516, DailyData!K$2:K$2516, " ")</f>
        <v>331.85</v>
      </c>
      <c r="J85">
        <f>_xlfn.XLOOKUP($A85, DailyData!$A$2:$A$2516, DailyData!L$2:L$2516, " ")</f>
        <v>89.1</v>
      </c>
      <c r="K85">
        <f>_xlfn.XLOOKUP($A85, DailyData!$A$2:$A$2516, DailyData!M$2:M$2516, " ")</f>
        <v>2.29</v>
      </c>
    </row>
    <row r="86" spans="1:11">
      <c r="A86" s="1">
        <v>43556</v>
      </c>
      <c r="B86">
        <f>_xlfn.XLOOKUP(A86, DailyData!$A$2:$A$2516, DailyData!$D$2:$D$2516, " ")</f>
        <v>285.83</v>
      </c>
      <c r="C86">
        <f>_xlfn.XLOOKUP($A86, DailyData!$A$2:$A$2516, DailyData!$E$2:$E$2516, " ")</f>
        <v>154.76</v>
      </c>
      <c r="D86">
        <f>_xlfn.XLOOKUP($A86, DailyData!$A$2:$A$2516, DailyData!F$2:F$2516, " ")</f>
        <v>124.37</v>
      </c>
      <c r="E86">
        <f>_xlfn.XLOOKUP($A86, DailyData!$A$2:$A$2516, DailyData!G$2:G$2516, " ")</f>
        <v>121.53</v>
      </c>
      <c r="F86">
        <f>_xlfn.XLOOKUP($A86, DailyData!$A$2:$A$2516, DailyData!H$2:H$2516, " ")</f>
        <v>86.86</v>
      </c>
      <c r="G86">
        <f>_xlfn.XLOOKUP($A86, DailyData!$A$2:$A$2516, DailyData!I$2:I$2516, " ")</f>
        <v>54.58</v>
      </c>
      <c r="H86">
        <f>_xlfn.XLOOKUP($A86, DailyData!$A$2:$A$2516, DailyData!J$2:J$2516, " ")</f>
        <v>438.39</v>
      </c>
      <c r="I86">
        <f>_xlfn.XLOOKUP($A86, DailyData!$A$2:$A$2516, DailyData!K$2:K$2516, " ")</f>
        <v>304.29000000000002</v>
      </c>
      <c r="J86">
        <f>_xlfn.XLOOKUP($A86, DailyData!$A$2:$A$2516, DailyData!L$2:L$2516, " ")</f>
        <v>91.89</v>
      </c>
      <c r="K86">
        <f>_xlfn.XLOOKUP($A86, DailyData!$A$2:$A$2516, DailyData!M$2:M$2516, " ")</f>
        <v>2.19</v>
      </c>
    </row>
    <row r="87" spans="1:11">
      <c r="A87" s="1">
        <v>43525</v>
      </c>
      <c r="B87">
        <f>_xlfn.XLOOKUP(A87, DailyData!$A$2:$A$2516, DailyData!$D$2:$D$2516, " ")</f>
        <v>280.42</v>
      </c>
      <c r="C87">
        <f>_xlfn.XLOOKUP($A87, DailyData!$A$2:$A$2516, DailyData!$E$2:$E$2516, " ")</f>
        <v>158.24</v>
      </c>
      <c r="D87">
        <f>_xlfn.XLOOKUP($A87, DailyData!$A$2:$A$2516, DailyData!F$2:F$2516, " ")</f>
        <v>118.66</v>
      </c>
      <c r="E87">
        <f>_xlfn.XLOOKUP($A87, DailyData!$A$2:$A$2516, DailyData!G$2:G$2516, " ")</f>
        <v>121.88</v>
      </c>
      <c r="F87">
        <f>_xlfn.XLOOKUP($A87, DailyData!$A$2:$A$2516, DailyData!H$2:H$2516, " ")</f>
        <v>83.73</v>
      </c>
      <c r="G87">
        <f>_xlfn.XLOOKUP($A87, DailyData!$A$2:$A$2516, DailyData!I$2:I$2516, " ")</f>
        <v>52.51</v>
      </c>
      <c r="H87">
        <f>_xlfn.XLOOKUP($A87, DailyData!$A$2:$A$2516, DailyData!J$2:J$2516, " ")</f>
        <v>443.77</v>
      </c>
      <c r="I87">
        <f>_xlfn.XLOOKUP($A87, DailyData!$A$2:$A$2516, DailyData!K$2:K$2516, " ")</f>
        <v>309.47000000000003</v>
      </c>
      <c r="J87">
        <f>_xlfn.XLOOKUP($A87, DailyData!$A$2:$A$2516, DailyData!L$2:L$2516, " ")</f>
        <v>92.95</v>
      </c>
      <c r="K87">
        <f>_xlfn.XLOOKUP($A87, DailyData!$A$2:$A$2516, DailyData!M$2:M$2516, " ")</f>
        <v>1.96</v>
      </c>
    </row>
    <row r="88" spans="1:11">
      <c r="A88" s="1">
        <v>43497</v>
      </c>
      <c r="B88">
        <f>_xlfn.XLOOKUP(A88, DailyData!$A$2:$A$2516, DailyData!$D$2:$D$2516, " ")</f>
        <v>270.06</v>
      </c>
      <c r="C88">
        <f>_xlfn.XLOOKUP($A88, DailyData!$A$2:$A$2516, DailyData!$E$2:$E$2516, " ")</f>
        <v>149.18</v>
      </c>
      <c r="D88">
        <f>_xlfn.XLOOKUP($A88, DailyData!$A$2:$A$2516, DailyData!F$2:F$2516, " ")</f>
        <v>120.96</v>
      </c>
      <c r="E88">
        <f>_xlfn.XLOOKUP($A88, DailyData!$A$2:$A$2516, DailyData!G$2:G$2516, " ")</f>
        <v>124.5</v>
      </c>
      <c r="F88">
        <f>_xlfn.XLOOKUP($A88, DailyData!$A$2:$A$2516, DailyData!H$2:H$2516, " ")</f>
        <v>82.88</v>
      </c>
      <c r="G88">
        <f>_xlfn.XLOOKUP($A88, DailyData!$A$2:$A$2516, DailyData!I$2:I$2516, " ")</f>
        <v>50.81</v>
      </c>
      <c r="H88">
        <f>_xlfn.XLOOKUP($A88, DailyData!$A$2:$A$2516, DailyData!J$2:J$2516, " ")</f>
        <v>416.81</v>
      </c>
      <c r="I88">
        <f>_xlfn.XLOOKUP($A88, DailyData!$A$2:$A$2516, DailyData!K$2:K$2516, " ")</f>
        <v>290.58</v>
      </c>
      <c r="J88">
        <f>_xlfn.XLOOKUP($A88, DailyData!$A$2:$A$2516, DailyData!L$2:L$2516, " ")</f>
        <v>90.75</v>
      </c>
      <c r="K88">
        <f>_xlfn.XLOOKUP($A88, DailyData!$A$2:$A$2516, DailyData!M$2:M$2516, " ")</f>
        <v>1.53</v>
      </c>
    </row>
    <row r="89" spans="1:11">
      <c r="A89" s="1">
        <v>43467</v>
      </c>
      <c r="B89">
        <f>_xlfn.XLOOKUP(A89, DailyData!$A$2:$A$2516, DailyData!$D$2:$D$2516, " ")</f>
        <v>250.18</v>
      </c>
      <c r="C89">
        <f>_xlfn.XLOOKUP($A89, DailyData!$A$2:$A$2516, DailyData!$E$2:$E$2516, " ")</f>
        <v>134.66</v>
      </c>
      <c r="D89">
        <f>_xlfn.XLOOKUP($A89, DailyData!$A$2:$A$2516, DailyData!F$2:F$2516, " ")</f>
        <v>122.15</v>
      </c>
      <c r="E89">
        <f>_xlfn.XLOOKUP($A89, DailyData!$A$2:$A$2516, DailyData!G$2:G$2516, " ")</f>
        <v>121.33</v>
      </c>
      <c r="F89">
        <f>_xlfn.XLOOKUP($A89, DailyData!$A$2:$A$2516, DailyData!H$2:H$2516, " ")</f>
        <v>72.95</v>
      </c>
      <c r="G89">
        <f>_xlfn.XLOOKUP($A89, DailyData!$A$2:$A$2516, DailyData!I$2:I$2516, " ")</f>
        <v>45.22</v>
      </c>
      <c r="H89">
        <f>_xlfn.XLOOKUP($A89, DailyData!$A$2:$A$2516, DailyData!J$2:J$2516, " ")</f>
        <v>389.42</v>
      </c>
      <c r="I89">
        <f>_xlfn.XLOOKUP($A89, DailyData!$A$2:$A$2516, DailyData!K$2:K$2516, " ")</f>
        <v>264.73</v>
      </c>
      <c r="J89">
        <f>_xlfn.XLOOKUP($A89, DailyData!$A$2:$A$2516, DailyData!L$2:L$2516, " ")</f>
        <v>85.2</v>
      </c>
      <c r="K89">
        <f>_xlfn.XLOOKUP($A89, DailyData!$A$2:$A$2516, DailyData!M$2:M$2516, " ")</f>
        <v>1.51</v>
      </c>
    </row>
    <row r="90" spans="1:11">
      <c r="A90" s="1">
        <v>43437</v>
      </c>
      <c r="B90">
        <f>_xlfn.XLOOKUP(A90, DailyData!$A$2:$A$2516, DailyData!$D$2:$D$2516, " ")</f>
        <v>279.3</v>
      </c>
      <c r="C90">
        <f>_xlfn.XLOOKUP($A90, DailyData!$A$2:$A$2516, DailyData!$E$2:$E$2516, " ")</f>
        <v>154.08000000000001</v>
      </c>
      <c r="D90">
        <f>_xlfn.XLOOKUP($A90, DailyData!$A$2:$A$2516, DailyData!F$2:F$2516, " ")</f>
        <v>115.88</v>
      </c>
      <c r="E90">
        <f>_xlfn.XLOOKUP($A90, DailyData!$A$2:$A$2516, DailyData!G$2:G$2516, " ")</f>
        <v>116.41</v>
      </c>
      <c r="F90">
        <f>_xlfn.XLOOKUP($A90, DailyData!$A$2:$A$2516, DailyData!H$2:H$2516, " ")</f>
        <v>82.42</v>
      </c>
      <c r="G90">
        <f>_xlfn.XLOOKUP($A90, DailyData!$A$2:$A$2516, DailyData!I$2:I$2516, " ")</f>
        <v>49.83</v>
      </c>
      <c r="H90">
        <f>_xlfn.XLOOKUP($A90, DailyData!$A$2:$A$2516, DailyData!J$2:J$2516, " ")</f>
        <v>434.87</v>
      </c>
      <c r="I90">
        <f>_xlfn.XLOOKUP($A90, DailyData!$A$2:$A$2516, DailyData!K$2:K$2516, " ")</f>
        <v>296.79000000000002</v>
      </c>
      <c r="J90">
        <f>_xlfn.XLOOKUP($A90, DailyData!$A$2:$A$2516, DailyData!L$2:L$2516, " ")</f>
        <v>95.41</v>
      </c>
      <c r="K90">
        <f>_xlfn.XLOOKUP($A90, DailyData!$A$2:$A$2516, DailyData!M$2:M$2516, " ")</f>
        <v>1.5</v>
      </c>
    </row>
    <row r="91" spans="1:11">
      <c r="A91" s="1">
        <v>43405</v>
      </c>
      <c r="B91">
        <f>_xlfn.XLOOKUP(A91, DailyData!$A$2:$A$2516, DailyData!$D$2:$D$2516, " ")</f>
        <v>273.51</v>
      </c>
      <c r="C91">
        <f>_xlfn.XLOOKUP($A91, DailyData!$A$2:$A$2516, DailyData!$E$2:$E$2516, " ")</f>
        <v>153.49</v>
      </c>
      <c r="D91">
        <f>_xlfn.XLOOKUP($A91, DailyData!$A$2:$A$2516, DailyData!F$2:F$2516, " ")</f>
        <v>113.41</v>
      </c>
      <c r="E91">
        <f>_xlfn.XLOOKUP($A91, DailyData!$A$2:$A$2516, DailyData!G$2:G$2516, " ")</f>
        <v>116.63</v>
      </c>
      <c r="F91">
        <f>_xlfn.XLOOKUP($A91, DailyData!$A$2:$A$2516, DailyData!H$2:H$2516, " ")</f>
        <v>78.69</v>
      </c>
      <c r="G91">
        <f>_xlfn.XLOOKUP($A91, DailyData!$A$2:$A$2516, DailyData!I$2:I$2516, " ")</f>
        <v>48.59</v>
      </c>
      <c r="H91">
        <f>_xlfn.XLOOKUP($A91, DailyData!$A$2:$A$2516, DailyData!J$2:J$2516, " ")</f>
        <v>412.99</v>
      </c>
      <c r="I91">
        <f>_xlfn.XLOOKUP($A91, DailyData!$A$2:$A$2516, DailyData!K$2:K$2516, " ")</f>
        <v>299.42</v>
      </c>
      <c r="J91">
        <f>_xlfn.XLOOKUP($A91, DailyData!$A$2:$A$2516, DailyData!L$2:L$2516, " ")</f>
        <v>89.82</v>
      </c>
      <c r="K91">
        <f>_xlfn.XLOOKUP($A91, DailyData!$A$2:$A$2516, DailyData!M$2:M$2516, " ")</f>
        <v>1.38</v>
      </c>
    </row>
    <row r="92" spans="1:11">
      <c r="A92" s="1">
        <v>43374</v>
      </c>
      <c r="B92">
        <f>_xlfn.XLOOKUP(A92, DailyData!$A$2:$A$2516, DailyData!$D$2:$D$2516, " ")</f>
        <v>291.73</v>
      </c>
      <c r="C92">
        <f>_xlfn.XLOOKUP($A92, DailyData!$A$2:$A$2516, DailyData!$E$2:$E$2516, " ")</f>
        <v>166.33</v>
      </c>
      <c r="D92">
        <f>_xlfn.XLOOKUP($A92, DailyData!$A$2:$A$2516, DailyData!F$2:F$2516, " ")</f>
        <v>116.15</v>
      </c>
      <c r="E92">
        <f>_xlfn.XLOOKUP($A92, DailyData!$A$2:$A$2516, DailyData!G$2:G$2516, " ")</f>
        <v>112.57</v>
      </c>
      <c r="F92">
        <f>_xlfn.XLOOKUP($A92, DailyData!$A$2:$A$2516, DailyData!H$2:H$2516, " ")</f>
        <v>79.930000000000007</v>
      </c>
      <c r="G92">
        <f>_xlfn.XLOOKUP($A92, DailyData!$A$2:$A$2516, DailyData!I$2:I$2516, " ")</f>
        <v>51.8</v>
      </c>
      <c r="H92">
        <f>_xlfn.XLOOKUP($A92, DailyData!$A$2:$A$2516, DailyData!J$2:J$2516, " ")</f>
        <v>473.47</v>
      </c>
      <c r="I92">
        <f>_xlfn.XLOOKUP($A92, DailyData!$A$2:$A$2516, DailyData!K$2:K$2516, " ")</f>
        <v>347.93</v>
      </c>
      <c r="J92">
        <f>_xlfn.XLOOKUP($A92, DailyData!$A$2:$A$2516, DailyData!L$2:L$2516, " ")</f>
        <v>95.62</v>
      </c>
      <c r="K92">
        <f>_xlfn.XLOOKUP($A92, DailyData!$A$2:$A$2516, DailyData!M$2:M$2516, " ")</f>
        <v>2.15</v>
      </c>
    </row>
    <row r="93" spans="1:11">
      <c r="A93" s="1">
        <v>43347</v>
      </c>
      <c r="B93">
        <f>_xlfn.XLOOKUP(A93, DailyData!$A$2:$A$2516, DailyData!$D$2:$D$2516, " ")</f>
        <v>289.81</v>
      </c>
      <c r="C93">
        <f>_xlfn.XLOOKUP($A93, DailyData!$A$2:$A$2516, DailyData!$E$2:$E$2516, " ")</f>
        <v>172.25</v>
      </c>
      <c r="D93">
        <f>_xlfn.XLOOKUP($A93, DailyData!$A$2:$A$2516, DailyData!F$2:F$2516, " ")</f>
        <v>120.03</v>
      </c>
      <c r="E93">
        <f>_xlfn.XLOOKUP($A93, DailyData!$A$2:$A$2516, DailyData!G$2:G$2516, " ")</f>
        <v>112.93</v>
      </c>
      <c r="F93">
        <f>_xlfn.XLOOKUP($A93, DailyData!$A$2:$A$2516, DailyData!H$2:H$2516, " ")</f>
        <v>83.05</v>
      </c>
      <c r="G93">
        <f>_xlfn.XLOOKUP($A93, DailyData!$A$2:$A$2516, DailyData!I$2:I$2516, " ")</f>
        <v>48.58</v>
      </c>
      <c r="H93">
        <f>_xlfn.XLOOKUP($A93, DailyData!$A$2:$A$2516, DailyData!J$2:J$2516, " ")</f>
        <v>475.78</v>
      </c>
      <c r="I93">
        <f>_xlfn.XLOOKUP($A93, DailyData!$A$2:$A$2516, DailyData!K$2:K$2516, " ")</f>
        <v>321.91000000000003</v>
      </c>
      <c r="J93">
        <f>_xlfn.XLOOKUP($A93, DailyData!$A$2:$A$2516, DailyData!L$2:L$2516, " ")</f>
        <v>92.04</v>
      </c>
      <c r="K93">
        <f>_xlfn.XLOOKUP($A93, DailyData!$A$2:$A$2516, DailyData!M$2:M$2516, " ")</f>
        <v>2.0499999999999998</v>
      </c>
    </row>
    <row r="94" spans="1:11">
      <c r="A94" s="1">
        <v>43313</v>
      </c>
      <c r="B94">
        <f>_xlfn.XLOOKUP(A94, DailyData!$A$2:$A$2516, DailyData!$D$2:$D$2516, " ")</f>
        <v>280.86</v>
      </c>
      <c r="C94">
        <f>_xlfn.XLOOKUP($A94, DailyData!$A$2:$A$2516, DailyData!$E$2:$E$2516, " ")</f>
        <v>165.76</v>
      </c>
      <c r="D94">
        <f>_xlfn.XLOOKUP($A94, DailyData!$A$2:$A$2516, DailyData!F$2:F$2516, " ")</f>
        <v>118.46</v>
      </c>
      <c r="E94">
        <f>_xlfn.XLOOKUP($A94, DailyData!$A$2:$A$2516, DailyData!G$2:G$2516, " ")</f>
        <v>115.14</v>
      </c>
      <c r="F94">
        <f>_xlfn.XLOOKUP($A94, DailyData!$A$2:$A$2516, DailyData!H$2:H$2516, " ")</f>
        <v>82.52</v>
      </c>
      <c r="G94">
        <f>_xlfn.XLOOKUP($A94, DailyData!$A$2:$A$2516, DailyData!I$2:I$2516, " ")</f>
        <v>47.35</v>
      </c>
      <c r="H94">
        <f>_xlfn.XLOOKUP($A94, DailyData!$A$2:$A$2516, DailyData!J$2:J$2516, " ")</f>
        <v>479.45</v>
      </c>
      <c r="I94">
        <f>_xlfn.XLOOKUP($A94, DailyData!$A$2:$A$2516, DailyData!K$2:K$2516, " ")</f>
        <v>324.93</v>
      </c>
      <c r="J94">
        <f>_xlfn.XLOOKUP($A94, DailyData!$A$2:$A$2516, DailyData!L$2:L$2516, " ")</f>
        <v>88.95</v>
      </c>
      <c r="K94">
        <f>_xlfn.XLOOKUP($A94, DailyData!$A$2:$A$2516, DailyData!M$2:M$2516, " ")</f>
        <v>2.17</v>
      </c>
    </row>
    <row r="95" spans="1:11">
      <c r="A95" s="1">
        <v>43283</v>
      </c>
      <c r="B95">
        <f>_xlfn.XLOOKUP(A95, DailyData!$A$2:$A$2516, DailyData!$D$2:$D$2516, " ")</f>
        <v>271.86</v>
      </c>
      <c r="C95">
        <f>_xlfn.XLOOKUP($A95, DailyData!$A$2:$A$2516, DailyData!$E$2:$E$2516, " ")</f>
        <v>164.9</v>
      </c>
      <c r="D95">
        <f>_xlfn.XLOOKUP($A95, DailyData!$A$2:$A$2516, DailyData!F$2:F$2516, " ")</f>
        <v>121.35</v>
      </c>
      <c r="E95">
        <f>_xlfn.XLOOKUP($A95, DailyData!$A$2:$A$2516, DailyData!G$2:G$2516, " ")</f>
        <v>117.46</v>
      </c>
      <c r="F95">
        <f>_xlfn.XLOOKUP($A95, DailyData!$A$2:$A$2516, DailyData!H$2:H$2516, " ")</f>
        <v>81</v>
      </c>
      <c r="G95">
        <f>_xlfn.XLOOKUP($A95, DailyData!$A$2:$A$2516, DailyData!I$2:I$2516, " ")</f>
        <v>44.95</v>
      </c>
      <c r="H95">
        <f>_xlfn.XLOOKUP($A95, DailyData!$A$2:$A$2516, DailyData!J$2:J$2516, " ")</f>
        <v>499.52</v>
      </c>
      <c r="I95">
        <f>_xlfn.XLOOKUP($A95, DailyData!$A$2:$A$2516, DailyData!K$2:K$2516, " ")</f>
        <v>299.12</v>
      </c>
      <c r="J95">
        <f>_xlfn.XLOOKUP($A95, DailyData!$A$2:$A$2516, DailyData!L$2:L$2516, " ")</f>
        <v>83.72</v>
      </c>
      <c r="K95">
        <f>_xlfn.XLOOKUP($A95, DailyData!$A$2:$A$2516, DailyData!M$2:M$2516, " ")</f>
        <v>2.46</v>
      </c>
    </row>
    <row r="96" spans="1:11">
      <c r="A96" s="1">
        <v>43252</v>
      </c>
      <c r="B96">
        <f>_xlfn.XLOOKUP(A96, DailyData!$A$2:$A$2516, DailyData!$D$2:$D$2516, " ")</f>
        <v>273.60000000000002</v>
      </c>
      <c r="C96">
        <f>_xlfn.XLOOKUP($A96, DailyData!$A$2:$A$2516, DailyData!$E$2:$E$2516, " ")</f>
        <v>163.84</v>
      </c>
      <c r="D96">
        <f>_xlfn.XLOOKUP($A96, DailyData!$A$2:$A$2516, DailyData!F$2:F$2516, " ")</f>
        <v>120.3</v>
      </c>
      <c r="E96">
        <f>_xlfn.XLOOKUP($A96, DailyData!$A$2:$A$2516, DailyData!G$2:G$2516, " ")</f>
        <v>122.49</v>
      </c>
      <c r="F96">
        <f>_xlfn.XLOOKUP($A96, DailyData!$A$2:$A$2516, DailyData!H$2:H$2516, " ")</f>
        <v>79.239999999999995</v>
      </c>
      <c r="G96">
        <f>_xlfn.XLOOKUP($A96, DailyData!$A$2:$A$2516, DailyData!I$2:I$2516, " ")</f>
        <v>47.35</v>
      </c>
      <c r="H96">
        <f>_xlfn.XLOOKUP($A96, DailyData!$A$2:$A$2516, DailyData!J$2:J$2516, " ")</f>
        <v>539.05999999999995</v>
      </c>
      <c r="I96">
        <f>_xlfn.XLOOKUP($A96, DailyData!$A$2:$A$2516, DailyData!K$2:K$2516, " ")</f>
        <v>316.63</v>
      </c>
      <c r="J96">
        <f>_xlfn.XLOOKUP($A96, DailyData!$A$2:$A$2516, DailyData!L$2:L$2516, " ")</f>
        <v>83.36</v>
      </c>
      <c r="K96">
        <f>_xlfn.XLOOKUP($A96, DailyData!$A$2:$A$2516, DailyData!M$2:M$2516, " ")</f>
        <v>2.44</v>
      </c>
    </row>
    <row r="97" spans="1:11">
      <c r="A97" s="1">
        <v>43221</v>
      </c>
      <c r="B97">
        <f>_xlfn.XLOOKUP(A97, DailyData!$A$2:$A$2516, DailyData!$D$2:$D$2516, " ")</f>
        <v>264.98</v>
      </c>
      <c r="C97">
        <f>_xlfn.XLOOKUP($A97, DailyData!$A$2:$A$2516, DailyData!$E$2:$E$2516, " ")</f>
        <v>154.07</v>
      </c>
      <c r="D97">
        <f>_xlfn.XLOOKUP($A97, DailyData!$A$2:$A$2516, DailyData!F$2:F$2516, " ")</f>
        <v>118.41</v>
      </c>
      <c r="E97">
        <f>_xlfn.XLOOKUP($A97, DailyData!$A$2:$A$2516, DailyData!G$2:G$2516, " ")</f>
        <v>123.71</v>
      </c>
      <c r="F97">
        <f>_xlfn.XLOOKUP($A97, DailyData!$A$2:$A$2516, DailyData!H$2:H$2516, " ")</f>
        <v>76.78</v>
      </c>
      <c r="G97">
        <f>_xlfn.XLOOKUP($A97, DailyData!$A$2:$A$2516, DailyData!I$2:I$2516, " ")</f>
        <v>45.95</v>
      </c>
      <c r="H97">
        <f>_xlfn.XLOOKUP($A97, DailyData!$A$2:$A$2516, DailyData!J$2:J$2516, " ")</f>
        <v>517.97</v>
      </c>
      <c r="I97">
        <f>_xlfn.XLOOKUP($A97, DailyData!$A$2:$A$2516, DailyData!K$2:K$2516, " ")</f>
        <v>308.45999999999998</v>
      </c>
      <c r="J97">
        <f>_xlfn.XLOOKUP($A97, DailyData!$A$2:$A$2516, DailyData!L$2:L$2516, " ")</f>
        <v>82.22</v>
      </c>
      <c r="K97">
        <f>_xlfn.XLOOKUP($A97, DailyData!$A$2:$A$2516, DailyData!M$2:M$2516, " ")</f>
        <v>1.83</v>
      </c>
    </row>
    <row r="98" spans="1:11">
      <c r="A98" s="1">
        <v>43192</v>
      </c>
      <c r="B98">
        <f>_xlfn.XLOOKUP(A98, DailyData!$A$2:$A$2516, DailyData!$D$2:$D$2516, " ")</f>
        <v>257.47000000000003</v>
      </c>
      <c r="C98">
        <f>_xlfn.XLOOKUP($A98, DailyData!$A$2:$A$2516, DailyData!$E$2:$E$2516, " ")</f>
        <v>148.13</v>
      </c>
      <c r="D98">
        <f>_xlfn.XLOOKUP($A98, DailyData!$A$2:$A$2516, DailyData!F$2:F$2516, " ")</f>
        <v>121.88</v>
      </c>
      <c r="E98">
        <f>_xlfn.XLOOKUP($A98, DailyData!$A$2:$A$2516, DailyData!G$2:G$2516, " ")</f>
        <v>127.26</v>
      </c>
      <c r="F98">
        <f>_xlfn.XLOOKUP($A98, DailyData!$A$2:$A$2516, DailyData!H$2:H$2516, " ")</f>
        <v>74.45</v>
      </c>
      <c r="G98">
        <f>_xlfn.XLOOKUP($A98, DailyData!$A$2:$A$2516, DailyData!I$2:I$2516, " ")</f>
        <v>45.01</v>
      </c>
      <c r="H98">
        <f>_xlfn.XLOOKUP($A98, DailyData!$A$2:$A$2516, DailyData!J$2:J$2516, " ")</f>
        <v>519</v>
      </c>
      <c r="I98">
        <f>_xlfn.XLOOKUP($A98, DailyData!$A$2:$A$2516, DailyData!K$2:K$2516, " ")</f>
        <v>333</v>
      </c>
      <c r="J98">
        <f>_xlfn.XLOOKUP($A98, DailyData!$A$2:$A$2516, DailyData!L$2:L$2516, " ")</f>
        <v>79.55</v>
      </c>
      <c r="K98">
        <f>_xlfn.XLOOKUP($A98, DailyData!$A$2:$A$2516, DailyData!M$2:M$2516, " ")</f>
        <v>1.64</v>
      </c>
    </row>
    <row r="99" spans="1:11">
      <c r="A99" s="1">
        <v>43160</v>
      </c>
      <c r="B99">
        <f>_xlfn.XLOOKUP(A99, DailyData!$A$2:$A$2516, DailyData!$D$2:$D$2516, " ")</f>
        <v>267.7</v>
      </c>
      <c r="C99">
        <f>_xlfn.XLOOKUP($A99, DailyData!$A$2:$A$2516, DailyData!$E$2:$E$2516, " ")</f>
        <v>149.94999999999999</v>
      </c>
      <c r="D99">
        <f>_xlfn.XLOOKUP($A99, DailyData!$A$2:$A$2516, DailyData!F$2:F$2516, " ")</f>
        <v>119.32</v>
      </c>
      <c r="E99">
        <f>_xlfn.XLOOKUP($A99, DailyData!$A$2:$A$2516, DailyData!G$2:G$2516, " ")</f>
        <v>124.72</v>
      </c>
      <c r="F99">
        <f>_xlfn.XLOOKUP($A99, DailyData!$A$2:$A$2516, DailyData!H$2:H$2516, " ")</f>
        <v>73.42</v>
      </c>
      <c r="G99">
        <f>_xlfn.XLOOKUP($A99, DailyData!$A$2:$A$2516, DailyData!I$2:I$2516, " ")</f>
        <v>49.71</v>
      </c>
      <c r="H99">
        <f>_xlfn.XLOOKUP($A99, DailyData!$A$2:$A$2516, DailyData!J$2:J$2516, " ")</f>
        <v>535.58000000000004</v>
      </c>
      <c r="I99">
        <f>_xlfn.XLOOKUP($A99, DailyData!$A$2:$A$2516, DailyData!K$2:K$2516, " ")</f>
        <v>339.69</v>
      </c>
      <c r="J99">
        <f>_xlfn.XLOOKUP($A99, DailyData!$A$2:$A$2516, DailyData!L$2:L$2516, " ")</f>
        <v>82.8</v>
      </c>
      <c r="K99">
        <f>_xlfn.XLOOKUP($A99, DailyData!$A$2:$A$2516, DailyData!M$2:M$2516, " ")</f>
        <v>1.81</v>
      </c>
    </row>
    <row r="100" spans="1:11">
      <c r="A100" s="1">
        <v>43132</v>
      </c>
      <c r="B100">
        <f>_xlfn.XLOOKUP(A100, DailyData!$A$2:$A$2516, DailyData!$D$2:$D$2516, " ")</f>
        <v>281.58</v>
      </c>
      <c r="C100">
        <f>_xlfn.XLOOKUP($A100, DailyData!$A$2:$A$2516, DailyData!$E$2:$E$2516, " ")</f>
        <v>156.85</v>
      </c>
      <c r="D100">
        <f>_xlfn.XLOOKUP($A100, DailyData!$A$2:$A$2516, DailyData!F$2:F$2516, " ")</f>
        <v>120.7</v>
      </c>
      <c r="E100">
        <f>_xlfn.XLOOKUP($A100, DailyData!$A$2:$A$2516, DailyData!G$2:G$2516, " ")</f>
        <v>128.07</v>
      </c>
      <c r="F100">
        <f>_xlfn.XLOOKUP($A100, DailyData!$A$2:$A$2516, DailyData!H$2:H$2516, " ")</f>
        <v>77.739999999999995</v>
      </c>
      <c r="G100">
        <f>_xlfn.XLOOKUP($A100, DailyData!$A$2:$A$2516, DailyData!I$2:I$2516, " ")</f>
        <v>51.63</v>
      </c>
      <c r="H100">
        <f>_xlfn.XLOOKUP($A100, DailyData!$A$2:$A$2516, DailyData!J$2:J$2516, " ")</f>
        <v>565.19000000000005</v>
      </c>
      <c r="I100">
        <f>_xlfn.XLOOKUP($A100, DailyData!$A$2:$A$2516, DailyData!K$2:K$2516, " ")</f>
        <v>357.38</v>
      </c>
      <c r="J100">
        <f>_xlfn.XLOOKUP($A100, DailyData!$A$2:$A$2516, DailyData!L$2:L$2516, " ")</f>
        <v>88.13</v>
      </c>
      <c r="K100">
        <f>_xlfn.XLOOKUP($A100, DailyData!$A$2:$A$2516, DailyData!M$2:M$2516, " ")</f>
        <v>2.2599999999999998</v>
      </c>
    </row>
    <row r="101" spans="1:11">
      <c r="A101" s="1">
        <v>43102</v>
      </c>
      <c r="B101">
        <f>_xlfn.XLOOKUP(A101, DailyData!$A$2:$A$2516, DailyData!$D$2:$D$2516, " ")</f>
        <v>268.77</v>
      </c>
      <c r="C101">
        <f>_xlfn.XLOOKUP($A101, DailyData!$A$2:$A$2516, DailyData!$E$2:$E$2516, " ")</f>
        <v>153.9</v>
      </c>
      <c r="D101">
        <f>_xlfn.XLOOKUP($A101, DailyData!$A$2:$A$2516, DailyData!F$2:F$2516, " ")</f>
        <v>125.49</v>
      </c>
      <c r="E101">
        <f>_xlfn.XLOOKUP($A101, DailyData!$A$2:$A$2516, DailyData!G$2:G$2516, " ")</f>
        <v>125.15</v>
      </c>
      <c r="F101">
        <f>_xlfn.XLOOKUP($A101, DailyData!$A$2:$A$2516, DailyData!H$2:H$2516, " ")</f>
        <v>82.67</v>
      </c>
      <c r="G101">
        <f>_xlfn.XLOOKUP($A101, DailyData!$A$2:$A$2516, DailyData!I$2:I$2516, " ")</f>
        <v>46.63</v>
      </c>
      <c r="H101">
        <f>_xlfn.XLOOKUP($A101, DailyData!$A$2:$A$2516, DailyData!J$2:J$2516, " ")</f>
        <v>508.97</v>
      </c>
      <c r="I101">
        <f>_xlfn.XLOOKUP($A101, DailyData!$A$2:$A$2516, DailyData!K$2:K$2516, " ")</f>
        <v>318.54000000000002</v>
      </c>
      <c r="J101">
        <f>_xlfn.XLOOKUP($A101, DailyData!$A$2:$A$2516, DailyData!L$2:L$2516, " ")</f>
        <v>83.61</v>
      </c>
      <c r="K101">
        <f>_xlfn.XLOOKUP($A101, DailyData!$A$2:$A$2516, DailyData!M$2:M$2516, " ")</f>
        <v>2.15</v>
      </c>
    </row>
    <row r="102" spans="1:11">
      <c r="A102" s="1">
        <v>43070</v>
      </c>
      <c r="B102">
        <f>_xlfn.XLOOKUP(A102, DailyData!$A$2:$A$2516, DailyData!$D$2:$D$2516, " ")</f>
        <v>264.45999999999998</v>
      </c>
      <c r="C102">
        <f>_xlfn.XLOOKUP($A102, DailyData!$A$2:$A$2516, DailyData!$E$2:$E$2516, " ")</f>
        <v>153.02000000000001</v>
      </c>
      <c r="D102">
        <f>_xlfn.XLOOKUP($A102, DailyData!$A$2:$A$2516, DailyData!F$2:F$2516, " ")</f>
        <v>126.55</v>
      </c>
      <c r="E102">
        <f>_xlfn.XLOOKUP($A102, DailyData!$A$2:$A$2516, DailyData!G$2:G$2516, " ")</f>
        <v>121.59</v>
      </c>
      <c r="F102">
        <f>_xlfn.XLOOKUP($A102, DailyData!$A$2:$A$2516, DailyData!H$2:H$2516, " ")</f>
        <v>84.59</v>
      </c>
      <c r="G102">
        <f>_xlfn.XLOOKUP($A102, DailyData!$A$2:$A$2516, DailyData!I$2:I$2516, " ")</f>
        <v>49.61</v>
      </c>
      <c r="H102">
        <f>_xlfn.XLOOKUP($A102, DailyData!$A$2:$A$2516, DailyData!J$2:J$2516, " ")</f>
        <v>502.08</v>
      </c>
      <c r="I102">
        <f>_xlfn.XLOOKUP($A102, DailyData!$A$2:$A$2516, DailyData!K$2:K$2516, " ")</f>
        <v>313.57</v>
      </c>
      <c r="J102">
        <f>_xlfn.XLOOKUP($A102, DailyData!$A$2:$A$2516, DailyData!L$2:L$2516, " ")</f>
        <v>83.3</v>
      </c>
      <c r="K102">
        <f>_xlfn.XLOOKUP($A102, DailyData!$A$2:$A$2516, DailyData!M$2:M$2516, " ")</f>
        <v>2.2000000000000002</v>
      </c>
    </row>
    <row r="103" spans="1:11">
      <c r="A103" s="1">
        <v>43040</v>
      </c>
      <c r="B103">
        <f>_xlfn.XLOOKUP(A103, DailyData!$A$2:$A$2516, DailyData!$D$2:$D$2516, " ")</f>
        <v>257.49</v>
      </c>
      <c r="C103">
        <f>_xlfn.XLOOKUP($A103, DailyData!$A$2:$A$2516, DailyData!$E$2:$E$2516, " ")</f>
        <v>148.27000000000001</v>
      </c>
      <c r="D103">
        <f>_xlfn.XLOOKUP($A103, DailyData!$A$2:$A$2516, DailyData!F$2:F$2516, " ")</f>
        <v>124.75</v>
      </c>
      <c r="E103">
        <f>_xlfn.XLOOKUP($A103, DailyData!$A$2:$A$2516, DailyData!G$2:G$2516, " ")</f>
        <v>121.11</v>
      </c>
      <c r="F103">
        <f>_xlfn.XLOOKUP($A103, DailyData!$A$2:$A$2516, DailyData!H$2:H$2516, " ")</f>
        <v>82.6</v>
      </c>
      <c r="G103">
        <f>_xlfn.XLOOKUP($A103, DailyData!$A$2:$A$2516, DailyData!I$2:I$2516, " ")</f>
        <v>50.64</v>
      </c>
      <c r="H103">
        <f>_xlfn.XLOOKUP($A103, DailyData!$A$2:$A$2516, DailyData!J$2:J$2516, " ")</f>
        <v>469.29</v>
      </c>
      <c r="I103">
        <f>_xlfn.XLOOKUP($A103, DailyData!$A$2:$A$2516, DailyData!K$2:K$2516, " ")</f>
        <v>306.60000000000002</v>
      </c>
      <c r="J103">
        <f>_xlfn.XLOOKUP($A103, DailyData!$A$2:$A$2516, DailyData!L$2:L$2516, " ")</f>
        <v>81.31</v>
      </c>
      <c r="K103">
        <f>_xlfn.XLOOKUP($A103, DailyData!$A$2:$A$2516, DailyData!M$2:M$2516, " ")</f>
        <v>2.0299999999999998</v>
      </c>
    </row>
    <row r="104" spans="1:11">
      <c r="A104" s="1">
        <v>43010</v>
      </c>
      <c r="B104">
        <f>_xlfn.XLOOKUP(A104, DailyData!$A$2:$A$2516, DailyData!$D$2:$D$2516, " ")</f>
        <v>252.32</v>
      </c>
      <c r="C104">
        <f>_xlfn.XLOOKUP($A104, DailyData!$A$2:$A$2516, DailyData!$E$2:$E$2516, " ")</f>
        <v>150</v>
      </c>
      <c r="D104">
        <f>_xlfn.XLOOKUP($A104, DailyData!$A$2:$A$2516, DailyData!F$2:F$2516, " ")</f>
        <v>124.28</v>
      </c>
      <c r="E104">
        <f>_xlfn.XLOOKUP($A104, DailyData!$A$2:$A$2516, DailyData!G$2:G$2516, " ")</f>
        <v>120.77</v>
      </c>
      <c r="F104">
        <f>_xlfn.XLOOKUP($A104, DailyData!$A$2:$A$2516, DailyData!H$2:H$2516, " ")</f>
        <v>82.97</v>
      </c>
      <c r="G104">
        <f>_xlfn.XLOOKUP($A104, DailyData!$A$2:$A$2516, DailyData!I$2:I$2516, " ")</f>
        <v>48.8</v>
      </c>
      <c r="H104">
        <f>_xlfn.XLOOKUP($A104, DailyData!$A$2:$A$2516, DailyData!J$2:J$2516, " ")</f>
        <v>449.95</v>
      </c>
      <c r="I104">
        <f>_xlfn.XLOOKUP($A104, DailyData!$A$2:$A$2516, DailyData!K$2:K$2516, " ")</f>
        <v>311.33</v>
      </c>
      <c r="J104">
        <f>_xlfn.XLOOKUP($A104, DailyData!$A$2:$A$2516, DailyData!L$2:L$2516, " ")</f>
        <v>82.56</v>
      </c>
      <c r="K104">
        <f>_xlfn.XLOOKUP($A104, DailyData!$A$2:$A$2516, DailyData!M$2:M$2516, " ")</f>
        <v>2.33</v>
      </c>
    </row>
    <row r="105" spans="1:11">
      <c r="A105" s="1">
        <v>42979</v>
      </c>
      <c r="B105">
        <f>_xlfn.XLOOKUP(A105, DailyData!$A$2:$A$2516, DailyData!$D$2:$D$2516, " ")</f>
        <v>247.84</v>
      </c>
      <c r="C105">
        <f>_xlfn.XLOOKUP($A105, DailyData!$A$2:$A$2516, DailyData!$E$2:$E$2516, " ")</f>
        <v>140.52000000000001</v>
      </c>
      <c r="D105">
        <f>_xlfn.XLOOKUP($A105, DailyData!$A$2:$A$2516, DailyData!F$2:F$2516, " ")</f>
        <v>126.75</v>
      </c>
      <c r="E105">
        <f>_xlfn.XLOOKUP($A105, DailyData!$A$2:$A$2516, DailyData!G$2:G$2516, " ")</f>
        <v>126.06</v>
      </c>
      <c r="F105">
        <f>_xlfn.XLOOKUP($A105, DailyData!$A$2:$A$2516, DailyData!H$2:H$2516, " ")</f>
        <v>84.33</v>
      </c>
      <c r="G105">
        <f>_xlfn.XLOOKUP($A105, DailyData!$A$2:$A$2516, DailyData!I$2:I$2516, " ")</f>
        <v>50.62</v>
      </c>
      <c r="H105">
        <f>_xlfn.XLOOKUP($A105, DailyData!$A$2:$A$2516, DailyData!J$2:J$2516, " ")</f>
        <v>421.78</v>
      </c>
      <c r="I105">
        <f>_xlfn.XLOOKUP($A105, DailyData!$A$2:$A$2516, DailyData!K$2:K$2516, " ")</f>
        <v>302.19</v>
      </c>
      <c r="J105">
        <f>_xlfn.XLOOKUP($A105, DailyData!$A$2:$A$2516, DailyData!L$2:L$2516, " ")</f>
        <v>81.23</v>
      </c>
      <c r="K105">
        <f>_xlfn.XLOOKUP($A105, DailyData!$A$2:$A$2516, DailyData!M$2:M$2516, " ")</f>
        <v>2.68</v>
      </c>
    </row>
    <row r="106" spans="1:11">
      <c r="A106" s="1">
        <v>42948</v>
      </c>
      <c r="B106">
        <f>_xlfn.XLOOKUP(A106, DailyData!$A$2:$A$2516, DailyData!$D$2:$D$2516, " ")</f>
        <v>247.32</v>
      </c>
      <c r="C106">
        <f>_xlfn.XLOOKUP($A106, DailyData!$A$2:$A$2516, DailyData!$E$2:$E$2516, " ")</f>
        <v>141.78</v>
      </c>
      <c r="D106">
        <f>_xlfn.XLOOKUP($A106, DailyData!$A$2:$A$2516, DailyData!F$2:F$2516, " ")</f>
        <v>124.64</v>
      </c>
      <c r="E106">
        <f>_xlfn.XLOOKUP($A106, DailyData!$A$2:$A$2516, DailyData!G$2:G$2516, " ")</f>
        <v>120.65</v>
      </c>
      <c r="F106">
        <f>_xlfn.XLOOKUP($A106, DailyData!$A$2:$A$2516, DailyData!H$2:H$2516, " ")</f>
        <v>84.64</v>
      </c>
      <c r="G106">
        <f>_xlfn.XLOOKUP($A106, DailyData!$A$2:$A$2516, DailyData!I$2:I$2516, " ")</f>
        <v>50.16</v>
      </c>
      <c r="H106">
        <f>_xlfn.XLOOKUP($A106, DailyData!$A$2:$A$2516, DailyData!J$2:J$2516, " ")</f>
        <v>429.98</v>
      </c>
      <c r="I106">
        <f>_xlfn.XLOOKUP($A106, DailyData!$A$2:$A$2516, DailyData!K$2:K$2516, " ")</f>
        <v>292.64999999999998</v>
      </c>
      <c r="J106">
        <f>_xlfn.XLOOKUP($A106, DailyData!$A$2:$A$2516, DailyData!L$2:L$2516, " ")</f>
        <v>79.709999999999994</v>
      </c>
      <c r="K106">
        <f>_xlfn.XLOOKUP($A106, DailyData!$A$2:$A$2516, DailyData!M$2:M$2516, " ")</f>
        <v>2.71</v>
      </c>
    </row>
    <row r="107" spans="1:11">
      <c r="A107" s="1">
        <v>42919</v>
      </c>
      <c r="B107">
        <f>_xlfn.XLOOKUP(A107, DailyData!$A$2:$A$2516, DailyData!$D$2:$D$2516, " ")</f>
        <v>242.21</v>
      </c>
      <c r="C107">
        <f>_xlfn.XLOOKUP($A107, DailyData!$A$2:$A$2516, DailyData!$E$2:$E$2516, " ")</f>
        <v>142.1</v>
      </c>
      <c r="D107">
        <f>_xlfn.XLOOKUP($A107, DailyData!$A$2:$A$2516, DailyData!F$2:F$2516, " ")</f>
        <v>124.46</v>
      </c>
      <c r="E107">
        <f>_xlfn.XLOOKUP($A107, DailyData!$A$2:$A$2516, DailyData!G$2:G$2516, " ")</f>
        <v>116.09</v>
      </c>
      <c r="F107">
        <f>_xlfn.XLOOKUP($A107, DailyData!$A$2:$A$2516, DailyData!H$2:H$2516, " ")</f>
        <v>84.29</v>
      </c>
      <c r="G107">
        <f>_xlfn.XLOOKUP($A107, DailyData!$A$2:$A$2516, DailyData!I$2:I$2516, " ")</f>
        <v>49.36</v>
      </c>
      <c r="H107">
        <f>_xlfn.XLOOKUP($A107, DailyData!$A$2:$A$2516, DailyData!J$2:J$2516, " ")</f>
        <v>428.82</v>
      </c>
      <c r="I107">
        <f>_xlfn.XLOOKUP($A107, DailyData!$A$2:$A$2516, DailyData!K$2:K$2516, " ")</f>
        <v>278.92</v>
      </c>
      <c r="J107">
        <f>_xlfn.XLOOKUP($A107, DailyData!$A$2:$A$2516, DailyData!L$2:L$2516, " ")</f>
        <v>79.38</v>
      </c>
      <c r="K107">
        <f>_xlfn.XLOOKUP($A107, DailyData!$A$2:$A$2516, DailyData!M$2:M$2516, " ")</f>
        <v>2.4500000000000002</v>
      </c>
    </row>
    <row r="108" spans="1:11">
      <c r="A108" s="1">
        <v>42887</v>
      </c>
      <c r="B108">
        <f>_xlfn.XLOOKUP(A108, DailyData!$A$2:$A$2516, DailyData!$D$2:$D$2516, " ")</f>
        <v>243.36</v>
      </c>
      <c r="C108">
        <f>_xlfn.XLOOKUP($A108, DailyData!$A$2:$A$2516, DailyData!$E$2:$E$2516, " ")</f>
        <v>138.94999999999999</v>
      </c>
      <c r="D108">
        <f>_xlfn.XLOOKUP($A108, DailyData!$A$2:$A$2516, DailyData!F$2:F$2516, " ")</f>
        <v>124.15</v>
      </c>
      <c r="E108">
        <f>_xlfn.XLOOKUP($A108, DailyData!$A$2:$A$2516, DailyData!G$2:G$2516, " ")</f>
        <v>120.72</v>
      </c>
      <c r="F108">
        <f>_xlfn.XLOOKUP($A108, DailyData!$A$2:$A$2516, DailyData!H$2:H$2516, " ")</f>
        <v>82.62</v>
      </c>
      <c r="G108">
        <f>_xlfn.XLOOKUP($A108, DailyData!$A$2:$A$2516, DailyData!I$2:I$2516, " ")</f>
        <v>45.79</v>
      </c>
      <c r="H108">
        <f>_xlfn.XLOOKUP($A108, DailyData!$A$2:$A$2516, DailyData!J$2:J$2516, " ")</f>
        <v>413.38</v>
      </c>
      <c r="I108">
        <f>_xlfn.XLOOKUP($A108, DailyData!$A$2:$A$2516, DailyData!K$2:K$2516, " ")</f>
        <v>280.95999999999998</v>
      </c>
      <c r="J108">
        <f>_xlfn.XLOOKUP($A108, DailyData!$A$2:$A$2516, DailyData!L$2:L$2516, " ")</f>
        <v>76.92</v>
      </c>
      <c r="K108">
        <f>_xlfn.XLOOKUP($A108, DailyData!$A$2:$A$2516, DailyData!M$2:M$2516, " ")</f>
        <v>2.4700000000000002</v>
      </c>
    </row>
    <row r="109" spans="1:11">
      <c r="A109" s="1">
        <v>42856</v>
      </c>
      <c r="B109">
        <f>_xlfn.XLOOKUP(A109, DailyData!$A$2:$A$2516, DailyData!$D$2:$D$2516, " ")</f>
        <v>238.68</v>
      </c>
      <c r="C109">
        <f>_xlfn.XLOOKUP($A109, DailyData!$A$2:$A$2516, DailyData!$E$2:$E$2516, " ")</f>
        <v>139.86000000000001</v>
      </c>
      <c r="D109">
        <f>_xlfn.XLOOKUP($A109, DailyData!$A$2:$A$2516, DailyData!F$2:F$2516, " ")</f>
        <v>121.08</v>
      </c>
      <c r="E109">
        <f>_xlfn.XLOOKUP($A109, DailyData!$A$2:$A$2516, DailyData!G$2:G$2516, " ")</f>
        <v>119.67</v>
      </c>
      <c r="F109">
        <f>_xlfn.XLOOKUP($A109, DailyData!$A$2:$A$2516, DailyData!H$2:H$2516, " ")</f>
        <v>83.28</v>
      </c>
      <c r="G109">
        <f>_xlfn.XLOOKUP($A109, DailyData!$A$2:$A$2516, DailyData!I$2:I$2516, " ")</f>
        <v>45.05</v>
      </c>
      <c r="H109">
        <f>_xlfn.XLOOKUP($A109, DailyData!$A$2:$A$2516, DailyData!J$2:J$2516, " ")</f>
        <v>383</v>
      </c>
      <c r="I109">
        <f>_xlfn.XLOOKUP($A109, DailyData!$A$2:$A$2516, DailyData!K$2:K$2516, " ")</f>
        <v>268.43</v>
      </c>
      <c r="J109">
        <f>_xlfn.XLOOKUP($A109, DailyData!$A$2:$A$2516, DailyData!L$2:L$2516, " ")</f>
        <v>75.67</v>
      </c>
      <c r="K109">
        <f>_xlfn.XLOOKUP($A109, DailyData!$A$2:$A$2516, DailyData!M$2:M$2516, " ")</f>
        <v>2.4500000000000002</v>
      </c>
    </row>
    <row r="110" spans="1:11">
      <c r="A110" s="1">
        <v>42828</v>
      </c>
      <c r="B110">
        <f>_xlfn.XLOOKUP(A110, DailyData!$A$2:$A$2516, DailyData!$D$2:$D$2516, " ")</f>
        <v>235.33</v>
      </c>
      <c r="C110">
        <f>_xlfn.XLOOKUP($A110, DailyData!$A$2:$A$2516, DailyData!$E$2:$E$2516, " ")</f>
        <v>136.03</v>
      </c>
      <c r="D110">
        <f>_xlfn.XLOOKUP($A110, DailyData!$A$2:$A$2516, DailyData!F$2:F$2516, " ")</f>
        <v>121.67</v>
      </c>
      <c r="E110">
        <f>_xlfn.XLOOKUP($A110, DailyData!$A$2:$A$2516, DailyData!G$2:G$2516, " ")</f>
        <v>119.35</v>
      </c>
      <c r="F110">
        <f>_xlfn.XLOOKUP($A110, DailyData!$A$2:$A$2516, DailyData!H$2:H$2516, " ")</f>
        <v>82.83</v>
      </c>
      <c r="G110">
        <f>_xlfn.XLOOKUP($A110, DailyData!$A$2:$A$2516, DailyData!I$2:I$2516, " ")</f>
        <v>44.61</v>
      </c>
      <c r="H110">
        <f>_xlfn.XLOOKUP($A110, DailyData!$A$2:$A$2516, DailyData!J$2:J$2516, " ")</f>
        <v>382.09</v>
      </c>
      <c r="I110">
        <f>_xlfn.XLOOKUP($A110, DailyData!$A$2:$A$2516, DailyData!K$2:K$2516, " ")</f>
        <v>268.68</v>
      </c>
      <c r="J110">
        <f>_xlfn.XLOOKUP($A110, DailyData!$A$2:$A$2516, DailyData!L$2:L$2516, " ")</f>
        <v>74.42</v>
      </c>
      <c r="K110">
        <f>_xlfn.XLOOKUP($A110, DailyData!$A$2:$A$2516, DailyData!M$2:M$2516, " ")</f>
        <v>2.5099999999999998</v>
      </c>
    </row>
    <row r="111" spans="1:11">
      <c r="A111" s="1">
        <v>42795</v>
      </c>
      <c r="B111">
        <f>_xlfn.XLOOKUP(A111, DailyData!$A$2:$A$2516, DailyData!$D$2:$D$2516, " ")</f>
        <v>239.78</v>
      </c>
      <c r="C111">
        <f>_xlfn.XLOOKUP($A111, DailyData!$A$2:$A$2516, DailyData!$E$2:$E$2516, " ")</f>
        <v>140.36000000000001</v>
      </c>
      <c r="D111">
        <f>_xlfn.XLOOKUP($A111, DailyData!$A$2:$A$2516, DailyData!F$2:F$2516, " ")</f>
        <v>119.47</v>
      </c>
      <c r="E111">
        <f>_xlfn.XLOOKUP($A111, DailyData!$A$2:$A$2516, DailyData!G$2:G$2516, " ")</f>
        <v>119.06</v>
      </c>
      <c r="F111">
        <f>_xlfn.XLOOKUP($A111, DailyData!$A$2:$A$2516, DailyData!H$2:H$2516, " ")</f>
        <v>85</v>
      </c>
      <c r="G111">
        <f>_xlfn.XLOOKUP($A111, DailyData!$A$2:$A$2516, DailyData!I$2:I$2516, " ")</f>
        <v>42.92</v>
      </c>
      <c r="H111">
        <f>_xlfn.XLOOKUP($A111, DailyData!$A$2:$A$2516, DailyData!J$2:J$2516, " ")</f>
        <v>397.81</v>
      </c>
      <c r="I111">
        <f>_xlfn.XLOOKUP($A111, DailyData!$A$2:$A$2516, DailyData!K$2:K$2516, " ")</f>
        <v>268.38</v>
      </c>
      <c r="J111">
        <f>_xlfn.XLOOKUP($A111, DailyData!$A$2:$A$2516, DailyData!L$2:L$2516, " ")</f>
        <v>75.739999999999995</v>
      </c>
      <c r="K111">
        <f>_xlfn.XLOOKUP($A111, DailyData!$A$2:$A$2516, DailyData!M$2:M$2516, " ")</f>
        <v>2.66</v>
      </c>
    </row>
    <row r="112" spans="1:11">
      <c r="A112" s="1">
        <v>42767</v>
      </c>
      <c r="B112">
        <f>_xlfn.XLOOKUP(A112, DailyData!$A$2:$A$2516, DailyData!$D$2:$D$2516, " ")</f>
        <v>227.62</v>
      </c>
      <c r="C112">
        <f>_xlfn.XLOOKUP($A112, DailyData!$A$2:$A$2516, DailyData!$E$2:$E$2516, " ")</f>
        <v>135.15</v>
      </c>
      <c r="D112">
        <f>_xlfn.XLOOKUP($A112, DailyData!$A$2:$A$2516, DailyData!F$2:F$2516, " ")</f>
        <v>119.1</v>
      </c>
      <c r="E112">
        <f>_xlfn.XLOOKUP($A112, DailyData!$A$2:$A$2516, DailyData!G$2:G$2516, " ")</f>
        <v>115.2</v>
      </c>
      <c r="F112">
        <f>_xlfn.XLOOKUP($A112, DailyData!$A$2:$A$2516, DailyData!H$2:H$2516, " ")</f>
        <v>81.38</v>
      </c>
      <c r="G112">
        <f>_xlfn.XLOOKUP($A112, DailyData!$A$2:$A$2516, DailyData!I$2:I$2516, " ")</f>
        <v>39.840000000000003</v>
      </c>
      <c r="H112">
        <f>_xlfn.XLOOKUP($A112, DailyData!$A$2:$A$2516, DailyData!J$2:J$2516, " ")</f>
        <v>373</v>
      </c>
      <c r="I112">
        <f>_xlfn.XLOOKUP($A112, DailyData!$A$2:$A$2516, DailyData!K$2:K$2516, " ")</f>
        <v>250.9</v>
      </c>
      <c r="J112">
        <f>_xlfn.XLOOKUP($A112, DailyData!$A$2:$A$2516, DailyData!L$2:L$2516, " ")</f>
        <v>71.13</v>
      </c>
      <c r="K112">
        <f>_xlfn.XLOOKUP($A112, DailyData!$A$2:$A$2516, DailyData!M$2:M$2516, " ")</f>
        <v>2.56</v>
      </c>
    </row>
    <row r="113" spans="1:11">
      <c r="A113" s="1">
        <v>42738</v>
      </c>
      <c r="B113">
        <f>_xlfn.XLOOKUP(A113, DailyData!$A$2:$A$2516, DailyData!$D$2:$D$2516, " ")</f>
        <v>225.24</v>
      </c>
      <c r="C113">
        <f>_xlfn.XLOOKUP($A113, DailyData!$A$2:$A$2516, DailyData!$E$2:$E$2516, " ")</f>
        <v>135.52000000000001</v>
      </c>
      <c r="D113">
        <f>_xlfn.XLOOKUP($A113, DailyData!$A$2:$A$2516, DailyData!F$2:F$2516, " ")</f>
        <v>119.64</v>
      </c>
      <c r="E113">
        <f>_xlfn.XLOOKUP($A113, DailyData!$A$2:$A$2516, DailyData!G$2:G$2516, " ")</f>
        <v>110.47</v>
      </c>
      <c r="F113">
        <f>_xlfn.XLOOKUP($A113, DailyData!$A$2:$A$2516, DailyData!H$2:H$2516, " ")</f>
        <v>82.8</v>
      </c>
      <c r="G113">
        <f>_xlfn.XLOOKUP($A113, DailyData!$A$2:$A$2516, DailyData!I$2:I$2516, " ")</f>
        <v>38.549999999999997</v>
      </c>
      <c r="H113">
        <f>_xlfn.XLOOKUP($A113, DailyData!$A$2:$A$2516, DailyData!J$2:J$2516, " ")</f>
        <v>386.43</v>
      </c>
      <c r="I113">
        <f>_xlfn.XLOOKUP($A113, DailyData!$A$2:$A$2516, DailyData!K$2:K$2516, " ")</f>
        <v>253.31</v>
      </c>
      <c r="J113">
        <f>_xlfn.XLOOKUP($A113, DailyData!$A$2:$A$2516, DailyData!L$2:L$2516, " ")</f>
        <v>69.84</v>
      </c>
      <c r="K113">
        <f>_xlfn.XLOOKUP($A113, DailyData!$A$2:$A$2516, DailyData!M$2:M$2516, " ")</f>
        <v>2.85</v>
      </c>
    </row>
    <row r="114" spans="1:11">
      <c r="A114" s="1">
        <v>42705</v>
      </c>
      <c r="B114">
        <f>_xlfn.XLOOKUP(A114, DailyData!$A$2:$A$2516, DailyData!$D$2:$D$2516, " ")</f>
        <v>219.57</v>
      </c>
      <c r="C114">
        <f>_xlfn.XLOOKUP($A114, DailyData!$A$2:$A$2516, DailyData!$E$2:$E$2516, " ")</f>
        <v>130.97</v>
      </c>
      <c r="D114">
        <f>_xlfn.XLOOKUP($A114, DailyData!$A$2:$A$2516, DailyData!F$2:F$2516, " ")</f>
        <v>118.73</v>
      </c>
      <c r="E114">
        <f>_xlfn.XLOOKUP($A114, DailyData!$A$2:$A$2516, DailyData!G$2:G$2516, " ")</f>
        <v>111.54</v>
      </c>
      <c r="F114">
        <f>_xlfn.XLOOKUP($A114, DailyData!$A$2:$A$2516, DailyData!H$2:H$2516, " ")</f>
        <v>79.209999999999994</v>
      </c>
      <c r="G114">
        <f>_xlfn.XLOOKUP($A114, DailyData!$A$2:$A$2516, DailyData!I$2:I$2516, " ")</f>
        <v>38.700000000000003</v>
      </c>
      <c r="H114">
        <f>_xlfn.XLOOKUP($A114, DailyData!$A$2:$A$2516, DailyData!J$2:J$2516, " ")</f>
        <v>377.2</v>
      </c>
      <c r="I114">
        <f>_xlfn.XLOOKUP($A114, DailyData!$A$2:$A$2516, DailyData!K$2:K$2516, " ")</f>
        <v>266.39999999999998</v>
      </c>
      <c r="J114">
        <f>_xlfn.XLOOKUP($A114, DailyData!$A$2:$A$2516, DailyData!L$2:L$2516, " ")</f>
        <v>68.25</v>
      </c>
      <c r="K114">
        <f>_xlfn.XLOOKUP($A114, DailyData!$A$2:$A$2516, DailyData!M$2:M$2516, " ")</f>
        <v>2.62</v>
      </c>
    </row>
    <row r="115" spans="1:11">
      <c r="A115" s="1">
        <v>42675</v>
      </c>
      <c r="B115">
        <f>_xlfn.XLOOKUP(A115, DailyData!$A$2:$A$2516, DailyData!$D$2:$D$2516, " ")</f>
        <v>211.01</v>
      </c>
      <c r="C115">
        <f>_xlfn.XLOOKUP($A115, DailyData!$A$2:$A$2516, DailyData!$E$2:$E$2516, " ")</f>
        <v>117.05</v>
      </c>
      <c r="D115">
        <f>_xlfn.XLOOKUP($A115, DailyData!$A$2:$A$2516, DailyData!F$2:F$2516, " ")</f>
        <v>131.01</v>
      </c>
      <c r="E115">
        <f>_xlfn.XLOOKUP($A115, DailyData!$A$2:$A$2516, DailyData!G$2:G$2516, " ")</f>
        <v>122.73</v>
      </c>
      <c r="F115">
        <f>_xlfn.XLOOKUP($A115, DailyData!$A$2:$A$2516, DailyData!H$2:H$2516, " ")</f>
        <v>79.98</v>
      </c>
      <c r="G115">
        <f>_xlfn.XLOOKUP($A115, DailyData!$A$2:$A$2516, DailyData!I$2:I$2516, " ")</f>
        <v>38.46</v>
      </c>
      <c r="H115">
        <f>_xlfn.XLOOKUP($A115, DailyData!$A$2:$A$2516, DailyData!J$2:J$2516, " ")</f>
        <v>340.96</v>
      </c>
      <c r="I115">
        <f>_xlfn.XLOOKUP($A115, DailyData!$A$2:$A$2516, DailyData!K$2:K$2516, " ")</f>
        <v>244.98</v>
      </c>
      <c r="J115">
        <f>_xlfn.XLOOKUP($A115, DailyData!$A$2:$A$2516, DailyData!L$2:L$2516, " ")</f>
        <v>67</v>
      </c>
      <c r="K115">
        <f>_xlfn.XLOOKUP($A115, DailyData!$A$2:$A$2516, DailyData!M$2:M$2516, " ")</f>
        <v>2.2799999999999998</v>
      </c>
    </row>
    <row r="116" spans="1:11">
      <c r="A116" s="1">
        <v>42646</v>
      </c>
      <c r="B116">
        <f>_xlfn.XLOOKUP(A116, DailyData!$A$2:$A$2516, DailyData!$D$2:$D$2516, " ")</f>
        <v>215.78</v>
      </c>
      <c r="C116">
        <f>_xlfn.XLOOKUP($A116, DailyData!$A$2:$A$2516, DailyData!$E$2:$E$2516, " ")</f>
        <v>123.82</v>
      </c>
      <c r="D116">
        <f>_xlfn.XLOOKUP($A116, DailyData!$A$2:$A$2516, DailyData!F$2:F$2516, " ")</f>
        <v>136.81</v>
      </c>
      <c r="E116">
        <f>_xlfn.XLOOKUP($A116, DailyData!$A$2:$A$2516, DailyData!G$2:G$2516, " ")</f>
        <v>125.32</v>
      </c>
      <c r="F116">
        <f>_xlfn.XLOOKUP($A116, DailyData!$A$2:$A$2516, DailyData!H$2:H$2516, " ")</f>
        <v>85.12</v>
      </c>
      <c r="G116">
        <f>_xlfn.XLOOKUP($A116, DailyData!$A$2:$A$2516, DailyData!I$2:I$2516, " ")</f>
        <v>38.99</v>
      </c>
      <c r="H116">
        <f>_xlfn.XLOOKUP($A116, DailyData!$A$2:$A$2516, DailyData!J$2:J$2516, " ")</f>
        <v>360.07</v>
      </c>
      <c r="I116">
        <f>_xlfn.XLOOKUP($A116, DailyData!$A$2:$A$2516, DailyData!K$2:K$2516, " ")</f>
        <v>240.58</v>
      </c>
      <c r="J116">
        <f>_xlfn.XLOOKUP($A116, DailyData!$A$2:$A$2516, DailyData!L$2:L$2516, " ")</f>
        <v>72.05</v>
      </c>
      <c r="K116">
        <f>_xlfn.XLOOKUP($A116, DailyData!$A$2:$A$2516, DailyData!M$2:M$2516, " ")</f>
        <v>2.35</v>
      </c>
    </row>
    <row r="117" spans="1:11">
      <c r="A117" s="1">
        <v>42614</v>
      </c>
      <c r="B117">
        <f>_xlfn.XLOOKUP(A117, DailyData!$A$2:$A$2516, DailyData!$D$2:$D$2516, " ")</f>
        <v>217.39</v>
      </c>
      <c r="C117">
        <f>_xlfn.XLOOKUP($A117, DailyData!$A$2:$A$2516, DailyData!$E$2:$E$2516, " ")</f>
        <v>123.32</v>
      </c>
      <c r="D117">
        <f>_xlfn.XLOOKUP($A117, DailyData!$A$2:$A$2516, DailyData!F$2:F$2516, " ")</f>
        <v>139.77000000000001</v>
      </c>
      <c r="E117">
        <f>_xlfn.XLOOKUP($A117, DailyData!$A$2:$A$2516, DailyData!G$2:G$2516, " ")</f>
        <v>125.29</v>
      </c>
      <c r="F117">
        <f>_xlfn.XLOOKUP($A117, DailyData!$A$2:$A$2516, DailyData!H$2:H$2516, " ")</f>
        <v>88.75</v>
      </c>
      <c r="G117">
        <f>_xlfn.XLOOKUP($A117, DailyData!$A$2:$A$2516, DailyData!I$2:I$2516, " ")</f>
        <v>41.16</v>
      </c>
      <c r="H117">
        <f>_xlfn.XLOOKUP($A117, DailyData!$A$2:$A$2516, DailyData!J$2:J$2516, " ")</f>
        <v>372.17</v>
      </c>
      <c r="I117">
        <f>_xlfn.XLOOKUP($A117, DailyData!$A$2:$A$2516, DailyData!K$2:K$2516, " ")</f>
        <v>243.61</v>
      </c>
      <c r="J117">
        <f>_xlfn.XLOOKUP($A117, DailyData!$A$2:$A$2516, DailyData!L$2:L$2516, " ")</f>
        <v>72.569999999999993</v>
      </c>
      <c r="K117">
        <f>_xlfn.XLOOKUP($A117, DailyData!$A$2:$A$2516, DailyData!M$2:M$2516, " ")</f>
        <v>2.21</v>
      </c>
    </row>
    <row r="118" spans="1:11">
      <c r="A118" s="1">
        <v>42583</v>
      </c>
      <c r="B118">
        <f>_xlfn.XLOOKUP(A118, DailyData!$A$2:$A$2516, DailyData!$D$2:$D$2516, " ")</f>
        <v>216.94</v>
      </c>
      <c r="C118">
        <f>_xlfn.XLOOKUP($A118, DailyData!$A$2:$A$2516, DailyData!$E$2:$E$2516, " ")</f>
        <v>121.17</v>
      </c>
      <c r="D118">
        <f>_xlfn.XLOOKUP($A118, DailyData!$A$2:$A$2516, DailyData!F$2:F$2516, " ")</f>
        <v>139.77000000000001</v>
      </c>
      <c r="E118">
        <f>_xlfn.XLOOKUP($A118, DailyData!$A$2:$A$2516, DailyData!G$2:G$2516, " ")</f>
        <v>129.22</v>
      </c>
      <c r="F118">
        <f>_xlfn.XLOOKUP($A118, DailyData!$A$2:$A$2516, DailyData!H$2:H$2516, " ")</f>
        <v>92.65</v>
      </c>
      <c r="G118">
        <f>_xlfn.XLOOKUP($A118, DailyData!$A$2:$A$2516, DailyData!I$2:I$2516, " ")</f>
        <v>41.15</v>
      </c>
      <c r="H118">
        <f>_xlfn.XLOOKUP($A118, DailyData!$A$2:$A$2516, DailyData!J$2:J$2516, " ")</f>
        <v>368.32</v>
      </c>
      <c r="I118">
        <f>_xlfn.XLOOKUP($A118, DailyData!$A$2:$A$2516, DailyData!K$2:K$2516, " ")</f>
        <v>254.84</v>
      </c>
      <c r="J118">
        <f>_xlfn.XLOOKUP($A118, DailyData!$A$2:$A$2516, DailyData!L$2:L$2516, " ")</f>
        <v>75.680000000000007</v>
      </c>
      <c r="K118">
        <f>_xlfn.XLOOKUP($A118, DailyData!$A$2:$A$2516, DailyData!M$2:M$2516, " ")</f>
        <v>2.16</v>
      </c>
    </row>
    <row r="119" spans="1:11">
      <c r="A119" s="1">
        <v>42552</v>
      </c>
      <c r="B119">
        <f>_xlfn.XLOOKUP(A119, DailyData!$A$2:$A$2516, DailyData!$D$2:$D$2516, " ")</f>
        <v>209.92080000000001</v>
      </c>
      <c r="C119">
        <f>_xlfn.XLOOKUP($A119, DailyData!$A$2:$A$2516, DailyData!$E$2:$E$2516, " ")</f>
        <v>115.39</v>
      </c>
      <c r="D119">
        <f>_xlfn.XLOOKUP($A119, DailyData!$A$2:$A$2516, DailyData!F$2:F$2516, " ")</f>
        <v>140.57</v>
      </c>
      <c r="E119">
        <f>_xlfn.XLOOKUP($A119, DailyData!$A$2:$A$2516, DailyData!G$2:G$2516, " ")</f>
        <v>128.41</v>
      </c>
      <c r="F119">
        <f>_xlfn.XLOOKUP($A119, DailyData!$A$2:$A$2516, DailyData!H$2:H$2516, " ")</f>
        <v>88.7</v>
      </c>
      <c r="G119">
        <f>_xlfn.XLOOKUP($A119, DailyData!$A$2:$A$2516, DailyData!I$2:I$2516, " ")</f>
        <v>40.86</v>
      </c>
      <c r="H119">
        <f>_xlfn.XLOOKUP($A119, DailyData!$A$2:$A$2516, DailyData!J$2:J$2516, " ")</f>
        <v>341.28</v>
      </c>
      <c r="I119">
        <f>_xlfn.XLOOKUP($A119, DailyData!$A$2:$A$2516, DailyData!K$2:K$2516, " ")</f>
        <v>249.35</v>
      </c>
      <c r="J119">
        <f>_xlfn.XLOOKUP($A119, DailyData!$A$2:$A$2516, DailyData!L$2:L$2516, " ")</f>
        <v>72.16</v>
      </c>
      <c r="K119">
        <f>_xlfn.XLOOKUP($A119, DailyData!$A$2:$A$2516, DailyData!M$2:M$2516, " ")</f>
        <v>2.46</v>
      </c>
    </row>
    <row r="120" spans="1:11">
      <c r="A120" s="1">
        <v>42522</v>
      </c>
      <c r="B120">
        <f>_xlfn.XLOOKUP(A120, DailyData!$A$2:$A$2516, DailyData!$D$2:$D$2516, " ")</f>
        <v>210.27</v>
      </c>
      <c r="C120">
        <f>_xlfn.XLOOKUP($A120, DailyData!$A$2:$A$2516, DailyData!$E$2:$E$2516, " ")</f>
        <v>115.78</v>
      </c>
      <c r="D120">
        <f>_xlfn.XLOOKUP($A120, DailyData!$A$2:$A$2516, DailyData!F$2:F$2516, " ")</f>
        <v>130.41999999999999</v>
      </c>
      <c r="E120">
        <f>_xlfn.XLOOKUP($A120, DailyData!$A$2:$A$2516, DailyData!G$2:G$2516, " ")</f>
        <v>115.94</v>
      </c>
      <c r="F120">
        <f>_xlfn.XLOOKUP($A120, DailyData!$A$2:$A$2516, DailyData!H$2:H$2516, " ")</f>
        <v>83.74</v>
      </c>
      <c r="G120">
        <f>_xlfn.XLOOKUP($A120, DailyData!$A$2:$A$2516, DailyData!I$2:I$2516, " ")</f>
        <v>40.26</v>
      </c>
      <c r="H120">
        <f>_xlfn.XLOOKUP($A120, DailyData!$A$2:$A$2516, DailyData!J$2:J$2516, " ")</f>
        <v>364.59</v>
      </c>
      <c r="I120">
        <f>_xlfn.XLOOKUP($A120, DailyData!$A$2:$A$2516, DailyData!K$2:K$2516, " ")</f>
        <v>238.08</v>
      </c>
      <c r="J120">
        <f>_xlfn.XLOOKUP($A120, DailyData!$A$2:$A$2516, DailyData!L$2:L$2516, " ")</f>
        <v>71.61</v>
      </c>
      <c r="K120">
        <f>_xlfn.XLOOKUP($A120, DailyData!$A$2:$A$2516, DailyData!M$2:M$2516, " ")</f>
        <v>2.64</v>
      </c>
    </row>
    <row r="121" spans="1:11">
      <c r="A121" s="1">
        <v>42492</v>
      </c>
      <c r="B121">
        <f>_xlfn.XLOOKUP(A121, DailyData!$A$2:$A$2516, DailyData!$D$2:$D$2516, " ")</f>
        <v>207.97</v>
      </c>
      <c r="C121">
        <f>_xlfn.XLOOKUP($A121, DailyData!$A$2:$A$2516, DailyData!$E$2:$E$2516, " ")</f>
        <v>113.48</v>
      </c>
      <c r="D121">
        <f>_xlfn.XLOOKUP($A121, DailyData!$A$2:$A$2516, DailyData!F$2:F$2516, " ")</f>
        <v>127.82</v>
      </c>
      <c r="E121">
        <f>_xlfn.XLOOKUP($A121, DailyData!$A$2:$A$2516, DailyData!G$2:G$2516, " ")</f>
        <v>123.24</v>
      </c>
      <c r="F121">
        <f>_xlfn.XLOOKUP($A121, DailyData!$A$2:$A$2516, DailyData!H$2:H$2516, " ")</f>
        <v>83.1</v>
      </c>
      <c r="G121">
        <f>_xlfn.XLOOKUP($A121, DailyData!$A$2:$A$2516, DailyData!I$2:I$2516, " ")</f>
        <v>40.299999999999997</v>
      </c>
      <c r="H121">
        <f>_xlfn.XLOOKUP($A121, DailyData!$A$2:$A$2516, DailyData!J$2:J$2516, " ")</f>
        <v>361.5</v>
      </c>
      <c r="I121">
        <f>_xlfn.XLOOKUP($A121, DailyData!$A$2:$A$2516, DailyData!K$2:K$2516, " ")</f>
        <v>233.24</v>
      </c>
      <c r="J121">
        <f>_xlfn.XLOOKUP($A121, DailyData!$A$2:$A$2516, DailyData!L$2:L$2516, " ")</f>
        <v>70.19</v>
      </c>
      <c r="K121">
        <f>_xlfn.XLOOKUP($A121, DailyData!$A$2:$A$2516, DailyData!M$2:M$2516, " ")</f>
        <v>2.72</v>
      </c>
    </row>
    <row r="122" spans="1:11">
      <c r="A122" s="1">
        <v>42461</v>
      </c>
      <c r="B122">
        <f>_xlfn.XLOOKUP(A122, DailyData!$A$2:$A$2516, DailyData!$D$2:$D$2516, " ")</f>
        <v>206.92</v>
      </c>
      <c r="C122">
        <f>_xlfn.XLOOKUP($A122, DailyData!$A$2:$A$2516, DailyData!$E$2:$E$2516, " ")</f>
        <v>111.12</v>
      </c>
      <c r="D122">
        <f>_xlfn.XLOOKUP($A122, DailyData!$A$2:$A$2516, DailyData!F$2:F$2516, " ")</f>
        <v>130.68</v>
      </c>
      <c r="E122">
        <f>_xlfn.XLOOKUP($A122, DailyData!$A$2:$A$2516, DailyData!G$2:G$2516, " ")</f>
        <v>116.93</v>
      </c>
      <c r="F122">
        <f>_xlfn.XLOOKUP($A122, DailyData!$A$2:$A$2516, DailyData!H$2:H$2516, " ")</f>
        <v>83.69</v>
      </c>
      <c r="G122">
        <f>_xlfn.XLOOKUP($A122, DailyData!$A$2:$A$2516, DailyData!I$2:I$2516, " ")</f>
        <v>41.16</v>
      </c>
      <c r="H122">
        <f>_xlfn.XLOOKUP($A122, DailyData!$A$2:$A$2516, DailyData!J$2:J$2516, " ")</f>
        <v>342.53</v>
      </c>
      <c r="I122">
        <f>_xlfn.XLOOKUP($A122, DailyData!$A$2:$A$2516, DailyData!K$2:K$2516, " ")</f>
        <v>223.11</v>
      </c>
      <c r="J122">
        <f>_xlfn.XLOOKUP($A122, DailyData!$A$2:$A$2516, DailyData!L$2:L$2516, " ")</f>
        <v>68.55</v>
      </c>
      <c r="K122">
        <f>_xlfn.XLOOKUP($A122, DailyData!$A$2:$A$2516, DailyData!M$2:M$2516, " ")</f>
        <v>3.45</v>
      </c>
    </row>
    <row r="123" spans="1:11">
      <c r="A123" s="1">
        <v>42430</v>
      </c>
      <c r="B123">
        <f>_xlfn.XLOOKUP(A123, DailyData!$A$2:$A$2516, DailyData!$D$2:$D$2516, " ")</f>
        <v>198.11</v>
      </c>
      <c r="C123">
        <f>_xlfn.XLOOKUP($A123, DailyData!$A$2:$A$2516, DailyData!$E$2:$E$2516, " ")</f>
        <v>104.94</v>
      </c>
      <c r="D123">
        <f>_xlfn.XLOOKUP($A123, DailyData!$A$2:$A$2516, DailyData!F$2:F$2516, " ")</f>
        <v>128.43</v>
      </c>
      <c r="E123">
        <f>_xlfn.XLOOKUP($A123, DailyData!$A$2:$A$2516, DailyData!G$2:G$2516, " ")</f>
        <v>117.77</v>
      </c>
      <c r="F123">
        <f>_xlfn.XLOOKUP($A123, DailyData!$A$2:$A$2516, DailyData!H$2:H$2516, " ")</f>
        <v>78.87</v>
      </c>
      <c r="G123">
        <f>_xlfn.XLOOKUP($A123, DailyData!$A$2:$A$2516, DailyData!I$2:I$2516, " ")</f>
        <v>37.99</v>
      </c>
      <c r="H123">
        <f>_xlfn.XLOOKUP($A123, DailyData!$A$2:$A$2516, DailyData!J$2:J$2516, " ")</f>
        <v>322.57</v>
      </c>
      <c r="I123">
        <f>_xlfn.XLOOKUP($A123, DailyData!$A$2:$A$2516, DailyData!K$2:K$2516, " ")</f>
        <v>218.13</v>
      </c>
      <c r="J123">
        <f>_xlfn.XLOOKUP($A123, DailyData!$A$2:$A$2516, DailyData!L$2:L$2516, " ")</f>
        <v>67.650000000000006</v>
      </c>
      <c r="K123">
        <f>_xlfn.XLOOKUP($A123, DailyData!$A$2:$A$2516, DailyData!M$2:M$2516, " ")</f>
        <v>3.32</v>
      </c>
    </row>
    <row r="124" spans="1:11">
      <c r="A124" s="1">
        <v>42401</v>
      </c>
      <c r="B124">
        <f>_xlfn.XLOOKUP(A124, DailyData!$A$2:$A$2516, DailyData!$D$2:$D$2516, " ")</f>
        <v>193.65</v>
      </c>
      <c r="C124">
        <f>_xlfn.XLOOKUP($A124, DailyData!$A$2:$A$2516, DailyData!$E$2:$E$2516, " ")</f>
        <v>102.49</v>
      </c>
      <c r="D124">
        <f>_xlfn.XLOOKUP($A124, DailyData!$A$2:$A$2516, DailyData!F$2:F$2516, " ")</f>
        <v>126.67</v>
      </c>
      <c r="E124">
        <f>_xlfn.XLOOKUP($A124, DailyData!$A$2:$A$2516, DailyData!G$2:G$2516, " ")</f>
        <v>108.05</v>
      </c>
      <c r="F124">
        <f>_xlfn.XLOOKUP($A124, DailyData!$A$2:$A$2516, DailyData!H$2:H$2516, " ")</f>
        <v>77.12</v>
      </c>
      <c r="G124">
        <f>_xlfn.XLOOKUP($A124, DailyData!$A$2:$A$2516, DailyData!I$2:I$2516, " ")</f>
        <v>36.32</v>
      </c>
      <c r="H124">
        <f>_xlfn.XLOOKUP($A124, DailyData!$A$2:$A$2516, DailyData!J$2:J$2516, " ")</f>
        <v>312.25</v>
      </c>
      <c r="I124">
        <f>_xlfn.XLOOKUP($A124, DailyData!$A$2:$A$2516, DailyData!K$2:K$2516, " ")</f>
        <v>209.8</v>
      </c>
      <c r="J124">
        <f>_xlfn.XLOOKUP($A124, DailyData!$A$2:$A$2516, DailyData!L$2:L$2516, " ")</f>
        <v>66.569999999999993</v>
      </c>
      <c r="K124">
        <f>_xlfn.XLOOKUP($A124, DailyData!$A$2:$A$2516, DailyData!M$2:M$2516, " ")</f>
        <v>3.14</v>
      </c>
    </row>
    <row r="125" spans="1:11">
      <c r="A125" s="1">
        <v>42373</v>
      </c>
      <c r="B125">
        <f>_xlfn.XLOOKUP(A125, DailyData!$A$2:$A$2516, DailyData!$D$2:$D$2516, " ")</f>
        <v>201.01920000000001</v>
      </c>
      <c r="C125">
        <f>_xlfn.XLOOKUP($A125, DailyData!$A$2:$A$2516, DailyData!$E$2:$E$2516, " ")</f>
        <v>110.01</v>
      </c>
      <c r="D125">
        <f>_xlfn.XLOOKUP($A125, DailyData!$A$2:$A$2516, DailyData!F$2:F$2516, " ")</f>
        <v>121.45</v>
      </c>
      <c r="E125">
        <f>_xlfn.XLOOKUP($A125, DailyData!$A$2:$A$2516, DailyData!G$2:G$2516, " ")</f>
        <v>102.89</v>
      </c>
      <c r="F125">
        <f>_xlfn.XLOOKUP($A125, DailyData!$A$2:$A$2516, DailyData!H$2:H$2516, " ")</f>
        <v>78.77</v>
      </c>
      <c r="G125">
        <f>_xlfn.XLOOKUP($A125, DailyData!$A$2:$A$2516, DailyData!I$2:I$2516, " ")</f>
        <v>35.75</v>
      </c>
      <c r="H125">
        <f>_xlfn.XLOOKUP($A125, DailyData!$A$2:$A$2516, DailyData!J$2:J$2516, " ")</f>
        <v>333.1</v>
      </c>
      <c r="I125">
        <f>_xlfn.XLOOKUP($A125, DailyData!$A$2:$A$2516, DailyData!K$2:K$2516, " ")</f>
        <v>213.21</v>
      </c>
      <c r="J125">
        <f>_xlfn.XLOOKUP($A125, DailyData!$A$2:$A$2516, DailyData!L$2:L$2516, " ")</f>
        <v>70.73</v>
      </c>
      <c r="K125">
        <f>_xlfn.XLOOKUP($A125, DailyData!$A$2:$A$2516, DailyData!M$2:M$2516, " ")</f>
        <v>2.37</v>
      </c>
    </row>
    <row r="126" spans="1:11">
      <c r="A126" s="1">
        <v>42339</v>
      </c>
      <c r="B126">
        <f>_xlfn.XLOOKUP(A126, DailyData!$A$2:$A$2516, DailyData!$D$2:$D$2516, " ")</f>
        <v>210.68</v>
      </c>
      <c r="C126">
        <f>_xlfn.XLOOKUP($A126, DailyData!$A$2:$A$2516, DailyData!$E$2:$E$2516, " ")</f>
        <v>119.89</v>
      </c>
      <c r="D126">
        <f>_xlfn.XLOOKUP($A126, DailyData!$A$2:$A$2516, DailyData!F$2:F$2516, " ")</f>
        <v>122.83</v>
      </c>
      <c r="E126">
        <f>_xlfn.XLOOKUP($A126, DailyData!$A$2:$A$2516, DailyData!G$2:G$2516, " ")</f>
        <v>102.28</v>
      </c>
      <c r="F126">
        <f>_xlfn.XLOOKUP($A126, DailyData!$A$2:$A$2516, DailyData!H$2:H$2516, " ")</f>
        <v>80.489999999999995</v>
      </c>
      <c r="G126">
        <f>_xlfn.XLOOKUP($A126, DailyData!$A$2:$A$2516, DailyData!I$2:I$2516, " ")</f>
        <v>39.229999999999997</v>
      </c>
      <c r="H126">
        <f>_xlfn.XLOOKUP($A126, DailyData!$A$2:$A$2516, DailyData!J$2:J$2516, " ")</f>
        <v>361.73</v>
      </c>
      <c r="I126">
        <f>_xlfn.XLOOKUP($A126, DailyData!$A$2:$A$2516, DailyData!K$2:K$2516, " ")</f>
        <v>220.2</v>
      </c>
      <c r="J126">
        <f>_xlfn.XLOOKUP($A126, DailyData!$A$2:$A$2516, DailyData!L$2:L$2516, " ")</f>
        <v>72.31</v>
      </c>
      <c r="K126">
        <f>_xlfn.XLOOKUP($A126, DailyData!$A$2:$A$2516, DailyData!M$2:M$2516, " ")</f>
        <v>2.62</v>
      </c>
    </row>
    <row r="127" spans="1:11">
      <c r="A127" s="1">
        <v>42310</v>
      </c>
      <c r="B127">
        <f>_xlfn.XLOOKUP(A127, DailyData!$A$2:$A$2516, DailyData!$D$2:$D$2516, " ")</f>
        <v>210.39</v>
      </c>
      <c r="C127">
        <f>_xlfn.XLOOKUP($A127, DailyData!$A$2:$A$2516, DailyData!$E$2:$E$2516, " ")</f>
        <v>117.74</v>
      </c>
      <c r="D127">
        <f>_xlfn.XLOOKUP($A127, DailyData!$A$2:$A$2516, DailyData!F$2:F$2516, " ")</f>
        <v>121.95</v>
      </c>
      <c r="E127">
        <f>_xlfn.XLOOKUP($A127, DailyData!$A$2:$A$2516, DailyData!G$2:G$2516, " ")</f>
        <v>108.59</v>
      </c>
      <c r="F127">
        <f>_xlfn.XLOOKUP($A127, DailyData!$A$2:$A$2516, DailyData!H$2:H$2516, " ")</f>
        <v>81.59</v>
      </c>
      <c r="G127">
        <f>_xlfn.XLOOKUP($A127, DailyData!$A$2:$A$2516, DailyData!I$2:I$2516, " ")</f>
        <v>39.75</v>
      </c>
      <c r="H127">
        <f>_xlfn.XLOOKUP($A127, DailyData!$A$2:$A$2516, DailyData!J$2:J$2516, " ")</f>
        <v>354.57</v>
      </c>
      <c r="I127">
        <f>_xlfn.XLOOKUP($A127, DailyData!$A$2:$A$2516, DailyData!K$2:K$2516, " ")</f>
        <v>220.59</v>
      </c>
      <c r="J127">
        <f>_xlfn.XLOOKUP($A127, DailyData!$A$2:$A$2516, DailyData!L$2:L$2516, " ")</f>
        <v>72.86</v>
      </c>
      <c r="K127">
        <f>_xlfn.XLOOKUP($A127, DailyData!$A$2:$A$2516, DailyData!M$2:M$2516, " ")</f>
        <v>2.97</v>
      </c>
    </row>
    <row r="128" spans="1:11">
      <c r="A128" s="1">
        <v>42303</v>
      </c>
      <c r="B128">
        <f>_xlfn.XLOOKUP(A128, DailyData!$A$2:$A$2516, DailyData!$D$2:$D$2516, " ")</f>
        <v>207</v>
      </c>
      <c r="C128">
        <f>_xlfn.XLOOKUP($A128, DailyData!$A$2:$A$2516, DailyData!$E$2:$E$2516, " ")</f>
        <v>115.06</v>
      </c>
      <c r="D128">
        <f>_xlfn.XLOOKUP($A128, DailyData!$A$2:$A$2516, DailyData!F$2:F$2516, " ")</f>
        <v>124.02</v>
      </c>
      <c r="E128">
        <f>_xlfn.XLOOKUP($A128, DailyData!$A$2:$A$2516, DailyData!G$2:G$2516, " ")</f>
        <v>111.43</v>
      </c>
      <c r="F128">
        <f>_xlfn.XLOOKUP($A128, DailyData!$A$2:$A$2516, DailyData!H$2:H$2516, " ")</f>
        <v>80.7</v>
      </c>
      <c r="G128">
        <f>_xlfn.XLOOKUP($A128, DailyData!$A$2:$A$2516, DailyData!I$2:I$2516, " ")</f>
        <v>38.369999999999997</v>
      </c>
      <c r="H128">
        <f>_xlfn.XLOOKUP($A128, DailyData!$A$2:$A$2516, DailyData!J$2:J$2516, " ")</f>
        <v>337.02</v>
      </c>
      <c r="I128">
        <f>_xlfn.XLOOKUP($A128, DailyData!$A$2:$A$2516, DailyData!K$2:K$2516, " ")</f>
        <v>220.94</v>
      </c>
      <c r="J128">
        <f>_xlfn.XLOOKUP($A128, DailyData!$A$2:$A$2516, DailyData!L$2:L$2516, " ")</f>
        <v>69.599999999999994</v>
      </c>
      <c r="K128">
        <f>_xlfn.XLOOKUP($A128, DailyData!$A$2:$A$2516, DailyData!M$2:M$2516, " ")</f>
        <v>2.76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B5FD-71A4-8E4E-BAA2-B70E2085C81F}">
  <dimension ref="A1:K121"/>
  <sheetViews>
    <sheetView zoomScale="75" workbookViewId="0">
      <selection activeCell="M22" sqref="M22"/>
    </sheetView>
  </sheetViews>
  <sheetFormatPr defaultColWidth="11" defaultRowHeight="15.95"/>
  <cols>
    <col min="1" max="1" width="11.5" bestFit="1" customWidth="1"/>
  </cols>
  <sheetData>
    <row r="1" spans="1:11">
      <c r="A1" t="str">
        <f>'Monthly Returns'!A7</f>
        <v>Dates</v>
      </c>
      <c r="B1" t="str">
        <f>'Monthly Returns'!B2</f>
        <v>SPY</v>
      </c>
      <c r="C1" t="str">
        <f>'Monthly Returns'!C2</f>
        <v>IWM</v>
      </c>
      <c r="D1" t="str">
        <f>'Monthly Returns'!D2</f>
        <v>TLT</v>
      </c>
      <c r="E1" t="str">
        <f>'Monthly Returns'!E2</f>
        <v>GLD</v>
      </c>
      <c r="F1" t="str">
        <f>'Monthly Returns'!F2</f>
        <v>VNQ</v>
      </c>
      <c r="G1" t="str">
        <f>'Monthly Returns'!G2</f>
        <v>ORCL</v>
      </c>
      <c r="H1" t="str">
        <f>'Monthly Returns'!H2</f>
        <v>BLK</v>
      </c>
      <c r="I1" t="str">
        <f>'Monthly Returns'!I2</f>
        <v>LMT</v>
      </c>
      <c r="J1" t="str">
        <f>'Monthly Returns'!J2</f>
        <v>XLV</v>
      </c>
      <c r="K1" t="str">
        <f>'Monthly Returns'!K2</f>
        <v>SMCI</v>
      </c>
    </row>
    <row r="2" spans="1:11">
      <c r="A2" s="1">
        <f>'Monthly Returns'!A8</f>
        <v>45931</v>
      </c>
      <c r="B2" s="10">
        <f>LN('Monthly Returns'!B9/'Monthly Returns'!B8)</f>
        <v>-4.3071637039651639E-2</v>
      </c>
      <c r="C2" s="10">
        <f>LN('Monthly Returns'!C9/'Monthly Returns'!C8)</f>
        <v>-3.6066798823729318E-2</v>
      </c>
      <c r="D2" s="10">
        <f>LN('Monthly Returns'!D9/'Monthly Returns'!D8)</f>
        <v>-4.1853810491024476E-2</v>
      </c>
      <c r="E2" s="10">
        <f>LN('Monthly Returns'!E9/'Monthly Returns'!E8)</f>
        <v>-8.9376075838429991E-2</v>
      </c>
      <c r="F2" s="10">
        <f>LN('Monthly Returns'!F9/'Monthly Returns'!F8)</f>
        <v>-9.3268904575133111E-3</v>
      </c>
      <c r="G2" s="10">
        <f>LN('Monthly Returns'!G9/'Monthly Returns'!G8)</f>
        <v>-0.24902844215171993</v>
      </c>
      <c r="H2" s="10">
        <f>LN('Monthly Returns'!H9/'Monthly Returns'!H8)</f>
        <v>-2.3318313084436708E-2</v>
      </c>
      <c r="I2" s="10">
        <f>LN('Monthly Returns'!I9/'Monthly Returns'!I8)</f>
        <v>-9.7818332611537898E-2</v>
      </c>
      <c r="J2" s="10">
        <f>LN('Monthly Returns'!J9/'Monthly Returns'!J8)</f>
        <v>-4.2065768546233145E-2</v>
      </c>
      <c r="K2" s="10">
        <f>LN('Monthly Returns'!K9/'Monthly Returns'!K8)</f>
        <v>-0.25052396827381918</v>
      </c>
    </row>
    <row r="3" spans="1:11">
      <c r="A3" s="1">
        <f>'Monthly Returns'!A9</f>
        <v>45902</v>
      </c>
      <c r="B3" s="10">
        <f>LN('Monthly Returns'!B10/'Monthly Returns'!B9)</f>
        <v>-2.9400131774782741E-2</v>
      </c>
      <c r="C3" s="10">
        <f>LN('Monthly Returns'!C10/'Monthly Returns'!C9)</f>
        <v>-8.4627807729512727E-2</v>
      </c>
      <c r="D3" s="10">
        <f>LN('Monthly Returns'!D10/'Monthly Returns'!D9)</f>
        <v>2.5253576095470777E-2</v>
      </c>
      <c r="E3" s="10">
        <f>LN('Monthly Returns'!E10/'Monthly Returns'!E9)</f>
        <v>-5.1941720521629445E-2</v>
      </c>
      <c r="F3" s="10">
        <f>LN('Monthly Returns'!F10/'Monthly Returns'!F9)</f>
        <v>-1.9930515530856799E-2</v>
      </c>
      <c r="G3" s="10">
        <f>LN('Monthly Returns'!G10/'Monthly Returns'!G9)</f>
        <v>8.1455209571655723E-2</v>
      </c>
      <c r="H3" s="10">
        <f>LN('Monthly Returns'!H10/'Monthly Returns'!H9)</f>
        <v>-2.08203952414177E-2</v>
      </c>
      <c r="I3" s="10">
        <f>LN('Monthly Returns'!I10/'Monthly Returns'!I9)</f>
        <v>-7.2131176770575622E-2</v>
      </c>
      <c r="J3" s="10">
        <f>LN('Monthly Returns'!J10/'Monthly Returns'!J9)</f>
        <v>-4.7870988020732627E-2</v>
      </c>
      <c r="K3" s="10">
        <f>LN('Monthly Returns'!K10/'Monthly Returns'!K9)</f>
        <v>0.32852368423915523</v>
      </c>
    </row>
    <row r="4" spans="1:11">
      <c r="A4" s="1">
        <f>'Monthly Returns'!A10</f>
        <v>45870</v>
      </c>
      <c r="B4" s="10">
        <f>LN('Monthly Returns'!B11/'Monthly Returns'!B10)</f>
        <v>-6.5678766318746327E-3</v>
      </c>
      <c r="C4" s="10">
        <f>LN('Monthly Returns'!C11/'Monthly Returns'!C10)</f>
        <v>1.4275067436033489E-2</v>
      </c>
      <c r="D4" s="10">
        <f>LN('Monthly Returns'!D11/'Monthly Returns'!D10)</f>
        <v>3.6371942802696099E-3</v>
      </c>
      <c r="E4" s="10">
        <f>LN('Monthly Returns'!E11/'Monthly Returns'!E10)</f>
        <v>-5.0595249500264309E-3</v>
      </c>
      <c r="F4" s="10">
        <f>LN('Monthly Returns'!F11/'Monthly Returns'!F10)</f>
        <v>8.845156475196285E-3</v>
      </c>
      <c r="G4" s="10">
        <f>LN('Monthly Returns'!G11/'Monthly Returns'!G10)</f>
        <v>-0.10999899227743073</v>
      </c>
      <c r="H4" s="10">
        <f>LN('Monthly Returns'!H11/'Monthly Returns'!H10)</f>
        <v>-3.4979126068586615E-2</v>
      </c>
      <c r="I4" s="10">
        <f>LN('Monthly Returns'!I11/'Monthly Returns'!I10)</f>
        <v>0.1014002841017503</v>
      </c>
      <c r="J4" s="10">
        <f>LN('Monthly Returns'!J11/'Monthly Returns'!J10)</f>
        <v>4.1672696400568081E-2</v>
      </c>
      <c r="K4" s="10">
        <f>LN('Monthly Returns'!K11/'Monthly Returns'!K10)</f>
        <v>-0.18232155679395459</v>
      </c>
    </row>
    <row r="5" spans="1:11">
      <c r="A5" s="1">
        <f>'Monthly Returns'!A11</f>
        <v>45839</v>
      </c>
      <c r="B5" s="10">
        <f>LN('Monthly Returns'!B12/'Monthly Returns'!B11)</f>
        <v>-4.1216713389399293E-2</v>
      </c>
      <c r="C5" s="10">
        <f>LN('Monthly Returns'!C12/'Monthly Returns'!C11)</f>
        <v>-5.807352333227133E-2</v>
      </c>
      <c r="D5" s="10">
        <f>LN('Monthly Returns'!D12/'Monthly Returns'!D11)</f>
        <v>-3.4394619388562205E-2</v>
      </c>
      <c r="E5" s="10">
        <f>LN('Monthly Returns'!E12/'Monthly Returns'!E11)</f>
        <v>1.3307260096172674E-2</v>
      </c>
      <c r="F5" s="10">
        <f>LN('Monthly Returns'!F12/'Monthly Returns'!F11)</f>
        <v>-3.0142361644030493E-3</v>
      </c>
      <c r="G5" s="10">
        <f>LN('Monthly Returns'!G12/'Monthly Returns'!G11)</f>
        <v>-0.27347342324340729</v>
      </c>
      <c r="H5" s="10">
        <f>LN('Monthly Returns'!H12/'Monthly Returns'!H11)</f>
        <v>-7.5022621163468819E-2</v>
      </c>
      <c r="I5" s="10">
        <f>LN('Monthly Returns'!I12/'Monthly Returns'!I11)</f>
        <v>2.7267873434677497E-2</v>
      </c>
      <c r="J5" s="10">
        <f>LN('Monthly Returns'!J12/'Monthly Returns'!J11)</f>
        <v>-2.9620248061711842E-2</v>
      </c>
      <c r="K5" s="10">
        <f>LN('Monthly Returns'!K12/'Monthly Returns'!K11)</f>
        <v>-0.13595563623602899</v>
      </c>
    </row>
    <row r="6" spans="1:11">
      <c r="A6" s="1">
        <f>'Monthly Returns'!A12</f>
        <v>45810</v>
      </c>
      <c r="B6" s="10">
        <f>LN('Monthly Returns'!B13/'Monthly Returns'!B12)</f>
        <v>-5.950433883574989E-2</v>
      </c>
      <c r="C6" s="10">
        <f>LN('Monthly Returns'!C13/'Monthly Returns'!C12)</f>
        <v>-4.7995671637052338E-2</v>
      </c>
      <c r="D6" s="10">
        <f>LN('Monthly Returns'!D13/'Monthly Returns'!D12)</f>
        <v>4.0615303363082174E-2</v>
      </c>
      <c r="E6" s="10">
        <f>LN('Monthly Returns'!E13/'Monthly Returns'!E12)</f>
        <v>-4.6665173586098264E-2</v>
      </c>
      <c r="F6" s="10">
        <f>LN('Monthly Returns'!F13/'Monthly Returns'!F12)</f>
        <v>-9.2104436354454745E-3</v>
      </c>
      <c r="G6" s="10">
        <f>LN('Monthly Returns'!G13/'Monthly Returns'!G12)</f>
        <v>-0.13530828576171894</v>
      </c>
      <c r="H6" s="10">
        <f>LN('Monthly Returns'!H13/'Monthly Returns'!H12)</f>
        <v>-6.541205069212648E-2</v>
      </c>
      <c r="I6" s="10">
        <f>LN('Monthly Returns'!I13/'Monthly Returns'!I12)</f>
        <v>-2.2999571056066767E-3</v>
      </c>
      <c r="J6" s="10">
        <f>LN('Monthly Returns'!J13/'Monthly Returns'!J12)</f>
        <v>2.9108084158070549E-2</v>
      </c>
      <c r="K6" s="10">
        <f>LN('Monthly Returns'!K13/'Monthly Returns'!K12)</f>
        <v>-0.2301461678423917</v>
      </c>
    </row>
    <row r="7" spans="1:11">
      <c r="A7" s="1">
        <f>'Monthly Returns'!A13</f>
        <v>45778</v>
      </c>
      <c r="B7" s="10">
        <f>LN('Monthly Returns'!B14/'Monthly Returns'!B13)</f>
        <v>4.4665263993051204E-3</v>
      </c>
      <c r="C7" s="10">
        <f>LN('Monthly Returns'!C14/'Monthly Returns'!C13)</f>
        <v>1.7392622059639363E-2</v>
      </c>
      <c r="D7" s="10">
        <f>LN('Monthly Returns'!D14/'Monthly Returns'!D13)</f>
        <v>3.1082533303082971E-2</v>
      </c>
      <c r="E7" s="10">
        <f>LN('Monthly Returns'!E14/'Monthly Returns'!E13)</f>
        <v>-3.3813453302198537E-2</v>
      </c>
      <c r="F7" s="10">
        <f>LN('Monthly Returns'!F14/'Monthly Returns'!F13)</f>
        <v>2.1875872356724238E-2</v>
      </c>
      <c r="G7" s="10">
        <f>LN('Monthly Returns'!G14/'Monthly Returns'!G13)</f>
        <v>-2.4702922630460533E-2</v>
      </c>
      <c r="H7" s="10">
        <f>LN('Monthly Returns'!H14/'Monthly Returns'!H13)</f>
        <v>3.0041716894018106E-2</v>
      </c>
      <c r="I7" s="10">
        <f>LN('Monthly Returns'!I14/'Monthly Returns'!I13)</f>
        <v>-6.2804002394055591E-2</v>
      </c>
      <c r="J7" s="10">
        <f>LN('Monthly Returns'!J14/'Monthly Returns'!J13)</f>
        <v>4.7869700525513474E-2</v>
      </c>
      <c r="K7" s="10">
        <f>LN('Monthly Returns'!K14/'Monthly Returns'!K13)</f>
        <v>6.8483524967509993E-2</v>
      </c>
    </row>
    <row r="8" spans="1:11">
      <c r="A8" s="1">
        <f>'Monthly Returns'!A14</f>
        <v>45748</v>
      </c>
      <c r="B8" s="10">
        <f>LN('Monthly Returns'!B15/'Monthly Returns'!B14)</f>
        <v>3.9839641481195558E-2</v>
      </c>
      <c r="C8" s="10">
        <f>LN('Monthly Returns'!C15/'Monthly Returns'!C14)</f>
        <v>4.5416705593182602E-2</v>
      </c>
      <c r="D8" s="10">
        <f>LN('Monthly Returns'!D15/'Monthly Returns'!D14)</f>
        <v>1.1735438387675965E-2</v>
      </c>
      <c r="E8" s="10">
        <f>LN('Monthly Returns'!E15/'Monthly Returns'!E14)</f>
        <v>-7.5191907668004793E-2</v>
      </c>
      <c r="F8" s="10">
        <f>LN('Monthly Returns'!F15/'Monthly Returns'!F14)</f>
        <v>4.0671839728047963E-2</v>
      </c>
      <c r="G8" s="10">
        <f>LN('Monthly Returns'!G15/'Monthly Returns'!G14)</f>
        <v>0.13231535130550848</v>
      </c>
      <c r="H8" s="10">
        <f>LN('Monthly Returns'!H15/'Monthly Returns'!H14)</f>
        <v>2.3439350014692412E-2</v>
      </c>
      <c r="I8" s="10">
        <f>LN('Monthly Returns'!I15/'Monthly Returns'!I14)</f>
        <v>7.3286432520488498E-3</v>
      </c>
      <c r="J8" s="10">
        <f>LN('Monthly Returns'!J15/'Monthly Returns'!J14)</f>
        <v>4.2611936197748307E-2</v>
      </c>
      <c r="K8" s="10">
        <f>LN('Monthly Returns'!K15/'Monthly Returns'!K14)</f>
        <v>2.8685881434848536E-2</v>
      </c>
    </row>
    <row r="9" spans="1:11">
      <c r="A9" s="1">
        <f>'Monthly Returns'!A15</f>
        <v>45719</v>
      </c>
      <c r="B9" s="10">
        <f>LN('Monthly Returns'!B16/'Monthly Returns'!B15)</f>
        <v>2.3698994944374392E-2</v>
      </c>
      <c r="C9" s="10">
        <f>LN('Monthly Returns'!C16/'Monthly Returns'!C15)</f>
        <v>6.9605769171380324E-2</v>
      </c>
      <c r="D9" s="10">
        <f>LN('Monthly Returns'!D16/'Monthly Returns'!D15)</f>
        <v>-4.8811769674515476E-2</v>
      </c>
      <c r="E9" s="10">
        <f>LN('Monthly Returns'!E16/'Monthly Returns'!E15)</f>
        <v>-2.5823566040806125E-2</v>
      </c>
      <c r="F9" s="10">
        <f>LN('Monthly Returns'!F16/'Monthly Returns'!F15)</f>
        <v>-4.3103586256313185E-2</v>
      </c>
      <c r="G9" s="10">
        <f>LN('Monthly Returns'!G16/'Monthly Returns'!G15)</f>
        <v>3.9809261165409719E-2</v>
      </c>
      <c r="H9" s="10">
        <f>LN('Monthly Returns'!H16/'Monthly Returns'!H15)</f>
        <v>4.7761347097436811E-2</v>
      </c>
      <c r="I9" s="10">
        <f>LN('Monthly Returns'!I16/'Monthly Returns'!I15)</f>
        <v>7.6706424422994662E-3</v>
      </c>
      <c r="J9" s="10">
        <f>LN('Monthly Returns'!J16/'Monthly Returns'!J15)</f>
        <v>-1.4410053401953771E-2</v>
      </c>
      <c r="K9" s="10">
        <f>LN('Monthly Returns'!K16/'Monthly Returns'!K15)</f>
        <v>-0.29519567396057395</v>
      </c>
    </row>
    <row r="10" spans="1:11">
      <c r="A10" s="1">
        <f>'Monthly Returns'!A16</f>
        <v>45691</v>
      </c>
      <c r="B10" s="10">
        <f>LN('Monthly Returns'!B17/'Monthly Returns'!B16)</f>
        <v>-2.2209791392906703E-2</v>
      </c>
      <c r="C10" s="10">
        <f>LN('Monthly Returns'!C17/'Monthly Returns'!C16)</f>
        <v>-1.2090850037277034E-2</v>
      </c>
      <c r="D10" s="10">
        <f>LN('Monthly Returns'!D17/'Monthly Returns'!D16)</f>
        <v>-6.7148718704712939E-3</v>
      </c>
      <c r="E10" s="10">
        <f>LN('Monthly Returns'!E17/'Monthly Returns'!E16)</f>
        <v>-5.7479806605040713E-2</v>
      </c>
      <c r="F10" s="10">
        <f>LN('Monthly Returns'!F17/'Monthly Returns'!F16)</f>
        <v>-2.3174840686311402E-2</v>
      </c>
      <c r="G10" s="10">
        <f>LN('Monthly Returns'!G17/'Monthly Returns'!G16)</f>
        <v>-1.536055064806007E-2</v>
      </c>
      <c r="H10" s="10">
        <f>LN('Monthly Returns'!H17/'Monthly Returns'!H16)</f>
        <v>3.5940269590418496E-3</v>
      </c>
      <c r="I10" s="10">
        <f>LN('Monthly Returns'!I17/'Monthly Returns'!I16)</f>
        <v>5.7242581685319725E-2</v>
      </c>
      <c r="J10" s="10">
        <f>LN('Monthly Returns'!J17/'Monthly Returns'!J16)</f>
        <v>-6.8997716084377422E-2</v>
      </c>
      <c r="K10" s="10">
        <f>LN('Monthly Returns'!K17/'Monthly Returns'!K16)</f>
        <v>0.11259684002634278</v>
      </c>
    </row>
    <row r="11" spans="1:11">
      <c r="A11" s="1">
        <f>'Monthly Returns'!A17</f>
        <v>45659</v>
      </c>
      <c r="B11" s="10">
        <f>LN('Monthly Returns'!B18/'Monthly Returns'!B17)</f>
        <v>3.1965154258223376E-2</v>
      </c>
      <c r="C11" s="10">
        <f>LN('Monthly Returns'!C18/'Monthly Returns'!C17)</f>
        <v>8.91081492191481E-2</v>
      </c>
      <c r="D11" s="10">
        <f>LN('Monthly Returns'!D18/'Monthly Returns'!D17)</f>
        <v>6.9472372814767591E-2</v>
      </c>
      <c r="E11" s="10">
        <f>LN('Monthly Returns'!E18/'Monthly Returns'!E17)</f>
        <v>-8.1005229596860604E-3</v>
      </c>
      <c r="F11" s="10">
        <f>LN('Monthly Returns'!F18/'Monthly Returns'!F17)</f>
        <v>9.1296741280964433E-2</v>
      </c>
      <c r="G11" s="10">
        <f>LN('Monthly Returns'!G18/'Monthly Returns'!G17)</f>
        <v>8.8591168033536213E-2</v>
      </c>
      <c r="H11" s="10">
        <f>LN('Monthly Returns'!H18/'Monthly Returns'!H17)</f>
        <v>2.6601112122540253E-3</v>
      </c>
      <c r="I11" s="10">
        <f>LN('Monthly Returns'!I18/'Monthly Returns'!I17)</f>
        <v>7.6019792279214959E-2</v>
      </c>
      <c r="J11" s="10">
        <f>LN('Monthly Returns'!J18/'Monthly Returns'!J17)</f>
        <v>6.7028877402291312E-2</v>
      </c>
      <c r="K11" s="10">
        <f>LN('Monthly Returns'!K18/'Monthly Returns'!K17)</f>
        <v>0.33480695730215165</v>
      </c>
    </row>
    <row r="12" spans="1:11">
      <c r="A12" s="1">
        <f>'Monthly Returns'!A18</f>
        <v>45628</v>
      </c>
      <c r="B12" s="10">
        <f>LN('Monthly Returns'!B19/'Monthly Returns'!B18)</f>
        <v>-5.5502167706015113E-2</v>
      </c>
      <c r="C12" s="10">
        <f>LN('Monthly Returns'!C19/'Monthly Returns'!C18)</f>
        <v>-9.8923732888124893E-2</v>
      </c>
      <c r="D12" s="10">
        <f>LN('Monthly Returns'!D19/'Monthly Returns'!D18)</f>
        <v>-3.281112911154279E-2</v>
      </c>
      <c r="E12" s="10">
        <f>LN('Monthly Returns'!E19/'Monthly Returns'!E18)</f>
        <v>3.6421924186820061E-2</v>
      </c>
      <c r="F12" s="10">
        <f>LN('Monthly Returns'!F19/'Monthly Returns'!F18)</f>
        <v>-3.8142002294017228E-2</v>
      </c>
      <c r="G12" s="10">
        <f>LN('Monthly Returns'!G19/'Monthly Returns'!G18)</f>
        <v>-6.4843585764018372E-2</v>
      </c>
      <c r="H12" s="10">
        <f>LN('Monthly Returns'!H19/'Monthly Returns'!H18)</f>
        <v>-3.4942887452743508E-2</v>
      </c>
      <c r="I12" s="10">
        <f>LN('Monthly Returns'!I19/'Monthly Returns'!I18)</f>
        <v>4.6945346309698426E-2</v>
      </c>
      <c r="J12" s="10">
        <f>LN('Monthly Returns'!J19/'Monthly Returns'!J18)</f>
        <v>4.0014974211099738E-3</v>
      </c>
      <c r="K12" s="10">
        <f>LN('Monthly Returns'!K19/'Monthly Returns'!K18)</f>
        <v>-0.47765185008399236</v>
      </c>
    </row>
    <row r="13" spans="1:11">
      <c r="A13" s="1">
        <f>'Monthly Returns'!A19</f>
        <v>45597</v>
      </c>
      <c r="B13" s="10">
        <f>LN('Monthly Returns'!B20/'Monthly Returns'!B19)</f>
        <v>-4.2468870316916697E-3</v>
      </c>
      <c r="C13" s="10">
        <f>LN('Monthly Returns'!C20/'Monthly Returns'!C19)</f>
        <v>-4.9900531590924046E-3</v>
      </c>
      <c r="D13" s="10">
        <f>LN('Monthly Returns'!D20/'Monthly Returns'!D19)</f>
        <v>8.0855302944253096E-2</v>
      </c>
      <c r="E13" s="10">
        <f>LN('Monthly Returns'!E20/'Monthly Returns'!E19)</f>
        <v>-2.754751771906918E-2</v>
      </c>
      <c r="F13" s="10">
        <f>LN('Monthly Returns'!F20/'Monthly Returns'!F19)</f>
        <v>3.8762093260558766E-2</v>
      </c>
      <c r="G13" s="10">
        <f>LN('Monthly Returns'!G20/'Monthly Returns'!G19)</f>
        <v>-1.6964639609498212E-2</v>
      </c>
      <c r="H13" s="10">
        <f>LN('Monthly Returns'!H20/'Monthly Returns'!H19)</f>
        <v>-5.3225004872362223E-2</v>
      </c>
      <c r="I13" s="10">
        <f>LN('Monthly Returns'!I20/'Monthly Returns'!I19)</f>
        <v>0.10522114590230462</v>
      </c>
      <c r="J13" s="10">
        <f>LN('Monthly Returns'!J20/'Monthly Returns'!J19)</f>
        <v>3.6355557227070505E-2</v>
      </c>
      <c r="K13" s="10">
        <f>LN('Monthly Returns'!K20/'Monthly Returns'!K19)</f>
        <v>0.44251801236204596</v>
      </c>
    </row>
    <row r="14" spans="1:11">
      <c r="A14" s="1">
        <f>'Monthly Returns'!A20</f>
        <v>45566</v>
      </c>
      <c r="B14" s="10">
        <f>LN('Monthly Returns'!B21/'Monthly Returns'!B20)</f>
        <v>-2.9519409397812023E-2</v>
      </c>
      <c r="C14" s="10">
        <f>LN('Monthly Returns'!C21/'Monthly Returns'!C20)</f>
        <v>-2.1056338652177448E-2</v>
      </c>
      <c r="D14" s="10">
        <f>LN('Monthly Returns'!D21/'Monthly Returns'!D20)</f>
        <v>-7.5418213161358291E-3</v>
      </c>
      <c r="E14" s="10">
        <f>LN('Monthly Returns'!E21/'Monthly Returns'!E20)</f>
        <v>-6.4405527796541753E-2</v>
      </c>
      <c r="F14" s="10">
        <f>LN('Monthly Returns'!F21/'Monthly Returns'!F20)</f>
        <v>-1.7825040669004099E-2</v>
      </c>
      <c r="G14" s="10">
        <f>LN('Monthly Returns'!G21/'Monthly Returns'!G20)</f>
        <v>-0.1808868363182943</v>
      </c>
      <c r="H14" s="10">
        <f>LN('Monthly Returns'!H21/'Monthly Returns'!H20)</f>
        <v>-5.2295691090171806E-2</v>
      </c>
      <c r="I14" s="10">
        <f>LN('Monthly Returns'!I21/'Monthly Returns'!I20)</f>
        <v>-6.5901700749902273E-2</v>
      </c>
      <c r="J14" s="10">
        <f>LN('Monthly Returns'!J21/'Monthly Returns'!J20)</f>
        <v>2.3799130411324563E-2</v>
      </c>
      <c r="K14" s="10">
        <f>LN('Monthly Returns'!K21/'Monthly Returns'!K20)</f>
        <v>8.5736417430549217E-2</v>
      </c>
    </row>
    <row r="15" spans="1:11">
      <c r="A15" s="1">
        <f>'Monthly Returns'!A21</f>
        <v>45538</v>
      </c>
      <c r="B15" s="10">
        <f>LN('Monthly Returns'!B22/'Monthly Returns'!B21)</f>
        <v>-1.6565227341725827E-2</v>
      </c>
      <c r="C15" s="10">
        <f>LN('Monthly Returns'!C22/'Monthly Returns'!C21)</f>
        <v>1.5025984566224469E-2</v>
      </c>
      <c r="D15" s="10">
        <f>LN('Monthly Returns'!D22/'Monthly Returns'!D21)</f>
        <v>-2.5278461915940673E-2</v>
      </c>
      <c r="E15" s="10">
        <f>LN('Monthly Returns'!E22/'Monthly Returns'!E21)</f>
        <v>-1.9822602310043423E-2</v>
      </c>
      <c r="F15" s="10">
        <f>LN('Monthly Returns'!F22/'Monthly Returns'!F21)</f>
        <v>-4.0348820830398403E-2</v>
      </c>
      <c r="G15" s="10">
        <f>LN('Monthly Returns'!G22/'Monthly Returns'!G21)</f>
        <v>-1.4367959526566998E-2</v>
      </c>
      <c r="H15" s="10">
        <f>LN('Monthly Returns'!H22/'Monthly Returns'!H21)</f>
        <v>-2.4068110814632917E-2</v>
      </c>
      <c r="I15" s="10">
        <f>LN('Monthly Returns'!I22/'Monthly Returns'!I21)</f>
        <v>-3.2903835645443046E-2</v>
      </c>
      <c r="J15" s="10">
        <f>LN('Monthly Returns'!J22/'Monthly Returns'!J21)</f>
        <v>-3.7269781257698788E-2</v>
      </c>
      <c r="K15" s="10">
        <f>LN('Monthly Returns'!K22/'Monthly Returns'!K21)</f>
        <v>0.41969862430498844</v>
      </c>
    </row>
    <row r="16" spans="1:11">
      <c r="A16" s="1">
        <f>'Monthly Returns'!A22</f>
        <v>45505</v>
      </c>
      <c r="B16" s="10">
        <f>LN('Monthly Returns'!B23/'Monthly Returns'!B22)</f>
        <v>4.2817173881134563E-3</v>
      </c>
      <c r="C16" s="10">
        <f>LN('Monthly Returns'!C23/'Monthly Returns'!C22)</f>
        <v>-7.3710258999088604E-2</v>
      </c>
      <c r="D16" s="10">
        <f>LN('Monthly Returns'!D23/'Monthly Returns'!D22)</f>
        <v>-5.8325566952853056E-2</v>
      </c>
      <c r="E16" s="10">
        <f>LN('Monthly Returns'!E23/'Monthly Returns'!E22)</f>
        <v>-4.6231099164539061E-2</v>
      </c>
      <c r="F16" s="10">
        <f>LN('Monthly Returns'!F23/'Monthly Returns'!F22)</f>
        <v>-9.5890724985400758E-2</v>
      </c>
      <c r="G16" s="10">
        <f>LN('Monthly Returns'!G23/'Monthly Returns'!G22)</f>
        <v>3.9777161183790405E-2</v>
      </c>
      <c r="H16" s="10">
        <f>LN('Monthly Returns'!H23/'Monthly Returns'!H22)</f>
        <v>-0.10093409987496436</v>
      </c>
      <c r="I16" s="10">
        <f>LN('Monthly Returns'!I23/'Monthly Returns'!I22)</f>
        <v>-0.16271400522957921</v>
      </c>
      <c r="J16" s="10">
        <f>LN('Monthly Returns'!J23/'Monthly Returns'!J22)</f>
        <v>-4.2088011246863163E-2</v>
      </c>
      <c r="K16" s="10">
        <f>LN('Monthly Returns'!K23/'Monthly Returns'!K22)</f>
        <v>0.18931381476590287</v>
      </c>
    </row>
    <row r="17" spans="1:11">
      <c r="A17" s="1">
        <f>'Monthly Returns'!A23</f>
        <v>45474</v>
      </c>
      <c r="B17" s="10">
        <f>LN('Monthly Returns'!B24/'Monthly Returns'!B23)</f>
        <v>-3.2692029289510434E-2</v>
      </c>
      <c r="C17" s="10">
        <f>LN('Monthly Returns'!C24/'Monthly Returns'!C23)</f>
        <v>1.6855992977323129E-2</v>
      </c>
      <c r="D17" s="10">
        <f>LN('Monthly Returns'!D24/'Monthly Returns'!D23)</f>
        <v>1.8622101683403034E-2</v>
      </c>
      <c r="E17" s="10">
        <f>LN('Monthly Returns'!E24/'Monthly Returns'!E23)</f>
        <v>7.6249820665478165E-3</v>
      </c>
      <c r="F17" s="10">
        <f>LN('Monthly Returns'!F24/'Monthly Returns'!F23)</f>
        <v>9.6373938310982243E-4</v>
      </c>
      <c r="G17" s="10">
        <f>LN('Monthly Returns'!G24/'Monthly Returns'!G23)</f>
        <v>-0.1820001324621606</v>
      </c>
      <c r="H17" s="10">
        <f>LN('Monthly Returns'!H24/'Monthly Returns'!H23)</f>
        <v>-6.2835219949102126E-3</v>
      </c>
      <c r="I17" s="10">
        <f>LN('Monthly Returns'!I24/'Monthly Returns'!I23)</f>
        <v>2.483834945781303E-3</v>
      </c>
      <c r="J17" s="10">
        <f>LN('Monthly Returns'!J24/'Monthly Returns'!J23)</f>
        <v>-1.5191274845236375E-3</v>
      </c>
      <c r="K17" s="10">
        <f>LN('Monthly Returns'!K24/'Monthly Returns'!K23)</f>
        <v>-5.2700297864850996E-2</v>
      </c>
    </row>
    <row r="18" spans="1:11">
      <c r="A18" s="1">
        <f>'Monthly Returns'!A24</f>
        <v>45446</v>
      </c>
      <c r="B18" s="10">
        <f>LN('Monthly Returns'!B25/'Monthly Returns'!B24)</f>
        <v>-5.3409570532758535E-2</v>
      </c>
      <c r="C18" s="10">
        <f>LN('Monthly Returns'!C25/'Monthly Returns'!C24)</f>
        <v>-4.1410685758525967E-2</v>
      </c>
      <c r="D18" s="10">
        <f>LN('Monthly Returns'!D25/'Monthly Returns'!D24)</f>
        <v>-3.3750983279703085E-2</v>
      </c>
      <c r="E18" s="10">
        <f>LN('Monthly Returns'!E25/'Monthly Returns'!E24)</f>
        <v>-1.5916440039573411E-2</v>
      </c>
      <c r="F18" s="10">
        <f>LN('Monthly Returns'!F25/'Monthly Returns'!F24)</f>
        <v>-4.1926356863308256E-2</v>
      </c>
      <c r="G18" s="10">
        <f>LN('Monthly Returns'!G25/'Monthly Returns'!G24)</f>
        <v>-3.9764120329564723E-2</v>
      </c>
      <c r="H18" s="10">
        <f>LN('Monthly Returns'!H25/'Monthly Returns'!H24)</f>
        <v>-3.373877021475518E-2</v>
      </c>
      <c r="I18" s="10">
        <f>LN('Monthly Returns'!I25/'Monthly Returns'!I24)</f>
        <v>-1.2632924937940987E-2</v>
      </c>
      <c r="J18" s="10">
        <f>LN('Monthly Returns'!J25/'Monthly Returns'!J24)</f>
        <v>-2.8955018002142049E-2</v>
      </c>
      <c r="K18" s="10">
        <f>LN('Monthly Returns'!K25/'Monthly Returns'!K24)</f>
        <v>-4.2819186126937352E-2</v>
      </c>
    </row>
    <row r="19" spans="1:11">
      <c r="A19" s="1">
        <f>'Monthly Returns'!A25</f>
        <v>45413</v>
      </c>
      <c r="B19" s="10">
        <f>LN('Monthly Returns'!B26/'Monthly Returns'!B25)</f>
        <v>4.2666200790496808E-2</v>
      </c>
      <c r="C19" s="10">
        <f>LN('Monthly Returns'!C26/'Monthly Returns'!C25)</f>
        <v>5.9380316600262398E-2</v>
      </c>
      <c r="D19" s="10">
        <f>LN('Monthly Returns'!D26/'Monthly Returns'!D25)</f>
        <v>4.4068750619125033E-2</v>
      </c>
      <c r="E19" s="10">
        <f>LN('Monthly Returns'!E26/'Monthly Returns'!E25)</f>
        <v>-2.8321904387815913E-2</v>
      </c>
      <c r="F19" s="10">
        <f>LN('Monthly Returns'!F26/'Monthly Returns'!F25)</f>
        <v>6.5487656201705519E-2</v>
      </c>
      <c r="G19" s="10">
        <f>LN('Monthly Returns'!G26/'Monthly Returns'!G25)</f>
        <v>9.043683319555916E-2</v>
      </c>
      <c r="H19" s="10">
        <f>LN('Monthly Returns'!H26/'Monthly Returns'!H25)</f>
        <v>9.5348885392690791E-2</v>
      </c>
      <c r="I19" s="10">
        <f>LN('Monthly Returns'!I26/'Monthly Returns'!I25)</f>
        <v>-1.9551862820525803E-2</v>
      </c>
      <c r="J19" s="10">
        <f>LN('Monthly Returns'!J26/'Monthly Returns'!J25)</f>
        <v>4.1043907582456365E-2</v>
      </c>
      <c r="K19" s="10">
        <f>LN('Monthly Returns'!K26/'Monthly Returns'!K25)</f>
        <v>0.33992980759938946</v>
      </c>
    </row>
    <row r="20" spans="1:11">
      <c r="A20" s="1">
        <f>'Monthly Returns'!A26</f>
        <v>45383</v>
      </c>
      <c r="B20" s="10">
        <f>LN('Monthly Returns'!B27/'Monthly Returns'!B26)</f>
        <v>-1.7990649573541836E-2</v>
      </c>
      <c r="C20" s="10">
        <f>LN('Monthly Returns'!C27/'Monthly Returns'!C26)</f>
        <v>-1.1733313431551437E-2</v>
      </c>
      <c r="D20" s="10">
        <f>LN('Monthly Returns'!D27/'Monthly Returns'!D26)</f>
        <v>2.0533284761536513E-2</v>
      </c>
      <c r="E20" s="10">
        <f>LN('Monthly Returns'!E27/'Monthly Returns'!E26)</f>
        <v>-7.4552242188351839E-2</v>
      </c>
      <c r="F20" s="10">
        <f>LN('Monthly Returns'!F27/'Monthly Returns'!F26)</f>
        <v>1.7949199829981066E-2</v>
      </c>
      <c r="G20" s="10">
        <f>LN('Monthly Returns'!G27/'Monthly Returns'!G26)</f>
        <v>-9.7879623999976031E-2</v>
      </c>
      <c r="H20" s="10">
        <f>LN('Monthly Returns'!H27/'Monthly Returns'!H26)</f>
        <v>-1.4547040152963743E-2</v>
      </c>
      <c r="I20" s="10">
        <f>LN('Monthly Returns'!I27/'Monthly Returns'!I26)</f>
        <v>-5.9909865941358845E-2</v>
      </c>
      <c r="J20" s="10">
        <f>LN('Monthly Returns'!J27/'Monthly Returns'!J26)</f>
        <v>-8.8794787433186259E-4</v>
      </c>
      <c r="K20" s="10">
        <f>LN('Monthly Returns'!K27/'Monthly Returns'!K26)</f>
        <v>-0.13579277634104131</v>
      </c>
    </row>
    <row r="21" spans="1:11">
      <c r="A21" s="1">
        <f>'Monthly Returns'!A27</f>
        <v>45352</v>
      </c>
      <c r="B21" s="10">
        <f>LN('Monthly Returns'!B28/'Monthly Returns'!B27)</f>
        <v>-4.7212000940402746E-2</v>
      </c>
      <c r="C21" s="10">
        <f>LN('Monthly Returns'!C28/'Monthly Returns'!C27)</f>
        <v>-5.2088618639167854E-2</v>
      </c>
      <c r="D21" s="10">
        <f>LN('Monthly Returns'!D28/'Monthly Returns'!D27)</f>
        <v>3.9131140617789224E-2</v>
      </c>
      <c r="E21" s="10">
        <f>LN('Monthly Returns'!E28/'Monthly Returns'!E27)</f>
        <v>-1.2940436249660341E-2</v>
      </c>
      <c r="F21" s="10">
        <f>LN('Monthly Returns'!F28/'Monthly Returns'!F27)</f>
        <v>-1.3490145269626528E-2</v>
      </c>
      <c r="G21" s="10">
        <f>LN('Monthly Returns'!G28/'Monthly Returns'!G27)</f>
        <v>1.5263477172425804E-2</v>
      </c>
      <c r="H21" s="10">
        <f>LN('Monthly Returns'!H28/'Monthly Returns'!H27)</f>
        <v>-3.7384960694276215E-2</v>
      </c>
      <c r="I21" s="10">
        <f>LN('Monthly Returns'!I28/'Monthly Returns'!I27)</f>
        <v>7.7316059672618625E-3</v>
      </c>
      <c r="J21" s="10">
        <f>LN('Monthly Returns'!J28/'Monthly Returns'!J27)</f>
        <v>-2.8698164086743475E-2</v>
      </c>
      <c r="K21" s="10">
        <f>LN('Monthly Returns'!K28/'Monthly Returns'!K27)</f>
        <v>-0.43944282559685732</v>
      </c>
    </row>
    <row r="22" spans="1:11">
      <c r="A22" s="1">
        <f>'Monthly Returns'!A28</f>
        <v>45323</v>
      </c>
      <c r="B22" s="10">
        <f>LN('Monthly Returns'!B29/'Monthly Returns'!B28)</f>
        <v>-3.4416246941623964E-2</v>
      </c>
      <c r="C22" s="10">
        <f>LN('Monthly Returns'!C29/'Monthly Returns'!C28)</f>
        <v>2.0661054982241252E-2</v>
      </c>
      <c r="D22" s="10">
        <f>LN('Monthly Returns'!D29/'Monthly Returns'!D28)</f>
        <v>7.1228698000062841E-4</v>
      </c>
      <c r="E22" s="10">
        <f>LN('Monthly Returns'!E29/'Monthly Returns'!E28)</f>
        <v>1.6267418904965232E-3</v>
      </c>
      <c r="F22" s="10">
        <f>LN('Monthly Returns'!F29/'Monthly Returns'!F28)</f>
        <v>4.2520586220918068E-2</v>
      </c>
      <c r="G22" s="10">
        <f>LN('Monthly Returns'!G29/'Monthly Returns'!G28)</f>
        <v>-0.10456258063276978</v>
      </c>
      <c r="H22" s="10">
        <f>LN('Monthly Returns'!H29/'Monthly Returns'!H28)</f>
        <v>1.9392115541171245E-2</v>
      </c>
      <c r="I22" s="10">
        <f>LN('Monthly Returns'!I29/'Monthly Returns'!I28)</f>
        <v>5.9505750923807978E-2</v>
      </c>
      <c r="J22" s="10">
        <f>LN('Monthly Returns'!J29/'Monthly Returns'!J28)</f>
        <v>-2.4344571897737591E-2</v>
      </c>
      <c r="K22" s="10">
        <f>LN('Monthly Returns'!K29/'Monthly Returns'!K28)</f>
        <v>-0.71480242263054583</v>
      </c>
    </row>
    <row r="23" spans="1:11">
      <c r="A23" s="1">
        <f>'Monthly Returns'!A29</f>
        <v>45293</v>
      </c>
      <c r="B23" s="10">
        <f>LN('Monthly Returns'!B30/'Monthly Returns'!B29)</f>
        <v>-2.9087105616216871E-2</v>
      </c>
      <c r="C23" s="10">
        <f>LN('Monthly Returns'!C30/'Monthly Returns'!C29)</f>
        <v>-7.604526171283163E-2</v>
      </c>
      <c r="D23" s="10">
        <f>LN('Monthly Returns'!D30/'Monthly Returns'!D29)</f>
        <v>-5.563379088872706E-2</v>
      </c>
      <c r="E23" s="10">
        <f>LN('Monthly Returns'!E30/'Monthly Returns'!E29)</f>
        <v>6.7410701278402419E-3</v>
      </c>
      <c r="F23" s="10">
        <f>LN('Monthly Returns'!F30/'Monthly Returns'!F29)</f>
        <v>-6.2267015587976746E-2</v>
      </c>
      <c r="G23" s="10">
        <f>LN('Monthly Returns'!G30/'Monthly Returns'!G29)</f>
        <v>0.11857286609737522</v>
      </c>
      <c r="H23" s="10">
        <f>LN('Monthly Returns'!H30/'Monthly Returns'!H29)</f>
        <v>-5.6482425364792109E-2</v>
      </c>
      <c r="I23" s="10">
        <f>LN('Monthly Returns'!I30/'Monthly Returns'!I29)</f>
        <v>-1.4820321394087685E-2</v>
      </c>
      <c r="J23" s="10">
        <f>LN('Monthly Returns'!J30/'Monthly Returns'!J29)</f>
        <v>-5.1376731701524216E-2</v>
      </c>
      <c r="K23" s="10">
        <f>LN('Monthly Returns'!K30/'Monthly Returns'!K29)</f>
        <v>-5.7302650057912942E-2</v>
      </c>
    </row>
    <row r="24" spans="1:11">
      <c r="A24" s="1">
        <f>'Monthly Returns'!A30</f>
        <v>45261</v>
      </c>
      <c r="B24" s="10">
        <f>LN('Monthly Returns'!B31/'Monthly Returns'!B30)</f>
        <v>-8.2699977921170287E-2</v>
      </c>
      <c r="C24" s="10">
        <f>LN('Monthly Returns'!C31/'Monthly Returns'!C30)</f>
        <v>-0.11113974645685783</v>
      </c>
      <c r="D24" s="10">
        <f>LN('Monthly Returns'!D31/'Monthly Returns'!D30)</f>
        <v>-8.8664924910777487E-2</v>
      </c>
      <c r="E24" s="10">
        <f>LN('Monthly Returns'!E31/'Monthly Returns'!E30)</f>
        <v>-4.5278292082242017E-2</v>
      </c>
      <c r="F24" s="10">
        <f>LN('Monthly Returns'!F31/'Monthly Returns'!F30)</f>
        <v>-0.13220162786509429</v>
      </c>
      <c r="G24" s="10">
        <f>LN('Monthly Returns'!G31/'Monthly Returns'!G30)</f>
        <v>-0.10246270403314539</v>
      </c>
      <c r="H24" s="10">
        <f>LN('Monthly Returns'!H31/'Monthly Returns'!H30)</f>
        <v>-0.20491641748008022</v>
      </c>
      <c r="I24" s="10">
        <f>LN('Monthly Returns'!I31/'Monthly Returns'!I30)</f>
        <v>6.5869232047651646E-3</v>
      </c>
      <c r="J24" s="10">
        <f>LN('Monthly Returns'!J31/'Monthly Returns'!J30)</f>
        <v>-5.480075783455135E-2</v>
      </c>
      <c r="K24" s="10">
        <f>LN('Monthly Returns'!K31/'Monthly Returns'!K30)</f>
        <v>-6.6320523391139974E-2</v>
      </c>
    </row>
    <row r="25" spans="1:11">
      <c r="A25" s="1">
        <f>'Monthly Returns'!A31</f>
        <v>45231</v>
      </c>
      <c r="B25" s="10">
        <f>LN('Monthly Returns'!B32/'Monthly Returns'!B31)</f>
        <v>1.0941671803658777E-2</v>
      </c>
      <c r="C25" s="10">
        <f>LN('Monthly Returns'!C32/'Monthly Returns'!C31)</f>
        <v>5.0728043402580872E-2</v>
      </c>
      <c r="D25" s="10">
        <f>LN('Monthly Returns'!D32/'Monthly Returns'!D31)</f>
        <v>2.1276161511644638E-2</v>
      </c>
      <c r="E25" s="10">
        <f>LN('Monthly Returns'!E32/'Monthly Returns'!E31)</f>
        <v>-7.8531670692343986E-2</v>
      </c>
      <c r="F25" s="10">
        <f>LN('Monthly Returns'!F32/'Monthly Returns'!F31)</f>
        <v>1.2191968955302146E-2</v>
      </c>
      <c r="G25" s="10">
        <f>LN('Monthly Returns'!G32/'Monthly Returns'!G31)</f>
        <v>9.0370567020861409E-3</v>
      </c>
      <c r="H25" s="10">
        <f>LN('Monthly Returns'!H32/'Monthly Returns'!H31)</f>
        <v>4.2619116172762789E-2</v>
      </c>
      <c r="I25" s="10">
        <f>LN('Monthly Returns'!I32/'Monthly Returns'!I31)</f>
        <v>-0.10369663401323345</v>
      </c>
      <c r="J25" s="10">
        <f>LN('Monthly Returns'!J32/'Monthly Returns'!J31)</f>
        <v>2.9683265493929967E-2</v>
      </c>
      <c r="K25" s="10">
        <f>LN('Monthly Returns'!K32/'Monthly Returns'!K31)</f>
        <v>0.13546175182517756</v>
      </c>
    </row>
    <row r="26" spans="1:11">
      <c r="A26" s="1">
        <f>'Monthly Returns'!A32</f>
        <v>45201</v>
      </c>
      <c r="B26" s="10">
        <f>LN('Monthly Returns'!B33/'Monthly Returns'!B32)</f>
        <v>5.4378791680011473E-2</v>
      </c>
      <c r="C26" s="10">
        <f>LN('Monthly Returns'!C33/'Monthly Returns'!C32)</f>
        <v>9.2030262026620901E-2</v>
      </c>
      <c r="D26" s="10">
        <f>LN('Monthly Returns'!D33/'Monthly Returns'!D32)</f>
        <v>8.7193499290050019E-2</v>
      </c>
      <c r="E26" s="10">
        <f>LN('Monthly Returns'!E33/'Monthly Returns'!E32)</f>
        <v>5.9830284118727026E-2</v>
      </c>
      <c r="F26" s="10">
        <f>LN('Monthly Returns'!F33/'Monthly Returns'!F32)</f>
        <v>0.10533358652184606</v>
      </c>
      <c r="G26" s="10">
        <f>LN('Monthly Returns'!G33/'Monthly Returns'!G32)</f>
        <v>0.12509699116871062</v>
      </c>
      <c r="H26" s="10">
        <f>LN('Monthly Returns'!H33/'Monthly Returns'!H32)</f>
        <v>9.3677392398603232E-2</v>
      </c>
      <c r="I26" s="10">
        <f>LN('Monthly Returns'!I33/'Monthly Returns'!I32)</f>
        <v>9.4369036848402713E-2</v>
      </c>
      <c r="J26" s="10">
        <f>LN('Monthly Returns'!J33/'Monthly Returns'!J32)</f>
        <v>3.8229963559756705E-2</v>
      </c>
      <c r="K26" s="10">
        <f>LN('Monthly Returns'!K33/'Monthly Returns'!K32)</f>
        <v>-2.3464568053475961E-2</v>
      </c>
    </row>
    <row r="27" spans="1:11">
      <c r="A27" s="1">
        <f>'Monthly Returns'!A33</f>
        <v>45170</v>
      </c>
      <c r="B27" s="10">
        <f>LN('Monthly Returns'!B34/'Monthly Returns'!B33)</f>
        <v>1.1656350647513794E-2</v>
      </c>
      <c r="C27" s="10">
        <f>LN('Monthly Returns'!C34/'Monthly Returns'!C33)</f>
        <v>3.576863999737305E-2</v>
      </c>
      <c r="D27" s="10">
        <f>LN('Monthly Returns'!D34/'Monthly Returns'!D33)</f>
        <v>3.4098334280734104E-2</v>
      </c>
      <c r="E27" s="10">
        <f>LN('Monthly Returns'!E34/'Monthly Returns'!E33)</f>
        <v>1.9413712173885446E-3</v>
      </c>
      <c r="F27" s="10">
        <f>LN('Monthly Returns'!F34/'Monthly Returns'!F33)</f>
        <v>3.1021337390283316E-2</v>
      </c>
      <c r="G27" s="10">
        <f>LN('Monthly Returns'!G34/'Monthly Returns'!G33)</f>
        <v>-2.5290244208602201E-2</v>
      </c>
      <c r="H27" s="10">
        <f>LN('Monthly Returns'!H34/'Monthly Returns'!H33)</f>
        <v>3.6251319053166753E-2</v>
      </c>
      <c r="I27" s="10">
        <f>LN('Monthly Returns'!I34/'Monthly Returns'!I33)</f>
        <v>6.8930519967159423E-3</v>
      </c>
      <c r="J27" s="10">
        <f>LN('Monthly Returns'!J34/'Monthly Returns'!J33)</f>
        <v>-8.9880913848086759E-4</v>
      </c>
      <c r="K27" s="10">
        <f>LN('Monthly Returns'!K34/'Monthly Returns'!K33)</f>
        <v>0.17924572330308836</v>
      </c>
    </row>
    <row r="28" spans="1:11">
      <c r="A28" s="1">
        <f>'Monthly Returns'!A34</f>
        <v>45139</v>
      </c>
      <c r="B28" s="10">
        <f>LN('Monthly Returns'!B35/'Monthly Returns'!B34)</f>
        <v>-2.8193409892935735E-2</v>
      </c>
      <c r="C28" s="10">
        <f>LN('Monthly Returns'!C35/'Monthly Returns'!C34)</f>
        <v>-5.2677893607581919E-2</v>
      </c>
      <c r="D28" s="10">
        <f>LN('Monthly Returns'!D35/'Monthly Returns'!D34)</f>
        <v>3.9361788934722287E-2</v>
      </c>
      <c r="E28" s="10">
        <f>LN('Monthly Returns'!E35/'Monthly Returns'!E34)</f>
        <v>-1.1088626698430689E-2</v>
      </c>
      <c r="F28" s="10">
        <f>LN('Monthly Returns'!F35/'Monthly Returns'!F34)</f>
        <v>-8.7316188971416978E-3</v>
      </c>
      <c r="G28" s="10">
        <f>LN('Monthly Returns'!G35/'Monthly Returns'!G34)</f>
        <v>-6.4664566347772305E-3</v>
      </c>
      <c r="H28" s="10">
        <f>LN('Monthly Returns'!H35/'Monthly Returns'!H34)</f>
        <v>-5.4269052165504164E-2</v>
      </c>
      <c r="I28" s="10">
        <f>LN('Monthly Returns'!I35/'Monthly Returns'!I34)</f>
        <v>2.4731525535632369E-2</v>
      </c>
      <c r="J28" s="10">
        <f>LN('Monthly Returns'!J35/'Monthly Returns'!J34)</f>
        <v>-1.3655951775394012E-2</v>
      </c>
      <c r="K28" s="10">
        <f>LN('Monthly Returns'!K35/'Monthly Returns'!K34)</f>
        <v>-0.3036059758085039</v>
      </c>
    </row>
    <row r="29" spans="1:11">
      <c r="A29" s="1">
        <f>'Monthly Returns'!A35</f>
        <v>45110</v>
      </c>
      <c r="B29" s="10">
        <f>LN('Monthly Returns'!B36/'Monthly Returns'!B35)</f>
        <v>-5.0772794814785749E-2</v>
      </c>
      <c r="C29" s="10">
        <f>LN('Monthly Returns'!C36/'Monthly Returns'!C35)</f>
        <v>-6.608514686919377E-2</v>
      </c>
      <c r="D29" s="10">
        <f>LN('Monthly Returns'!D36/'Monthly Returns'!D35)</f>
        <v>1.0136539034452333E-2</v>
      </c>
      <c r="E29" s="10">
        <f>LN('Monthly Returns'!E36/'Monthly Returns'!E35)</f>
        <v>2.9210038512918764E-2</v>
      </c>
      <c r="F29" s="10">
        <f>LN('Monthly Returns'!F36/'Monthly Returns'!F35)</f>
        <v>-5.317877983415991E-2</v>
      </c>
      <c r="G29" s="10">
        <f>LN('Monthly Returns'!G36/'Monthly Returns'!G35)</f>
        <v>-0.10011041491464123</v>
      </c>
      <c r="H29" s="10">
        <f>LN('Monthly Returns'!H36/'Monthly Returns'!H35)</f>
        <v>-3.6321721392688244E-2</v>
      </c>
      <c r="I29" s="10">
        <f>LN('Monthly Returns'!I36/'Monthly Returns'!I35)</f>
        <v>-2.8305534556738877E-2</v>
      </c>
      <c r="J29" s="10">
        <f>LN('Monthly Returns'!J36/'Monthly Returns'!J35)</f>
        <v>-2.2819936878240354E-2</v>
      </c>
      <c r="K29" s="10">
        <f>LN('Monthly Returns'!K36/'Monthly Returns'!K35)</f>
        <v>-7.5838076391504486E-2</v>
      </c>
    </row>
    <row r="30" spans="1:11">
      <c r="A30" s="1">
        <f>'Monthly Returns'!A36</f>
        <v>45078</v>
      </c>
      <c r="B30" s="10">
        <f>LN('Monthly Returns'!B37/'Monthly Returns'!B36)</f>
        <v>-1.507200136289222E-2</v>
      </c>
      <c r="C30" s="10">
        <f>LN('Monthly Returns'!C37/'Monthly Returns'!C36)</f>
        <v>-1.9945867846471706E-3</v>
      </c>
      <c r="D30" s="10">
        <f>LN('Monthly Returns'!D37/'Monthly Returns'!D36)</f>
        <v>9.6969697045618748E-5</v>
      </c>
      <c r="E30" s="10">
        <f>LN('Monthly Returns'!E37/'Monthly Returns'!E36)</f>
        <v>1.1421424568491692E-3</v>
      </c>
      <c r="F30" s="10">
        <f>LN('Monthly Returns'!F37/'Monthly Returns'!F36)</f>
        <v>3.2826107951534886E-2</v>
      </c>
      <c r="G30" s="10">
        <f>LN('Monthly Returns'!G37/'Monthly Returns'!G36)</f>
        <v>-0.11083721663437798</v>
      </c>
      <c r="H30" s="10">
        <f>LN('Monthly Returns'!H37/'Monthly Returns'!H36)</f>
        <v>-8.8151283011450206E-3</v>
      </c>
      <c r="I30" s="10">
        <f>LN('Monthly Returns'!I37/'Monthly Returns'!I36)</f>
        <v>4.3005212340288951E-2</v>
      </c>
      <c r="J30" s="10">
        <f>LN('Monthly Returns'!J37/'Monthly Returns'!J36)</f>
        <v>4.2229257533194627E-2</v>
      </c>
      <c r="K30" s="10">
        <f>LN('Monthly Returns'!K37/'Monthly Returns'!K36)</f>
        <v>-0.78750543263888817</v>
      </c>
    </row>
    <row r="31" spans="1:11">
      <c r="A31" s="1">
        <f>'Monthly Returns'!A37</f>
        <v>45047</v>
      </c>
      <c r="B31" s="10">
        <f>LN('Monthly Returns'!B38/'Monthly Returns'!B37)</f>
        <v>-1.1035128800067203E-2</v>
      </c>
      <c r="C31" s="10">
        <f>LN('Monthly Returns'!C38/'Monthly Returns'!C37)</f>
        <v>1.797775819708811E-2</v>
      </c>
      <c r="D31" s="10">
        <f>LN('Monthly Returns'!D38/'Monthly Returns'!D37)</f>
        <v>3.3093183403766525E-2</v>
      </c>
      <c r="E31" s="10">
        <f>LN('Monthly Returns'!E38/'Monthly Returns'!E37)</f>
        <v>3.0935413127177601E-3</v>
      </c>
      <c r="F31" s="10">
        <f>LN('Monthly Returns'!F38/'Monthly Returns'!F37)</f>
        <v>-3.6350458056329665E-3</v>
      </c>
      <c r="G31" s="10">
        <f>LN('Monthly Returns'!G38/'Monthly Returns'!G37)</f>
        <v>-1.0064177324999139E-2</v>
      </c>
      <c r="H31" s="10">
        <f>LN('Monthly Returns'!H38/'Monthly Returns'!H37)</f>
        <v>5.1753564491215176E-3</v>
      </c>
      <c r="I31" s="10">
        <f>LN('Monthly Returns'!I38/'Monthly Returns'!I37)</f>
        <v>3.5964338274631039E-2</v>
      </c>
      <c r="J31" s="10">
        <f>LN('Monthly Returns'!J38/'Monthly Returns'!J37)</f>
        <v>-2.4970180538085595E-2</v>
      </c>
      <c r="K31" s="10">
        <f>LN('Monthly Returns'!K38/'Monthly Returns'!K37)</f>
        <v>6.9817143162825057E-2</v>
      </c>
    </row>
    <row r="32" spans="1:11">
      <c r="A32" s="1">
        <f>'Monthly Returns'!A38</f>
        <v>45019</v>
      </c>
      <c r="B32" s="10">
        <f>LN('Monthly Returns'!B39/'Monthly Returns'!B38)</f>
        <v>-4.0244232268547432E-2</v>
      </c>
      <c r="C32" s="10">
        <f>LN('Monthly Returns'!C39/'Monthly Returns'!C38)</f>
        <v>5.4196963496244581E-2</v>
      </c>
      <c r="D32" s="10">
        <f>LN('Monthly Returns'!D39/'Monthly Returns'!D38)</f>
        <v>-6.0220153906035176E-2</v>
      </c>
      <c r="E32" s="10">
        <f>LN('Monthly Returns'!E39/'Monthly Returns'!E38)</f>
        <v>-7.7607180260648528E-2</v>
      </c>
      <c r="F32" s="10">
        <f>LN('Monthly Returns'!F39/'Monthly Returns'!F38)</f>
        <v>2.7064279102054608E-2</v>
      </c>
      <c r="G32" s="10">
        <f>LN('Monthly Returns'!G39/'Monthly Returns'!G38)</f>
        <v>-8.4150365952454828E-2</v>
      </c>
      <c r="H32" s="10">
        <f>LN('Monthly Returns'!H39/'Monthly Returns'!H38)</f>
        <v>2.1010891925183961E-2</v>
      </c>
      <c r="I32" s="10">
        <f>LN('Monthly Returns'!I39/'Monthly Returns'!I38)</f>
        <v>-2.5580249035370747E-2</v>
      </c>
      <c r="J32" s="10">
        <f>LN('Monthly Returns'!J39/'Monthly Returns'!J38)</f>
        <v>-3.0637987973853999E-2</v>
      </c>
      <c r="K32" s="10">
        <f>LN('Monthly Returns'!K39/'Monthly Returns'!K38)</f>
        <v>-9.9756607761459587E-2</v>
      </c>
    </row>
    <row r="33" spans="1:11">
      <c r="A33" s="1">
        <f>'Monthly Returns'!A39</f>
        <v>44986</v>
      </c>
      <c r="B33" s="10">
        <f>LN('Monthly Returns'!B40/'Monthly Returns'!B39)</f>
        <v>3.9879157728441694E-2</v>
      </c>
      <c r="C33" s="10">
        <f>LN('Monthly Returns'!C40/'Monthly Returns'!C39)</f>
        <v>3.1707234234492322E-2</v>
      </c>
      <c r="D33" s="10">
        <f>LN('Monthly Returns'!D40/'Monthly Returns'!D39)</f>
        <v>7.4933148617572054E-2</v>
      </c>
      <c r="E33" s="10">
        <f>LN('Monthly Returns'!E40/'Monthly Returns'!E39)</f>
        <v>6.1932792560892326E-2</v>
      </c>
      <c r="F33" s="10">
        <f>LN('Monthly Returns'!F40/'Monthly Returns'!F39)</f>
        <v>7.9242620348606949E-2</v>
      </c>
      <c r="G33" s="10">
        <f>LN('Monthly Returns'!G40/'Monthly Returns'!G39)</f>
        <v>4.2072081494633574E-2</v>
      </c>
      <c r="H33" s="10">
        <f>LN('Monthly Returns'!H40/'Monthly Returns'!H39)</f>
        <v>0.11385699708514072</v>
      </c>
      <c r="I33" s="10">
        <f>LN('Monthly Returns'!I40/'Monthly Returns'!I39)</f>
        <v>-2.5797411722929171E-2</v>
      </c>
      <c r="J33" s="10">
        <f>LN('Monthly Returns'!J40/'Monthly Returns'!J39)</f>
        <v>5.3893094082363049E-2</v>
      </c>
      <c r="K33" s="10">
        <f>LN('Monthly Returns'!K40/'Monthly Returns'!K39)</f>
        <v>-0.24670322748810172</v>
      </c>
    </row>
    <row r="34" spans="1:11">
      <c r="A34" s="1">
        <f>'Monthly Returns'!A40</f>
        <v>44958</v>
      </c>
      <c r="B34" s="10">
        <f>LN('Monthly Returns'!B41/'Monthly Returns'!B40)</f>
        <v>-7.5779655507969459E-2</v>
      </c>
      <c r="C34" s="10">
        <f>LN('Monthly Returns'!C41/'Monthly Returns'!C40)</f>
        <v>-0.11477968350857255</v>
      </c>
      <c r="D34" s="10">
        <f>LN('Monthly Returns'!D41/'Monthly Returns'!D40)</f>
        <v>-6.4131874304737144E-2</v>
      </c>
      <c r="E34" s="10">
        <f>LN('Monthly Returns'!E41/'Monthly Returns'!E40)</f>
        <v>-6.0177482298017906E-2</v>
      </c>
      <c r="F34" s="10">
        <f>LN('Monthly Returns'!F41/'Monthly Returns'!F40)</f>
        <v>-0.10412428672534348</v>
      </c>
      <c r="G34" s="10">
        <f>LN('Monthly Returns'!G41/'Monthly Returns'!G40)</f>
        <v>-7.28871740441661E-2</v>
      </c>
      <c r="H34" s="10">
        <f>LN('Monthly Returns'!H41/'Monthly Returns'!H40)</f>
        <v>-6.8638896143537437E-2</v>
      </c>
      <c r="I34" s="10">
        <f>LN('Monthly Returns'!I41/'Monthly Returns'!I40)</f>
        <v>3.2521114905134166E-2</v>
      </c>
      <c r="J34" s="10">
        <f>LN('Monthly Returns'!J41/'Monthly Returns'!J40)</f>
        <v>1.0911223486240943E-2</v>
      </c>
      <c r="K34" s="10">
        <f>LN('Monthly Returns'!K41/'Monthly Returns'!K40)</f>
        <v>5.1356027676991226E-2</v>
      </c>
    </row>
    <row r="35" spans="1:11">
      <c r="A35" s="1">
        <f>'Monthly Returns'!A41</f>
        <v>44929</v>
      </c>
      <c r="B35" s="10">
        <f>LN('Monthly Returns'!B42/'Monthly Returns'!B41)</f>
        <v>6.7419588239560624E-2</v>
      </c>
      <c r="C35" s="10">
        <f>LN('Monthly Returns'!C42/'Monthly Returns'!C41)</f>
        <v>7.5293625884161122E-2</v>
      </c>
      <c r="D35" s="10">
        <f>LN('Monthly Returns'!D42/'Monthly Returns'!D41)</f>
        <v>4.1507743964832311E-2</v>
      </c>
      <c r="E35" s="10">
        <f>LN('Monthly Returns'!E42/'Monthly Returns'!E41)</f>
        <v>-1.9003227504648553E-2</v>
      </c>
      <c r="F35" s="10">
        <f>LN('Monthly Returns'!F42/'Monthly Returns'!F41)</f>
        <v>6.2560730843301215E-2</v>
      </c>
      <c r="G35" s="10">
        <f>LN('Monthly Returns'!G42/'Monthly Returns'!G41)</f>
        <v>4.6475683965468756E-3</v>
      </c>
      <c r="H35" s="10">
        <f>LN('Monthly Returns'!H42/'Monthly Returns'!H41)</f>
        <v>1.4140325690872946E-2</v>
      </c>
      <c r="I35" s="10">
        <f>LN('Monthly Returns'!I42/'Monthly Returns'!I41)</f>
        <v>1.2817220471389884E-2</v>
      </c>
      <c r="J35" s="10">
        <f>LN('Monthly Returns'!J42/'Monthly Returns'!J41)</f>
        <v>2.8814566271494875E-2</v>
      </c>
      <c r="K35" s="10">
        <f>LN('Monthly Returns'!K42/'Monthly Returns'!K41)</f>
        <v>7.5724237232719885E-2</v>
      </c>
    </row>
    <row r="36" spans="1:11">
      <c r="A36" s="1">
        <f>'Monthly Returns'!A42</f>
        <v>44896</v>
      </c>
      <c r="B36" s="10">
        <f>LN('Monthly Returns'!B43/'Monthly Returns'!B42)</f>
        <v>-5.7750607588379063E-2</v>
      </c>
      <c r="C36" s="10">
        <f>LN('Monthly Returns'!C43/'Monthly Returns'!C42)</f>
        <v>-1.8244150439657547E-2</v>
      </c>
      <c r="D36" s="10">
        <f>LN('Monthly Returns'!D43/'Monthly Returns'!D42)</f>
        <v>-8.883534721052512E-2</v>
      </c>
      <c r="E36" s="10">
        <f>LN('Monthly Returns'!E43/'Monthly Returns'!E42)</f>
        <v>-8.9571197898467833E-2</v>
      </c>
      <c r="F36" s="10">
        <f>LN('Monthly Returns'!F43/'Monthly Returns'!F42)</f>
        <v>-5.784801594010032E-2</v>
      </c>
      <c r="G36" s="10">
        <f>LN('Monthly Returns'!G43/'Monthly Returns'!G42)</f>
        <v>-8.6892492129476695E-2</v>
      </c>
      <c r="H36" s="10">
        <f>LN('Monthly Returns'!H43/'Monthly Returns'!H42)</f>
        <v>-0.10222985337345224</v>
      </c>
      <c r="I36" s="10">
        <f>LN('Monthly Returns'!I43/'Monthly Returns'!I42)</f>
        <v>4.0028114354461975E-3</v>
      </c>
      <c r="J36" s="10">
        <f>LN('Monthly Returns'!J43/'Monthly Returns'!J42)</f>
        <v>-4.8420844913840584E-2</v>
      </c>
      <c r="K36" s="10">
        <f>LN('Monthly Returns'!K43/'Monthly Returns'!K42)</f>
        <v>-0.2300735859788795</v>
      </c>
    </row>
    <row r="37" spans="1:11">
      <c r="A37" s="1">
        <f>'Monthly Returns'!A43</f>
        <v>44866</v>
      </c>
      <c r="B37" s="10">
        <f>LN('Monthly Returns'!B44/'Monthly Returns'!B43)</f>
        <v>-4.7697190477187922E-2</v>
      </c>
      <c r="C37" s="10">
        <f>LN('Monthly Returns'!C44/'Monthly Returns'!C43)</f>
        <v>-8.1037319141786635E-2</v>
      </c>
      <c r="D37" s="10">
        <f>LN('Monthly Returns'!D44/'Monthly Returns'!D43)</f>
        <v>7.0417917422511397E-2</v>
      </c>
      <c r="E37" s="10">
        <f>LN('Monthly Returns'!E44/'Monthly Returns'!E43)</f>
        <v>3.1872908637432244E-2</v>
      </c>
      <c r="F37" s="10">
        <f>LN('Monthly Returns'!F44/'Monthly Returns'!F43)</f>
        <v>-1.6408754666392324E-2</v>
      </c>
      <c r="G37" s="10">
        <f>LN('Monthly Returns'!G44/'Monthly Returns'!G43)</f>
        <v>-0.20082921175003168</v>
      </c>
      <c r="H37" s="10">
        <f>LN('Monthly Returns'!H44/'Monthly Returns'!H43)</f>
        <v>-0.12964762083872339</v>
      </c>
      <c r="I37" s="10">
        <f>LN('Monthly Returns'!I44/'Monthly Returns'!I43)</f>
        <v>-0.19463268131280864</v>
      </c>
      <c r="J37" s="10">
        <f>LN('Monthly Returns'!J44/'Monthly Returns'!J43)</f>
        <v>-7.2019570120821649E-2</v>
      </c>
      <c r="K37" s="10">
        <f>LN('Monthly Returns'!K44/'Monthly Returns'!K43)</f>
        <v>-0.23047214806503649</v>
      </c>
    </row>
    <row r="38" spans="1:11">
      <c r="A38" s="1">
        <f>'Monthly Returns'!A44</f>
        <v>44837</v>
      </c>
      <c r="B38" s="10">
        <f>LN('Monthly Returns'!B45/'Monthly Returns'!B44)</f>
        <v>7.8175642549421831E-2</v>
      </c>
      <c r="C38" s="10">
        <f>LN('Monthly Returns'!C45/'Monthly Returns'!C44)</f>
        <v>6.9642433055747119E-2</v>
      </c>
      <c r="D38" s="10">
        <f>LN('Monthly Returns'!D45/'Monthly Returns'!D44)</f>
        <v>5.4082428198552517E-2</v>
      </c>
      <c r="E38" s="10">
        <f>LN('Monthly Returns'!E45/'Monthly Returns'!E44)</f>
        <v>-3.5409458433160422E-3</v>
      </c>
      <c r="F38" s="10">
        <f>LN('Monthly Returns'!F45/'Monthly Returns'!F44)</f>
        <v>0.13270384441858951</v>
      </c>
      <c r="G38" s="10">
        <f>LN('Monthly Returns'!G45/'Monthly Returns'!G44)</f>
        <v>0.17707637271101032</v>
      </c>
      <c r="H38" s="10">
        <f>LN('Monthly Returns'!H45/'Monthly Returns'!H44)</f>
        <v>0.1491645102147853</v>
      </c>
      <c r="I38" s="10">
        <f>LN('Monthly Returns'!I45/'Monthly Returns'!I44)</f>
        <v>5.5635432173929543E-2</v>
      </c>
      <c r="J38" s="10">
        <f>LN('Monthly Returns'!J45/'Monthly Returns'!J44)</f>
        <v>2.5639358223217792E-2</v>
      </c>
      <c r="K38" s="10">
        <f>LN('Monthly Returns'!K45/'Monthly Returns'!K44)</f>
        <v>0.10308121248816601</v>
      </c>
    </row>
    <row r="39" spans="1:11">
      <c r="A39" s="1">
        <f>'Monthly Returns'!A45</f>
        <v>44805</v>
      </c>
      <c r="B39" s="10">
        <f>LN('Monthly Returns'!B46/'Monthly Returns'!B45)</f>
        <v>3.5559191880277077E-2</v>
      </c>
      <c r="C39" s="10">
        <f>LN('Monthly Returns'!C46/'Monthly Returns'!C45)</f>
        <v>3.081506702420507E-2</v>
      </c>
      <c r="D39" s="10">
        <f>LN('Monthly Returns'!D46/'Monthly Returns'!D45)</f>
        <v>9.098764605825134E-2</v>
      </c>
      <c r="E39" s="10">
        <f>LN('Monthly Returns'!E46/'Monthly Returns'!E45)</f>
        <v>4.4355366011840931E-2</v>
      </c>
      <c r="F39" s="10">
        <f>LN('Monthly Returns'!F46/'Monthly Returns'!F45)</f>
        <v>5.2065694014005119E-2</v>
      </c>
      <c r="G39" s="10">
        <f>LN('Monthly Returns'!G46/'Monthly Returns'!G45)</f>
        <v>2.8023308162473747E-2</v>
      </c>
      <c r="H39" s="10">
        <f>LN('Monthly Returns'!H46/'Monthly Returns'!H45)</f>
        <v>9.7887388814800504E-3</v>
      </c>
      <c r="I39" s="10">
        <f>LN('Monthly Returns'!I46/'Monthly Returns'!I45)</f>
        <v>-7.9108134464144064E-3</v>
      </c>
      <c r="J39" s="10">
        <f>LN('Monthly Returns'!J46/'Monthly Returns'!J45)</f>
        <v>3.5708398222913509E-2</v>
      </c>
      <c r="K39" s="10">
        <f>LN('Monthly Returns'!K46/'Monthly Returns'!K45)</f>
        <v>-0.136922375867081</v>
      </c>
    </row>
    <row r="40" spans="1:11">
      <c r="A40" s="1">
        <f>'Monthly Returns'!A46</f>
        <v>44774</v>
      </c>
      <c r="B40" s="10">
        <f>LN('Monthly Returns'!B47/'Monthly Returns'!B46)</f>
        <v>-7.460434908070121E-2</v>
      </c>
      <c r="C40" s="10">
        <f>LN('Monthly Returns'!C47/'Monthly Returns'!C46)</f>
        <v>-8.8012373210144851E-2</v>
      </c>
      <c r="D40" s="10">
        <f>LN('Monthly Returns'!D47/'Monthly Returns'!D46)</f>
        <v>-3.5787758774522699E-2</v>
      </c>
      <c r="E40" s="10">
        <f>LN('Monthly Returns'!E47/'Monthly Returns'!E46)</f>
        <v>1.9739653993868539E-2</v>
      </c>
      <c r="F40" s="10">
        <f>LN('Monthly Returns'!F47/'Monthly Returns'!F46)</f>
        <v>-5.6691098915111475E-2</v>
      </c>
      <c r="G40" s="10">
        <f>LN('Monthly Returns'!G47/'Monthly Returns'!G46)</f>
        <v>-8.8656230146156839E-2</v>
      </c>
      <c r="H40" s="10">
        <f>LN('Monthly Returns'!H47/'Monthly Returns'!H46)</f>
        <v>-8.4967508186747726E-2</v>
      </c>
      <c r="I40" s="10">
        <f>LN('Monthly Returns'!I47/'Monthly Returns'!I46)</f>
        <v>3.3398976763947895E-2</v>
      </c>
      <c r="J40" s="10">
        <f>LN('Monthly Returns'!J47/'Monthly Returns'!J46)</f>
        <v>-1.3328424042300963E-2</v>
      </c>
      <c r="K40" s="10">
        <f>LN('Monthly Returns'!K47/'Monthly Returns'!K46)</f>
        <v>-0.34484048629172948</v>
      </c>
    </row>
    <row r="41" spans="1:11">
      <c r="A41" s="1">
        <f>'Monthly Returns'!A47</f>
        <v>44743</v>
      </c>
      <c r="B41" s="10">
        <f>LN('Monthly Returns'!B48/'Monthly Returns'!B47)</f>
        <v>7.1727561295344869E-2</v>
      </c>
      <c r="C41" s="10">
        <f>LN('Monthly Returns'!C48/'Monthly Returns'!C47)</f>
        <v>7.2289456161820267E-2</v>
      </c>
      <c r="D41" s="10">
        <f>LN('Monthly Returns'!D48/'Monthly Returns'!D47)</f>
        <v>3.4476848493157227E-3</v>
      </c>
      <c r="E41" s="10">
        <f>LN('Monthly Returns'!E48/'Monthly Returns'!E47)</f>
        <v>2.2963863298310155E-2</v>
      </c>
      <c r="F41" s="10">
        <f>LN('Monthly Returns'!F48/'Monthly Returns'!F47)</f>
        <v>5.7607549261826027E-2</v>
      </c>
      <c r="G41" s="10">
        <f>LN('Monthly Returns'!G48/'Monthly Returns'!G47)</f>
        <v>1.0247861144435108E-2</v>
      </c>
      <c r="H41" s="10">
        <f>LN('Monthly Returns'!H48/'Monthly Returns'!H47)</f>
        <v>6.8629581895743683E-2</v>
      </c>
      <c r="I41" s="10">
        <f>LN('Monthly Returns'!I48/'Monthly Returns'!I47)</f>
        <v>1.3244619723875188E-2</v>
      </c>
      <c r="J41" s="10">
        <f>LN('Monthly Returns'!J48/'Monthly Returns'!J47)</f>
        <v>4.9998181152077431E-3</v>
      </c>
      <c r="K41" s="10">
        <f>LN('Monthly Returns'!K48/'Monthly Returns'!K47)</f>
        <v>0.27933531452306337</v>
      </c>
    </row>
    <row r="42" spans="1:11">
      <c r="A42" s="1">
        <f>'Monthly Returns'!A48</f>
        <v>44713</v>
      </c>
      <c r="B42" s="10">
        <f>LN('Monthly Returns'!B49/'Monthly Returns'!B48)</f>
        <v>1.1868063141763091E-2</v>
      </c>
      <c r="C42" s="10">
        <f>LN('Monthly Returns'!C49/'Monthly Returns'!C48)</f>
        <v>1.4172404801425231E-2</v>
      </c>
      <c r="D42" s="10">
        <f>LN('Monthly Returns'!D49/'Monthly Returns'!D48)</f>
        <v>8.2262674696831298E-3</v>
      </c>
      <c r="E42" s="10">
        <f>LN('Monthly Returns'!E49/'Monthly Returns'!E48)</f>
        <v>8.0958055083912416E-3</v>
      </c>
      <c r="F42" s="10">
        <f>LN('Monthly Returns'!F49/'Monthly Returns'!F48)</f>
        <v>3.1853654638533832E-2</v>
      </c>
      <c r="G42" s="10">
        <f>LN('Monthly Returns'!G49/'Monthly Returns'!G48)</f>
        <v>3.2970019237569897E-2</v>
      </c>
      <c r="H42" s="10">
        <f>LN('Monthly Returns'!H49/'Monthly Returns'!H48)</f>
        <v>-5.5580665367714721E-2</v>
      </c>
      <c r="I42" s="10">
        <f>LN('Monthly Returns'!I49/'Monthly Returns'!I48)</f>
        <v>-1.9515393341239865E-2</v>
      </c>
      <c r="J42" s="10">
        <f>LN('Monthly Returns'!J49/'Monthly Returns'!J48)</f>
        <v>-6.5432664845849666E-3</v>
      </c>
      <c r="K42" s="10">
        <f>LN('Monthly Returns'!K49/'Monthly Returns'!K48)</f>
        <v>-0.19830941927647125</v>
      </c>
    </row>
    <row r="43" spans="1:11">
      <c r="A43" s="1">
        <f>'Monthly Returns'!A49</f>
        <v>44683</v>
      </c>
      <c r="B43" s="10">
        <f>LN('Monthly Returns'!B50/'Monthly Returns'!B49)</f>
        <v>8.8690786939305863E-2</v>
      </c>
      <c r="C43" s="10">
        <f>LN('Monthly Returns'!C50/'Monthly Returns'!C49)</f>
        <v>0.10494842369661815</v>
      </c>
      <c r="D43" s="10">
        <f>LN('Monthly Returns'!D50/'Monthly Returns'!D49)</f>
        <v>0.12196536057413404</v>
      </c>
      <c r="E43" s="10">
        <f>LN('Monthly Returns'!E50/'Monthly Returns'!E49)</f>
        <v>3.3248609572287084E-2</v>
      </c>
      <c r="F43" s="10">
        <f>LN('Monthly Returns'!F50/'Monthly Returns'!F49)</f>
        <v>8.5465603713132249E-2</v>
      </c>
      <c r="G43" s="10">
        <f>LN('Monthly Returns'!G50/'Monthly Returns'!G49)</f>
        <v>0.10277609784415025</v>
      </c>
      <c r="H43" s="10">
        <f>LN('Monthly Returns'!H50/'Monthly Returns'!H49)</f>
        <v>0.20864717942566746</v>
      </c>
      <c r="I43" s="10">
        <f>LN('Monthly Returns'!I50/'Monthly Returns'!I49)</f>
        <v>3.4606950324763082E-2</v>
      </c>
      <c r="J43" s="10">
        <f>LN('Monthly Returns'!J50/'Monthly Returns'!J49)</f>
        <v>6.4234373870017389E-2</v>
      </c>
      <c r="K43" s="10">
        <f>LN('Monthly Returns'!K50/'Monthly Returns'!K49)</f>
        <v>-0.11219725014953141</v>
      </c>
    </row>
    <row r="44" spans="1:11">
      <c r="A44" s="1">
        <f>'Monthly Returns'!A50</f>
        <v>44652</v>
      </c>
      <c r="B44" s="10">
        <f>LN('Monthly Returns'!B51/'Monthly Returns'!B50)</f>
        <v>-5.197681346783694E-2</v>
      </c>
      <c r="C44" s="10">
        <f>LN('Monthly Returns'!C51/'Monthly Returns'!C50)</f>
        <v>-3.9704522418509858E-2</v>
      </c>
      <c r="D44" s="10">
        <f>LN('Monthly Returns'!D51/'Monthly Returns'!D50)</f>
        <v>6.5208714999705028E-2</v>
      </c>
      <c r="E44" s="10">
        <f>LN('Monthly Returns'!E51/'Monthly Returns'!E50)</f>
        <v>1.1741384333348743E-2</v>
      </c>
      <c r="F44" s="10">
        <f>LN('Monthly Returns'!F51/'Monthly Returns'!F50)</f>
        <v>-7.9861695816765679E-2</v>
      </c>
      <c r="G44" s="10">
        <f>LN('Monthly Returns'!G51/'Monthly Returns'!G50)</f>
        <v>-7.5976280470370763E-2</v>
      </c>
      <c r="H44" s="10">
        <f>LN('Monthly Returns'!H51/'Monthly Returns'!H50)</f>
        <v>-7.4062004836476431E-2</v>
      </c>
      <c r="I44" s="10">
        <f>LN('Monthly Returns'!I51/'Monthly Returns'!I50)</f>
        <v>2.3555526898060699E-2</v>
      </c>
      <c r="J44" s="10">
        <f>LN('Monthly Returns'!J51/'Monthly Returns'!J50)</f>
        <v>-6.608966197176333E-2</v>
      </c>
      <c r="K44" s="10">
        <f>LN('Monthly Returns'!K51/'Monthly Returns'!K50)</f>
        <v>5.1425211807437185E-2</v>
      </c>
    </row>
    <row r="45" spans="1:11">
      <c r="A45" s="1">
        <f>'Monthly Returns'!A51</f>
        <v>44621</v>
      </c>
      <c r="B45" s="10">
        <f>LN('Monthly Returns'!B52/'Monthly Returns'!B51)</f>
        <v>5.2043048137294982E-2</v>
      </c>
      <c r="C45" s="10">
        <f>LN('Monthly Returns'!C52/'Monthly Returns'!C51)</f>
        <v>1.9213697680824551E-2</v>
      </c>
      <c r="D45" s="10">
        <f>LN('Monthly Returns'!D52/'Monthly Returns'!D51)</f>
        <v>2.9679903067894903E-3</v>
      </c>
      <c r="E45" s="10">
        <f>LN('Monthly Returns'!E52/'Monthly Returns'!E51)</f>
        <v>-7.6584501530613358E-2</v>
      </c>
      <c r="F45" s="10">
        <f>LN('Monthly Returns'!F52/'Monthly Returns'!F51)</f>
        <v>3.714465314557041E-2</v>
      </c>
      <c r="G45" s="10">
        <f>LN('Monthly Returns'!G52/'Monthly Returns'!G51)</f>
        <v>6.407794936247882E-2</v>
      </c>
      <c r="H45" s="10">
        <f>LN('Monthly Returns'!H52/'Monthly Returns'!H51)</f>
        <v>0.14451746588648251</v>
      </c>
      <c r="I45" s="10">
        <f>LN('Monthly Returns'!I52/'Monthly Returns'!I51)</f>
        <v>-0.1653791023740962</v>
      </c>
      <c r="J45" s="10">
        <f>LN('Monthly Returns'!J52/'Monthly Returns'!J51)</f>
        <v>1.794389070155427E-2</v>
      </c>
      <c r="K45" s="10">
        <f>LN('Monthly Returns'!K52/'Monthly Returns'!K51)</f>
        <v>4.4124804908937887E-2</v>
      </c>
    </row>
    <row r="46" spans="1:11">
      <c r="A46" s="1">
        <f>'Monthly Returns'!A52</f>
        <v>44593</v>
      </c>
      <c r="B46" s="10">
        <f>LN('Monthly Returns'!B53/'Monthly Returns'!B52)</f>
        <v>5.3222109701873709E-2</v>
      </c>
      <c r="C46" s="10">
        <f>LN('Monthly Returns'!C53/'Monthly Returns'!C52)</f>
        <v>0.10254380658536924</v>
      </c>
      <c r="D46" s="10">
        <f>LN('Monthly Returns'!D53/'Monthly Returns'!D52)</f>
        <v>1.8041185782554099E-2</v>
      </c>
      <c r="E46" s="10">
        <f>LN('Monthly Returns'!E53/'Monthly Returns'!E52)</f>
        <v>5.9424769992140187E-4</v>
      </c>
      <c r="F46" s="10">
        <f>LN('Monthly Returns'!F53/'Monthly Returns'!F52)</f>
        <v>8.3683849297995522E-2</v>
      </c>
      <c r="G46" s="10">
        <f>LN('Monthly Returns'!G53/'Monthly Returns'!G52)</f>
        <v>8.1256944750703455E-2</v>
      </c>
      <c r="H46" s="10">
        <f>LN('Monthly Returns'!H53/'Monthly Returns'!H52)</f>
        <v>9.8809654609371106E-2</v>
      </c>
      <c r="I46" s="10">
        <f>LN('Monthly Returns'!I53/'Monthly Returns'!I52)</f>
        <v>-8.8137186945390064E-2</v>
      </c>
      <c r="J46" s="10">
        <f>LN('Monthly Returns'!J53/'Monthly Returns'!J52)</f>
        <v>5.8019369553913479E-2</v>
      </c>
      <c r="K46" s="10">
        <f>LN('Monthly Returns'!K53/'Monthly Returns'!K52)</f>
        <v>8.9406587715584504E-2</v>
      </c>
    </row>
    <row r="47" spans="1:11">
      <c r="A47" s="1">
        <f>'Monthly Returns'!A53</f>
        <v>44564</v>
      </c>
      <c r="B47" s="10">
        <f>LN('Monthly Returns'!B54/'Monthly Returns'!B53)</f>
        <v>-5.8645776768777948E-2</v>
      </c>
      <c r="C47" s="10">
        <f>LN('Monthly Returns'!C54/'Monthly Returns'!C53)</f>
        <v>-5.5009535436479809E-2</v>
      </c>
      <c r="D47" s="10">
        <f>LN('Monthly Returns'!D54/'Monthly Returns'!D53)</f>
        <v>5.4220399164816781E-2</v>
      </c>
      <c r="E47" s="10">
        <f>LN('Monthly Returns'!E54/'Monthly Returns'!E53)</f>
        <v>-1.2975158863133529E-2</v>
      </c>
      <c r="F47" s="10">
        <f>LN('Monthly Returns'!F54/'Monthly Returns'!F53)</f>
        <v>-9.203145990368311E-2</v>
      </c>
      <c r="G47" s="10">
        <f>LN('Monthly Returns'!G54/'Monthly Returns'!G53)</f>
        <v>2.0828222677256775E-2</v>
      </c>
      <c r="H47" s="10">
        <f>LN('Monthly Returns'!H54/'Monthly Returns'!H53)</f>
        <v>-1.2582530825337987E-2</v>
      </c>
      <c r="I47" s="10">
        <f>LN('Monthly Returns'!I54/'Monthly Returns'!I53)</f>
        <v>-7.6020068480140271E-2</v>
      </c>
      <c r="J47" s="10">
        <f>LN('Monthly Returns'!J54/'Monthly Returns'!J53)</f>
        <v>-7.395352007217304E-2</v>
      </c>
      <c r="K47" s="10">
        <f>LN('Monthly Returns'!K54/'Monthly Returns'!K53)</f>
        <v>-7.275935428242819E-2</v>
      </c>
    </row>
    <row r="48" spans="1:11">
      <c r="A48" s="1">
        <f>'Monthly Returns'!A54</f>
        <v>44531</v>
      </c>
      <c r="B48" s="10">
        <f>LN('Monthly Returns'!B55/'Monthly Returns'!B54)</f>
        <v>2.0955365175988089E-2</v>
      </c>
      <c r="C48" s="10">
        <f>LN('Monthly Returns'!C55/'Monthly Returns'!C54)</f>
        <v>9.263808198479169E-2</v>
      </c>
      <c r="D48" s="10">
        <f>LN('Monthly Returns'!D55/'Monthly Returns'!D54)</f>
        <v>-3.949907669260664E-2</v>
      </c>
      <c r="E48" s="10">
        <f>LN('Monthly Returns'!E55/'Monthly Returns'!E54)</f>
        <v>8.1515675543698679E-3</v>
      </c>
      <c r="F48" s="10">
        <f>LN('Monthly Returns'!F55/'Monthly Returns'!F54)</f>
        <v>4.2885020286115988E-2</v>
      </c>
      <c r="G48" s="10">
        <f>LN('Monthly Returns'!G55/'Monthly Returns'!G54)</f>
        <v>5.0301158929853131E-2</v>
      </c>
      <c r="H48" s="10">
        <f>LN('Monthly Returns'!H55/'Monthly Returns'!H54)</f>
        <v>3.9099810002325354E-2</v>
      </c>
      <c r="I48" s="10">
        <f>LN('Monthly Returns'!I55/'Monthly Returns'!I54)</f>
        <v>7.6135955857087488E-3</v>
      </c>
      <c r="J48" s="10">
        <f>LN('Monthly Returns'!J55/'Monthly Returns'!J54)</f>
        <v>3.161838094333163E-2</v>
      </c>
      <c r="K48" s="10">
        <f>LN('Monthly Returns'!K55/'Monthly Returns'!K54)</f>
        <v>-0.14437160717738762</v>
      </c>
    </row>
    <row r="49" spans="1:11">
      <c r="A49" s="1">
        <f>'Monthly Returns'!A55</f>
        <v>44501</v>
      </c>
      <c r="B49" s="10">
        <f>LN('Monthly Returns'!B56/'Monthly Returns'!B55)</f>
        <v>-5.7716065577876299E-2</v>
      </c>
      <c r="C49" s="10">
        <f>LN('Monthly Returns'!C56/'Monthly Returns'!C55)</f>
        <v>-5.1212312163104602E-2</v>
      </c>
      <c r="D49" s="10">
        <f>LN('Monthly Returns'!D56/'Monthly Returns'!D55)</f>
        <v>-7.4711612471505245E-3</v>
      </c>
      <c r="E49" s="10">
        <f>LN('Monthly Returns'!E56/'Monthly Returns'!E55)</f>
        <v>-1.7645214066250144E-2</v>
      </c>
      <c r="F49" s="10">
        <f>LN('Monthly Returns'!F56/'Monthly Returns'!F55)</f>
        <v>-5.9792243389688582E-2</v>
      </c>
      <c r="G49" s="10">
        <f>LN('Monthly Returns'!G56/'Monthly Returns'!G55)</f>
        <v>-5.0412585750404235E-2</v>
      </c>
      <c r="H49" s="10">
        <f>LN('Monthly Returns'!H56/'Monthly Returns'!H55)</f>
        <v>-0.10621180840966947</v>
      </c>
      <c r="I49" s="10">
        <f>LN('Monthly Returns'!I56/'Monthly Returns'!I55)</f>
        <v>4.9720729270782728E-2</v>
      </c>
      <c r="J49" s="10">
        <f>LN('Monthly Returns'!J56/'Monthly Returns'!J55)</f>
        <v>-4.8517120497579933E-2</v>
      </c>
      <c r="K49" s="10">
        <f>LN('Monthly Returns'!K56/'Monthly Returns'!K55)</f>
        <v>1.8893949359961828E-2</v>
      </c>
    </row>
    <row r="50" spans="1:11">
      <c r="A50" s="1">
        <f>'Monthly Returns'!A56</f>
        <v>44470</v>
      </c>
      <c r="B50" s="10">
        <f>LN('Monthly Returns'!B57/'Monthly Returns'!B56)</f>
        <v>3.9642227387398483E-2</v>
      </c>
      <c r="C50" s="10">
        <f>LN('Monthly Returns'!C57/'Monthly Returns'!C56)</f>
        <v>2.2948618931023779E-2</v>
      </c>
      <c r="D50" s="10">
        <f>LN('Monthly Returns'!D57/'Monthly Returns'!D56)</f>
        <v>2.4063151262574068E-2</v>
      </c>
      <c r="E50" s="10">
        <f>LN('Monthly Returns'!E57/'Monthly Returns'!E56)</f>
        <v>3.0574639184203854E-2</v>
      </c>
      <c r="F50" s="10">
        <f>LN('Monthly Returns'!F57/'Monthly Returns'!F56)</f>
        <v>6.6522600764465298E-2</v>
      </c>
      <c r="G50" s="10">
        <f>LN('Monthly Returns'!G57/'Monthly Returns'!G56)</f>
        <v>2.3373598487049932E-3</v>
      </c>
      <c r="H50" s="10">
        <f>LN('Monthly Returns'!H57/'Monthly Returns'!H56)</f>
        <v>0.11428610562020591</v>
      </c>
      <c r="I50" s="10">
        <f>LN('Monthly Returns'!I57/'Monthly Returns'!I56)</f>
        <v>2.5155345104184563E-2</v>
      </c>
      <c r="J50" s="10">
        <f>LN('Monthly Returns'!J57/'Monthly Returns'!J56)</f>
        <v>6.0342776141246751E-2</v>
      </c>
      <c r="K50" s="10">
        <f>LN('Monthly Returns'!K57/'Monthly Returns'!K56)</f>
        <v>2.6702285558788921E-3</v>
      </c>
    </row>
    <row r="51" spans="1:11">
      <c r="A51" s="1">
        <f>'Monthly Returns'!A57</f>
        <v>44440</v>
      </c>
      <c r="B51" s="10">
        <f>LN('Monthly Returns'!B58/'Monthly Returns'!B57)</f>
        <v>-3.1957205106801848E-2</v>
      </c>
      <c r="C51" s="10">
        <f>LN('Monthly Returns'!C58/'Monthly Returns'!C57)</f>
        <v>-3.3486219548015575E-2</v>
      </c>
      <c r="D51" s="10">
        <f>LN('Monthly Returns'!D58/'Monthly Returns'!D57)</f>
        <v>1.1884236545737899E-2</v>
      </c>
      <c r="E51" s="10">
        <f>LN('Monthly Returns'!E58/'Monthly Returns'!E57)</f>
        <v>-5.3048835643278733E-4</v>
      </c>
      <c r="F51" s="10">
        <f>LN('Monthly Returns'!F58/'Monthly Returns'!F57)</f>
        <v>-3.9380261776062346E-2</v>
      </c>
      <c r="G51" s="10">
        <f>LN('Monthly Returns'!G58/'Monthly Returns'!G57)</f>
        <v>-2.6472962454196489E-2</v>
      </c>
      <c r="H51" s="10">
        <f>LN('Monthly Returns'!H58/'Monthly Returns'!H57)</f>
        <v>-7.7702134902293413E-2</v>
      </c>
      <c r="I51" s="10">
        <f>LN('Monthly Returns'!I58/'Monthly Returns'!I57)</f>
        <v>3.2114876426652471E-2</v>
      </c>
      <c r="J51" s="10">
        <f>LN('Monthly Returns'!J58/'Monthly Returns'!J57)</f>
        <v>-2.1826114941632804E-2</v>
      </c>
      <c r="K51" s="10">
        <f>LN('Monthly Returns'!K58/'Monthly Returns'!K57)</f>
        <v>0</v>
      </c>
    </row>
    <row r="52" spans="1:11">
      <c r="A52" s="1">
        <f>'Monthly Returns'!A58</f>
        <v>44410</v>
      </c>
      <c r="B52" s="10">
        <f>LN('Monthly Returns'!B59/'Monthly Returns'!B58)</f>
        <v>-1.649768990640944E-2</v>
      </c>
      <c r="C52" s="10">
        <f>LN('Monthly Returns'!C59/'Monthly Returns'!C58)</f>
        <v>5.0704350819288639E-2</v>
      </c>
      <c r="D52" s="10">
        <f>LN('Monthly Returns'!D59/'Monthly Returns'!D58)</f>
        <v>-4.4098855989384705E-2</v>
      </c>
      <c r="E52" s="10">
        <f>LN('Monthly Returns'!E59/'Monthly Returns'!E58)</f>
        <v>-2.0309801462400051E-2</v>
      </c>
      <c r="F52" s="10">
        <f>LN('Monthly Returns'!F59/'Monthly Returns'!F58)</f>
        <v>-3.6779794940061228E-2</v>
      </c>
      <c r="G52" s="10">
        <f>LN('Monthly Returns'!G59/'Monthly Returns'!G58)</f>
        <v>-9.6520958162801082E-2</v>
      </c>
      <c r="H52" s="10">
        <f>LN('Monthly Returns'!H59/'Monthly Returns'!H58)</f>
        <v>6.8131893405471737E-3</v>
      </c>
      <c r="I52" s="10">
        <f>LN('Monthly Returns'!I59/'Monthly Returns'!I58)</f>
        <v>3.1852209112460929E-2</v>
      </c>
      <c r="J52" s="10">
        <f>LN('Monthly Returns'!J59/'Monthly Returns'!J58)</f>
        <v>-4.0560687068515219E-2</v>
      </c>
      <c r="K52" s="10">
        <f>LN('Monthly Returns'!K59/'Monthly Returns'!K58)</f>
        <v>-5.4808236494995027E-2</v>
      </c>
    </row>
    <row r="53" spans="1:11">
      <c r="A53" s="1">
        <f>'Monthly Returns'!A59</f>
        <v>44378</v>
      </c>
      <c r="B53" s="10">
        <f>LN('Monthly Returns'!B60/'Monthly Returns'!B59)</f>
        <v>-2.5316020864242738E-2</v>
      </c>
      <c r="C53" s="10">
        <f>LN('Monthly Returns'!C60/'Monthly Returns'!C59)</f>
        <v>-1.4495846384805061E-2</v>
      </c>
      <c r="D53" s="10">
        <f>LN('Monthly Returns'!D60/'Monthly Returns'!D59)</f>
        <v>-4.2218891207876974E-2</v>
      </c>
      <c r="E53" s="10">
        <f>LN('Monthly Returns'!E60/'Monthly Returns'!E59)</f>
        <v>6.8029712250441743E-2</v>
      </c>
      <c r="F53" s="10">
        <f>LN('Monthly Returns'!F60/'Monthly Returns'!F59)</f>
        <v>-5.3945498877240178E-3</v>
      </c>
      <c r="G53" s="10">
        <f>LN('Monthly Returns'!G60/'Monthly Returns'!G59)</f>
        <v>3.7709760989868159E-4</v>
      </c>
      <c r="H53" s="10">
        <f>LN('Monthly Returns'!H60/'Monthly Returns'!H59)</f>
        <v>-2.6421599071390872E-3</v>
      </c>
      <c r="I53" s="10">
        <f>LN('Monthly Returns'!I60/'Monthly Returns'!I59)</f>
        <v>4.4611300270393254E-3</v>
      </c>
      <c r="J53" s="10">
        <f>LN('Monthly Returns'!J60/'Monthly Returns'!J59)</f>
        <v>-4.4247887148740388E-2</v>
      </c>
      <c r="K53" s="10">
        <f>LN('Monthly Returns'!K60/'Monthly Returns'!K59)</f>
        <v>-8.4866138773186939E-3</v>
      </c>
    </row>
    <row r="54" spans="1:11">
      <c r="A54" s="1">
        <f>'Monthly Returns'!A60</f>
        <v>44348</v>
      </c>
      <c r="B54" s="10">
        <f>LN('Monthly Returns'!B61/'Monthly Returns'!B60)</f>
        <v>-3.508901161915707E-3</v>
      </c>
      <c r="C54" s="10">
        <f>LN('Monthly Returns'!C61/'Monthly Returns'!C60)</f>
        <v>-9.1180017234993027E-3</v>
      </c>
      <c r="D54" s="10">
        <f>LN('Monthly Returns'!D61/'Monthly Returns'!D60)</f>
        <v>2.2404519182860219E-3</v>
      </c>
      <c r="E54" s="10">
        <f>LN('Monthly Returns'!E61/'Monthly Returns'!E60)</f>
        <v>-5.8389207658719133E-2</v>
      </c>
      <c r="F54" s="10">
        <f>LN('Monthly Returns'!F61/'Monthly Returns'!F60)</f>
        <v>-2.7822505599299188E-2</v>
      </c>
      <c r="G54" s="10">
        <f>LN('Monthly Returns'!G61/'Monthly Returns'!G60)</f>
        <v>-2.8555158768499286E-2</v>
      </c>
      <c r="H54" s="10">
        <f>LN('Monthly Returns'!H61/'Monthly Returns'!H60)</f>
        <v>-6.0269745289075159E-2</v>
      </c>
      <c r="I54" s="10">
        <f>LN('Monthly Returns'!I61/'Monthly Returns'!I60)</f>
        <v>8.8370425070297565E-3</v>
      </c>
      <c r="J54" s="10">
        <f>LN('Monthly Returns'!J61/'Monthly Returns'!J60)</f>
        <v>9.3336194207538862E-3</v>
      </c>
      <c r="K54" s="10">
        <f>LN('Monthly Returns'!K61/'Monthly Returns'!K60)</f>
        <v>5.7947244045718375E-2</v>
      </c>
    </row>
    <row r="55" spans="1:11">
      <c r="A55" s="1">
        <f>'Monthly Returns'!A61</f>
        <v>44319</v>
      </c>
      <c r="B55" s="10">
        <f>LN('Monthly Returns'!B62/'Monthly Returns'!B61)</f>
        <v>-4.2971401518208927E-2</v>
      </c>
      <c r="C55" s="10">
        <f>LN('Monthly Returns'!C62/'Monthly Returns'!C61)</f>
        <v>-1.0006087086928548E-2</v>
      </c>
      <c r="D55" s="10">
        <f>LN('Monthly Returns'!D62/'Monthly Returns'!D61)</f>
        <v>-7.3180777993679226E-3</v>
      </c>
      <c r="E55" s="10">
        <f>LN('Monthly Returns'!E62/'Monthly Returns'!E61)</f>
        <v>-3.5359516192226617E-2</v>
      </c>
      <c r="F55" s="10">
        <f>LN('Monthly Returns'!F62/'Monthly Returns'!F61)</f>
        <v>-5.5725880835439806E-2</v>
      </c>
      <c r="G55" s="10">
        <f>LN('Monthly Returns'!G62/'Monthly Returns'!G61)</f>
        <v>-7.4058236498717914E-2</v>
      </c>
      <c r="H55" s="10">
        <f>LN('Monthly Returns'!H62/'Monthly Returns'!H61)</f>
        <v>-7.3869485203230792E-2</v>
      </c>
      <c r="I55" s="10">
        <f>LN('Monthly Returns'!I62/'Monthly Returns'!I61)</f>
        <v>-3.7792235587322739E-2</v>
      </c>
      <c r="J55" s="10">
        <f>LN('Monthly Returns'!J62/'Monthly Returns'!J61)</f>
        <v>-5.2877227034571463E-2</v>
      </c>
      <c r="K55" s="10">
        <f>LN('Monthly Returns'!K62/'Monthly Returns'!K61)</f>
        <v>5.9835791610665046E-2</v>
      </c>
    </row>
    <row r="56" spans="1:11">
      <c r="A56" s="1">
        <f>'Monthly Returns'!A62</f>
        <v>44287</v>
      </c>
      <c r="B56" s="10">
        <f>LN('Monthly Returns'!B63/'Monthly Returns'!B62)</f>
        <v>-2.7919149727873852E-2</v>
      </c>
      <c r="C56" s="10">
        <f>LN('Monthly Returns'!C63/'Monthly Returns'!C62)</f>
        <v>1.036002240894382E-2</v>
      </c>
      <c r="D56" s="10">
        <f>LN('Monthly Returns'!D63/'Monthly Returns'!D62)</f>
        <v>2.5488690045179771E-2</v>
      </c>
      <c r="E56" s="10">
        <f>LN('Monthly Returns'!E63/'Monthly Returns'!E62)</f>
        <v>-2.7819868951770551E-3</v>
      </c>
      <c r="F56" s="10">
        <f>LN('Monthly Returns'!F63/'Monthly Returns'!F62)</f>
        <v>-5.7995236605058377E-2</v>
      </c>
      <c r="G56" s="10">
        <f>LN('Monthly Returns'!G63/'Monthly Returns'!G62)</f>
        <v>-8.1796554098258034E-2</v>
      </c>
      <c r="H56" s="10">
        <f>LN('Monthly Returns'!H63/'Monthly Returns'!H62)</f>
        <v>-6.4125650879442511E-2</v>
      </c>
      <c r="I56" s="10">
        <f>LN('Monthly Returns'!I63/'Monthly Returns'!I62)</f>
        <v>-0.106703063223233</v>
      </c>
      <c r="J56" s="10">
        <f>LN('Monthly Returns'!J63/'Monthly Returns'!J62)</f>
        <v>-2.0046664287899148E-2</v>
      </c>
      <c r="K56" s="10">
        <f>LN('Monthly Returns'!K63/'Monthly Returns'!K62)</f>
        <v>-0.14368376408854053</v>
      </c>
    </row>
    <row r="57" spans="1:11">
      <c r="A57" s="1">
        <f>'Monthly Returns'!A63</f>
        <v>44256</v>
      </c>
      <c r="B57" s="10">
        <f>LN('Monthly Returns'!B64/'Monthly Returns'!B63)</f>
        <v>-3.4868577244382207E-2</v>
      </c>
      <c r="C57" s="10">
        <f>LN('Monthly Returns'!C64/'Monthly Returns'!C63)</f>
        <v>-7.0836603874336504E-2</v>
      </c>
      <c r="D57" s="10">
        <f>LN('Monthly Returns'!D64/'Monthly Returns'!D63)</f>
        <v>7.4695189066243284E-2</v>
      </c>
      <c r="E57" s="10">
        <f>LN('Monthly Returns'!E64/'Monthly Returns'!E63)</f>
        <v>7.5685381509147109E-2</v>
      </c>
      <c r="F57" s="10">
        <f>LN('Monthly Returns'!F64/'Monthly Returns'!F63)</f>
        <v>-1.5528971570054832E-2</v>
      </c>
      <c r="G57" s="10">
        <f>LN('Monthly Returns'!G64/'Monthly Returns'!G63)</f>
        <v>-7.3027424803691232E-2</v>
      </c>
      <c r="H57" s="10">
        <f>LN('Monthly Returns'!H64/'Monthly Returns'!H63)</f>
        <v>-8.4196619903220311E-3</v>
      </c>
      <c r="I57" s="10">
        <f>LN('Monthly Returns'!I64/'Monthly Returns'!I63)</f>
        <v>-2.8716802188501665E-2</v>
      </c>
      <c r="J57" s="10">
        <f>LN('Monthly Returns'!J64/'Monthly Returns'!J63)</f>
        <v>1.2110799297778724E-2</v>
      </c>
      <c r="K57" s="10">
        <f>LN('Monthly Returns'!K64/'Monthly Returns'!K63)</f>
        <v>-8.5157808340306951E-2</v>
      </c>
    </row>
    <row r="58" spans="1:11">
      <c r="A58" s="1">
        <f>'Monthly Returns'!A64</f>
        <v>44228</v>
      </c>
      <c r="B58" s="10">
        <f>LN('Monthly Returns'!B65/'Monthly Returns'!B64)</f>
        <v>-1.9973282156708672E-2</v>
      </c>
      <c r="C58" s="10">
        <f>LN('Monthly Returns'!C65/'Monthly Returns'!C64)</f>
        <v>-8.4730569483555354E-2</v>
      </c>
      <c r="D58" s="10">
        <f>LN('Monthly Returns'!D65/'Monthly Returns'!D64)</f>
        <v>3.5798873428901916E-2</v>
      </c>
      <c r="E58" s="10">
        <f>LN('Monthly Returns'!E65/'Monthly Returns'!E64)</f>
        <v>4.544196661629931E-2</v>
      </c>
      <c r="F58" s="10">
        <f>LN('Monthly Returns'!F65/'Monthly Returns'!F64)</f>
        <v>-5.5967760328249946E-2</v>
      </c>
      <c r="G58" s="10">
        <f>LN('Monthly Returns'!G65/'Monthly Returns'!G64)</f>
        <v>3.5769420818258749E-2</v>
      </c>
      <c r="H58" s="10">
        <f>LN('Monthly Returns'!H65/'Monthly Returns'!H64)</f>
        <v>-3.3005879723656869E-3</v>
      </c>
      <c r="I58" s="10">
        <f>LN('Monthly Returns'!I65/'Monthly Returns'!I64)</f>
        <v>6.1664289869531333E-2</v>
      </c>
      <c r="J58" s="10">
        <f>LN('Monthly Returns'!J65/'Monthly Returns'!J64)</f>
        <v>-2.2065513049752128E-2</v>
      </c>
      <c r="K58" s="10">
        <f>LN('Monthly Returns'!K65/'Monthly Returns'!K64)</f>
        <v>-1.2779726646398995E-2</v>
      </c>
    </row>
    <row r="59" spans="1:11">
      <c r="A59" s="1">
        <f>'Monthly Returns'!A65</f>
        <v>44200</v>
      </c>
      <c r="B59" s="10">
        <f>LN('Monthly Returns'!B66/'Monthly Returns'!B65)</f>
        <v>-7.5393996302231944E-3</v>
      </c>
      <c r="C59" s="10">
        <f>LN('Monthly Returns'!C66/'Monthly Returns'!C65)</f>
        <v>-5.7432049085875521E-2</v>
      </c>
      <c r="D59" s="10">
        <f>LN('Monthly Returns'!D66/'Monthly Returns'!D65)</f>
        <v>-2.5393600949048215E-4</v>
      </c>
      <c r="E59" s="10">
        <f>LN('Monthly Returns'!E66/'Monthly Returns'!E65)</f>
        <v>-6.896153162970195E-2</v>
      </c>
      <c r="F59" s="10">
        <f>LN('Monthly Returns'!F66/'Monthly Returns'!F65)</f>
        <v>3.4801718388940014E-2</v>
      </c>
      <c r="G59" s="10">
        <f>LN('Monthly Returns'!G66/'Monthly Returns'!G65)</f>
        <v>-8.1848258268061483E-2</v>
      </c>
      <c r="H59" s="10">
        <f>LN('Monthly Returns'!H66/'Monthly Returns'!H65)</f>
        <v>6.1849360935846568E-3</v>
      </c>
      <c r="I59" s="10">
        <f>LN('Monthly Returns'!I66/'Monthly Returns'!I65)</f>
        <v>5.7369561978882037E-2</v>
      </c>
      <c r="J59" s="10">
        <f>LN('Monthly Returns'!J66/'Monthly Returns'!J65)</f>
        <v>-2.0482805444048627E-2</v>
      </c>
      <c r="K59" s="10">
        <f>LN('Monthly Returns'!K66/'Monthly Returns'!K65)</f>
        <v>-7.3366224066801933E-2</v>
      </c>
    </row>
    <row r="60" spans="1:11">
      <c r="A60" s="1">
        <f>'Monthly Returns'!A66</f>
        <v>44166</v>
      </c>
      <c r="B60" s="10">
        <f>LN('Monthly Returns'!B67/'Monthly Returns'!B66)</f>
        <v>-0.10298944523110855</v>
      </c>
      <c r="C60" s="10">
        <f>LN('Monthly Returns'!C67/'Monthly Returns'!C66)</f>
        <v>-0.15914396848124895</v>
      </c>
      <c r="D60" s="10">
        <f>LN('Monthly Returns'!D67/'Monthly Returns'!D66)</f>
        <v>6.833739578565117E-3</v>
      </c>
      <c r="E60" s="10">
        <f>LN('Monthly Returns'!E67/'Monthly Returns'!E66)</f>
        <v>4.4421104025272801E-2</v>
      </c>
      <c r="F60" s="10">
        <f>LN('Monthly Returns'!F67/'Monthly Returns'!F66)</f>
        <v>-8.1512993467850847E-2</v>
      </c>
      <c r="G60" s="10">
        <f>LN('Monthly Returns'!G67/'Monthly Returns'!G66)</f>
        <v>-3.9765635174802964E-2</v>
      </c>
      <c r="H60" s="10">
        <f>LN('Monthly Returns'!H67/'Monthly Returns'!H66)</f>
        <v>-0.15119330593995856</v>
      </c>
      <c r="I60" s="10">
        <f>LN('Monthly Returns'!I67/'Monthly Returns'!I66)</f>
        <v>-3.5046309806321133E-2</v>
      </c>
      <c r="J60" s="10">
        <f>LN('Monthly Returns'!J67/'Monthly Returns'!J66)</f>
        <v>-6.6987447789881985E-2</v>
      </c>
      <c r="K60" s="10">
        <f>LN('Monthly Returns'!K67/'Monthly Returns'!K66)</f>
        <v>-0.22834737918923695</v>
      </c>
    </row>
    <row r="61" spans="1:11">
      <c r="A61" s="1">
        <f>'Monthly Returns'!A67</f>
        <v>44137</v>
      </c>
      <c r="B61" s="10">
        <f>LN('Monthly Returns'!B68/'Monthly Returns'!B67)</f>
        <v>2.0503086184733645E-2</v>
      </c>
      <c r="C61" s="10">
        <f>LN('Monthly Returns'!C68/'Monthly Returns'!C67)</f>
        <v>-2.363746415433535E-2</v>
      </c>
      <c r="D61" s="10">
        <f>LN('Monthly Returns'!D68/'Monthly Returns'!D67)</f>
        <v>2.9697156572102659E-2</v>
      </c>
      <c r="E61" s="10">
        <f>LN('Monthly Returns'!E68/'Monthly Returns'!E67)</f>
        <v>4.4306177186982966E-3</v>
      </c>
      <c r="F61" s="10">
        <f>LN('Monthly Returns'!F68/'Monthly Returns'!F67)</f>
        <v>2.6674958559122577E-2</v>
      </c>
      <c r="G61" s="10">
        <f>LN('Monthly Returns'!G68/'Monthly Returns'!G67)</f>
        <v>5.5641665299834352E-2</v>
      </c>
      <c r="H61" s="10">
        <f>LN('Monthly Returns'!H68/'Monthly Returns'!H67)</f>
        <v>-7.9447907886062014E-2</v>
      </c>
      <c r="I61" s="10">
        <f>LN('Monthly Returns'!I68/'Monthly Returns'!I67)</f>
        <v>7.7686973389470226E-2</v>
      </c>
      <c r="J61" s="10">
        <f>LN('Monthly Returns'!J68/'Monthly Returns'!J67)</f>
        <v>1.5627565056218776E-2</v>
      </c>
      <c r="K61" s="10">
        <f>LN('Monthly Returns'!K68/'Monthly Returns'!K67)</f>
        <v>0.13026519483790155</v>
      </c>
    </row>
    <row r="62" spans="1:11">
      <c r="A62" s="1">
        <f>'Monthly Returns'!A68</f>
        <v>44105</v>
      </c>
      <c r="B62" s="10">
        <f>LN('Monthly Returns'!B69/'Monthly Returns'!B68)</f>
        <v>4.5132652293008696E-2</v>
      </c>
      <c r="C62" s="10">
        <f>LN('Monthly Returns'!C69/'Monthly Returns'!C68)</f>
        <v>3.2518460455045889E-2</v>
      </c>
      <c r="D62" s="10">
        <f>LN('Monthly Returns'!D69/'Monthly Returns'!D68)</f>
        <v>3.0560502973131106E-3</v>
      </c>
      <c r="E62" s="10">
        <f>LN('Monthly Returns'!E69/'Monthly Returns'!E68)</f>
        <v>3.4917636666782825E-2</v>
      </c>
      <c r="F62" s="10">
        <f>LN('Monthly Returns'!F69/'Monthly Returns'!F68)</f>
        <v>1.5645530102298626E-2</v>
      </c>
      <c r="G62" s="10">
        <f>LN('Monthly Returns'!G69/'Monthly Returns'!G68)</f>
        <v>-3.4433263685249335E-2</v>
      </c>
      <c r="H62" s="10">
        <f>LN('Monthly Returns'!H69/'Monthly Returns'!H68)</f>
        <v>4.868031511115152E-2</v>
      </c>
      <c r="I62" s="10">
        <f>LN('Monthly Returns'!I69/'Monthly Returns'!I68)</f>
        <v>1.5422996868982087E-2</v>
      </c>
      <c r="J62" s="10">
        <f>LN('Monthly Returns'!J69/'Monthly Returns'!J68)</f>
        <v>2.0432893912354498E-2</v>
      </c>
      <c r="K62" s="10">
        <f>LN('Monthly Returns'!K69/'Monthly Returns'!K68)</f>
        <v>3.3774317118604048E-2</v>
      </c>
    </row>
    <row r="63" spans="1:11">
      <c r="A63" s="1">
        <f>'Monthly Returns'!A69</f>
        <v>44075</v>
      </c>
      <c r="B63" s="10">
        <f>LN('Monthly Returns'!B70/'Monthly Returns'!B69)</f>
        <v>-6.9915020869552799E-2</v>
      </c>
      <c r="C63" s="10">
        <f>LN('Monthly Returns'!C70/'Monthly Returns'!C69)</f>
        <v>-4.8548478474140774E-2</v>
      </c>
      <c r="D63" s="10">
        <f>LN('Monthly Returns'!D70/'Monthly Returns'!D69)</f>
        <v>3.6491871428456259E-2</v>
      </c>
      <c r="E63" s="10">
        <f>LN('Monthly Returns'!E70/'Monthly Returns'!E69)</f>
        <v>3.1832555408099843E-3</v>
      </c>
      <c r="F63" s="10">
        <f>LN('Monthly Returns'!F70/'Monthly Returns'!F69)</f>
        <v>-1.8505339325236028E-2</v>
      </c>
      <c r="G63" s="10">
        <f>LN('Monthly Returns'!G70/'Monthly Returns'!G69)</f>
        <v>-2.9569208122948609E-2</v>
      </c>
      <c r="H63" s="10">
        <f>LN('Monthly Returns'!H70/'Monthly Returns'!H69)</f>
        <v>-2.7701377645553152E-2</v>
      </c>
      <c r="I63" s="10">
        <f>LN('Monthly Returns'!I70/'Monthly Returns'!I69)</f>
        <v>-2.5423212134725565E-2</v>
      </c>
      <c r="J63" s="10">
        <f>LN('Monthly Returns'!J70/'Monthly Returns'!J69)</f>
        <v>-6.2643372540398994E-3</v>
      </c>
      <c r="K63" s="10">
        <f>LN('Monthly Returns'!K70/'Monthly Returns'!K69)</f>
        <v>0.11161398462966821</v>
      </c>
    </row>
    <row r="64" spans="1:11">
      <c r="A64" s="1">
        <f>'Monthly Returns'!A70</f>
        <v>44046</v>
      </c>
      <c r="B64" s="10">
        <f>LN('Monthly Returns'!B71/'Monthly Returns'!B70)</f>
        <v>-5.7170937556737571E-2</v>
      </c>
      <c r="C64" s="10">
        <f>LN('Monthly Returns'!C71/'Monthly Returns'!C70)</f>
        <v>-5.4475364853431268E-2</v>
      </c>
      <c r="D64" s="10">
        <f>LN('Monthly Returns'!D71/'Monthly Returns'!D70)</f>
        <v>-3.9180702185563618E-2</v>
      </c>
      <c r="E64" s="10">
        <f>LN('Monthly Returns'!E71/'Monthly Returns'!E70)</f>
        <v>-0.10809354382621172</v>
      </c>
      <c r="F64" s="10">
        <f>LN('Monthly Returns'!F71/'Monthly Returns'!F70)</f>
        <v>3.7348273076525106E-4</v>
      </c>
      <c r="G64" s="10">
        <f>LN('Monthly Returns'!G71/'Monthly Returns'!G70)</f>
        <v>-8.7916597494974713E-3</v>
      </c>
      <c r="H64" s="10">
        <f>LN('Monthly Returns'!H71/'Monthly Returns'!H70)</f>
        <v>-6.3404583720388263E-2</v>
      </c>
      <c r="I64" s="10">
        <f>LN('Monthly Returns'!I71/'Monthly Returns'!I70)</f>
        <v>-4.5240386174186381E-2</v>
      </c>
      <c r="J64" s="10">
        <f>LN('Monthly Returns'!J71/'Monthly Returns'!J70)</f>
        <v>-5.5736009074895863E-2</v>
      </c>
      <c r="K64" s="10">
        <f>LN('Monthly Returns'!K71/'Monthly Returns'!K70)</f>
        <v>-8.2521023688003473E-2</v>
      </c>
    </row>
    <row r="65" spans="1:11">
      <c r="A65" s="1">
        <f>'Monthly Returns'!A71</f>
        <v>44013</v>
      </c>
      <c r="B65" s="10">
        <f>LN('Monthly Returns'!B72/'Monthly Returns'!B71)</f>
        <v>-1.6134880196555026E-2</v>
      </c>
      <c r="C65" s="10">
        <f>LN('Monthly Returns'!C72/'Monthly Returns'!C71)</f>
        <v>-1.1274716137291203E-2</v>
      </c>
      <c r="D65" s="10">
        <f>LN('Monthly Returns'!D72/'Monthly Returns'!D71)</f>
        <v>-7.0003356183148558E-3</v>
      </c>
      <c r="E65" s="10">
        <f>LN('Monthly Returns'!E72/'Monthly Returns'!E71)</f>
        <v>-1.7924665447527553E-2</v>
      </c>
      <c r="F65" s="10">
        <f>LN('Monthly Returns'!F72/'Monthly Returns'!F71)</f>
        <v>-1.4038836737365645E-2</v>
      </c>
      <c r="G65" s="10">
        <f>LN('Monthly Returns'!G72/'Monthly Returns'!G71)</f>
        <v>-4.4779475628216249E-2</v>
      </c>
      <c r="H65" s="10">
        <f>LN('Monthly Returns'!H72/'Monthly Returns'!H71)</f>
        <v>-1.1251331108094226E-2</v>
      </c>
      <c r="I65" s="10">
        <f>LN('Monthly Returns'!I72/'Monthly Returns'!I71)</f>
        <v>7.6206492477688112E-2</v>
      </c>
      <c r="J65" s="10">
        <f>LN('Monthly Returns'!J72/'Monthly Returns'!J71)</f>
        <v>1.1339666942707577E-2</v>
      </c>
      <c r="K65" s="10">
        <f>LN('Monthly Returns'!K72/'Monthly Returns'!K71)</f>
        <v>-4.7715473039666549E-2</v>
      </c>
    </row>
    <row r="66" spans="1:11">
      <c r="A66" s="1">
        <f>'Monthly Returns'!A72</f>
        <v>43983</v>
      </c>
      <c r="B66" s="10">
        <f>LN('Monthly Returns'!B73/'Monthly Returns'!B72)</f>
        <v>-7.7408858622635357E-2</v>
      </c>
      <c r="C66" s="10">
        <f>LN('Monthly Returns'!C73/'Monthly Returns'!C72)</f>
        <v>-0.1138508211683419</v>
      </c>
      <c r="D66" s="10">
        <f>LN('Monthly Returns'!D73/'Monthly Returns'!D72)</f>
        <v>3.4343077720055133E-2</v>
      </c>
      <c r="E66" s="10">
        <f>LN('Monthly Returns'!E73/'Monthly Returns'!E72)</f>
        <v>-2.3993236045339785E-2</v>
      </c>
      <c r="F66" s="10">
        <f>LN('Monthly Returns'!F73/'Monthly Returns'!F72)</f>
        <v>-7.4399316320644573E-2</v>
      </c>
      <c r="G66" s="10">
        <f>LN('Monthly Returns'!G73/'Monthly Returns'!G72)</f>
        <v>-2.4226268273793577E-2</v>
      </c>
      <c r="H66" s="10">
        <f>LN('Monthly Returns'!H73/'Monthly Returns'!H72)</f>
        <v>-0.10587054749941166</v>
      </c>
      <c r="I66" s="10">
        <f>LN('Monthly Returns'!I73/'Monthly Returns'!I72)</f>
        <v>-1.4215119678270331E-2</v>
      </c>
      <c r="J66" s="10">
        <f>LN('Monthly Returns'!J73/'Monthly Returns'!J72)</f>
        <v>-4.164349079308928E-2</v>
      </c>
      <c r="K66" s="10">
        <f>LN('Monthly Returns'!K73/'Monthly Returns'!K72)</f>
        <v>-0.18081892690941961</v>
      </c>
    </row>
    <row r="67" spans="1:11">
      <c r="A67" s="1">
        <f>'Monthly Returns'!A73</f>
        <v>43952</v>
      </c>
      <c r="B67" s="10">
        <f>LN('Monthly Returns'!B74/'Monthly Returns'!B73)</f>
        <v>-0.13876346651407959</v>
      </c>
      <c r="C67" s="10">
        <f>LN('Monthly Returns'!C74/'Monthly Returns'!C73)</f>
        <v>-0.1597869053977613</v>
      </c>
      <c r="D67" s="10">
        <f>LN('Monthly Returns'!D74/'Monthly Returns'!D73)</f>
        <v>-5.4330113640278033E-3</v>
      </c>
      <c r="E67" s="10">
        <f>LN('Monthly Returns'!E74/'Monthly Returns'!E73)</f>
        <v>-6.6835980323949051E-2</v>
      </c>
      <c r="F67" s="10">
        <f>LN('Monthly Returns'!F74/'Monthly Returns'!F73)</f>
        <v>-0.11945018470795142</v>
      </c>
      <c r="G67" s="10">
        <f>LN('Monthly Returns'!G74/'Monthly Returns'!G73)</f>
        <v>-6.1312732617348709E-2</v>
      </c>
      <c r="H67" s="10">
        <f>LN('Monthly Returns'!H74/'Monthly Returns'!H73)</f>
        <v>-0.16738085197957694</v>
      </c>
      <c r="I67" s="10">
        <f>LN('Monthly Returns'!I74/'Monthly Returns'!I73)</f>
        <v>-0.12467821608763761</v>
      </c>
      <c r="J67" s="10">
        <f>LN('Monthly Returns'!J74/'Monthly Returns'!J73)</f>
        <v>-0.13811248062947287</v>
      </c>
      <c r="K67" s="10">
        <f>LN('Monthly Returns'!K74/'Monthly Returns'!K73)</f>
        <v>-7.9667402733871379E-2</v>
      </c>
    </row>
    <row r="68" spans="1:11">
      <c r="A68" s="1">
        <f>'Monthly Returns'!A74</f>
        <v>43922</v>
      </c>
      <c r="B68" s="10">
        <f>LN('Monthly Returns'!B75/'Monthly Returns'!B74)</f>
        <v>0.22769139042087658</v>
      </c>
      <c r="C68" s="10">
        <f>LN('Monthly Returns'!C75/'Monthly Returns'!C74)</f>
        <v>0.34783228740579414</v>
      </c>
      <c r="D68" s="10">
        <f>LN('Monthly Returns'!D75/'Monthly Returns'!D74)</f>
        <v>-8.1670388588102522E-2</v>
      </c>
      <c r="E68" s="10">
        <f>LN('Monthly Returns'!E75/'Monthly Returns'!E74)</f>
        <v>-1.6742009602863912E-3</v>
      </c>
      <c r="F68" s="10">
        <f>LN('Monthly Returns'!F75/'Monthly Returns'!F74)</f>
        <v>0.3331393387414614</v>
      </c>
      <c r="G68" s="10">
        <f>LN('Monthly Returns'!G75/'Monthly Returns'!G74)</f>
        <v>4.3978575738025716E-2</v>
      </c>
      <c r="H68" s="10">
        <f>LN('Monthly Returns'!H75/'Monthly Returns'!H74)</f>
        <v>0.17515786885398932</v>
      </c>
      <c r="I68" s="10">
        <f>LN('Monthly Returns'!I75/'Monthly Returns'!I74)</f>
        <v>0.11913441380834243</v>
      </c>
      <c r="J68" s="10">
        <f>LN('Monthly Returns'!J75/'Monthly Returns'!J74)</f>
        <v>0.12907658384879636</v>
      </c>
      <c r="K68" s="10">
        <f>LN('Monthly Returns'!K75/'Monthly Returns'!K74)</f>
        <v>0.24533452462268887</v>
      </c>
    </row>
    <row r="69" spans="1:11">
      <c r="A69" s="1">
        <f>'Monthly Returns'!A75</f>
        <v>43892</v>
      </c>
      <c r="B69" s="10">
        <f>LN('Monthly Returns'!B76/'Monthly Returns'!B75)</f>
        <v>4.7481320967438234E-2</v>
      </c>
      <c r="C69" s="10">
        <f>LN('Monthly Returns'!C76/'Monthly Returns'!C75)</f>
        <v>7.2091202939308929E-2</v>
      </c>
      <c r="D69" s="10">
        <f>LN('Monthly Returns'!D76/'Monthly Returns'!D75)</f>
        <v>-5.611195318723098E-2</v>
      </c>
      <c r="E69" s="10">
        <f>LN('Monthly Returns'!E76/'Monthly Returns'!E75)</f>
        <v>-5.6459351482702471E-3</v>
      </c>
      <c r="F69" s="10">
        <f>LN('Monthly Returns'!F76/'Monthly Returns'!F75)</f>
        <v>3.4326089996640559E-2</v>
      </c>
      <c r="G69" s="10">
        <f>LN('Monthly Returns'!G76/'Monthly Returns'!G75)</f>
        <v>4.2125663039103173E-2</v>
      </c>
      <c r="H69" s="10">
        <f>LN('Monthly Returns'!H76/'Monthly Returns'!H75)</f>
        <v>8.2835491077182313E-2</v>
      </c>
      <c r="I69" s="10">
        <f>LN('Monthly Returns'!I76/'Monthly Returns'!I75)</f>
        <v>0.10568562341818045</v>
      </c>
      <c r="J69" s="10">
        <f>LN('Monthly Returns'!J76/'Monthly Returns'!J75)</f>
        <v>3.1374724320757594E-2</v>
      </c>
      <c r="K69" s="10">
        <f>LN('Monthly Returns'!K76/'Monthly Returns'!K75)</f>
        <v>9.1137711998524357E-2</v>
      </c>
    </row>
    <row r="70" spans="1:11">
      <c r="A70" s="1">
        <f>'Monthly Returns'!A76</f>
        <v>43864</v>
      </c>
      <c r="B70" s="10">
        <f>LN('Monthly Returns'!B77/'Monthly Returns'!B76)</f>
        <v>2.3112847158733123E-3</v>
      </c>
      <c r="C70" s="10">
        <f>LN('Monthly Returns'!C77/'Monthly Returns'!C76)</f>
        <v>2.1091912645820988E-2</v>
      </c>
      <c r="D70" s="10">
        <f>LN('Monthly Returns'!D77/'Monthly Returns'!D76)</f>
        <v>-6.0360554033209286E-2</v>
      </c>
      <c r="E70" s="10">
        <f>LN('Monthly Returns'!E77/'Monthly Returns'!E76)</f>
        <v>-3.0175735563205307E-2</v>
      </c>
      <c r="F70" s="10">
        <f>LN('Monthly Returns'!F77/'Monthly Returns'!F76)</f>
        <v>-2.7322340640857343E-2</v>
      </c>
      <c r="G70" s="10">
        <f>LN('Monthly Returns'!G77/'Monthly Returns'!G76)</f>
        <v>1.6069105108563443E-2</v>
      </c>
      <c r="H70" s="10">
        <f>LN('Monthly Returns'!H77/'Monthly Returns'!H76)</f>
        <v>-4.0619215503887383E-2</v>
      </c>
      <c r="I70" s="10">
        <f>LN('Monthly Returns'!I77/'Monthly Returns'!I76)</f>
        <v>-5.9514906536814467E-2</v>
      </c>
      <c r="J70" s="10">
        <f>LN('Monthly Returns'!J77/'Monthly Returns'!J76)</f>
        <v>2.0676405580589259E-2</v>
      </c>
      <c r="K70" s="10">
        <f>LN('Monthly Returns'!K77/'Monthly Returns'!K76)</f>
        <v>-0.19565041073401115</v>
      </c>
    </row>
    <row r="71" spans="1:11">
      <c r="A71" s="1">
        <f>'Monthly Returns'!A77</f>
        <v>43832</v>
      </c>
      <c r="B71" s="10">
        <f>LN('Monthly Returns'!B78/'Monthly Returns'!B77)</f>
        <v>-4.1576426845740443E-2</v>
      </c>
      <c r="C71" s="10">
        <f>LN('Monthly Returns'!C78/'Monthly Returns'!C77)</f>
        <v>-3.430099744998804E-2</v>
      </c>
      <c r="D71" s="10">
        <f>LN('Monthly Returns'!D78/'Monthly Returns'!D77)</f>
        <v>9.4071337508855168E-3</v>
      </c>
      <c r="E71" s="10">
        <f>LN('Monthly Returns'!E78/'Monthly Returns'!E77)</f>
        <v>-4.3735230052373134E-2</v>
      </c>
      <c r="F71" s="10">
        <f>LN('Monthly Returns'!F78/'Monthly Returns'!F77)</f>
        <v>-4.3630018144124992E-4</v>
      </c>
      <c r="G71" s="10">
        <f>LN('Monthly Returns'!G78/'Monthly Returns'!G77)</f>
        <v>2.7063271727569529E-2</v>
      </c>
      <c r="H71" s="10">
        <f>LN('Monthly Returns'!H78/'Monthly Returns'!H77)</f>
        <v>-3.8615764339426699E-2</v>
      </c>
      <c r="I71" s="10">
        <f>LN('Monthly Returns'!I78/'Monthly Returns'!I77)</f>
        <v>-4.023582619807161E-2</v>
      </c>
      <c r="J71" s="10">
        <f>LN('Monthly Returns'!J78/'Monthly Returns'!J77)</f>
        <v>-3.0621738445447591E-2</v>
      </c>
      <c r="K71" s="10">
        <f>LN('Monthly Returns'!K78/'Monthly Returns'!K77)</f>
        <v>-9.319377689794725E-2</v>
      </c>
    </row>
    <row r="72" spans="1:11">
      <c r="A72" s="1">
        <f>'Monthly Returns'!A78</f>
        <v>43801</v>
      </c>
      <c r="B72" s="10">
        <f>LN('Monthly Returns'!B79/'Monthly Returns'!B78)</f>
        <v>-1.7806161799096314E-2</v>
      </c>
      <c r="C72" s="10">
        <f>LN('Monthly Returns'!C79/'Monthly Returns'!C78)</f>
        <v>-1.3132866497965802E-2</v>
      </c>
      <c r="D72" s="10">
        <f>LN('Monthly Returns'!D79/'Monthly Returns'!D78)</f>
        <v>1.6136901242225228E-2</v>
      </c>
      <c r="E72" s="10">
        <f>LN('Monthly Returns'!E79/'Monthly Returns'!E78)</f>
        <v>3.4032176716687408E-2</v>
      </c>
      <c r="F72" s="10">
        <f>LN('Monthly Returns'!F79/'Monthly Returns'!F78)</f>
        <v>2.8182998986952427E-2</v>
      </c>
      <c r="G72" s="10">
        <f>LN('Monthly Returns'!G79/'Monthly Returns'!G78)</f>
        <v>-7.7877781992423479E-3</v>
      </c>
      <c r="H72" s="10">
        <f>LN('Monthly Returns'!H79/'Monthly Returns'!H78)</f>
        <v>-4.2827782592037636E-2</v>
      </c>
      <c r="I72" s="10">
        <f>LN('Monthly Returns'!I79/'Monthly Returns'!I78)</f>
        <v>-1.1667825966397413E-2</v>
      </c>
      <c r="J72" s="10">
        <f>LN('Monthly Returns'!J79/'Monthly Returns'!J78)</f>
        <v>-4.3117239739774417E-2</v>
      </c>
      <c r="K72" s="10">
        <f>LN('Monthly Returns'!K79/'Monthly Returns'!K78)</f>
        <v>-4.7628048989254705E-2</v>
      </c>
    </row>
    <row r="73" spans="1:11">
      <c r="A73" s="1">
        <f>'Monthly Returns'!A79</f>
        <v>43770</v>
      </c>
      <c r="B73" s="10">
        <f>LN('Monthly Returns'!B80/'Monthly Returns'!B79)</f>
        <v>-4.3051127308175223E-2</v>
      </c>
      <c r="C73" s="10">
        <f>LN('Monthly Returns'!C80/'Monthly Returns'!C79)</f>
        <v>-6.351859025272405E-2</v>
      </c>
      <c r="D73" s="10">
        <f>LN('Monthly Returns'!D80/'Monthly Returns'!D79)</f>
        <v>1.9026717307463366E-2</v>
      </c>
      <c r="E73" s="10">
        <f>LN('Monthly Returns'!E80/'Monthly Returns'!E79)</f>
        <v>-2.0766896768395899E-2</v>
      </c>
      <c r="F73" s="10">
        <f>LN('Monthly Returns'!F80/'Monthly Returns'!F79)</f>
        <v>-2.046682746341166E-2</v>
      </c>
      <c r="G73" s="10">
        <f>LN('Monthly Returns'!G80/'Monthly Returns'!G79)</f>
        <v>-2.2059718064732219E-2</v>
      </c>
      <c r="H73" s="10">
        <f>LN('Monthly Returns'!H80/'Monthly Returns'!H79)</f>
        <v>-7.8635182953697869E-2</v>
      </c>
      <c r="I73" s="10">
        <f>LN('Monthly Returns'!I80/'Monthly Returns'!I79)</f>
        <v>1.3152568558215344E-2</v>
      </c>
      <c r="J73" s="10">
        <f>LN('Monthly Returns'!J80/'Monthly Returns'!J79)</f>
        <v>-6.1066112745037079E-2</v>
      </c>
      <c r="K73" s="10">
        <f>LN('Monthly Returns'!K80/'Monthly Returns'!K79)</f>
        <v>-5.5151820075079981E-2</v>
      </c>
    </row>
    <row r="74" spans="1:11">
      <c r="A74" s="1">
        <f>'Monthly Returns'!A80</f>
        <v>43739</v>
      </c>
      <c r="B74" s="10">
        <f>LN('Monthly Returns'!B81/'Monthly Returns'!B80)</f>
        <v>-8.5619893572070008E-3</v>
      </c>
      <c r="C74" s="10">
        <f>LN('Monthly Returns'!C81/'Monthly Returns'!C80)</f>
        <v>-1.1592171297048896E-2</v>
      </c>
      <c r="D74" s="10">
        <f>LN('Monthly Returns'!D81/'Monthly Returns'!D80)</f>
        <v>2.7198977583616581E-2</v>
      </c>
      <c r="E74" s="10">
        <f>LN('Monthly Returns'!E81/'Monthly Returns'!E80)</f>
        <v>4.2896758276498491E-2</v>
      </c>
      <c r="F74" s="10">
        <f>LN('Monthly Returns'!F81/'Monthly Returns'!F80)</f>
        <v>8.301486949712349E-3</v>
      </c>
      <c r="G74" s="10">
        <f>LN('Monthly Returns'!G81/'Monthly Returns'!G80)</f>
        <v>-3.614737378809036E-2</v>
      </c>
      <c r="H74" s="10">
        <f>LN('Monthly Returns'!H81/'Monthly Returns'!H80)</f>
        <v>-4.2077518847293723E-2</v>
      </c>
      <c r="I74" s="10">
        <f>LN('Monthly Returns'!I81/'Monthly Returns'!I80)</f>
        <v>1.300593253774145E-3</v>
      </c>
      <c r="J74" s="10">
        <f>LN('Monthly Returns'!J81/'Monthly Returns'!J80)</f>
        <v>9.1457251359029247E-3</v>
      </c>
      <c r="K74" s="10">
        <f>LN('Monthly Returns'!K81/'Monthly Returns'!K80)</f>
        <v>-5.292240145434244E-2</v>
      </c>
    </row>
    <row r="75" spans="1:11">
      <c r="A75" s="1">
        <f>'Monthly Returns'!A81</f>
        <v>43711</v>
      </c>
      <c r="B75" s="10">
        <f>LN('Monthly Returns'!B82/'Monthly Returns'!B81)</f>
        <v>1.4003439322909168E-2</v>
      </c>
      <c r="C75" s="10">
        <f>LN('Monthly Returns'!C82/'Monthly Returns'!C81)</f>
        <v>5.0716965789281018E-2</v>
      </c>
      <c r="D75" s="10">
        <f>LN('Monthly Returns'!D82/'Monthly Returns'!D81)</f>
        <v>-8.466128662312794E-2</v>
      </c>
      <c r="E75" s="10">
        <f>LN('Monthly Returns'!E82/'Monthly Returns'!E81)</f>
        <v>-6.6227768725572872E-2</v>
      </c>
      <c r="F75" s="10">
        <f>LN('Monthly Returns'!F82/'Monthly Returns'!F81)</f>
        <v>-4.670408730064763E-2</v>
      </c>
      <c r="G75" s="10">
        <f>LN('Monthly Returns'!G82/'Monthly Returns'!G81)</f>
        <v>7.4080441009112749E-2</v>
      </c>
      <c r="H75" s="10">
        <f>LN('Monthly Returns'!H82/'Monthly Returns'!H81)</f>
        <v>8.3319079929177642E-2</v>
      </c>
      <c r="I75" s="10">
        <f>LN('Monthly Returns'!I82/'Monthly Returns'!I81)</f>
        <v>-5.7787077720512052E-2</v>
      </c>
      <c r="J75" s="10">
        <f>LN('Monthly Returns'!J82/'Monthly Returns'!J81)</f>
        <v>1.3125429703605156E-2</v>
      </c>
      <c r="K75" s="10">
        <f>LN('Monthly Returns'!K82/'Monthly Returns'!K81)</f>
        <v>-1.6438726343159835E-2</v>
      </c>
    </row>
    <row r="76" spans="1:11">
      <c r="A76" s="1">
        <f>'Monthly Returns'!A82</f>
        <v>43678</v>
      </c>
      <c r="B76" s="10">
        <f>LN('Monthly Returns'!B83/'Monthly Returns'!B82)</f>
        <v>2.7773091518560108E-3</v>
      </c>
      <c r="C76" s="10">
        <f>LN('Monthly Returns'!C83/'Monthly Returns'!C82)</f>
        <v>1.1662879066451913E-2</v>
      </c>
      <c r="D76" s="10">
        <f>LN('Monthly Returns'!D83/'Monthly Returns'!D82)</f>
        <v>-2.2580398634025046E-2</v>
      </c>
      <c r="E76" s="10">
        <f>LN('Monthly Returns'!E83/'Monthly Returns'!E82)</f>
        <v>-4.3372712030517756E-2</v>
      </c>
      <c r="F76" s="10">
        <f>LN('Monthly Returns'!F83/'Monthly Returns'!F82)</f>
        <v>-1.7362138256988676E-2</v>
      </c>
      <c r="G76" s="10">
        <f>LN('Monthly Returns'!G83/'Monthly Returns'!G82)</f>
        <v>3.7408875089211764E-2</v>
      </c>
      <c r="H76" s="10">
        <f>LN('Monthly Returns'!H83/'Monthly Returns'!H82)</f>
        <v>4.537583175234363E-2</v>
      </c>
      <c r="I76" s="10">
        <f>LN('Monthly Returns'!I83/'Monthly Returns'!I82)</f>
        <v>-4.4716868153272709E-3</v>
      </c>
      <c r="J76" s="10">
        <f>LN('Monthly Returns'!J83/'Monthly Returns'!J82)</f>
        <v>1.9961608783764805E-2</v>
      </c>
      <c r="K76" s="10">
        <f>LN('Monthly Returns'!K83/'Monthly Returns'!K82)</f>
        <v>6.4193157639059653E-2</v>
      </c>
    </row>
    <row r="77" spans="1:11">
      <c r="A77" s="1">
        <f>'Monthly Returns'!A83</f>
        <v>43647</v>
      </c>
      <c r="B77" s="10">
        <f>LN('Monthly Returns'!B84/'Monthly Returns'!B83)</f>
        <v>-7.4003907925186282E-2</v>
      </c>
      <c r="C77" s="10">
        <f>LN('Monthly Returns'!C84/'Monthly Returns'!C83)</f>
        <v>-6.4359165025530782E-2</v>
      </c>
      <c r="D77" s="10">
        <f>LN('Monthly Returns'!D84/'Monthly Returns'!D83)</f>
        <v>1.5112591662767741E-3</v>
      </c>
      <c r="E77" s="10">
        <f>LN('Monthly Returns'!E84/'Monthly Returns'!E83)</f>
        <v>-4.3098994145202518E-2</v>
      </c>
      <c r="F77" s="10">
        <f>LN('Monthly Returns'!F84/'Monthly Returns'!F83)</f>
        <v>-2.9806281381379008E-3</v>
      </c>
      <c r="G77" s="10">
        <f>LN('Monthly Returns'!G84/'Monthly Returns'!G83)</f>
        <v>-0.14380388731802959</v>
      </c>
      <c r="H77" s="10">
        <f>LN('Monthly Returns'!H84/'Monthly Returns'!H83)</f>
        <v>-0.11893079830661613</v>
      </c>
      <c r="I77" s="10">
        <f>LN('Monthly Returns'!I84/'Monthly Returns'!I83)</f>
        <v>-4.7881787757108274E-2</v>
      </c>
      <c r="J77" s="10">
        <f>LN('Monthly Returns'!J84/'Monthly Returns'!J83)</f>
        <v>-6.2149683164848216E-2</v>
      </c>
      <c r="K77" s="10">
        <f>LN('Monthly Returns'!K84/'Monthly Returns'!K83)</f>
        <v>0</v>
      </c>
    </row>
    <row r="78" spans="1:11">
      <c r="A78" s="1">
        <f>'Monthly Returns'!A84</f>
        <v>43619</v>
      </c>
      <c r="B78" s="10">
        <f>LN('Monthly Returns'!B85/'Monthly Returns'!B84)</f>
        <v>6.0896668001700953E-2</v>
      </c>
      <c r="C78" s="10">
        <f>LN('Monthly Returns'!C85/'Monthly Returns'!C84)</f>
        <v>6.8769667876503529E-2</v>
      </c>
      <c r="D78" s="10">
        <f>LN('Monthly Returns'!D85/'Monthly Returns'!D84)</f>
        <v>-6.665492404394871E-2</v>
      </c>
      <c r="E78" s="10">
        <f>LN('Monthly Returns'!E85/'Monthly Returns'!E84)</f>
        <v>-3.8373817454587886E-2</v>
      </c>
      <c r="F78" s="10">
        <f>LN('Monthly Returns'!F85/'Monthly Returns'!F84)</f>
        <v>-2.9895388483659373E-3</v>
      </c>
      <c r="G78" s="10">
        <f>LN('Monthly Returns'!G85/'Monthly Returns'!G84)</f>
        <v>8.8337461257686628E-2</v>
      </c>
      <c r="H78" s="10">
        <f>LN('Monthly Returns'!H85/'Monthly Returns'!H84)</f>
        <v>0.13195537164618021</v>
      </c>
      <c r="I78" s="10">
        <f>LN('Monthly Returns'!I85/'Monthly Returns'!I84)</f>
        <v>-3.7614203254252535E-2</v>
      </c>
      <c r="J78" s="10">
        <f>LN('Monthly Returns'!J85/'Monthly Returns'!J84)</f>
        <v>1.8234833358590389E-2</v>
      </c>
      <c r="K78" s="10">
        <f>LN('Monthly Returns'!K85/'Monthly Returns'!K84)</f>
        <v>0.1710318146493541</v>
      </c>
    </row>
    <row r="79" spans="1:11">
      <c r="A79" s="1">
        <f>'Monthly Returns'!A85</f>
        <v>43586</v>
      </c>
      <c r="B79" s="10">
        <f>LN('Monthly Returns'!B86/'Monthly Returns'!B85)</f>
        <v>-2.0705677053053043E-2</v>
      </c>
      <c r="C79" s="10">
        <f>LN('Monthly Returns'!C86/'Monthly Returns'!C85)</f>
        <v>-1.3031800540046899E-2</v>
      </c>
      <c r="D79" s="10">
        <f>LN('Monthly Returns'!D86/'Monthly Returns'!D85)</f>
        <v>3.7862050305529546E-3</v>
      </c>
      <c r="E79" s="10">
        <f>LN('Monthly Returns'!E86/'Monthly Returns'!E85)</f>
        <v>9.3416130079882146E-3</v>
      </c>
      <c r="F79" s="10">
        <f>LN('Monthly Returns'!F86/'Monthly Returns'!F85)</f>
        <v>2.3028209658458256E-4</v>
      </c>
      <c r="G79" s="10">
        <f>LN('Monthly Returns'!G86/'Monthly Returns'!G85)</f>
        <v>-5.4814681374374457E-3</v>
      </c>
      <c r="H79" s="10">
        <f>LN('Monthly Returns'!H86/'Monthly Returns'!H85)</f>
        <v>-8.8863034181657127E-2</v>
      </c>
      <c r="I79" s="10">
        <f>LN('Monthly Returns'!I86/'Monthly Returns'!I85)</f>
        <v>-8.6701865535919923E-2</v>
      </c>
      <c r="J79" s="10">
        <f>LN('Monthly Returns'!J86/'Monthly Returns'!J85)</f>
        <v>3.0832875036030032E-2</v>
      </c>
      <c r="K79" s="10">
        <f>LN('Monthly Returns'!K86/'Monthly Returns'!K85)</f>
        <v>-4.4650273737738819E-2</v>
      </c>
    </row>
    <row r="80" spans="1:11">
      <c r="A80" s="1">
        <f>'Monthly Returns'!A86</f>
        <v>43556</v>
      </c>
      <c r="B80" s="10">
        <f>LN('Monthly Returns'!B87/'Monthly Returns'!B86)</f>
        <v>-1.910874920342014E-2</v>
      </c>
      <c r="C80" s="10">
        <f>LN('Monthly Returns'!C87/'Monthly Returns'!C86)</f>
        <v>2.2237338042089966E-2</v>
      </c>
      <c r="D80" s="10">
        <f>LN('Monthly Returns'!D87/'Monthly Returns'!D86)</f>
        <v>-4.6998732835152525E-2</v>
      </c>
      <c r="E80" s="10">
        <f>LN('Monthly Returns'!E87/'Monthly Returns'!E86)</f>
        <v>2.8758082347994113E-3</v>
      </c>
      <c r="F80" s="10">
        <f>LN('Monthly Returns'!F87/'Monthly Returns'!F86)</f>
        <v>-3.6700290890335316E-2</v>
      </c>
      <c r="G80" s="10">
        <f>LN('Monthly Returns'!G87/'Monthly Returns'!G86)</f>
        <v>-3.8663887630424443E-2</v>
      </c>
      <c r="H80" s="10">
        <f>LN('Monthly Returns'!H87/'Monthly Returns'!H86)</f>
        <v>1.2197485041849159E-2</v>
      </c>
      <c r="I80" s="10">
        <f>LN('Monthly Returns'!I87/'Monthly Returns'!I86)</f>
        <v>1.6879962837451055E-2</v>
      </c>
      <c r="J80" s="10">
        <f>LN('Monthly Returns'!J87/'Monthly Returns'!J86)</f>
        <v>1.1469504654659381E-2</v>
      </c>
      <c r="K80" s="10">
        <f>LN('Monthly Returns'!K87/'Monthly Returns'!K86)</f>
        <v>-0.11095707058598364</v>
      </c>
    </row>
    <row r="81" spans="1:11">
      <c r="A81" s="1">
        <f>'Monthly Returns'!A87</f>
        <v>43525</v>
      </c>
      <c r="B81" s="10">
        <f>LN('Monthly Returns'!B88/'Monthly Returns'!B87)</f>
        <v>-3.764432276008927E-2</v>
      </c>
      <c r="C81" s="10">
        <f>LN('Monthly Returns'!C88/'Monthly Returns'!C87)</f>
        <v>-5.895923734738482E-2</v>
      </c>
      <c r="D81" s="10">
        <f>LN('Monthly Returns'!D88/'Monthly Returns'!D87)</f>
        <v>1.9197651600725708E-2</v>
      </c>
      <c r="E81" s="10">
        <f>LN('Monthly Returns'!E88/'Monthly Returns'!E87)</f>
        <v>2.1268761787253995E-2</v>
      </c>
      <c r="F81" s="10">
        <f>LN('Monthly Returns'!F88/'Monthly Returns'!F87)</f>
        <v>-1.0203557705167642E-2</v>
      </c>
      <c r="G81" s="10">
        <f>LN('Monthly Returns'!G88/'Monthly Returns'!G87)</f>
        <v>-3.2910442044127353E-2</v>
      </c>
      <c r="H81" s="10">
        <f>LN('Monthly Returns'!H88/'Monthly Returns'!H87)</f>
        <v>-6.267592772271692E-2</v>
      </c>
      <c r="I81" s="10">
        <f>LN('Monthly Returns'!I88/'Monthly Returns'!I87)</f>
        <v>-6.2982231250272552E-2</v>
      </c>
      <c r="J81" s="10">
        <f>LN('Monthly Returns'!J88/'Monthly Returns'!J87)</f>
        <v>-2.3953241022492872E-2</v>
      </c>
      <c r="K81" s="10">
        <f>LN('Monthly Returns'!K88/'Monthly Returns'!K87)</f>
        <v>-0.24767673783808172</v>
      </c>
    </row>
    <row r="82" spans="1:11">
      <c r="A82" s="1">
        <f>'Monthly Returns'!A88</f>
        <v>43497</v>
      </c>
      <c r="B82" s="10">
        <f>LN('Monthly Returns'!B89/'Monthly Returns'!B88)</f>
        <v>-7.6463497746301054E-2</v>
      </c>
      <c r="C82" s="10">
        <f>LN('Monthly Returns'!C89/'Monthly Returns'!C88)</f>
        <v>-0.10240054740988246</v>
      </c>
      <c r="D82" s="10">
        <f>LN('Monthly Returns'!D89/'Monthly Returns'!D88)</f>
        <v>9.7898852725266643E-3</v>
      </c>
      <c r="E82" s="10">
        <f>LN('Monthly Returns'!E89/'Monthly Returns'!E88)</f>
        <v>-2.5791609840980684E-2</v>
      </c>
      <c r="F82" s="10">
        <f>LN('Monthly Returns'!F89/'Monthly Returns'!F88)</f>
        <v>-0.12761950354237817</v>
      </c>
      <c r="G82" s="10">
        <f>LN('Monthly Returns'!G89/'Monthly Returns'!G88)</f>
        <v>-0.11655371875581678</v>
      </c>
      <c r="H82" s="10">
        <f>LN('Monthly Returns'!H89/'Monthly Returns'!H88)</f>
        <v>-6.7972029786327742E-2</v>
      </c>
      <c r="I82" s="10">
        <f>LN('Monthly Returns'!I89/'Monthly Returns'!I88)</f>
        <v>-9.3168486980251708E-2</v>
      </c>
      <c r="J82" s="10">
        <f>LN('Monthly Returns'!J89/'Monthly Returns'!J88)</f>
        <v>-6.3107039309690041E-2</v>
      </c>
      <c r="K82" s="10">
        <f>LN('Monthly Returns'!K89/'Monthly Returns'!K88)</f>
        <v>-1.3158084577511199E-2</v>
      </c>
    </row>
    <row r="83" spans="1:11">
      <c r="A83" s="1">
        <f>'Monthly Returns'!A89</f>
        <v>43467</v>
      </c>
      <c r="B83" s="10">
        <f>LN('Monthly Returns'!B90/'Monthly Returns'!B89)</f>
        <v>0.11010581416453578</v>
      </c>
      <c r="C83" s="10">
        <f>LN('Monthly Returns'!C90/'Monthly Returns'!C89)</f>
        <v>0.13471886493268082</v>
      </c>
      <c r="D83" s="10">
        <f>LN('Monthly Returns'!D90/'Monthly Returns'!D89)</f>
        <v>-5.2694624802599926E-2</v>
      </c>
      <c r="E83" s="10">
        <f>LN('Monthly Returns'!E90/'Monthly Returns'!E89)</f>
        <v>-4.1395663803632E-2</v>
      </c>
      <c r="F83" s="10">
        <f>LN('Monthly Returns'!F90/'Monthly Returns'!F89)</f>
        <v>0.12205385094187665</v>
      </c>
      <c r="G83" s="10">
        <f>LN('Monthly Returns'!G90/'Monthly Returns'!G89)</f>
        <v>9.7077745443489447E-2</v>
      </c>
      <c r="H83" s="10">
        <f>LN('Monthly Returns'!H90/'Monthly Returns'!H89)</f>
        <v>0.11038868316176445</v>
      </c>
      <c r="I83" s="10">
        <f>LN('Monthly Returns'!I90/'Monthly Returns'!I89)</f>
        <v>0.11431437934029992</v>
      </c>
      <c r="J83" s="10">
        <f>LN('Monthly Returns'!J90/'Monthly Returns'!J89)</f>
        <v>0.11318196092848437</v>
      </c>
      <c r="K83" s="10">
        <f>LN('Monthly Returns'!K90/'Monthly Returns'!K89)</f>
        <v>-6.6445427186686131E-3</v>
      </c>
    </row>
    <row r="84" spans="1:11">
      <c r="A84" s="1">
        <f>'Monthly Returns'!A90</f>
        <v>43437</v>
      </c>
      <c r="B84" s="10">
        <f>LN('Monthly Returns'!B91/'Monthly Returns'!B90)</f>
        <v>-2.0948288686210036E-2</v>
      </c>
      <c r="C84" s="10">
        <f>LN('Monthly Returns'!C91/'Monthly Returns'!C90)</f>
        <v>-3.8365297244987136E-3</v>
      </c>
      <c r="D84" s="10">
        <f>LN('Monthly Returns'!D91/'Monthly Returns'!D90)</f>
        <v>-2.1545602073910545E-2</v>
      </c>
      <c r="E84" s="10">
        <f>LN('Monthly Returns'!E91/'Monthly Returns'!E90)</f>
        <v>1.8880884428089187E-3</v>
      </c>
      <c r="F84" s="10">
        <f>LN('Monthly Returns'!F91/'Monthly Returns'!F90)</f>
        <v>-4.6312043363779289E-2</v>
      </c>
      <c r="G84" s="10">
        <f>LN('Monthly Returns'!G91/'Monthly Returns'!G90)</f>
        <v>-2.5199463875501434E-2</v>
      </c>
      <c r="H84" s="10">
        <f>LN('Monthly Returns'!H91/'Monthly Returns'!H90)</f>
        <v>-5.1623756256408457E-2</v>
      </c>
      <c r="I84" s="10">
        <f>LN('Monthly Returns'!I91/'Monthly Returns'!I90)</f>
        <v>8.8224520184497467E-3</v>
      </c>
      <c r="J84" s="10">
        <f>LN('Monthly Returns'!J91/'Monthly Returns'!J90)</f>
        <v>-6.0375727104162585E-2</v>
      </c>
      <c r="K84" s="10">
        <f>LN('Monthly Returns'!K91/'Monthly Returns'!K90)</f>
        <v>-8.3381608939051138E-2</v>
      </c>
    </row>
    <row r="85" spans="1:11">
      <c r="A85" s="1">
        <f>'Monthly Returns'!A91</f>
        <v>43405</v>
      </c>
      <c r="B85" s="10">
        <f>LN('Monthly Returns'!B92/'Monthly Returns'!B91)</f>
        <v>6.4490532709628776E-2</v>
      </c>
      <c r="C85" s="10">
        <f>LN('Monthly Returns'!C92/'Monthly Returns'!C91)</f>
        <v>8.0338348477126967E-2</v>
      </c>
      <c r="D85" s="10">
        <f>LN('Monthly Returns'!D92/'Monthly Returns'!D91)</f>
        <v>2.3872888389179097E-2</v>
      </c>
      <c r="E85" s="10">
        <f>LN('Monthly Returns'!E92/'Monthly Returns'!E91)</f>
        <v>-3.5431280336245929E-2</v>
      </c>
      <c r="F85" s="10">
        <f>LN('Monthly Returns'!F92/'Monthly Returns'!F91)</f>
        <v>1.5635169091035826E-2</v>
      </c>
      <c r="G85" s="10">
        <f>LN('Monthly Returns'!G92/'Monthly Returns'!G91)</f>
        <v>6.397240084762558E-2</v>
      </c>
      <c r="H85" s="10">
        <f>LN('Monthly Returns'!H92/'Monthly Returns'!H91)</f>
        <v>0.13666517305355591</v>
      </c>
      <c r="I85" s="10">
        <f>LN('Monthly Returns'!I92/'Monthly Returns'!I91)</f>
        <v>0.15015404009423744</v>
      </c>
      <c r="J85" s="10">
        <f>LN('Monthly Returns'!J92/'Monthly Returns'!J91)</f>
        <v>6.2574335538365403E-2</v>
      </c>
      <c r="K85" s="10">
        <f>LN('Monthly Returns'!K92/'Monthly Returns'!K91)</f>
        <v>0.44338434297045815</v>
      </c>
    </row>
    <row r="86" spans="1:11">
      <c r="A86" s="1">
        <f>'Monthly Returns'!A92</f>
        <v>43374</v>
      </c>
      <c r="B86" s="10">
        <f>LN('Monthly Returns'!B93/'Monthly Returns'!B92)</f>
        <v>-6.6031811270595344E-3</v>
      </c>
      <c r="C86" s="10">
        <f>LN('Monthly Returns'!C93/'Monthly Returns'!C92)</f>
        <v>3.4973143091324224E-2</v>
      </c>
      <c r="D86" s="10">
        <f>LN('Monthly Returns'!D93/'Monthly Returns'!D92)</f>
        <v>3.2859252320835253E-2</v>
      </c>
      <c r="E86" s="10">
        <f>LN('Monthly Returns'!E93/'Monthly Returns'!E92)</f>
        <v>3.1929073688663377E-3</v>
      </c>
      <c r="F86" s="10">
        <f>LN('Monthly Returns'!F93/'Monthly Returns'!F92)</f>
        <v>3.8291584421376021E-2</v>
      </c>
      <c r="G86" s="10">
        <f>LN('Monthly Returns'!G93/'Monthly Returns'!G92)</f>
        <v>-6.4178225691410976E-2</v>
      </c>
      <c r="H86" s="10">
        <f>LN('Monthly Returns'!H93/'Monthly Returns'!H92)</f>
        <v>4.8670098707333338E-3</v>
      </c>
      <c r="I86" s="10">
        <f>LN('Monthly Returns'!I93/'Monthly Returns'!I92)</f>
        <v>-7.7729306745382712E-2</v>
      </c>
      <c r="J86" s="10">
        <f>LN('Monthly Returns'!J93/'Monthly Returns'!J92)</f>
        <v>-3.815873803079211E-2</v>
      </c>
      <c r="K86" s="10">
        <f>LN('Monthly Returns'!K93/'Monthly Returns'!K92)</f>
        <v>-4.7628048989254705E-2</v>
      </c>
    </row>
    <row r="87" spans="1:11">
      <c r="A87" s="1">
        <f>'Monthly Returns'!A93</f>
        <v>43347</v>
      </c>
      <c r="B87" s="10">
        <f>LN('Monthly Returns'!B94/'Monthly Returns'!B93)</f>
        <v>-3.1369211307455881E-2</v>
      </c>
      <c r="C87" s="10">
        <f>LN('Monthly Returns'!C94/'Monthly Returns'!C93)</f>
        <v>-3.8405950822649713E-2</v>
      </c>
      <c r="D87" s="10">
        <f>LN('Monthly Returns'!D94/'Monthly Returns'!D93)</f>
        <v>-1.3166360688434282E-2</v>
      </c>
      <c r="E87" s="10">
        <f>LN('Monthly Returns'!E94/'Monthly Returns'!E93)</f>
        <v>1.9380621512084611E-2</v>
      </c>
      <c r="F87" s="10">
        <f>LN('Monthly Returns'!F94/'Monthly Returns'!F93)</f>
        <v>-6.4021478562528095E-3</v>
      </c>
      <c r="G87" s="10">
        <f>LN('Monthly Returns'!G94/'Monthly Returns'!G93)</f>
        <v>-2.5645103941939123E-2</v>
      </c>
      <c r="H87" s="10">
        <f>LN('Monthly Returns'!H94/'Monthly Returns'!H93)</f>
        <v>7.6840510825698571E-3</v>
      </c>
      <c r="I87" s="10">
        <f>LN('Monthly Returns'!I94/'Monthly Returns'!I93)</f>
        <v>9.3377711452102465E-3</v>
      </c>
      <c r="J87" s="10">
        <f>LN('Monthly Returns'!J94/'Monthly Returns'!J93)</f>
        <v>-3.4148851055321033E-2</v>
      </c>
      <c r="K87" s="10">
        <f>LN('Monthly Returns'!K94/'Monthly Returns'!K93)</f>
        <v>5.6887374402051424E-2</v>
      </c>
    </row>
    <row r="88" spans="1:11">
      <c r="A88" s="1">
        <f>'Monthly Returns'!A94</f>
        <v>43313</v>
      </c>
      <c r="B88" s="10">
        <f>LN('Monthly Returns'!B95/'Monthly Returns'!B94)</f>
        <v>-3.2569096632932351E-2</v>
      </c>
      <c r="C88" s="10">
        <f>LN('Monthly Returns'!C95/'Monthly Returns'!C94)</f>
        <v>-5.2017295055649046E-3</v>
      </c>
      <c r="D88" s="10">
        <f>LN('Monthly Returns'!D95/'Monthly Returns'!D94)</f>
        <v>2.4103581323791225E-2</v>
      </c>
      <c r="E88" s="10">
        <f>LN('Monthly Returns'!E95/'Monthly Returns'!E94)</f>
        <v>1.994907084670974E-2</v>
      </c>
      <c r="F88" s="10">
        <f>LN('Monthly Returns'!F95/'Monthly Returns'!F94)</f>
        <v>-1.8591533530612239E-2</v>
      </c>
      <c r="G88" s="10">
        <f>LN('Monthly Returns'!G95/'Monthly Returns'!G94)</f>
        <v>-5.2016058714457927E-2</v>
      </c>
      <c r="H88" s="10">
        <f>LN('Monthly Returns'!H95/'Monthly Returns'!H94)</f>
        <v>4.1008023727377038E-2</v>
      </c>
      <c r="I88" s="10">
        <f>LN('Monthly Returns'!I95/'Monthly Returns'!I94)</f>
        <v>-8.276494384689724E-2</v>
      </c>
      <c r="J88" s="10">
        <f>LN('Monthly Returns'!J95/'Monthly Returns'!J94)</f>
        <v>-6.0596516534045179E-2</v>
      </c>
      <c r="K88" s="10">
        <f>LN('Monthly Returns'!K95/'Monthly Returns'!K94)</f>
        <v>0.12543418239190324</v>
      </c>
    </row>
    <row r="89" spans="1:11">
      <c r="A89" s="1">
        <f>'Monthly Returns'!A95</f>
        <v>43283</v>
      </c>
      <c r="B89" s="10">
        <f>LN('Monthly Returns'!B96/'Monthly Returns'!B95)</f>
        <v>6.3799578412935039E-3</v>
      </c>
      <c r="C89" s="10">
        <f>LN('Monthly Returns'!C96/'Monthly Returns'!C95)</f>
        <v>-6.4488877144102319E-3</v>
      </c>
      <c r="D89" s="10">
        <f>LN('Monthly Returns'!D96/'Monthly Returns'!D95)</f>
        <v>-8.6903091919771965E-3</v>
      </c>
      <c r="E89" s="10">
        <f>LN('Monthly Returns'!E96/'Monthly Returns'!E95)</f>
        <v>4.1931543905220657E-2</v>
      </c>
      <c r="F89" s="10">
        <f>LN('Monthly Returns'!F96/'Monthly Returns'!F95)</f>
        <v>-2.1967932842088603E-2</v>
      </c>
      <c r="G89" s="10">
        <f>LN('Monthly Returns'!G96/'Monthly Returns'!G95)</f>
        <v>5.2016058714457872E-2</v>
      </c>
      <c r="H89" s="10">
        <f>LN('Monthly Returns'!H96/'Monthly Returns'!H95)</f>
        <v>7.6179244640798519E-2</v>
      </c>
      <c r="I89" s="10">
        <f>LN('Monthly Returns'!I96/'Monthly Returns'!I95)</f>
        <v>5.688906907981571E-2</v>
      </c>
      <c r="J89" s="10">
        <f>LN('Monthly Returns'!J96/'Monthly Returns'!J95)</f>
        <v>-4.3093195727421599E-3</v>
      </c>
      <c r="K89" s="10">
        <f>LN('Monthly Returns'!K96/'Monthly Returns'!K95)</f>
        <v>-8.1633106391609811E-3</v>
      </c>
    </row>
    <row r="90" spans="1:11">
      <c r="A90" s="1">
        <f>'Monthly Returns'!A96</f>
        <v>43252</v>
      </c>
      <c r="B90" s="10">
        <f>LN('Monthly Returns'!B97/'Monthly Returns'!B96)</f>
        <v>-3.2012834308418357E-2</v>
      </c>
      <c r="C90" s="10">
        <f>LN('Monthly Returns'!C97/'Monthly Returns'!C96)</f>
        <v>-6.1483297257459477E-2</v>
      </c>
      <c r="D90" s="10">
        <f>LN('Monthly Returns'!D97/'Monthly Returns'!D96)</f>
        <v>-1.5835444637767745E-2</v>
      </c>
      <c r="E90" s="10">
        <f>LN('Monthly Returns'!E97/'Monthly Returns'!E96)</f>
        <v>9.9107228751461086E-3</v>
      </c>
      <c r="F90" s="10">
        <f>LN('Monthly Returns'!F97/'Monthly Returns'!F96)</f>
        <v>-3.1537032257698397E-2</v>
      </c>
      <c r="G90" s="10">
        <f>LN('Monthly Returns'!G97/'Monthly Returns'!G96)</f>
        <v>-3.0012970830391134E-2</v>
      </c>
      <c r="H90" s="10">
        <f>LN('Monthly Returns'!H97/'Monthly Returns'!H96)</f>
        <v>-3.9909556443439374E-2</v>
      </c>
      <c r="I90" s="10">
        <f>LN('Monthly Returns'!I97/'Monthly Returns'!I96)</f>
        <v>-2.6141724453205731E-2</v>
      </c>
      <c r="J90" s="10">
        <f>LN('Monthly Returns'!J97/'Monthly Returns'!J96)</f>
        <v>-1.3769996535324455E-2</v>
      </c>
      <c r="K90" s="10">
        <f>LN('Monthly Returns'!K97/'Monthly Returns'!K96)</f>
        <v>-0.2876820724517809</v>
      </c>
    </row>
    <row r="91" spans="1:11">
      <c r="A91" s="1">
        <f>'Monthly Returns'!A97</f>
        <v>43221</v>
      </c>
      <c r="B91" s="10">
        <f>LN('Monthly Returns'!B98/'Monthly Returns'!B97)</f>
        <v>-2.8751142977772901E-2</v>
      </c>
      <c r="C91" s="10">
        <f>LN('Monthly Returns'!C98/'Monthly Returns'!C97)</f>
        <v>-3.931677799972276E-2</v>
      </c>
      <c r="D91" s="10">
        <f>LN('Monthly Returns'!D98/'Monthly Returns'!D97)</f>
        <v>2.8883775774642944E-2</v>
      </c>
      <c r="E91" s="10">
        <f>LN('Monthly Returns'!E98/'Monthly Returns'!E97)</f>
        <v>2.8292120929905896E-2</v>
      </c>
      <c r="F91" s="10">
        <f>LN('Monthly Returns'!F98/'Monthly Returns'!F97)</f>
        <v>-3.0816430442633637E-2</v>
      </c>
      <c r="G91" s="10">
        <f>LN('Monthly Returns'!G98/'Monthly Returns'!G97)</f>
        <v>-2.066916149685484E-2</v>
      </c>
      <c r="H91" s="10">
        <f>LN('Monthly Returns'!H98/'Monthly Returns'!H97)</f>
        <v>1.9865576414622647E-3</v>
      </c>
      <c r="I91" s="10">
        <f>LN('Monthly Returns'!I98/'Monthly Returns'!I97)</f>
        <v>7.6550314684975584E-2</v>
      </c>
      <c r="J91" s="10">
        <f>LN('Monthly Returns'!J98/'Monthly Returns'!J97)</f>
        <v>-3.3012826685936518E-2</v>
      </c>
      <c r="K91" s="10">
        <f>LN('Monthly Returns'!K98/'Monthly Returns'!K97)</f>
        <v>-0.10961972501722264</v>
      </c>
    </row>
    <row r="92" spans="1:11">
      <c r="A92" s="1">
        <f>'Monthly Returns'!A98</f>
        <v>43192</v>
      </c>
      <c r="B92" s="10">
        <f>LN('Monthly Returns'!B99/'Monthly Returns'!B98)</f>
        <v>3.8963742064102448E-2</v>
      </c>
      <c r="C92" s="10">
        <f>LN('Monthly Returns'!C99/'Monthly Returns'!C98)</f>
        <v>1.2211638601057288E-2</v>
      </c>
      <c r="D92" s="10">
        <f>LN('Monthly Returns'!D99/'Monthly Returns'!D98)</f>
        <v>-2.1227994470960531E-2</v>
      </c>
      <c r="E92" s="10">
        <f>LN('Monthly Returns'!E99/'Monthly Returns'!E98)</f>
        <v>-2.0161013055125E-2</v>
      </c>
      <c r="F92" s="10">
        <f>LN('Monthly Returns'!F99/'Monthly Returns'!F98)</f>
        <v>-1.3931381061329812E-2</v>
      </c>
      <c r="G92" s="10">
        <f>LN('Monthly Returns'!G99/'Monthly Returns'!G98)</f>
        <v>9.9321432801739926E-2</v>
      </c>
      <c r="H92" s="10">
        <f>LN('Monthly Returns'!H99/'Monthly Returns'!H98)</f>
        <v>3.1446388654447897E-2</v>
      </c>
      <c r="I92" s="10">
        <f>LN('Monthly Returns'!I99/'Monthly Returns'!I98)</f>
        <v>1.9890947013613935E-2</v>
      </c>
      <c r="J92" s="10">
        <f>LN('Monthly Returns'!J99/'Monthly Returns'!J98)</f>
        <v>4.0042306607418032E-2</v>
      </c>
      <c r="K92" s="10">
        <f>LN('Monthly Returns'!K99/'Monthly Returns'!K98)</f>
        <v>9.8630603441627412E-2</v>
      </c>
    </row>
    <row r="93" spans="1:11">
      <c r="A93" s="1">
        <f>'Monthly Returns'!A99</f>
        <v>43160</v>
      </c>
      <c r="B93" s="10">
        <f>LN('Monthly Returns'!B100/'Monthly Returns'!B99)</f>
        <v>5.0549648508074495E-2</v>
      </c>
      <c r="C93" s="10">
        <f>LN('Monthly Returns'!C100/'Monthly Returns'!C99)</f>
        <v>4.4988029441669145E-2</v>
      </c>
      <c r="D93" s="10">
        <f>LN('Monthly Returns'!D100/'Monthly Returns'!D99)</f>
        <v>1.1499168456938144E-2</v>
      </c>
      <c r="E93" s="10">
        <f>LN('Monthly Returns'!E100/'Monthly Returns'!E99)</f>
        <v>2.6505764688459336E-2</v>
      </c>
      <c r="F93" s="10">
        <f>LN('Monthly Returns'!F100/'Monthly Returns'!F99)</f>
        <v>5.7173547355388779E-2</v>
      </c>
      <c r="G93" s="10">
        <f>LN('Monthly Returns'!G100/'Monthly Returns'!G99)</f>
        <v>3.7896778784976611E-2</v>
      </c>
      <c r="H93" s="10">
        <f>LN('Monthly Returns'!H100/'Monthly Returns'!H99)</f>
        <v>5.3811685981427812E-2</v>
      </c>
      <c r="I93" s="10">
        <f>LN('Monthly Returns'!I100/'Monthly Returns'!I99)</f>
        <v>5.076620445645743E-2</v>
      </c>
      <c r="J93" s="10">
        <f>LN('Monthly Returns'!J100/'Monthly Returns'!J99)</f>
        <v>6.2384935720355132E-2</v>
      </c>
      <c r="K93" s="10">
        <f>LN('Monthly Returns'!K100/'Monthly Returns'!K99)</f>
        <v>0.22203796800646006</v>
      </c>
    </row>
    <row r="94" spans="1:11">
      <c r="A94" s="1">
        <f>'Monthly Returns'!A100</f>
        <v>43132</v>
      </c>
      <c r="B94" s="10">
        <f>LN('Monthly Returns'!B101/'Monthly Returns'!B100)</f>
        <v>-4.6560603756784613E-2</v>
      </c>
      <c r="C94" s="10">
        <f>LN('Monthly Returns'!C101/'Monthly Returns'!C100)</f>
        <v>-1.8986893791853483E-2</v>
      </c>
      <c r="D94" s="10">
        <f>LN('Monthly Returns'!D101/'Monthly Returns'!D100)</f>
        <v>3.8917946018730866E-2</v>
      </c>
      <c r="E94" s="10">
        <f>LN('Monthly Returns'!E101/'Monthly Returns'!E100)</f>
        <v>-2.3063971560197068E-2</v>
      </c>
      <c r="F94" s="10">
        <f>LN('Monthly Returns'!F101/'Monthly Returns'!F100)</f>
        <v>6.1486853840507137E-2</v>
      </c>
      <c r="G94" s="10">
        <f>LN('Monthly Returns'!G101/'Monthly Returns'!G100)</f>
        <v>-0.10185878807132824</v>
      </c>
      <c r="H94" s="10">
        <f>LN('Monthly Returns'!H101/'Monthly Returns'!H100)</f>
        <v>-0.10477288208448554</v>
      </c>
      <c r="I94" s="10">
        <f>LN('Monthly Returns'!I101/'Monthly Returns'!I100)</f>
        <v>-0.11505158562688009</v>
      </c>
      <c r="J94" s="10">
        <f>LN('Monthly Returns'!J101/'Monthly Returns'!J100)</f>
        <v>-5.2649866949602574E-2</v>
      </c>
      <c r="K94" s="10">
        <f>LN('Monthly Returns'!K101/'Monthly Returns'!K100)</f>
        <v>-4.9896971144623041E-2</v>
      </c>
    </row>
    <row r="95" spans="1:11">
      <c r="A95" s="1">
        <f>'Monthly Returns'!A101</f>
        <v>43102</v>
      </c>
      <c r="B95" s="10">
        <f>LN('Monthly Returns'!B102/'Monthly Returns'!B101)</f>
        <v>-1.6165984148919902E-2</v>
      </c>
      <c r="C95" s="10">
        <f>LN('Monthly Returns'!C102/'Monthly Returns'!C101)</f>
        <v>-5.7344090411277568E-3</v>
      </c>
      <c r="D95" s="10">
        <f>LN('Monthly Returns'!D102/'Monthly Returns'!D101)</f>
        <v>8.411412868916392E-3</v>
      </c>
      <c r="E95" s="10">
        <f>LN('Monthly Returns'!E102/'Monthly Returns'!E101)</f>
        <v>-2.8858288569456401E-2</v>
      </c>
      <c r="F95" s="10">
        <f>LN('Monthly Returns'!F102/'Monthly Returns'!F101)</f>
        <v>2.2959277051338822E-2</v>
      </c>
      <c r="G95" s="10">
        <f>LN('Monthly Returns'!G102/'Monthly Returns'!G101)</f>
        <v>6.1948315492728064E-2</v>
      </c>
      <c r="H95" s="10">
        <f>LN('Monthly Returns'!H102/'Monthly Returns'!H101)</f>
        <v>-1.3629606172611127E-2</v>
      </c>
      <c r="I95" s="10">
        <f>LN('Monthly Returns'!I102/'Monthly Returns'!I101)</f>
        <v>-1.5725435188710554E-2</v>
      </c>
      <c r="J95" s="10">
        <f>LN('Monthly Returns'!J102/'Monthly Returns'!J101)</f>
        <v>-3.7145809891695213E-3</v>
      </c>
      <c r="K95" s="10">
        <f>LN('Monthly Returns'!K102/'Monthly Returns'!K101)</f>
        <v>2.2989518224698781E-2</v>
      </c>
    </row>
    <row r="96" spans="1:11">
      <c r="A96" s="1">
        <f>'Monthly Returns'!A102</f>
        <v>43070</v>
      </c>
      <c r="B96" s="10">
        <f>LN('Monthly Returns'!B103/'Monthly Returns'!B102)</f>
        <v>-2.6709126730438456E-2</v>
      </c>
      <c r="C96" s="10">
        <f>LN('Monthly Returns'!C103/'Monthly Returns'!C102)</f>
        <v>-3.1533695773771062E-2</v>
      </c>
      <c r="D96" s="10">
        <f>LN('Monthly Returns'!D103/'Monthly Returns'!D102)</f>
        <v>-1.4325752359504994E-2</v>
      </c>
      <c r="E96" s="10">
        <f>LN('Monthly Returns'!E103/'Monthly Returns'!E102)</f>
        <v>-3.9555057753677255E-3</v>
      </c>
      <c r="F96" s="10">
        <f>LN('Monthly Returns'!F103/'Monthly Returns'!F102)</f>
        <v>-2.3806375788990908E-2</v>
      </c>
      <c r="G96" s="10">
        <f>LN('Monthly Returns'!G103/'Monthly Returns'!G102)</f>
        <v>2.0549351522963295E-2</v>
      </c>
      <c r="H96" s="10">
        <f>LN('Monthly Returns'!H103/'Monthly Returns'!H102)</f>
        <v>-6.7538555302879069E-2</v>
      </c>
      <c r="I96" s="10">
        <f>LN('Monthly Returns'!I103/'Monthly Returns'!I102)</f>
        <v>-2.2478654197210783E-2</v>
      </c>
      <c r="J96" s="10">
        <f>LN('Monthly Returns'!J103/'Monthly Returns'!J102)</f>
        <v>-2.4179538953050785E-2</v>
      </c>
      <c r="K96" s="10">
        <f>LN('Monthly Returns'!K103/'Monthly Returns'!K102)</f>
        <v>-8.042156731057433E-2</v>
      </c>
    </row>
    <row r="97" spans="1:11">
      <c r="A97" s="1">
        <f>'Monthly Returns'!A103</f>
        <v>43040</v>
      </c>
      <c r="B97" s="10">
        <f>LN('Monthly Returns'!B104/'Monthly Returns'!B103)</f>
        <v>-2.0282761183510099E-2</v>
      </c>
      <c r="C97" s="10">
        <f>LN('Monthly Returns'!C104/'Monthly Returns'!C103)</f>
        <v>1.1600358066321001E-2</v>
      </c>
      <c r="D97" s="10">
        <f>LN('Monthly Returns'!D104/'Monthly Returns'!D103)</f>
        <v>-3.7746501067813828E-3</v>
      </c>
      <c r="E97" s="10">
        <f>LN('Monthly Returns'!E104/'Monthly Returns'!E103)</f>
        <v>-2.8113132456753153E-3</v>
      </c>
      <c r="F97" s="10">
        <f>LN('Monthly Returns'!F104/'Monthly Returns'!F103)</f>
        <v>4.4694161492615141E-3</v>
      </c>
      <c r="G97" s="10">
        <f>LN('Monthly Returns'!G104/'Monthly Returns'!G103)</f>
        <v>-3.7011464976819376E-2</v>
      </c>
      <c r="H97" s="10">
        <f>LN('Monthly Returns'!H104/'Monthly Returns'!H103)</f>
        <v>-4.2084448761831199E-2</v>
      </c>
      <c r="I97" s="10">
        <f>LN('Monthly Returns'!I104/'Monthly Returns'!I103)</f>
        <v>1.5309476427586861E-2</v>
      </c>
      <c r="J97" s="10">
        <f>LN('Monthly Returns'!J104/'Monthly Returns'!J103)</f>
        <v>1.5256291513506492E-2</v>
      </c>
      <c r="K97" s="10">
        <f>LN('Monthly Returns'!K104/'Monthly Returns'!K103)</f>
        <v>0.13783247452391326</v>
      </c>
    </row>
    <row r="98" spans="1:11">
      <c r="A98" s="1">
        <f>'Monthly Returns'!A104</f>
        <v>43010</v>
      </c>
      <c r="B98" s="10">
        <f>LN('Monthly Returns'!B105/'Monthly Returns'!B104)</f>
        <v>-1.7914746546169674E-2</v>
      </c>
      <c r="C98" s="10">
        <f>LN('Monthly Returns'!C105/'Monthly Returns'!C104)</f>
        <v>-6.5285466698629377E-2</v>
      </c>
      <c r="D98" s="10">
        <f>LN('Monthly Returns'!D105/'Monthly Returns'!D104)</f>
        <v>1.9679557946445901E-2</v>
      </c>
      <c r="E98" s="10">
        <f>LN('Monthly Returns'!E105/'Monthly Returns'!E104)</f>
        <v>4.2870073797680139E-2</v>
      </c>
      <c r="F98" s="10">
        <f>LN('Monthly Returns'!F105/'Monthly Returns'!F104)</f>
        <v>1.625857691035627E-2</v>
      </c>
      <c r="G98" s="10">
        <f>LN('Monthly Returns'!G105/'Monthly Returns'!G104)</f>
        <v>3.6616442257876483E-2</v>
      </c>
      <c r="H98" s="10">
        <f>LN('Monthly Returns'!H105/'Monthly Returns'!H104)</f>
        <v>-6.4652614396339236E-2</v>
      </c>
      <c r="I98" s="10">
        <f>LN('Monthly Returns'!I105/'Monthly Returns'!I104)</f>
        <v>-2.9797484242601376E-2</v>
      </c>
      <c r="J98" s="10">
        <f>LN('Monthly Returns'!J105/'Monthly Returns'!J104)</f>
        <v>-1.6240664670390117E-2</v>
      </c>
      <c r="K98" s="10">
        <f>LN('Monthly Returns'!K105/'Monthly Returns'!K104)</f>
        <v>0.13994852694515605</v>
      </c>
    </row>
    <row r="99" spans="1:11">
      <c r="A99" s="1">
        <f>'Monthly Returns'!A105</f>
        <v>42979</v>
      </c>
      <c r="B99" s="10">
        <f>LN('Monthly Returns'!B106/'Monthly Returns'!B105)</f>
        <v>-2.1003319781905715E-3</v>
      </c>
      <c r="C99" s="10">
        <f>LN('Monthly Returns'!C106/'Monthly Returns'!C105)</f>
        <v>8.9267330292451628E-3</v>
      </c>
      <c r="D99" s="10">
        <f>LN('Monthly Returns'!D106/'Monthly Returns'!D105)</f>
        <v>-1.6787060348854389E-2</v>
      </c>
      <c r="E99" s="10">
        <f>LN('Monthly Returns'!E106/'Monthly Returns'!E105)</f>
        <v>-4.3864192013923241E-2</v>
      </c>
      <c r="F99" s="10">
        <f>LN('Monthly Returns'!F106/'Monthly Returns'!F105)</f>
        <v>3.6692945234391323E-3</v>
      </c>
      <c r="G99" s="10">
        <f>LN('Monthly Returns'!G106/'Monthly Returns'!G105)</f>
        <v>-9.1288587923127728E-3</v>
      </c>
      <c r="H99" s="10">
        <f>LN('Monthly Returns'!H106/'Monthly Returns'!H105)</f>
        <v>1.9254844894383456E-2</v>
      </c>
      <c r="I99" s="10">
        <f>LN('Monthly Returns'!I106/'Monthly Returns'!I105)</f>
        <v>-3.207860288546955E-2</v>
      </c>
      <c r="J99" s="10">
        <f>LN('Monthly Returns'!J106/'Monthly Returns'!J105)</f>
        <v>-1.8889588623030786E-2</v>
      </c>
      <c r="K99" s="10">
        <f>LN('Monthly Returns'!K106/'Monthly Returns'!K105)</f>
        <v>1.1131840368844199E-2</v>
      </c>
    </row>
    <row r="100" spans="1:11">
      <c r="A100" s="1">
        <f>'Monthly Returns'!A106</f>
        <v>42948</v>
      </c>
      <c r="B100" s="10">
        <f>LN('Monthly Returns'!B107/'Monthly Returns'!B106)</f>
        <v>-2.0877926232132794E-2</v>
      </c>
      <c r="C100" s="10">
        <f>LN('Monthly Returns'!C107/'Monthly Returns'!C106)</f>
        <v>2.2544746761833778E-3</v>
      </c>
      <c r="D100" s="10">
        <f>LN('Monthly Returns'!D107/'Monthly Returns'!D106)</f>
        <v>-1.4452029813664096E-3</v>
      </c>
      <c r="E100" s="10">
        <f>LN('Monthly Returns'!E107/'Monthly Returns'!E106)</f>
        <v>-3.8528039721096322E-2</v>
      </c>
      <c r="F100" s="10">
        <f>LN('Monthly Returns'!F107/'Monthly Returns'!F106)</f>
        <v>-4.1437341005983713E-3</v>
      </c>
      <c r="G100" s="10">
        <f>LN('Monthly Returns'!G107/'Monthly Returns'!G106)</f>
        <v>-1.6077516727532777E-2</v>
      </c>
      <c r="H100" s="10">
        <f>LN('Monthly Returns'!H107/'Monthly Returns'!H106)</f>
        <v>-2.701445518059389E-3</v>
      </c>
      <c r="I100" s="10">
        <f>LN('Monthly Returns'!I107/'Monthly Returns'!I106)</f>
        <v>-4.8052353384419821E-2</v>
      </c>
      <c r="J100" s="10">
        <f>LN('Monthly Returns'!J107/'Monthly Returns'!J106)</f>
        <v>-4.1486010849124798E-3</v>
      </c>
      <c r="K100" s="10">
        <f>LN('Monthly Returns'!K107/'Monthly Returns'!K106)</f>
        <v>-0.10086061033497383</v>
      </c>
    </row>
    <row r="101" spans="1:11">
      <c r="A101" s="1">
        <f>'Monthly Returns'!A107</f>
        <v>42919</v>
      </c>
      <c r="B101" s="10">
        <f>LN('Monthly Returns'!B108/'Monthly Returns'!B107)</f>
        <v>4.7367100527474833E-3</v>
      </c>
      <c r="C101" s="10">
        <f>LN('Monthly Returns'!C108/'Monthly Returns'!C107)</f>
        <v>-2.2416878914542259E-2</v>
      </c>
      <c r="D101" s="10">
        <f>LN('Monthly Returns'!D108/'Monthly Returns'!D107)</f>
        <v>-2.4938671868960866E-3</v>
      </c>
      <c r="E101" s="10">
        <f>LN('Monthly Returns'!E108/'Monthly Returns'!E107)</f>
        <v>3.9108062109648969E-2</v>
      </c>
      <c r="F101" s="10">
        <f>LN('Monthly Returns'!F108/'Monthly Returns'!F107)</f>
        <v>-2.0011452040772287E-2</v>
      </c>
      <c r="G101" s="10">
        <f>LN('Monthly Returns'!G108/'Monthly Returns'!G107)</f>
        <v>-7.5074652928128247E-2</v>
      </c>
      <c r="H101" s="10">
        <f>LN('Monthly Returns'!H108/'Monthly Returns'!H107)</f>
        <v>-3.6669983676252682E-2</v>
      </c>
      <c r="I101" s="10">
        <f>LN('Monthly Returns'!I108/'Monthly Returns'!I107)</f>
        <v>7.2873080939416905E-3</v>
      </c>
      <c r="J101" s="10">
        <f>LN('Monthly Returns'!J108/'Monthly Returns'!J107)</f>
        <v>-3.1480526634340242E-2</v>
      </c>
      <c r="K101" s="10">
        <f>LN('Monthly Returns'!K108/'Monthly Returns'!K107)</f>
        <v>8.1301260832503091E-3</v>
      </c>
    </row>
    <row r="102" spans="1:11">
      <c r="A102" s="1">
        <f>'Monthly Returns'!A108</f>
        <v>42887</v>
      </c>
      <c r="B102" s="10">
        <f>LN('Monthly Returns'!B109/'Monthly Returns'!B108)</f>
        <v>-1.9418085857101627E-2</v>
      </c>
      <c r="C102" s="10">
        <f>LN('Monthly Returns'!C109/'Monthly Returns'!C108)</f>
        <v>6.5277660872081113E-3</v>
      </c>
      <c r="D102" s="10">
        <f>LN('Monthly Returns'!D109/'Monthly Returns'!D108)</f>
        <v>-2.5039027800657785E-2</v>
      </c>
      <c r="E102" s="10">
        <f>LN('Monthly Returns'!E109/'Monthly Returns'!E108)</f>
        <v>-8.7358598741685244E-3</v>
      </c>
      <c r="F102" s="10">
        <f>LN('Monthly Returns'!F109/'Monthly Returns'!F108)</f>
        <v>7.9566423380949616E-3</v>
      </c>
      <c r="G102" s="10">
        <f>LN('Monthly Returns'!G109/'Monthly Returns'!G108)</f>
        <v>-1.6292742614657227E-2</v>
      </c>
      <c r="H102" s="10">
        <f>LN('Monthly Returns'!H109/'Monthly Returns'!H108)</f>
        <v>-7.6332277603043841E-2</v>
      </c>
      <c r="I102" s="10">
        <f>LN('Monthly Returns'!I109/'Monthly Returns'!I108)</f>
        <v>-4.562213812298492E-2</v>
      </c>
      <c r="J102" s="10">
        <f>LN('Monthly Returns'!J109/'Monthly Returns'!J108)</f>
        <v>-1.638414001414874E-2</v>
      </c>
      <c r="K102" s="10">
        <f>LN('Monthly Returns'!K109/'Monthly Returns'!K108)</f>
        <v>-8.1301260832501755E-3</v>
      </c>
    </row>
    <row r="103" spans="1:11">
      <c r="A103" s="1">
        <f>'Monthly Returns'!A109</f>
        <v>42856</v>
      </c>
      <c r="B103" s="10">
        <f>LN('Monthly Returns'!B110/'Monthly Returns'!B109)</f>
        <v>-1.4134958235012518E-2</v>
      </c>
      <c r="C103" s="10">
        <f>LN('Monthly Returns'!C110/'Monthly Returns'!C109)</f>
        <v>-2.7766472630382202E-2</v>
      </c>
      <c r="D103" s="10">
        <f>LN('Monthly Returns'!D110/'Monthly Returns'!D109)</f>
        <v>4.8609776458398432E-3</v>
      </c>
      <c r="E103" s="10">
        <f>LN('Monthly Returns'!E110/'Monthly Returns'!E109)</f>
        <v>-2.6776018005859447E-3</v>
      </c>
      <c r="F103" s="10">
        <f>LN('Monthly Returns'!F110/'Monthly Returns'!F109)</f>
        <v>-5.4181096965407018E-3</v>
      </c>
      <c r="G103" s="10">
        <f>LN('Monthly Returns'!G110/'Monthly Returns'!G109)</f>
        <v>-9.8149349141734357E-3</v>
      </c>
      <c r="H103" s="10">
        <f>LN('Monthly Returns'!H110/'Monthly Returns'!H109)</f>
        <v>-2.3788062296449201E-3</v>
      </c>
      <c r="I103" s="10">
        <f>LN('Monthly Returns'!I110/'Monthly Returns'!I109)</f>
        <v>9.3090807489702027E-4</v>
      </c>
      <c r="J103" s="10">
        <f>LN('Monthly Returns'!J110/'Monthly Returns'!J109)</f>
        <v>-1.6657057787953747E-2</v>
      </c>
      <c r="K103" s="10">
        <f>LN('Monthly Returns'!K110/'Monthly Returns'!K109)</f>
        <v>2.4194728587056756E-2</v>
      </c>
    </row>
    <row r="104" spans="1:11">
      <c r="A104" s="1">
        <f>'Monthly Returns'!A110</f>
        <v>42828</v>
      </c>
      <c r="B104" s="10">
        <f>LN('Monthly Returns'!B111/'Monthly Returns'!B110)</f>
        <v>1.8733051860638877E-2</v>
      </c>
      <c r="C104" s="10">
        <f>LN('Monthly Returns'!C111/'Monthly Returns'!C110)</f>
        <v>3.1335101069675853E-2</v>
      </c>
      <c r="D104" s="10">
        <f>LN('Monthly Returns'!D111/'Monthly Returns'!D110)</f>
        <v>-1.8247167970225346E-2</v>
      </c>
      <c r="E104" s="10">
        <f>LN('Monthly Returns'!E111/'Monthly Returns'!E110)</f>
        <v>-2.4327850595950024E-3</v>
      </c>
      <c r="F104" s="10">
        <f>LN('Monthly Returns'!F111/'Monthly Returns'!F110)</f>
        <v>2.5860941880143679E-2</v>
      </c>
      <c r="G104" s="10">
        <f>LN('Monthly Returns'!G111/'Monthly Returns'!G110)</f>
        <v>-3.8620131377675636E-2</v>
      </c>
      <c r="H104" s="10">
        <f>LN('Monthly Returns'!H111/'Monthly Returns'!H110)</f>
        <v>4.0318321413342399E-2</v>
      </c>
      <c r="I104" s="10">
        <f>LN('Monthly Returns'!I111/'Monthly Returns'!I110)</f>
        <v>-1.1171937258520567E-3</v>
      </c>
      <c r="J104" s="10">
        <f>LN('Monthly Returns'!J111/'Monthly Returns'!J110)</f>
        <v>1.758169955517221E-2</v>
      </c>
      <c r="K104" s="10">
        <f>LN('Monthly Returns'!K111/'Monthly Returns'!K110)</f>
        <v>5.8043369649915348E-2</v>
      </c>
    </row>
    <row r="105" spans="1:11">
      <c r="A105" s="1">
        <f>'Monthly Returns'!A111</f>
        <v>42795</v>
      </c>
      <c r="B105" s="10">
        <f>LN('Monthly Returns'!B112/'Monthly Returns'!B111)</f>
        <v>-5.2044264425763813E-2</v>
      </c>
      <c r="C105" s="10">
        <f>LN('Monthly Returns'!C112/'Monthly Returns'!C111)</f>
        <v>-3.782527799255786E-2</v>
      </c>
      <c r="D105" s="10">
        <f>LN('Monthly Returns'!D112/'Monthly Returns'!D111)</f>
        <v>-3.1018174678780108E-3</v>
      </c>
      <c r="E105" s="10">
        <f>LN('Monthly Returns'!E112/'Monthly Returns'!E111)</f>
        <v>-3.2957819463453185E-2</v>
      </c>
      <c r="F105" s="10">
        <f>LN('Monthly Returns'!F112/'Monthly Returns'!F111)</f>
        <v>-4.352171391677262E-2</v>
      </c>
      <c r="G105" s="10">
        <f>LN('Monthly Returns'!G112/'Monthly Returns'!G111)</f>
        <v>-7.4466485046100137E-2</v>
      </c>
      <c r="H105" s="10">
        <f>LN('Monthly Returns'!H112/'Monthly Returns'!H111)</f>
        <v>-6.4396084720527935E-2</v>
      </c>
      <c r="I105" s="10">
        <f>LN('Monthly Returns'!I112/'Monthly Returns'!I111)</f>
        <v>-6.7349433300435094E-2</v>
      </c>
      <c r="J105" s="10">
        <f>LN('Monthly Returns'!J112/'Monthly Returns'!J111)</f>
        <v>-6.2797233728224919E-2</v>
      </c>
      <c r="K105" s="10">
        <f>LN('Monthly Returns'!K112/'Monthly Returns'!K111)</f>
        <v>-3.8318864302136657E-2</v>
      </c>
    </row>
    <row r="106" spans="1:11">
      <c r="A106" s="1">
        <f>'Monthly Returns'!A112</f>
        <v>42767</v>
      </c>
      <c r="B106" s="10">
        <f>LN('Monthly Returns'!B113/'Monthly Returns'!B112)</f>
        <v>-1.0511071467326024E-2</v>
      </c>
      <c r="C106" s="10">
        <f>LN('Monthly Returns'!C113/'Monthly Returns'!C112)</f>
        <v>2.7339581812877412E-3</v>
      </c>
      <c r="D106" s="10">
        <f>LN('Monthly Returns'!D113/'Monthly Returns'!D112)</f>
        <v>4.5237574004928166E-3</v>
      </c>
      <c r="E106" s="10">
        <f>LN('Monthly Returns'!E113/'Monthly Returns'!E112)</f>
        <v>-4.1925757377607155E-2</v>
      </c>
      <c r="F106" s="10">
        <f>LN('Monthly Returns'!F113/'Monthly Returns'!F112)</f>
        <v>1.7298518817670146E-2</v>
      </c>
      <c r="G106" s="10">
        <f>LN('Monthly Returns'!G113/'Monthly Returns'!G112)</f>
        <v>-3.2915332707059174E-2</v>
      </c>
      <c r="H106" s="10">
        <f>LN('Monthly Returns'!H113/'Monthly Returns'!H112)</f>
        <v>3.5372319432290675E-2</v>
      </c>
      <c r="I106" s="10">
        <f>LN('Monthly Returns'!I113/'Monthly Returns'!I112)</f>
        <v>9.5595817347823089E-3</v>
      </c>
      <c r="J106" s="10">
        <f>LN('Monthly Returns'!J113/'Monthly Returns'!J112)</f>
        <v>-1.8302277214076911E-2</v>
      </c>
      <c r="K106" s="10">
        <f>LN('Monthly Returns'!K113/'Monthly Returns'!K112)</f>
        <v>0.10731173578908805</v>
      </c>
    </row>
    <row r="107" spans="1:11">
      <c r="A107" s="1">
        <f>'Monthly Returns'!A113</f>
        <v>42738</v>
      </c>
      <c r="B107" s="10">
        <f>LN('Monthly Returns'!B114/'Monthly Returns'!B113)</f>
        <v>-2.5495412105172349E-2</v>
      </c>
      <c r="C107" s="10">
        <f>LN('Monthly Returns'!C114/'Monthly Returns'!C113)</f>
        <v>-3.4150941562432813E-2</v>
      </c>
      <c r="D107" s="10">
        <f>LN('Monthly Returns'!D114/'Monthly Returns'!D113)</f>
        <v>-7.6352260840463612E-3</v>
      </c>
      <c r="E107" s="10">
        <f>LN('Monthly Returns'!E114/'Monthly Returns'!E113)</f>
        <v>9.6392800772239929E-3</v>
      </c>
      <c r="F107" s="10">
        <f>LN('Monthly Returns'!F114/'Monthly Returns'!F113)</f>
        <v>-4.4325507915025715E-2</v>
      </c>
      <c r="G107" s="10">
        <f>LN('Monthly Returns'!G114/'Monthly Returns'!G113)</f>
        <v>3.8835000263978334E-3</v>
      </c>
      <c r="H107" s="10">
        <f>LN('Monthly Returns'!H114/'Monthly Returns'!H113)</f>
        <v>-2.4175188316803826E-2</v>
      </c>
      <c r="I107" s="10">
        <f>LN('Monthly Returns'!I114/'Monthly Returns'!I113)</f>
        <v>5.0384903559075073E-2</v>
      </c>
      <c r="J107" s="10">
        <f>LN('Monthly Returns'!J114/'Monthly Returns'!J113)</f>
        <v>-2.3029477466277683E-2</v>
      </c>
      <c r="K107" s="10">
        <f>LN('Monthly Returns'!K114/'Monthly Returns'!K113)</f>
        <v>-8.4144676507553709E-2</v>
      </c>
    </row>
    <row r="108" spans="1:11">
      <c r="A108" s="1">
        <f>'Monthly Returns'!A114</f>
        <v>42705</v>
      </c>
      <c r="B108" s="10">
        <f>LN('Monthly Returns'!B115/'Monthly Returns'!B114)</f>
        <v>-3.9765562563280121E-2</v>
      </c>
      <c r="C108" s="10">
        <f>LN('Monthly Returns'!C115/'Monthly Returns'!C114)</f>
        <v>-0.11236709540439176</v>
      </c>
      <c r="D108" s="10">
        <f>LN('Monthly Returns'!D115/'Monthly Returns'!D114)</f>
        <v>9.8421648487878349E-2</v>
      </c>
      <c r="E108" s="10">
        <f>LN('Monthly Returns'!E115/'Monthly Returns'!E114)</f>
        <v>9.5603549648009239E-2</v>
      </c>
      <c r="F108" s="10">
        <f>LN('Monthly Returns'!F115/'Monthly Returns'!F114)</f>
        <v>9.6740499424842266E-3</v>
      </c>
      <c r="G108" s="10">
        <f>LN('Monthly Returns'!G115/'Monthly Returns'!G114)</f>
        <v>-6.2208598751025057E-3</v>
      </c>
      <c r="H108" s="10">
        <f>LN('Monthly Returns'!H115/'Monthly Returns'!H114)</f>
        <v>-0.1010103824089955</v>
      </c>
      <c r="I108" s="10">
        <f>LN('Monthly Returns'!I115/'Monthly Returns'!I114)</f>
        <v>-8.3822364106694691E-2</v>
      </c>
      <c r="J108" s="10">
        <f>LN('Monthly Returns'!J115/'Monthly Returns'!J114)</f>
        <v>-1.8484814674103102E-2</v>
      </c>
      <c r="K108" s="10">
        <f>LN('Monthly Returns'!K115/'Monthly Returns'!K114)</f>
        <v>-0.13899887480665621</v>
      </c>
    </row>
    <row r="109" spans="1:11">
      <c r="A109" s="1">
        <f>'Monthly Returns'!A115</f>
        <v>42675</v>
      </c>
      <c r="B109" s="10">
        <f>LN('Monthly Returns'!B116/'Monthly Returns'!B115)</f>
        <v>2.2353844405228748E-2</v>
      </c>
      <c r="C109" s="10">
        <f>LN('Monthly Returns'!C116/'Monthly Returns'!C115)</f>
        <v>5.6227704154166204E-2</v>
      </c>
      <c r="D109" s="10">
        <f>LN('Monthly Returns'!D116/'Monthly Returns'!D115)</f>
        <v>4.3319445766443587E-2</v>
      </c>
      <c r="E109" s="10">
        <f>LN('Monthly Returns'!E116/'Monthly Returns'!E115)</f>
        <v>2.0883645474574088E-2</v>
      </c>
      <c r="F109" s="10">
        <f>LN('Monthly Returns'!F116/'Monthly Returns'!F115)</f>
        <v>6.2285422174662042E-2</v>
      </c>
      <c r="G109" s="10">
        <f>LN('Monthly Returns'!G116/'Monthly Returns'!G115)</f>
        <v>1.3686462833872422E-2</v>
      </c>
      <c r="H109" s="10">
        <f>LN('Monthly Returns'!H116/'Monthly Returns'!H115)</f>
        <v>5.4533288642422309E-2</v>
      </c>
      <c r="I109" s="10">
        <f>LN('Monthly Returns'!I116/'Monthly Returns'!I115)</f>
        <v>-1.8123899993612767E-2</v>
      </c>
      <c r="J109" s="10">
        <f>LN('Monthly Returns'!J116/'Monthly Returns'!J115)</f>
        <v>7.2667703054564964E-2</v>
      </c>
      <c r="K109" s="10">
        <f>LN('Monthly Returns'!K116/'Monthly Returns'!K115)</f>
        <v>3.0239885189718391E-2</v>
      </c>
    </row>
    <row r="110" spans="1:11">
      <c r="A110" s="1">
        <f>'Monthly Returns'!A116</f>
        <v>42646</v>
      </c>
      <c r="B110" s="10">
        <f>LN('Monthly Returns'!B117/'Monthly Returns'!B116)</f>
        <v>7.4336053458935987E-3</v>
      </c>
      <c r="C110" s="10">
        <f>LN('Monthly Returns'!C117/'Monthly Returns'!C116)</f>
        <v>-4.0462950731365126E-3</v>
      </c>
      <c r="D110" s="10">
        <f>LN('Monthly Returns'!D117/'Monthly Returns'!D116)</f>
        <v>2.140511256479237E-2</v>
      </c>
      <c r="E110" s="10">
        <f>LN('Monthly Returns'!E117/'Monthly Returns'!E116)</f>
        <v>-2.3941582652955447E-4</v>
      </c>
      <c r="F110" s="10">
        <f>LN('Monthly Returns'!F117/'Monthly Returns'!F116)</f>
        <v>4.1761402762190959E-2</v>
      </c>
      <c r="G110" s="10">
        <f>LN('Monthly Returns'!G117/'Monthly Returns'!G116)</f>
        <v>5.4161707971342864E-2</v>
      </c>
      <c r="H110" s="10">
        <f>LN('Monthly Returns'!H117/'Monthly Returns'!H116)</f>
        <v>3.3052282139944586E-2</v>
      </c>
      <c r="I110" s="10">
        <f>LN('Monthly Returns'!I117/'Monthly Returns'!I116)</f>
        <v>1.2515911330369948E-2</v>
      </c>
      <c r="J110" s="10">
        <f>LN('Monthly Returns'!J117/'Monthly Returns'!J116)</f>
        <v>7.1912908445144665E-3</v>
      </c>
      <c r="K110" s="10">
        <f>LN('Monthly Returns'!K117/'Monthly Returns'!K116)</f>
        <v>-6.142281262640624E-2</v>
      </c>
    </row>
    <row r="111" spans="1:11">
      <c r="A111" s="1">
        <f>'Monthly Returns'!A117</f>
        <v>42614</v>
      </c>
      <c r="B111" s="10">
        <f>LN('Monthly Returns'!B118/'Monthly Returns'!B117)</f>
        <v>-2.0721578570160968E-3</v>
      </c>
      <c r="C111" s="10">
        <f>LN('Monthly Returns'!C118/'Monthly Returns'!C117)</f>
        <v>-1.7588084774518339E-2</v>
      </c>
      <c r="D111" s="10">
        <f>LN('Monthly Returns'!D118/'Monthly Returns'!D117)</f>
        <v>0</v>
      </c>
      <c r="E111" s="10">
        <f>LN('Monthly Returns'!E118/'Monthly Returns'!E117)</f>
        <v>3.0885327872557967E-2</v>
      </c>
      <c r="F111" s="10">
        <f>LN('Monthly Returns'!F118/'Monthly Returns'!F117)</f>
        <v>4.3005524375843596E-2</v>
      </c>
      <c r="G111" s="10">
        <f>LN('Monthly Returns'!G118/'Monthly Returns'!G117)</f>
        <v>-2.429838427699362E-4</v>
      </c>
      <c r="H111" s="10">
        <f>LN('Monthly Returns'!H118/'Monthly Returns'!H117)</f>
        <v>-1.0398613599156101E-2</v>
      </c>
      <c r="I111" s="10">
        <f>LN('Monthly Returns'!I118/'Monthly Returns'!I117)</f>
        <v>4.50673113519909E-2</v>
      </c>
      <c r="J111" s="10">
        <f>LN('Monthly Returns'!J118/'Monthly Returns'!J117)</f>
        <v>4.1962311453577421E-2</v>
      </c>
      <c r="K111" s="10">
        <f>LN('Monthly Returns'!K118/'Monthly Returns'!K117)</f>
        <v>-2.288429383358773E-2</v>
      </c>
    </row>
    <row r="112" spans="1:11">
      <c r="A112" s="1">
        <f>'Monthly Returns'!A118</f>
        <v>42583</v>
      </c>
      <c r="B112" s="10">
        <f>LN('Monthly Returns'!B119/'Monthly Returns'!B118)</f>
        <v>-3.2890500887999129E-2</v>
      </c>
      <c r="C112" s="10">
        <f>LN('Monthly Returns'!C119/'Monthly Returns'!C118)</f>
        <v>-4.8876823036854873E-2</v>
      </c>
      <c r="D112" s="10">
        <f>LN('Monthly Returns'!D119/'Monthly Returns'!D118)</f>
        <v>5.7073708468592856E-3</v>
      </c>
      <c r="E112" s="10">
        <f>LN('Monthly Returns'!E119/'Monthly Returns'!E118)</f>
        <v>-6.2881082868368014E-3</v>
      </c>
      <c r="F112" s="10">
        <f>LN('Monthly Returns'!F119/'Monthly Returns'!F118)</f>
        <v>-4.3569063415834969E-2</v>
      </c>
      <c r="G112" s="10">
        <f>LN('Monthly Returns'!G119/'Monthly Returns'!G118)</f>
        <v>-7.0723377336027607E-3</v>
      </c>
      <c r="H112" s="10">
        <f>LN('Monthly Returns'!H119/'Monthly Returns'!H118)</f>
        <v>-7.6248870810477445E-2</v>
      </c>
      <c r="I112" s="10">
        <f>LN('Monthly Returns'!I119/'Monthly Returns'!I118)</f>
        <v>-2.1778365256155962E-2</v>
      </c>
      <c r="J112" s="10">
        <f>LN('Monthly Returns'!J119/'Monthly Returns'!J118)</f>
        <v>-4.7628048989254705E-2</v>
      </c>
      <c r="K112" s="10">
        <f>LN('Monthly Returns'!K119/'Monthly Returns'!K118)</f>
        <v>0.13005312824819776</v>
      </c>
    </row>
    <row r="113" spans="1:11">
      <c r="A113" s="1">
        <f>'Monthly Returns'!A119</f>
        <v>42552</v>
      </c>
      <c r="B113" s="10">
        <f>LN('Monthly Returns'!B120/'Monthly Returns'!B119)</f>
        <v>1.6621024562708795E-3</v>
      </c>
      <c r="C113" s="10">
        <f>LN('Monthly Returns'!C120/'Monthly Returns'!C119)</f>
        <v>3.3741434442822096E-3</v>
      </c>
      <c r="D113" s="10">
        <f>LN('Monthly Returns'!D120/'Monthly Returns'!D119)</f>
        <v>-7.4945573378618346E-2</v>
      </c>
      <c r="E113" s="10">
        <f>LN('Monthly Returns'!E120/'Monthly Returns'!E119)</f>
        <v>-0.10215545393159572</v>
      </c>
      <c r="F113" s="10">
        <f>LN('Monthly Returns'!F120/'Monthly Returns'!F119)</f>
        <v>-5.7543128724536631E-2</v>
      </c>
      <c r="G113" s="10">
        <f>LN('Monthly Returns'!G120/'Monthly Returns'!G119)</f>
        <v>-1.4793169177830577E-2</v>
      </c>
      <c r="H113" s="10">
        <f>LN('Monthly Returns'!H120/'Monthly Returns'!H119)</f>
        <v>6.6070179827778089E-2</v>
      </c>
      <c r="I113" s="10">
        <f>LN('Monthly Returns'!I120/'Monthly Returns'!I119)</f>
        <v>-4.6250780347404416E-2</v>
      </c>
      <c r="J113" s="10">
        <f>LN('Monthly Returns'!J120/'Monthly Returns'!J119)</f>
        <v>-7.6511467355197503E-3</v>
      </c>
      <c r="K113" s="10">
        <f>LN('Monthly Returns'!K120/'Monthly Returns'!K119)</f>
        <v>7.0617567213953417E-2</v>
      </c>
    </row>
    <row r="114" spans="1:11">
      <c r="A114" s="1">
        <f>'Monthly Returns'!A120</f>
        <v>42522</v>
      </c>
      <c r="B114" s="10">
        <f>LN('Monthly Returns'!B121/'Monthly Returns'!B120)</f>
        <v>-1.0998580650513502E-2</v>
      </c>
      <c r="C114" s="10">
        <f>LN('Monthly Returns'!C121/'Monthly Returns'!C120)</f>
        <v>-2.0065228710207914E-2</v>
      </c>
      <c r="D114" s="10">
        <f>LN('Monthly Returns'!D121/'Monthly Returns'!D120)</f>
        <v>-2.0136987742920495E-2</v>
      </c>
      <c r="E114" s="10">
        <f>LN('Monthly Returns'!E121/'Monthly Returns'!E120)</f>
        <v>6.1060857816880379E-2</v>
      </c>
      <c r="F114" s="10">
        <f>LN('Monthly Returns'!F121/'Monthly Returns'!F120)</f>
        <v>-7.6720587295947334E-3</v>
      </c>
      <c r="G114" s="10">
        <f>LN('Monthly Returns'!G121/'Monthly Returns'!G120)</f>
        <v>9.9304874099185323E-4</v>
      </c>
      <c r="H114" s="10">
        <f>LN('Monthly Returns'!H121/'Monthly Returns'!H120)</f>
        <v>-8.5113929519990746E-3</v>
      </c>
      <c r="I114" s="10">
        <f>LN('Monthly Returns'!I121/'Monthly Returns'!I120)</f>
        <v>-2.0538785290771851E-2</v>
      </c>
      <c r="J114" s="10">
        <f>LN('Monthly Returns'!J121/'Monthly Returns'!J120)</f>
        <v>-2.0028878276518305E-2</v>
      </c>
      <c r="K114" s="10">
        <f>LN('Monthly Returns'!K121/'Monthly Returns'!K120)</f>
        <v>2.9852963149681128E-2</v>
      </c>
    </row>
    <row r="115" spans="1:11">
      <c r="A115" s="1">
        <f>'Monthly Returns'!A121</f>
        <v>42492</v>
      </c>
      <c r="B115" s="10">
        <f>LN('Monthly Returns'!B122/'Monthly Returns'!B121)</f>
        <v>-5.0615933945153324E-3</v>
      </c>
      <c r="C115" s="10">
        <f>LN('Monthly Returns'!C122/'Monthly Returns'!C121)</f>
        <v>-2.1015911494562282E-2</v>
      </c>
      <c r="D115" s="10">
        <f>LN('Monthly Returns'!D122/'Monthly Returns'!D121)</f>
        <v>2.2128562510733907E-2</v>
      </c>
      <c r="E115" s="10">
        <f>LN('Monthly Returns'!E122/'Monthly Returns'!E121)</f>
        <v>-5.2558208576239933E-2</v>
      </c>
      <c r="F115" s="10">
        <f>LN('Monthly Returns'!F122/'Monthly Returns'!F121)</f>
        <v>7.0747941833802048E-3</v>
      </c>
      <c r="G115" s="10">
        <f>LN('Monthly Returns'!G122/'Monthly Returns'!G121)</f>
        <v>2.1115442013211604E-2</v>
      </c>
      <c r="H115" s="10">
        <f>LN('Monthly Returns'!H122/'Monthly Returns'!H121)</f>
        <v>-5.3902796491552295E-2</v>
      </c>
      <c r="I115" s="10">
        <f>LN('Monthly Returns'!I122/'Monthly Returns'!I121)</f>
        <v>-4.44030429706367E-2</v>
      </c>
      <c r="J115" s="10">
        <f>LN('Monthly Returns'!J122/'Monthly Returns'!J121)</f>
        <v>-2.3642444734006736E-2</v>
      </c>
      <c r="K115" s="10">
        <f>LN('Monthly Returns'!K122/'Monthly Returns'!K121)</f>
        <v>0.2377423507353624</v>
      </c>
    </row>
    <row r="116" spans="1:11">
      <c r="A116" s="1">
        <f>'Monthly Returns'!A122</f>
        <v>42461</v>
      </c>
      <c r="B116" s="10">
        <f>LN('Monthly Returns'!B123/'Monthly Returns'!B122)</f>
        <v>-4.350981314907898E-2</v>
      </c>
      <c r="C116" s="10">
        <f>LN('Monthly Returns'!C123/'Monthly Returns'!C122)</f>
        <v>-5.7221940187522705E-2</v>
      </c>
      <c r="D116" s="10">
        <f>LN('Monthly Returns'!D123/'Monthly Returns'!D122)</f>
        <v>-1.7367577907905017E-2</v>
      </c>
      <c r="E116" s="10">
        <f>LN('Monthly Returns'!E123/'Monthly Returns'!E122)</f>
        <v>7.1581047012300161E-3</v>
      </c>
      <c r="F116" s="10">
        <f>LN('Monthly Returns'!F123/'Monthly Returns'!F122)</f>
        <v>-5.931856863488303E-2</v>
      </c>
      <c r="G116" s="10">
        <f>LN('Monthly Returns'!G123/'Monthly Returns'!G122)</f>
        <v>-8.0143943766314465E-2</v>
      </c>
      <c r="H116" s="10">
        <f>LN('Monthly Returns'!H123/'Monthly Returns'!H122)</f>
        <v>-6.0039078160742609E-2</v>
      </c>
      <c r="I116" s="10">
        <f>LN('Monthly Returns'!I123/'Monthly Returns'!I122)</f>
        <v>-2.2573708053243411E-2</v>
      </c>
      <c r="J116" s="10">
        <f>LN('Monthly Returns'!J123/'Monthly Returns'!J122)</f>
        <v>-1.3216051391526262E-2</v>
      </c>
      <c r="K116" s="10">
        <f>LN('Monthly Returns'!K123/'Monthly Returns'!K122)</f>
        <v>-3.8409448114871299E-2</v>
      </c>
    </row>
    <row r="117" spans="1:11">
      <c r="A117" s="1">
        <f>'Monthly Returns'!A123</f>
        <v>42430</v>
      </c>
      <c r="B117" s="10">
        <f>LN('Monthly Returns'!B124/'Monthly Returns'!B123)</f>
        <v>-2.2770026025474149E-2</v>
      </c>
      <c r="C117" s="10">
        <f>LN('Monthly Returns'!C124/'Monthly Returns'!C123)</f>
        <v>-2.3623525415094146E-2</v>
      </c>
      <c r="D117" s="10">
        <f>LN('Monthly Returns'!D124/'Monthly Returns'!D123)</f>
        <v>-1.3798729329423338E-2</v>
      </c>
      <c r="E117" s="10">
        <f>LN('Monthly Returns'!E124/'Monthly Returns'!E123)</f>
        <v>-8.613948690056214E-2</v>
      </c>
      <c r="F117" s="10">
        <f>LN('Monthly Returns'!F124/'Monthly Returns'!F123)</f>
        <v>-2.2438277107609383E-2</v>
      </c>
      <c r="G117" s="10">
        <f>LN('Monthly Returns'!G124/'Monthly Returns'!G123)</f>
        <v>-4.4954413466441683E-2</v>
      </c>
      <c r="H117" s="10">
        <f>LN('Monthly Returns'!H124/'Monthly Returns'!H123)</f>
        <v>-3.2516017940837458E-2</v>
      </c>
      <c r="I117" s="10">
        <f>LN('Monthly Returns'!I124/'Monthly Returns'!I123)</f>
        <v>-3.8936519367878245E-2</v>
      </c>
      <c r="J117" s="10">
        <f>LN('Monthly Returns'!J124/'Monthly Returns'!J123)</f>
        <v>-1.6093329004184941E-2</v>
      </c>
      <c r="K117" s="10">
        <f>LN('Monthly Returns'!K124/'Monthly Returns'!K123)</f>
        <v>-5.5741983008235067E-2</v>
      </c>
    </row>
    <row r="118" spans="1:11">
      <c r="A118" s="1">
        <f>'Monthly Returns'!A124</f>
        <v>42401</v>
      </c>
      <c r="B118" s="10">
        <f>LN('Monthly Returns'!B125/'Monthly Returns'!B124)</f>
        <v>3.7348019924401399E-2</v>
      </c>
      <c r="C118" s="10">
        <f>LN('Monthly Returns'!C125/'Monthly Returns'!C124)</f>
        <v>7.0806037907872765E-2</v>
      </c>
      <c r="D118" s="10">
        <f>LN('Monthly Returns'!D125/'Monthly Returns'!D124)</f>
        <v>-4.2082624047359588E-2</v>
      </c>
      <c r="E118" s="10">
        <f>LN('Monthly Returns'!E125/'Monthly Returns'!E124)</f>
        <v>-4.8933626565176129E-2</v>
      </c>
      <c r="F118" s="10">
        <f>LN('Monthly Returns'!F125/'Monthly Returns'!F124)</f>
        <v>2.1169563412942596E-2</v>
      </c>
      <c r="G118" s="10">
        <f>LN('Monthly Returns'!G125/'Monthly Returns'!G124)</f>
        <v>-1.5818284593075882E-2</v>
      </c>
      <c r="H118" s="10">
        <f>LN('Monthly Returns'!H125/'Monthly Returns'!H124)</f>
        <v>6.4638596193946907E-2</v>
      </c>
      <c r="I118" s="10">
        <f>LN('Monthly Returns'!I125/'Monthly Returns'!I124)</f>
        <v>1.6122899544716691E-2</v>
      </c>
      <c r="J118" s="10">
        <f>LN('Monthly Returns'!J125/'Monthly Returns'!J124)</f>
        <v>6.0615785435286555E-2</v>
      </c>
      <c r="K118" s="10">
        <f>LN('Monthly Returns'!K125/'Monthly Returns'!K124)</f>
        <v>-0.28133284477312209</v>
      </c>
    </row>
    <row r="119" spans="1:11">
      <c r="A119" s="1">
        <f>'Monthly Returns'!A125</f>
        <v>42373</v>
      </c>
      <c r="B119" s="10">
        <f>LN('Monthly Returns'!B126/'Monthly Returns'!B125)</f>
        <v>4.6939968730026004E-2</v>
      </c>
      <c r="C119" s="10">
        <f>LN('Monthly Returns'!C126/'Monthly Returns'!C125)</f>
        <v>8.6003384968217869E-2</v>
      </c>
      <c r="D119" s="10">
        <f>LN('Monthly Returns'!D126/'Monthly Returns'!D125)</f>
        <v>1.1298630102821443E-2</v>
      </c>
      <c r="E119" s="10">
        <f>LN('Monthly Returns'!E126/'Monthly Returns'!E125)</f>
        <v>-5.9463059647330225E-3</v>
      </c>
      <c r="F119" s="10">
        <f>LN('Monthly Returns'!F126/'Monthly Returns'!F125)</f>
        <v>2.1600739390409417E-2</v>
      </c>
      <c r="G119" s="10">
        <f>LN('Monthly Returns'!G126/'Monthly Returns'!G125)</f>
        <v>9.2891491081444441E-2</v>
      </c>
      <c r="H119" s="10">
        <f>LN('Monthly Returns'!H126/'Monthly Returns'!H125)</f>
        <v>8.2455331983311411E-2</v>
      </c>
      <c r="I119" s="10">
        <f>LN('Monthly Returns'!I126/'Monthly Returns'!I125)</f>
        <v>3.2258628781665973E-2</v>
      </c>
      <c r="J119" s="10">
        <f>LN('Monthly Returns'!J126/'Monthly Returns'!J125)</f>
        <v>2.2092621138961988E-2</v>
      </c>
      <c r="K119" s="10">
        <f>LN('Monthly Returns'!K126/'Monthly Returns'!K125)</f>
        <v>0.10028436262596571</v>
      </c>
    </row>
    <row r="120" spans="1:11">
      <c r="A120" s="1">
        <f>'Monthly Returns'!A126</f>
        <v>42339</v>
      </c>
      <c r="B120" s="10">
        <f>LN('Monthly Returns'!B127/'Monthly Returns'!B126)</f>
        <v>-1.3774433982598798E-3</v>
      </c>
      <c r="C120" s="10">
        <f>LN('Monthly Returns'!C127/'Monthly Returns'!C126)</f>
        <v>-1.8095852119447042E-2</v>
      </c>
      <c r="D120" s="10">
        <f>LN('Monthly Returns'!D127/'Monthly Returns'!D126)</f>
        <v>-7.1901608890736777E-3</v>
      </c>
      <c r="E120" s="10">
        <f>LN('Monthly Returns'!E127/'Monthly Returns'!E126)</f>
        <v>5.9865171805823236E-2</v>
      </c>
      <c r="F120" s="10">
        <f>LN('Monthly Returns'!F127/'Monthly Returns'!F126)</f>
        <v>1.3573752335066509E-2</v>
      </c>
      <c r="G120" s="10">
        <f>LN('Monthly Returns'!G127/'Monthly Returns'!G126)</f>
        <v>1.3168080878879898E-2</v>
      </c>
      <c r="H120" s="10">
        <f>LN('Monthly Returns'!H127/'Monthly Returns'!H126)</f>
        <v>-1.9992289490686536E-2</v>
      </c>
      <c r="I120" s="10">
        <f>LN('Monthly Returns'!I127/'Monthly Returns'!I126)</f>
        <v>1.7695505876611658E-3</v>
      </c>
      <c r="J120" s="10">
        <f>LN('Monthly Returns'!J127/'Monthly Returns'!J126)</f>
        <v>7.5773593935571839E-3</v>
      </c>
      <c r="K120" s="10">
        <f>LN('Monthly Returns'!K127/'Monthly Returns'!K126)</f>
        <v>0.1253876350416028</v>
      </c>
    </row>
    <row r="121" spans="1:11">
      <c r="A121" s="1">
        <f>'Monthly Returns'!A127</f>
        <v>42310</v>
      </c>
      <c r="B121" s="10">
        <f>LN('Monthly Returns'!B128/'Monthly Returns'!B127)</f>
        <v>-1.624415795155959E-2</v>
      </c>
      <c r="C121" s="10">
        <f>LN('Monthly Returns'!C128/'Monthly Returns'!C127)</f>
        <v>-2.3025072164967852E-2</v>
      </c>
      <c r="D121" s="10">
        <f>LN('Monthly Returns'!D128/'Monthly Returns'!D127)</f>
        <v>1.6831718259802599E-2</v>
      </c>
      <c r="E121" s="10">
        <f>LN('Monthly Returns'!E128/'Monthly Returns'!E127)</f>
        <v>2.5817268830153457E-2</v>
      </c>
      <c r="F121" s="10">
        <f>LN('Monthly Returns'!F128/'Monthly Returns'!F127)</f>
        <v>-1.0968130164805771E-2</v>
      </c>
      <c r="G121" s="10">
        <f>LN('Monthly Returns'!G128/'Monthly Returns'!G127)</f>
        <v>-3.5333936841479979E-2</v>
      </c>
      <c r="H121" s="10">
        <f>LN('Monthly Returns'!H128/'Monthly Returns'!H127)</f>
        <v>-5.0763511919862642E-2</v>
      </c>
      <c r="I121" s="10">
        <f>LN('Monthly Returns'!I128/'Monthly Returns'!I127)</f>
        <v>1.5853965678884108E-3</v>
      </c>
      <c r="J121" s="10">
        <f>LN('Monthly Returns'!J128/'Monthly Returns'!J127)</f>
        <v>-4.5775224240043891E-2</v>
      </c>
      <c r="K121" s="10">
        <f>LN('Monthly Returns'!K128/'Monthly Returns'!K127)</f>
        <v>-7.333127308554975E-2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8A85-A406-E347-8D92-C7EA88A77D78}">
  <dimension ref="A1:Y28"/>
  <sheetViews>
    <sheetView zoomScale="69" workbookViewId="0">
      <selection activeCell="M11" sqref="M11"/>
    </sheetView>
  </sheetViews>
  <sheetFormatPr defaultColWidth="11" defaultRowHeight="15.95"/>
  <cols>
    <col min="1" max="1" width="26.125" bestFit="1" customWidth="1"/>
    <col min="2" max="2" width="12.875" bestFit="1" customWidth="1"/>
    <col min="4" max="4" width="10.875" customWidth="1"/>
    <col min="12" max="12" width="12.375" bestFit="1" customWidth="1"/>
    <col min="15" max="15" width="11.5" customWidth="1"/>
  </cols>
  <sheetData>
    <row r="1" spans="1:25">
      <c r="A1" t="s">
        <v>28</v>
      </c>
      <c r="B1" s="12">
        <v>0.01</v>
      </c>
      <c r="C1" t="s">
        <v>29</v>
      </c>
    </row>
    <row r="2" spans="1:25">
      <c r="A2" t="s">
        <v>30</v>
      </c>
      <c r="B2" s="13">
        <v>3.3999999999999998E-3</v>
      </c>
      <c r="C2" t="s">
        <v>31</v>
      </c>
    </row>
    <row r="3" spans="1:25">
      <c r="A3" t="s">
        <v>32</v>
      </c>
      <c r="B3" s="10">
        <f>(1+B2)^12-1</f>
        <v>4.1571673389912522E-2</v>
      </c>
    </row>
    <row r="4" spans="1:25">
      <c r="A4" t="s">
        <v>33</v>
      </c>
      <c r="B4">
        <f>(B1-B2)/B23</f>
        <v>2.6491306323620041</v>
      </c>
      <c r="C4" t="str">
        <f ca="1">_xlfn.FORMULATEXT(B4)</f>
        <v>=(B1-B2)/B23</v>
      </c>
    </row>
    <row r="6" spans="1:25">
      <c r="A6" t="s">
        <v>13</v>
      </c>
      <c r="B6" t="str">
        <f>'Monthly Returns'!B1</f>
        <v>S&amp;P 500</v>
      </c>
      <c r="C6" t="str">
        <f>'Monthly Returns'!C1</f>
        <v>iShares Russell</v>
      </c>
      <c r="D6" t="str">
        <f>'Monthly Returns'!D1</f>
        <v>iShares Yearly Bond</v>
      </c>
      <c r="E6" t="str">
        <f>'Monthly Returns'!E1</f>
        <v>SPDR Gold Shares</v>
      </c>
      <c r="F6" t="str">
        <f>'Monthly Returns'!F1</f>
        <v>Vanguard Real Estate</v>
      </c>
      <c r="G6" t="str">
        <f>'Monthly Returns'!G1</f>
        <v>Oracle</v>
      </c>
      <c r="H6" t="str">
        <f>'Monthly Returns'!H1</f>
        <v>BlackRock</v>
      </c>
      <c r="I6" t="str">
        <f>'Monthly Returns'!I1</f>
        <v>Lockheed Martin</v>
      </c>
      <c r="J6" t="str">
        <f>'Monthly Returns'!J1</f>
        <v>SPDR Select Sector Fund</v>
      </c>
      <c r="K6" t="str">
        <f>'Monthly Returns'!K1</f>
        <v>Super Micro Computer Inc</v>
      </c>
    </row>
    <row r="7" spans="1:25">
      <c r="A7" t="s">
        <v>34</v>
      </c>
      <c r="B7" t="str">
        <f>'Monthly Returns'!B2</f>
        <v>SPY</v>
      </c>
      <c r="C7" t="str">
        <f>'Monthly Returns'!C2</f>
        <v>IWM</v>
      </c>
      <c r="D7" t="str">
        <f>'Monthly Returns'!D2</f>
        <v>TLT</v>
      </c>
      <c r="E7" t="str">
        <f>'Monthly Returns'!E2</f>
        <v>GLD</v>
      </c>
      <c r="F7" t="str">
        <f>'Monthly Returns'!F2</f>
        <v>VNQ</v>
      </c>
      <c r="G7" t="str">
        <f>'Monthly Returns'!G2</f>
        <v>ORCL</v>
      </c>
      <c r="H7" t="str">
        <f>'Monthly Returns'!H2</f>
        <v>BLK</v>
      </c>
      <c r="I7" t="str">
        <f>'Monthly Returns'!I2</f>
        <v>LMT</v>
      </c>
      <c r="J7" t="str">
        <f>'Monthly Returns'!J2</f>
        <v>XLV</v>
      </c>
      <c r="K7" t="str">
        <f>'Monthly Returns'!K2</f>
        <v>SMCI</v>
      </c>
    </row>
    <row r="8" spans="1:25">
      <c r="A8" t="s">
        <v>35</v>
      </c>
      <c r="B8" s="13">
        <v>0.29596523262951385</v>
      </c>
      <c r="C8" s="13">
        <v>3.1645682791014422E-2</v>
      </c>
      <c r="D8" s="13">
        <v>2.5290444566767E-2</v>
      </c>
      <c r="E8" s="13">
        <v>5.2249224937146434E-2</v>
      </c>
      <c r="F8" s="13">
        <v>1.3930673233795789E-2</v>
      </c>
      <c r="G8" s="13">
        <v>0.40802908040875113</v>
      </c>
      <c r="H8" s="13">
        <v>8.9198565729871462E-2</v>
      </c>
      <c r="I8" s="13">
        <v>5.6922783034882338E-2</v>
      </c>
      <c r="J8" s="13">
        <v>1.2225057715633826E-2</v>
      </c>
      <c r="K8" s="13">
        <v>1.4543254952623694E-2</v>
      </c>
      <c r="L8">
        <f>SUM(B8:K8)</f>
        <v>1</v>
      </c>
      <c r="P8" s="13"/>
      <c r="Q8" s="13"/>
      <c r="R8" s="13"/>
      <c r="S8" s="13"/>
      <c r="T8" s="13"/>
      <c r="U8" s="13"/>
      <c r="V8" s="13"/>
      <c r="W8" s="13"/>
      <c r="X8" s="13"/>
      <c r="Y8" s="13"/>
    </row>
    <row r="10" spans="1:25">
      <c r="B10" t="str">
        <f t="shared" ref="B10:K10" si="0">B7</f>
        <v>SPY</v>
      </c>
      <c r="C10" t="str">
        <f t="shared" si="0"/>
        <v>IWM</v>
      </c>
      <c r="D10" t="str">
        <f t="shared" si="0"/>
        <v>TLT</v>
      </c>
      <c r="E10" t="str">
        <f t="shared" si="0"/>
        <v>GLD</v>
      </c>
      <c r="F10" t="str">
        <f t="shared" si="0"/>
        <v>VNQ</v>
      </c>
      <c r="G10" t="str">
        <f t="shared" si="0"/>
        <v>ORCL</v>
      </c>
      <c r="H10" t="str">
        <f t="shared" si="0"/>
        <v>BLK</v>
      </c>
      <c r="I10" t="str">
        <f t="shared" si="0"/>
        <v>LMT</v>
      </c>
      <c r="J10" t="str">
        <f t="shared" si="0"/>
        <v>XLV</v>
      </c>
      <c r="K10" t="str">
        <f t="shared" si="0"/>
        <v>SMCI</v>
      </c>
      <c r="M10" t="s">
        <v>36</v>
      </c>
      <c r="N10" t="s">
        <v>37</v>
      </c>
    </row>
    <row r="11" spans="1:25">
      <c r="A11" s="5" t="str">
        <f>B7</f>
        <v>SPY</v>
      </c>
      <c r="B11">
        <f>_xlfn.COVARIANCE.S(Returns!$B$2:$B$121, Returns!B2:B121)</f>
        <v>2.2056556588759325E-3</v>
      </c>
      <c r="C11">
        <f>_xlfn.COVARIANCE.S(Returns!$B$2:$B$121, Returns!C2:C121)</f>
        <v>2.7199974294243898E-3</v>
      </c>
      <c r="D11">
        <f>_xlfn.COVARIANCE.S(Returns!$B$2:$B$121, Returns!D2:D121)</f>
        <v>6.8240103921846535E-5</v>
      </c>
      <c r="E11">
        <f>_xlfn.COVARIANCE.S(Returns!$B$2:$B$121, Returns!E2:E121)</f>
        <v>1.6693637580606787E-4</v>
      </c>
      <c r="F11">
        <f>_xlfn.COVARIANCE.S(Returns!$B$2:$B$121, Returns!F2:F121)</f>
        <v>2.18148144459277E-3</v>
      </c>
      <c r="G11">
        <f>_xlfn.COVARIANCE.S(Returns!$B$2:$B$121, Returns!G2:G121)</f>
        <v>2.06291504051313E-3</v>
      </c>
      <c r="H11">
        <f>_xlfn.COVARIANCE.S(Returns!$B$2:$B$121, Returns!H2:H121)</f>
        <v>2.7580522285200236E-3</v>
      </c>
      <c r="I11">
        <f>_xlfn.COVARIANCE.S(Returns!$B$2:$B$121, Returns!I2:I121)</f>
        <v>1.0096871879814503E-3</v>
      </c>
      <c r="J11">
        <f>_xlfn.COVARIANCE.S(Returns!$B$2:$B$121, Returns!J2:J121)</f>
        <v>1.5453709928517009E-3</v>
      </c>
      <c r="K11">
        <f>_xlfn.COVARIANCE.S(Returns!$B$2:$B$121, Returns!K2:K121)</f>
        <v>3.1414557222455711E-3</v>
      </c>
      <c r="M11" s="10" cm="1">
        <f t="array" ref="M11:M20">MMULT(B11:K20, TRANSPOSE(B8:K8))*B4+B2</f>
        <v>8.6704672901314304E-3</v>
      </c>
    </row>
    <row r="12" spans="1:25">
      <c r="A12" s="5" t="str">
        <f>C7</f>
        <v>IWM</v>
      </c>
      <c r="B12">
        <f>_xlfn.COVARIANCE.S(Returns!$C$2:$C$121, Returns!B2:B121)</f>
        <v>2.7199974294243898E-3</v>
      </c>
      <c r="C12">
        <f>_xlfn.COVARIANCE.S(Returns!$C$2:$C$121, Returns!C2:C121)</f>
        <v>4.2486165766053253E-3</v>
      </c>
      <c r="D12">
        <f>_xlfn.COVARIANCE.S(Returns!$C$2:$C$121, Returns!D2:D121)</f>
        <v>-1.6595086812857773E-4</v>
      </c>
      <c r="E12">
        <f>_xlfn.COVARIANCE.S(Returns!$C$2:$C$121, Returns!E2:E121)</f>
        <v>-9.959845497271516E-5</v>
      </c>
      <c r="F12">
        <f>_xlfn.COVARIANCE.S(Returns!$C$2:$C$121, Returns!F2:F121)</f>
        <v>2.9689796303720532E-3</v>
      </c>
      <c r="G12">
        <f>_xlfn.COVARIANCE.S(Returns!$C$2:$C$121, Returns!G2:G121)</f>
        <v>2.0477912474030067E-3</v>
      </c>
      <c r="H12">
        <f>_xlfn.COVARIANCE.S(Returns!$C$2:$C$121, Returns!H2:H121)</f>
        <v>3.6515460238326731E-3</v>
      </c>
      <c r="I12">
        <f>_xlfn.COVARIANCE.S(Returns!$C$2:$C$121, Returns!I2:I121)</f>
        <v>1.3341124987259372E-3</v>
      </c>
      <c r="J12">
        <f>_xlfn.COVARIANCE.S(Returns!$C$2:$C$121, Returns!J2:J121)</f>
        <v>1.9506041338838008E-3</v>
      </c>
      <c r="K12">
        <f>_xlfn.COVARIANCE.S(Returns!$C$2:$C$121, Returns!K2:K121)</f>
        <v>3.4162164872032093E-3</v>
      </c>
      <c r="M12" s="10">
        <v>9.44578133155018E-3</v>
      </c>
    </row>
    <row r="13" spans="1:25">
      <c r="A13" s="5" t="str">
        <f>D7</f>
        <v>TLT</v>
      </c>
      <c r="B13">
        <f>_xlfn.COVARIANCE.S(Returns!$D$2:$D$121, Returns!B2:B121)</f>
        <v>6.8240103921846535E-5</v>
      </c>
      <c r="C13">
        <f>_xlfn.COVARIANCE.S(Returns!$D$2:$D$121, Returns!C2:C121)</f>
        <v>-1.6595086812857773E-4</v>
      </c>
      <c r="D13">
        <f>_xlfn.COVARIANCE.S(Returns!$D$2:$D$121, Returns!D2:D121)</f>
        <v>1.6492006037463068E-3</v>
      </c>
      <c r="E13">
        <f>_xlfn.COVARIANCE.S(Returns!$D$2:$D$121, Returns!E2:E121)</f>
        <v>6.8595446993742612E-4</v>
      </c>
      <c r="F13">
        <f>_xlfn.COVARIANCE.S(Returns!$D$2:$D$121, Returns!F2:F121)</f>
        <v>5.4970907923218061E-4</v>
      </c>
      <c r="G13">
        <f>_xlfn.COVARIANCE.S(Returns!$D$2:$D$121, Returns!G2:G121)</f>
        <v>3.574131234615589E-4</v>
      </c>
      <c r="H13">
        <f>_xlfn.COVARIANCE.S(Returns!$D$2:$D$121, Returns!H2:H121)</f>
        <v>1.8617314989901072E-4</v>
      </c>
      <c r="I13">
        <f>_xlfn.COVARIANCE.S(Returns!$D$2:$D$121, Returns!I2:I121)</f>
        <v>-5.8570587937628754E-5</v>
      </c>
      <c r="J13">
        <f>_xlfn.COVARIANCE.S(Returns!$D$2:$D$121, Returns!J2:J121)</f>
        <v>1.5478719997890909E-4</v>
      </c>
      <c r="K13">
        <f>_xlfn.COVARIANCE.S(Returns!$D$2:$D$121, Returns!K2:K121)</f>
        <v>5.3475320687700393E-4</v>
      </c>
      <c r="M13" s="10">
        <v>4.1124284570158987E-3</v>
      </c>
    </row>
    <row r="14" spans="1:25">
      <c r="A14" s="5" t="str">
        <f>E7</f>
        <v>GLD</v>
      </c>
      <c r="B14">
        <f>_xlfn.COVARIANCE.S(Returns!$E$2:$E$121, Returns!B2:B121)</f>
        <v>1.6693637580606787E-4</v>
      </c>
      <c r="C14">
        <f>_xlfn.COVARIANCE.S(Returns!$E$2:$E$121, Returns!C2:C121)</f>
        <v>-9.959845497271516E-5</v>
      </c>
      <c r="D14">
        <f>_xlfn.COVARIANCE.S(Returns!$E$2:$E$121, Returns!D2:D121)</f>
        <v>6.8595446993742612E-4</v>
      </c>
      <c r="E14">
        <f>_xlfn.COVARIANCE.S(Returns!$E$2:$E$121, Returns!E2:E121)</f>
        <v>1.6429594452877316E-3</v>
      </c>
      <c r="F14">
        <f>_xlfn.COVARIANCE.S(Returns!$E$2:$E$121, Returns!F2:F121)</f>
        <v>3.6976876611226383E-4</v>
      </c>
      <c r="G14">
        <f>_xlfn.COVARIANCE.S(Returns!$E$2:$E$121, Returns!G2:G121)</f>
        <v>2.755244199994846E-4</v>
      </c>
      <c r="H14">
        <f>_xlfn.COVARIANCE.S(Returns!$E$2:$E$121, Returns!H2:H121)</f>
        <v>1.1273741093176149E-4</v>
      </c>
      <c r="I14">
        <f>_xlfn.COVARIANCE.S(Returns!$E$2:$E$121, Returns!I2:I121)</f>
        <v>5.0060632273413121E-4</v>
      </c>
      <c r="J14">
        <f>_xlfn.COVARIANCE.S(Returns!$E$2:$E$121, Returns!J2:J121)</f>
        <v>1.6406653225151233E-4</v>
      </c>
      <c r="K14">
        <f>_xlfn.COVARIANCE.S(Returns!$E$2:$E$121, Returns!K2:K121)</f>
        <v>-9.1667147774127707E-4</v>
      </c>
      <c r="M14" s="10">
        <v>4.179496921627261E-3</v>
      </c>
    </row>
    <row r="15" spans="1:25">
      <c r="A15" s="5" t="str">
        <f>F7</f>
        <v>VNQ</v>
      </c>
      <c r="B15">
        <f>_xlfn.COVARIANCE.S(Returns!$F$2:$F$121, Returns!B2:B121)</f>
        <v>2.18148144459277E-3</v>
      </c>
      <c r="C15">
        <f>_xlfn.COVARIANCE.S(Returns!$F$2:$F$121, Returns!C2:C121)</f>
        <v>2.9689796303720532E-3</v>
      </c>
      <c r="D15">
        <f>_xlfn.COVARIANCE.S(Returns!$F$2:$F$121, Returns!D2:D121)</f>
        <v>5.4970907923218061E-4</v>
      </c>
      <c r="E15">
        <f>_xlfn.COVARIANCE.S(Returns!$F$2:$F$121, Returns!E2:E121)</f>
        <v>3.6976876611226383E-4</v>
      </c>
      <c r="F15">
        <f>_xlfn.COVARIANCE.S(Returns!$F$2:$F$121, Returns!F2:F121)</f>
        <v>3.3430401240172286E-3</v>
      </c>
      <c r="G15">
        <f>_xlfn.COVARIANCE.S(Returns!$F$2:$F$121, Returns!G2:G121)</f>
        <v>1.5834078933838476E-3</v>
      </c>
      <c r="H15">
        <f>_xlfn.COVARIANCE.S(Returns!$F$2:$F$121, Returns!H2:H121)</f>
        <v>2.6768446538728537E-3</v>
      </c>
      <c r="I15">
        <f>_xlfn.COVARIANCE.S(Returns!$F$2:$F$121, Returns!I2:I121)</f>
        <v>1.1295750100314172E-3</v>
      </c>
      <c r="J15">
        <f>_xlfn.COVARIANCE.S(Returns!$F$2:$F$121, Returns!J2:J121)</f>
        <v>1.7129906102771296E-3</v>
      </c>
      <c r="K15">
        <f>_xlfn.COVARIANCE.S(Returns!$F$2:$F$121, Returns!K2:K121)</f>
        <v>1.9591618449585546E-3</v>
      </c>
      <c r="M15" s="10">
        <v>8.2160429079937598E-3</v>
      </c>
    </row>
    <row r="16" spans="1:25">
      <c r="A16" s="5" t="str">
        <f>G7</f>
        <v>ORCL</v>
      </c>
      <c r="B16">
        <f>_xlfn.COVARIANCE.S(Returns!$G$2:$G$121, Returns!B2:B121)</f>
        <v>2.06291504051313E-3</v>
      </c>
      <c r="C16">
        <f>_xlfn.COVARIANCE.S(Returns!$G$2:$G$121, Returns!C2:C121)</f>
        <v>2.0477912474030067E-3</v>
      </c>
      <c r="D16">
        <f>_xlfn.COVARIANCE.S(Returns!$G$2:$G$121, Returns!D2:D121)</f>
        <v>3.574131234615589E-4</v>
      </c>
      <c r="E16">
        <f>_xlfn.COVARIANCE.S(Returns!$G$2:$G$121, Returns!E2:E121)</f>
        <v>2.755244199994846E-4</v>
      </c>
      <c r="F16">
        <f>_xlfn.COVARIANCE.S(Returns!$G$2:$G$121, Returns!F2:F121)</f>
        <v>1.5834078933838476E-3</v>
      </c>
      <c r="G16">
        <f>_xlfn.COVARIANCE.S(Returns!$G$2:$G$121, Returns!G2:G121)</f>
        <v>5.6176054007336003E-3</v>
      </c>
      <c r="H16">
        <f>_xlfn.COVARIANCE.S(Returns!$G$2:$G$121, Returns!H2:H121)</f>
        <v>2.894198336995966E-3</v>
      </c>
      <c r="I16">
        <f>_xlfn.COVARIANCE.S(Returns!$G$2:$G$121, Returns!I2:I121)</f>
        <v>9.9795700119976972E-4</v>
      </c>
      <c r="J16">
        <f>_xlfn.COVARIANCE.S(Returns!$G$2:$G$121, Returns!J2:J121)</f>
        <v>1.3032212363176415E-3</v>
      </c>
      <c r="K16">
        <f>_xlfn.COVARIANCE.S(Returns!$G$2:$G$121, Returns!K2:K121)</f>
        <v>5.2644772501480612E-3</v>
      </c>
      <c r="M16" s="10">
        <v>1.246122862059785E-2</v>
      </c>
    </row>
    <row r="17" spans="1:15">
      <c r="A17" s="5" t="str">
        <f>H7</f>
        <v>BLK</v>
      </c>
      <c r="B17">
        <f>_xlfn.COVARIANCE.S(Returns!$H$2:$H$121, Returns!B2:B121)</f>
        <v>2.7580522285200236E-3</v>
      </c>
      <c r="C17">
        <f>_xlfn.COVARIANCE.S(Returns!$H$2:$H$121, Returns!C2:C121)</f>
        <v>3.6515460238326731E-3</v>
      </c>
      <c r="D17">
        <f>_xlfn.COVARIANCE.S(Returns!$H$2:$H$121, Returns!D2:D121)</f>
        <v>1.8617314989901072E-4</v>
      </c>
      <c r="E17">
        <f>_xlfn.COVARIANCE.S(Returns!$H$2:$H$121, Returns!E2:E121)</f>
        <v>1.1273741093176149E-4</v>
      </c>
      <c r="F17">
        <f>_xlfn.COVARIANCE.S(Returns!$H$2:$H$121, Returns!F2:F121)</f>
        <v>2.6768446538728537E-3</v>
      </c>
      <c r="G17">
        <f>_xlfn.COVARIANCE.S(Returns!$H$2:$H$121, Returns!G2:G121)</f>
        <v>2.894198336995966E-3</v>
      </c>
      <c r="H17">
        <f>_xlfn.COVARIANCE.S(Returns!$H$2:$H$121, Returns!H2:H121)</f>
        <v>5.1735360017600715E-3</v>
      </c>
      <c r="I17">
        <f>_xlfn.COVARIANCE.S(Returns!$H$2:$H$121, Returns!I2:I121)</f>
        <v>1.3262649902734845E-3</v>
      </c>
      <c r="J17">
        <f>_xlfn.COVARIANCE.S(Returns!$H$2:$H$121, Returns!J2:J121)</f>
        <v>2.036997084618498E-3</v>
      </c>
      <c r="K17">
        <f>_xlfn.COVARIANCE.S(Returns!$H$2:$H$121, Returns!K2:K121)</f>
        <v>3.2541176285513988E-3</v>
      </c>
      <c r="M17" s="10">
        <v>1.0737678506284945E-2</v>
      </c>
    </row>
    <row r="18" spans="1:15">
      <c r="A18" s="5" t="str">
        <f>I7</f>
        <v>LMT</v>
      </c>
      <c r="B18">
        <f>_xlfn.COVARIANCE.S(Returns!$I$2:$I$121, Returns!B2:B121)</f>
        <v>1.0096871879814503E-3</v>
      </c>
      <c r="C18">
        <f>_xlfn.COVARIANCE.S(Returns!$I$2:$I$121, Returns!C2:C121)</f>
        <v>1.3341124987259372E-3</v>
      </c>
      <c r="D18">
        <f>_xlfn.COVARIANCE.S(Returns!$I$2:$I$121, Returns!D2:D121)</f>
        <v>-5.8570587937628754E-5</v>
      </c>
      <c r="E18">
        <f>_xlfn.COVARIANCE.S(Returns!$I$2:$I$121, Returns!E2:E121)</f>
        <v>5.0060632273413121E-4</v>
      </c>
      <c r="F18">
        <f>_xlfn.COVARIANCE.S(Returns!$I$2:$I$121, Returns!F2:F121)</f>
        <v>1.1295750100314172E-3</v>
      </c>
      <c r="G18">
        <f>_xlfn.COVARIANCE.S(Returns!$I$2:$I$121, Returns!G2:G121)</f>
        <v>9.9795700119976972E-4</v>
      </c>
      <c r="H18">
        <f>_xlfn.COVARIANCE.S(Returns!$I$2:$I$121, Returns!H2:H121)</f>
        <v>1.3262649902734845E-3</v>
      </c>
      <c r="I18">
        <f>_xlfn.COVARIANCE.S(Returns!$I$2:$I$121, Returns!I2:I121)</f>
        <v>3.5456911184755199E-3</v>
      </c>
      <c r="J18">
        <f>_xlfn.COVARIANCE.S(Returns!$I$2:$I$121, Returns!J2:J121)</f>
        <v>1.0645432909702325E-3</v>
      </c>
      <c r="K18">
        <f>_xlfn.COVARIANCE.S(Returns!$I$2:$I$121, Returns!K2:K121)</f>
        <v>7.3921441439964738E-4</v>
      </c>
      <c r="M18" s="10">
        <v>6.400282610552201E-3</v>
      </c>
    </row>
    <row r="19" spans="1:15">
      <c r="A19" s="5" t="str">
        <f>J7</f>
        <v>XLV</v>
      </c>
      <c r="B19">
        <f>_xlfn.COVARIANCE.S(Returns!$J$2:$J$121, Returns!B2:B121)</f>
        <v>1.5453709928517009E-3</v>
      </c>
      <c r="C19">
        <f>_xlfn.COVARIANCE.S(Returns!$J$2:$J$121, Returns!C2:C121)</f>
        <v>1.9506041338838008E-3</v>
      </c>
      <c r="D19">
        <f>_xlfn.COVARIANCE.S(Returns!$J$2:$J$121, Returns!D2:D121)</f>
        <v>1.5478719997890909E-4</v>
      </c>
      <c r="E19">
        <f>_xlfn.COVARIANCE.S(Returns!$J$2:$J$121, Returns!E2:E121)</f>
        <v>1.6406653225151233E-4</v>
      </c>
      <c r="F19">
        <f>_xlfn.COVARIANCE.S(Returns!$J$2:$J$121, Returns!F2:F121)</f>
        <v>1.7129906102771296E-3</v>
      </c>
      <c r="G19">
        <f>_xlfn.COVARIANCE.S(Returns!$J$2:$J$121, Returns!G2:G121)</f>
        <v>1.3032212363176415E-3</v>
      </c>
      <c r="H19">
        <f>_xlfn.COVARIANCE.S(Returns!$J$2:$J$121, Returns!H2:H121)</f>
        <v>2.036997084618498E-3</v>
      </c>
      <c r="I19">
        <f>_xlfn.COVARIANCE.S(Returns!$J$2:$J$121, Returns!I2:I121)</f>
        <v>1.0645432909702325E-3</v>
      </c>
      <c r="J19">
        <f>_xlfn.COVARIANCE.S(Returns!$J$2:$J$121, Returns!J2:J121)</f>
        <v>1.7693031966476704E-3</v>
      </c>
      <c r="K19">
        <f>_xlfn.COVARIANCE.S(Returns!$J$2:$J$121, Returns!K2:K121)</f>
        <v>1.3266616948777517E-3</v>
      </c>
      <c r="M19" s="10">
        <v>7.0304331102810499E-3</v>
      </c>
    </row>
    <row r="20" spans="1:15">
      <c r="A20" s="5" t="str">
        <f>K7</f>
        <v>SMCI</v>
      </c>
      <c r="B20">
        <f>_xlfn.COVARIANCE.S(Returns!$K$2:$K$121, Returns!B2:B121)</f>
        <v>3.1414557222455711E-3</v>
      </c>
      <c r="C20">
        <f>_xlfn.COVARIANCE.S(Returns!$K$2:$K$121, Returns!C2:C121)</f>
        <v>3.4162164872032093E-3</v>
      </c>
      <c r="D20">
        <f>_xlfn.COVARIANCE.S(Returns!$K$2:$K$121, Returns!D2:D121)</f>
        <v>5.3475320687700393E-4</v>
      </c>
      <c r="E20">
        <f>_xlfn.COVARIANCE.S(Returns!$K$2:$K$121, Returns!E2:E121)</f>
        <v>-9.1667147774127707E-4</v>
      </c>
      <c r="F20">
        <f>_xlfn.COVARIANCE.S(Returns!$K$2:$K$121, Returns!F2:F121)</f>
        <v>1.9591618449585546E-3</v>
      </c>
      <c r="G20">
        <f>_xlfn.COVARIANCE.S(Returns!$K$2:$K$121, Returns!G2:G121)</f>
        <v>5.2644772501480612E-3</v>
      </c>
      <c r="H20">
        <f>_xlfn.COVARIANCE.S(Returns!$K$2:$K$121, Returns!H2:H121)</f>
        <v>3.2541176285513988E-3</v>
      </c>
      <c r="I20">
        <f>_xlfn.COVARIANCE.S(Returns!$K$2:$K$121, Returns!I2:I121)</f>
        <v>7.3921441439964738E-4</v>
      </c>
      <c r="J20">
        <f>_xlfn.COVARIANCE.S(Returns!$K$2:$K$121, Returns!J2:J121)</f>
        <v>1.3266616948777517E-3</v>
      </c>
      <c r="K20">
        <f>_xlfn.COVARIANCE.S(Returns!$K$2:$K$121, Returns!K2:K121)</f>
        <v>3.5950299275519682E-2</v>
      </c>
      <c r="M20" s="10">
        <v>1.4129627712362395E-2</v>
      </c>
    </row>
    <row r="21" spans="1:15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5">
      <c r="A22" t="s">
        <v>38</v>
      </c>
      <c r="B22" s="14">
        <f>AVERAGE(Returns!B2:B121)</f>
        <v>-9.7686900513646799E-3</v>
      </c>
      <c r="C22" s="14">
        <f>AVERAGE(Returns!C2:C121)</f>
        <v>-6.212556174822627E-3</v>
      </c>
      <c r="D22" s="14">
        <f>AVERAGE(Returns!D2:D121)</f>
        <v>2.7379445282717223E-3</v>
      </c>
      <c r="E22" s="14">
        <f>AVERAGE(Returns!E2:E121)</f>
        <v>-9.6801533825458357E-3</v>
      </c>
      <c r="F22" s="14">
        <f>AVERAGE(Returns!F2:F121)</f>
        <v>-1.0521326650705268E-3</v>
      </c>
      <c r="G22" s="14">
        <f>AVERAGE(Returns!G2:G121)</f>
        <v>-1.6826544877758805E-2</v>
      </c>
      <c r="H22" s="14">
        <f>AVERAGE(Returns!H2:H121)</f>
        <v>-1.0163161849175959E-2</v>
      </c>
      <c r="I22" s="14">
        <f>AVERAGE(Returns!I2:I121)</f>
        <v>-6.7892910358949132E-3</v>
      </c>
      <c r="J22" s="14">
        <f>AVERAGE(Returns!J2:J121)</f>
        <v>-6.0280115564160406E-3</v>
      </c>
      <c r="K22" s="14">
        <f>AVERAGE(Returns!K2:K121)</f>
        <v>-2.4529042114092261E-2</v>
      </c>
      <c r="M22" t="s">
        <v>39</v>
      </c>
      <c r="O22" s="10" cm="1">
        <f t="array" ref="O22">MMULT(B8:K8,_xlfn.ANCHORARRAY( M11))</f>
        <v>0.01</v>
      </c>
    </row>
    <row r="23" spans="1:15">
      <c r="A23" t="s">
        <v>40</v>
      </c>
      <c r="B23" cm="1">
        <f t="array" ref="B23">MMULT(MMULT(B8:K8, B11:K20), TRANSPOSE(B8:K8))</f>
        <v>2.491383369084877E-3</v>
      </c>
    </row>
    <row r="24" spans="1:15">
      <c r="A24" t="s">
        <v>41</v>
      </c>
      <c r="B24">
        <f>SQRT(B23)</f>
        <v>4.9913759316293507E-2</v>
      </c>
    </row>
    <row r="25" spans="1:15">
      <c r="A25" s="15" t="s">
        <v>42</v>
      </c>
      <c r="B25" s="15">
        <f>B24*SQRT(12)</f>
        <v>0.17290633426516946</v>
      </c>
    </row>
    <row r="26" spans="1:15">
      <c r="A26" t="s">
        <v>43</v>
      </c>
      <c r="B26">
        <f>SUMPRODUCT(B8:K8, B22:K22)</f>
        <v>-1.2128136135263888E-2</v>
      </c>
    </row>
    <row r="27" spans="1:15">
      <c r="A27" t="s">
        <v>44</v>
      </c>
      <c r="B27">
        <f>(1+B26)^12 - 1</f>
        <v>-0.13621154600952812</v>
      </c>
    </row>
    <row r="28" spans="1:15">
      <c r="A28" t="s">
        <v>45</v>
      </c>
      <c r="B28">
        <f>(B27-((1+(B3)^12-1))/B25)</f>
        <v>-0.13621154600952812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46B0-3B4D-F641-8E44-488A3082355E}">
  <dimension ref="A1:W63"/>
  <sheetViews>
    <sheetView tabSelected="1" topLeftCell="L1" zoomScale="75" workbookViewId="0">
      <selection activeCell="P3" sqref="P3"/>
    </sheetView>
  </sheetViews>
  <sheetFormatPr defaultColWidth="11" defaultRowHeight="15.95"/>
  <cols>
    <col min="1" max="1" width="25.625" bestFit="1" customWidth="1"/>
    <col min="2" max="2" width="13.625" bestFit="1" customWidth="1"/>
    <col min="3" max="5" width="12.5" bestFit="1" customWidth="1"/>
    <col min="6" max="8" width="11.875" bestFit="1" customWidth="1"/>
    <col min="9" max="9" width="12.875" bestFit="1" customWidth="1"/>
    <col min="10" max="10" width="11.875" bestFit="1" customWidth="1"/>
    <col min="11" max="11" width="12.5" bestFit="1" customWidth="1"/>
    <col min="13" max="13" width="24.625" bestFit="1" customWidth="1"/>
    <col min="14" max="14" width="11.75" bestFit="1" customWidth="1"/>
    <col min="15" max="15" width="12.875" bestFit="1" customWidth="1"/>
    <col min="16" max="16" width="16.5" bestFit="1" customWidth="1"/>
    <col min="17" max="17" width="15.25" bestFit="1" customWidth="1"/>
    <col min="18" max="18" width="17.625" bestFit="1" customWidth="1"/>
    <col min="19" max="20" width="11.75" bestFit="1" customWidth="1"/>
    <col min="21" max="21" width="14" bestFit="1" customWidth="1"/>
    <col min="22" max="22" width="20.5" bestFit="1" customWidth="1"/>
    <col min="23" max="23" width="21.5" bestFit="1" customWidth="1"/>
  </cols>
  <sheetData>
    <row r="1" spans="1:23" ht="15.95" customHeight="1">
      <c r="A1" t="s">
        <v>46</v>
      </c>
      <c r="B1" s="13">
        <v>0.01</v>
      </c>
      <c r="C1" t="s">
        <v>29</v>
      </c>
      <c r="M1" s="19" t="s">
        <v>46</v>
      </c>
      <c r="N1" s="20">
        <v>0.01</v>
      </c>
      <c r="O1" s="21" t="s">
        <v>29</v>
      </c>
      <c r="P1" s="21"/>
      <c r="Q1" s="19"/>
      <c r="R1" s="19"/>
      <c r="S1" s="19"/>
      <c r="T1" s="19"/>
      <c r="U1" s="19"/>
      <c r="V1" s="19"/>
      <c r="W1" s="19"/>
    </row>
    <row r="2" spans="1:23" ht="15.75">
      <c r="A2" t="s">
        <v>47</v>
      </c>
      <c r="B2" s="13">
        <f>'Without Opinion'!B2</f>
        <v>3.3999999999999998E-3</v>
      </c>
      <c r="M2" s="19" t="s">
        <v>47</v>
      </c>
      <c r="N2" s="20">
        <v>3.3999999999999998E-3</v>
      </c>
      <c r="O2" s="19"/>
      <c r="P2" s="19"/>
      <c r="Q2" s="19"/>
      <c r="R2" s="19"/>
      <c r="S2" s="19"/>
      <c r="T2" s="19"/>
      <c r="U2" s="19"/>
      <c r="V2" s="19"/>
      <c r="W2" s="19"/>
    </row>
    <row r="3" spans="1:23" ht="15.75">
      <c r="A3" t="s">
        <v>48</v>
      </c>
      <c r="B3" s="13">
        <f>'Without Opinion'!B3</f>
        <v>4.1571673389912522E-2</v>
      </c>
      <c r="M3" s="19" t="s">
        <v>48</v>
      </c>
      <c r="N3" s="20">
        <v>4.1599999999999998E-2</v>
      </c>
      <c r="O3" s="19"/>
      <c r="P3" s="19"/>
      <c r="Q3" s="19"/>
      <c r="R3" s="19"/>
      <c r="S3" s="19"/>
      <c r="T3" s="19"/>
      <c r="U3" s="19"/>
      <c r="V3" s="19"/>
      <c r="W3" s="19"/>
    </row>
    <row r="4" spans="1:23" ht="15.75">
      <c r="A4" t="s">
        <v>49</v>
      </c>
      <c r="B4" s="18" cm="1">
        <f t="array" ref="B4">(B1-B2)/MMULT(MMULT(B8:K8, B12:K21), TRANSPOSE(B8:K8))</f>
        <v>2.6491306323620041</v>
      </c>
      <c r="M4" s="19" t="s">
        <v>49</v>
      </c>
      <c r="N4" s="19">
        <v>2.6491306319999999</v>
      </c>
      <c r="O4" s="19"/>
      <c r="P4" s="19"/>
      <c r="Q4" s="19"/>
      <c r="R4" s="19"/>
      <c r="S4" s="19"/>
      <c r="T4" s="19"/>
      <c r="U4" s="19"/>
      <c r="V4" s="19"/>
      <c r="W4" s="19"/>
    </row>
    <row r="5" spans="1:23" ht="15.75"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1:23" ht="15.75">
      <c r="A6" t="s">
        <v>13</v>
      </c>
      <c r="B6" t="str">
        <f>'Monthly Returns'!B1</f>
        <v>S&amp;P 500</v>
      </c>
      <c r="C6" t="str">
        <f>'Monthly Returns'!C1</f>
        <v>iShares Russell</v>
      </c>
      <c r="D6" t="str">
        <f>'Monthly Returns'!D1</f>
        <v>iShares Yearly Bond</v>
      </c>
      <c r="E6" t="str">
        <f>'Monthly Returns'!E1</f>
        <v>SPDR Gold Shares</v>
      </c>
      <c r="F6" t="str">
        <f>'Monthly Returns'!F1</f>
        <v>Vanguard Real Estate</v>
      </c>
      <c r="G6" t="str">
        <f>'Monthly Returns'!G1</f>
        <v>Oracle</v>
      </c>
      <c r="H6" t="str">
        <f>'Monthly Returns'!H1</f>
        <v>BlackRock</v>
      </c>
      <c r="I6" t="str">
        <f>'Monthly Returns'!I1</f>
        <v>Lockheed Martin</v>
      </c>
      <c r="J6" t="str">
        <f>'Monthly Returns'!J1</f>
        <v>SPDR Select Sector Fund</v>
      </c>
      <c r="K6" t="str">
        <f>'Monthly Returns'!K1</f>
        <v>Super Micro Computer Inc</v>
      </c>
      <c r="M6" s="19" t="s">
        <v>13</v>
      </c>
      <c r="N6" s="19" t="s">
        <v>14</v>
      </c>
      <c r="O6" s="19" t="s">
        <v>15</v>
      </c>
      <c r="P6" s="19" t="s">
        <v>16</v>
      </c>
      <c r="Q6" s="19" t="s">
        <v>17</v>
      </c>
      <c r="R6" s="19" t="s">
        <v>18</v>
      </c>
      <c r="S6" s="19" t="s">
        <v>19</v>
      </c>
      <c r="T6" s="19" t="s">
        <v>20</v>
      </c>
      <c r="U6" s="19" t="s">
        <v>21</v>
      </c>
      <c r="V6" s="19" t="s">
        <v>22</v>
      </c>
      <c r="W6" s="19" t="s">
        <v>23</v>
      </c>
    </row>
    <row r="7" spans="1:23" ht="15.75">
      <c r="A7" t="s">
        <v>34</v>
      </c>
      <c r="B7" t="str">
        <f>'Monthly Returns'!B2</f>
        <v>SPY</v>
      </c>
      <c r="C7" t="str">
        <f>'Monthly Returns'!C2</f>
        <v>IWM</v>
      </c>
      <c r="D7" t="str">
        <f>'Monthly Returns'!D2</f>
        <v>TLT</v>
      </c>
      <c r="E7" t="str">
        <f>'Monthly Returns'!E2</f>
        <v>GLD</v>
      </c>
      <c r="F7" t="str">
        <f>'Monthly Returns'!F2</f>
        <v>VNQ</v>
      </c>
      <c r="G7" t="str">
        <f>'Monthly Returns'!G2</f>
        <v>ORCL</v>
      </c>
      <c r="H7" t="str">
        <f>'Monthly Returns'!H2</f>
        <v>BLK</v>
      </c>
      <c r="I7" t="str">
        <f>'Monthly Returns'!I2</f>
        <v>LMT</v>
      </c>
      <c r="J7" t="str">
        <f>'Monthly Returns'!J2</f>
        <v>XLV</v>
      </c>
      <c r="K7" t="str">
        <f>'Monthly Returns'!K2</f>
        <v>SMCI</v>
      </c>
      <c r="M7" s="19" t="s">
        <v>50</v>
      </c>
      <c r="N7" s="19" t="s">
        <v>3</v>
      </c>
      <c r="O7" s="19" t="s">
        <v>4</v>
      </c>
      <c r="P7" s="19" t="s">
        <v>5</v>
      </c>
      <c r="Q7" s="19" t="s">
        <v>6</v>
      </c>
      <c r="R7" s="19" t="s">
        <v>7</v>
      </c>
      <c r="S7" s="19" t="s">
        <v>8</v>
      </c>
      <c r="T7" s="19" t="s">
        <v>9</v>
      </c>
      <c r="U7" s="19" t="s">
        <v>10</v>
      </c>
      <c r="V7" s="19" t="s">
        <v>11</v>
      </c>
      <c r="W7" s="19" t="s">
        <v>12</v>
      </c>
    </row>
    <row r="8" spans="1:23" ht="15.75">
      <c r="A8" t="s">
        <v>35</v>
      </c>
      <c r="B8" s="13">
        <v>0.29596523262951385</v>
      </c>
      <c r="C8" s="13">
        <v>3.1645682791014422E-2</v>
      </c>
      <c r="D8" s="13">
        <v>2.5290444566767E-2</v>
      </c>
      <c r="E8" s="13">
        <v>5.2249224937146434E-2</v>
      </c>
      <c r="F8" s="13">
        <v>1.3930673233795789E-2</v>
      </c>
      <c r="G8" s="13">
        <v>0.40802908040875113</v>
      </c>
      <c r="H8" s="13">
        <v>8.9198565729871462E-2</v>
      </c>
      <c r="I8" s="13">
        <v>5.6922783034882338E-2</v>
      </c>
      <c r="J8" s="13">
        <v>1.2225057715633826E-2</v>
      </c>
      <c r="K8" s="13">
        <v>1.4543254952623694E-2</v>
      </c>
      <c r="M8" s="19" t="s">
        <v>35</v>
      </c>
      <c r="N8" s="20">
        <v>0.29599999999999999</v>
      </c>
      <c r="O8" s="20">
        <v>3.1600000000000003E-2</v>
      </c>
      <c r="P8" s="20">
        <v>2.53E-2</v>
      </c>
      <c r="Q8" s="20">
        <v>5.2200000000000003E-2</v>
      </c>
      <c r="R8" s="20">
        <v>1.3899999999999999E-2</v>
      </c>
      <c r="S8" s="20">
        <v>0.40799999999999997</v>
      </c>
      <c r="T8" s="20">
        <v>8.9200000000000002E-2</v>
      </c>
      <c r="U8" s="20">
        <v>5.6899999999999999E-2</v>
      </c>
      <c r="V8" s="20">
        <v>1.2200000000000001E-2</v>
      </c>
      <c r="W8" s="20">
        <v>1.4500000000000001E-2</v>
      </c>
    </row>
    <row r="9" spans="1:23" ht="15.75"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1:23" ht="15.75">
      <c r="A10" t="s">
        <v>51</v>
      </c>
      <c r="M10" s="19" t="s">
        <v>51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5.75">
      <c r="B11" t="str">
        <f>'Without Opinion'!B10</f>
        <v>SPY</v>
      </c>
      <c r="C11" t="str">
        <f>'Without Opinion'!C10</f>
        <v>IWM</v>
      </c>
      <c r="D11" t="str">
        <f>'Without Opinion'!D10</f>
        <v>TLT</v>
      </c>
      <c r="E11" t="str">
        <f>'Without Opinion'!E10</f>
        <v>GLD</v>
      </c>
      <c r="F11" t="str">
        <f>'Without Opinion'!F10</f>
        <v>VNQ</v>
      </c>
      <c r="G11" t="str">
        <f>'Without Opinion'!G10</f>
        <v>ORCL</v>
      </c>
      <c r="H11" t="str">
        <f>'Without Opinion'!H10</f>
        <v>BLK</v>
      </c>
      <c r="I11" t="str">
        <f>'Without Opinion'!I10</f>
        <v>LMT</v>
      </c>
      <c r="J11" t="str">
        <f>'Without Opinion'!J10</f>
        <v>XLV</v>
      </c>
      <c r="K11" t="str">
        <f>'Without Opinion'!K10</f>
        <v>SMCI</v>
      </c>
      <c r="M11" s="19"/>
      <c r="N11" s="19" t="s">
        <v>3</v>
      </c>
      <c r="O11" s="19" t="s">
        <v>4</v>
      </c>
      <c r="P11" s="19" t="s">
        <v>5</v>
      </c>
      <c r="Q11" s="19" t="s">
        <v>6</v>
      </c>
      <c r="R11" s="19" t="s">
        <v>7</v>
      </c>
      <c r="S11" s="19" t="s">
        <v>8</v>
      </c>
      <c r="T11" s="19" t="s">
        <v>9</v>
      </c>
      <c r="U11" s="19" t="s">
        <v>10</v>
      </c>
      <c r="V11" s="19" t="s">
        <v>11</v>
      </c>
      <c r="W11" s="19" t="s">
        <v>12</v>
      </c>
    </row>
    <row r="12" spans="1:23" ht="15.75">
      <c r="A12" s="5" t="str">
        <f>'Without Opinion'!A11</f>
        <v>SPY</v>
      </c>
      <c r="B12">
        <f>_xlfn.COVARIANCE.S(Returns!$B$2:$B$121, Returns!B2:B121)</f>
        <v>2.2056556588759325E-3</v>
      </c>
      <c r="C12">
        <f>_xlfn.COVARIANCE.S(Returns!$B$2:$B$121, Returns!C2:C121)</f>
        <v>2.7199974294243898E-3</v>
      </c>
      <c r="D12">
        <f>_xlfn.COVARIANCE.S(Returns!$B$2:$B$121, Returns!D2:D121)</f>
        <v>6.8240103921846535E-5</v>
      </c>
      <c r="E12">
        <f>_xlfn.COVARIANCE.S(Returns!$B$2:$B$121, Returns!E2:E121)</f>
        <v>1.6693637580606787E-4</v>
      </c>
      <c r="F12">
        <f>_xlfn.COVARIANCE.S(Returns!$B$2:$B$121, Returns!F2:F121)</f>
        <v>2.18148144459277E-3</v>
      </c>
      <c r="G12">
        <f>_xlfn.COVARIANCE.S(Returns!$B$2:$B$121, Returns!G2:G121)</f>
        <v>2.06291504051313E-3</v>
      </c>
      <c r="H12">
        <f>_xlfn.COVARIANCE.S(Returns!$B$2:$B$121, Returns!H2:H121)</f>
        <v>2.7580522285200236E-3</v>
      </c>
      <c r="I12">
        <f>_xlfn.COVARIANCE.S(Returns!$B$2:$B$121, Returns!I2:I121)</f>
        <v>1.0096871879814503E-3</v>
      </c>
      <c r="J12">
        <f>_xlfn.COVARIANCE.S(Returns!$B$2:$B$121, Returns!J2:J121)</f>
        <v>1.5453709928517009E-3</v>
      </c>
      <c r="K12">
        <f>_xlfn.COVARIANCE.S(Returns!$B$2:$B$121, Returns!K2:K121)</f>
        <v>3.1414557222455711E-3</v>
      </c>
      <c r="M12" s="19" t="s">
        <v>3</v>
      </c>
      <c r="N12" s="19">
        <v>2.2056559999999998E-3</v>
      </c>
      <c r="O12" s="19">
        <v>2.719997E-3</v>
      </c>
      <c r="P12" s="22">
        <v>6.8240100000000004E-5</v>
      </c>
      <c r="Q12" s="19">
        <v>1.6693599999999999E-4</v>
      </c>
      <c r="R12" s="19">
        <v>2.1814809999999999E-3</v>
      </c>
      <c r="S12" s="19">
        <v>2.0629149999999998E-3</v>
      </c>
      <c r="T12" s="19">
        <v>2.758052E-3</v>
      </c>
      <c r="U12" s="19">
        <v>1.009687E-3</v>
      </c>
      <c r="V12" s="19">
        <v>1.545371E-3</v>
      </c>
      <c r="W12" s="19">
        <v>3.1414559999999999E-3</v>
      </c>
    </row>
    <row r="13" spans="1:23" ht="15.75">
      <c r="A13" s="5" t="str">
        <f>'Without Opinion'!A12</f>
        <v>IWM</v>
      </c>
      <c r="B13">
        <f>_xlfn.COVARIANCE.S(Returns!$C$2:$C$121, Returns!B2:B121)</f>
        <v>2.7199974294243898E-3</v>
      </c>
      <c r="C13">
        <f>_xlfn.COVARIANCE.S(Returns!$C$2:$C$121, Returns!C2:C121)</f>
        <v>4.2486165766053253E-3</v>
      </c>
      <c r="D13">
        <f>_xlfn.COVARIANCE.S(Returns!$C$2:$C$121, Returns!D2:D121)</f>
        <v>-1.6595086812857773E-4</v>
      </c>
      <c r="E13">
        <f>_xlfn.COVARIANCE.S(Returns!$C$2:$C$121, Returns!E2:E121)</f>
        <v>-9.959845497271516E-5</v>
      </c>
      <c r="F13">
        <f>_xlfn.COVARIANCE.S(Returns!$C$2:$C$121, Returns!F2:F121)</f>
        <v>2.9689796303720532E-3</v>
      </c>
      <c r="G13">
        <f>_xlfn.COVARIANCE.S(Returns!$C$2:$C$121, Returns!G2:G121)</f>
        <v>2.0477912474030067E-3</v>
      </c>
      <c r="H13">
        <f>_xlfn.COVARIANCE.S(Returns!$C$2:$C$121, Returns!H2:H121)</f>
        <v>3.6515460238326731E-3</v>
      </c>
      <c r="I13">
        <f>_xlfn.COVARIANCE.S(Returns!$C$2:$C$121, Returns!I2:I121)</f>
        <v>1.3341124987259372E-3</v>
      </c>
      <c r="J13">
        <f>_xlfn.COVARIANCE.S(Returns!$C$2:$C$121, Returns!J2:J121)</f>
        <v>1.9506041338838008E-3</v>
      </c>
      <c r="K13">
        <f>_xlfn.COVARIANCE.S(Returns!$C$2:$C$121, Returns!K2:K121)</f>
        <v>3.4162164872032093E-3</v>
      </c>
      <c r="M13" s="19" t="s">
        <v>4</v>
      </c>
      <c r="N13" s="19">
        <v>2.719997E-3</v>
      </c>
      <c r="O13" s="19">
        <v>4.2486169999999997E-3</v>
      </c>
      <c r="P13" s="19">
        <v>-1.6595100000000001E-4</v>
      </c>
      <c r="Q13" s="22">
        <v>-9.9598499999999999E-5</v>
      </c>
      <c r="R13" s="19">
        <v>2.96898E-3</v>
      </c>
      <c r="S13" s="19">
        <v>2.0477910000000002E-3</v>
      </c>
      <c r="T13" s="19">
        <v>3.6515459999999999E-3</v>
      </c>
      <c r="U13" s="19">
        <v>1.3341119999999999E-3</v>
      </c>
      <c r="V13" s="19">
        <v>1.9506040000000001E-3</v>
      </c>
      <c r="W13" s="19">
        <v>3.4162160000000001E-3</v>
      </c>
    </row>
    <row r="14" spans="1:23" ht="15.75">
      <c r="A14" s="5" t="str">
        <f>'Without Opinion'!A13</f>
        <v>TLT</v>
      </c>
      <c r="B14">
        <f>_xlfn.COVARIANCE.S(Returns!$D$2:$D$121, Returns!B2:B121)</f>
        <v>6.8240103921846535E-5</v>
      </c>
      <c r="C14">
        <f>_xlfn.COVARIANCE.S(Returns!$D$2:$D$121, Returns!C2:C121)</f>
        <v>-1.6595086812857773E-4</v>
      </c>
      <c r="D14">
        <f>_xlfn.COVARIANCE.S(Returns!$D$2:$D$121, Returns!D2:D121)</f>
        <v>1.6492006037463068E-3</v>
      </c>
      <c r="E14">
        <f>_xlfn.COVARIANCE.S(Returns!$D$2:$D$121, Returns!E2:E121)</f>
        <v>6.8595446993742612E-4</v>
      </c>
      <c r="F14">
        <f>_xlfn.COVARIANCE.S(Returns!$D$2:$D$121, Returns!F2:F121)</f>
        <v>5.4970907923218061E-4</v>
      </c>
      <c r="G14">
        <f>_xlfn.COVARIANCE.S(Returns!$D$2:$D$121, Returns!G2:G121)</f>
        <v>3.574131234615589E-4</v>
      </c>
      <c r="H14">
        <f>_xlfn.COVARIANCE.S(Returns!$D$2:$D$121, Returns!H2:H121)</f>
        <v>1.8617314989901072E-4</v>
      </c>
      <c r="I14">
        <f>_xlfn.COVARIANCE.S(Returns!$D$2:$D$121, Returns!I2:I121)</f>
        <v>-5.8570587937628754E-5</v>
      </c>
      <c r="J14">
        <f>_xlfn.COVARIANCE.S(Returns!$D$2:$D$121, Returns!J2:J121)</f>
        <v>1.5478719997890909E-4</v>
      </c>
      <c r="K14">
        <f>_xlfn.COVARIANCE.S(Returns!$D$2:$D$121, Returns!K2:K121)</f>
        <v>5.3475320687700393E-4</v>
      </c>
      <c r="M14" s="19" t="s">
        <v>5</v>
      </c>
      <c r="N14" s="22">
        <v>6.8240100000000004E-5</v>
      </c>
      <c r="O14" s="19">
        <v>-1.6595100000000001E-4</v>
      </c>
      <c r="P14" s="19">
        <v>1.6492010000000001E-3</v>
      </c>
      <c r="Q14" s="19">
        <v>6.8595400000000001E-4</v>
      </c>
      <c r="R14" s="19">
        <v>5.49709E-4</v>
      </c>
      <c r="S14" s="19">
        <v>3.57413E-4</v>
      </c>
      <c r="T14" s="19">
        <v>1.8617300000000001E-4</v>
      </c>
      <c r="U14" s="22">
        <v>-5.8570599999999998E-5</v>
      </c>
      <c r="V14" s="19">
        <v>1.5478700000000001E-4</v>
      </c>
      <c r="W14" s="19">
        <v>5.3475300000000001E-4</v>
      </c>
    </row>
    <row r="15" spans="1:23" ht="15.75">
      <c r="A15" s="5" t="str">
        <f>'Without Opinion'!A14</f>
        <v>GLD</v>
      </c>
      <c r="B15">
        <f>_xlfn.COVARIANCE.S(Returns!$E$2:$E$121, Returns!B2:B121)</f>
        <v>1.6693637580606787E-4</v>
      </c>
      <c r="C15">
        <f>_xlfn.COVARIANCE.S(Returns!$E$2:$E$121, Returns!C2:C121)</f>
        <v>-9.959845497271516E-5</v>
      </c>
      <c r="D15">
        <f>_xlfn.COVARIANCE.S(Returns!$E$2:$E$121, Returns!D2:D121)</f>
        <v>6.8595446993742612E-4</v>
      </c>
      <c r="E15">
        <f>_xlfn.COVARIANCE.S(Returns!$E$2:$E$121, Returns!E2:E121)</f>
        <v>1.6429594452877316E-3</v>
      </c>
      <c r="F15">
        <f>_xlfn.COVARIANCE.S(Returns!$E$2:$E$121, Returns!F2:F121)</f>
        <v>3.6976876611226383E-4</v>
      </c>
      <c r="G15">
        <f>_xlfn.COVARIANCE.S(Returns!$E$2:$E$121, Returns!G2:G121)</f>
        <v>2.755244199994846E-4</v>
      </c>
      <c r="H15">
        <f>_xlfn.COVARIANCE.S(Returns!$E$2:$E$121, Returns!H2:H121)</f>
        <v>1.1273741093176149E-4</v>
      </c>
      <c r="I15">
        <f>_xlfn.COVARIANCE.S(Returns!$E$2:$E$121, Returns!I2:I121)</f>
        <v>5.0060632273413121E-4</v>
      </c>
      <c r="J15">
        <f>_xlfn.COVARIANCE.S(Returns!$E$2:$E$121, Returns!J2:J121)</f>
        <v>1.6406653225151233E-4</v>
      </c>
      <c r="K15">
        <f>_xlfn.COVARIANCE.S(Returns!$E$2:$E$121, Returns!K2:K121)</f>
        <v>-9.1667147774127707E-4</v>
      </c>
      <c r="M15" s="19" t="s">
        <v>6</v>
      </c>
      <c r="N15" s="19">
        <v>1.6693599999999999E-4</v>
      </c>
      <c r="O15" s="22">
        <v>-9.9598499999999999E-5</v>
      </c>
      <c r="P15" s="19">
        <v>6.8595400000000001E-4</v>
      </c>
      <c r="Q15" s="19">
        <v>1.642959E-3</v>
      </c>
      <c r="R15" s="19">
        <v>3.6976899999999999E-4</v>
      </c>
      <c r="S15" s="19">
        <v>2.7552399999999997E-4</v>
      </c>
      <c r="T15" s="19">
        <v>1.12737E-4</v>
      </c>
      <c r="U15" s="19">
        <v>5.0060600000000001E-4</v>
      </c>
      <c r="V15" s="19">
        <v>1.64067E-4</v>
      </c>
      <c r="W15" s="19">
        <v>-9.1667099999999998E-4</v>
      </c>
    </row>
    <row r="16" spans="1:23" ht="15.75">
      <c r="A16" s="5" t="str">
        <f>'Without Opinion'!A15</f>
        <v>VNQ</v>
      </c>
      <c r="B16">
        <f>_xlfn.COVARIANCE.S(Returns!$F$2:$F$121, Returns!B2:B121)</f>
        <v>2.18148144459277E-3</v>
      </c>
      <c r="C16">
        <f>_xlfn.COVARIANCE.S(Returns!$F$2:$F$121, Returns!C2:C121)</f>
        <v>2.9689796303720532E-3</v>
      </c>
      <c r="D16">
        <f>_xlfn.COVARIANCE.S(Returns!$F$2:$F$121, Returns!D2:D121)</f>
        <v>5.4970907923218061E-4</v>
      </c>
      <c r="E16">
        <f>_xlfn.COVARIANCE.S(Returns!$F$2:$F$121, Returns!E2:E121)</f>
        <v>3.6976876611226383E-4</v>
      </c>
      <c r="F16">
        <f>_xlfn.COVARIANCE.S(Returns!$F$2:$F$121, Returns!F2:F121)</f>
        <v>3.3430401240172286E-3</v>
      </c>
      <c r="G16">
        <f>_xlfn.COVARIANCE.S(Returns!$F$2:$F$121, Returns!G2:G121)</f>
        <v>1.5834078933838476E-3</v>
      </c>
      <c r="H16">
        <f>_xlfn.COVARIANCE.S(Returns!$F$2:$F$121, Returns!H2:H121)</f>
        <v>2.6768446538728537E-3</v>
      </c>
      <c r="I16">
        <f>_xlfn.COVARIANCE.S(Returns!$F$2:$F$121, Returns!I2:I121)</f>
        <v>1.1295750100314172E-3</v>
      </c>
      <c r="J16">
        <f>_xlfn.COVARIANCE.S(Returns!$F$2:$F$121, Returns!J2:J121)</f>
        <v>1.7129906102771296E-3</v>
      </c>
      <c r="K16">
        <f>_xlfn.COVARIANCE.S(Returns!$F$2:$F$121, Returns!K2:K121)</f>
        <v>1.9591618449585546E-3</v>
      </c>
      <c r="M16" s="19" t="s">
        <v>7</v>
      </c>
      <c r="N16" s="19">
        <v>2.1814809999999999E-3</v>
      </c>
      <c r="O16" s="19">
        <v>2.96898E-3</v>
      </c>
      <c r="P16" s="19">
        <v>5.49709E-4</v>
      </c>
      <c r="Q16" s="19">
        <v>3.6976899999999999E-4</v>
      </c>
      <c r="R16" s="19">
        <v>3.3430399999999998E-3</v>
      </c>
      <c r="S16" s="19">
        <v>1.5834079999999999E-3</v>
      </c>
      <c r="T16" s="19">
        <v>2.6768450000000002E-3</v>
      </c>
      <c r="U16" s="19">
        <v>1.1295750000000001E-3</v>
      </c>
      <c r="V16" s="19">
        <v>1.7129910000000001E-3</v>
      </c>
      <c r="W16" s="19">
        <v>1.959162E-3</v>
      </c>
    </row>
    <row r="17" spans="1:23" ht="15.75">
      <c r="A17" s="5" t="str">
        <f>'Without Opinion'!A16</f>
        <v>ORCL</v>
      </c>
      <c r="B17">
        <f>_xlfn.COVARIANCE.S(Returns!$G$2:$G$121, Returns!B2:B121)</f>
        <v>2.06291504051313E-3</v>
      </c>
      <c r="C17">
        <f>_xlfn.COVARIANCE.S(Returns!$G$2:$G$121, Returns!C2:C121)</f>
        <v>2.0477912474030067E-3</v>
      </c>
      <c r="D17">
        <f>_xlfn.COVARIANCE.S(Returns!$G$2:$G$121, Returns!D2:D121)</f>
        <v>3.574131234615589E-4</v>
      </c>
      <c r="E17">
        <f>_xlfn.COVARIANCE.S(Returns!$G$2:$G$121, Returns!E2:E121)</f>
        <v>2.755244199994846E-4</v>
      </c>
      <c r="F17">
        <f>_xlfn.COVARIANCE.S(Returns!$G$2:$G$121, Returns!F2:F121)</f>
        <v>1.5834078933838476E-3</v>
      </c>
      <c r="G17">
        <f>_xlfn.COVARIANCE.S(Returns!$G$2:$G$121, Returns!G2:G121)</f>
        <v>5.6176054007336003E-3</v>
      </c>
      <c r="H17">
        <f>_xlfn.COVARIANCE.S(Returns!$G$2:$G$121, Returns!H2:H121)</f>
        <v>2.894198336995966E-3</v>
      </c>
      <c r="I17">
        <f>_xlfn.COVARIANCE.S(Returns!$G$2:$G$121, Returns!I2:I121)</f>
        <v>9.9795700119976972E-4</v>
      </c>
      <c r="J17">
        <f>_xlfn.COVARIANCE.S(Returns!$G$2:$G$121, Returns!J2:J121)</f>
        <v>1.3032212363176415E-3</v>
      </c>
      <c r="K17">
        <f>_xlfn.COVARIANCE.S(Returns!$G$2:$G$121, Returns!K2:K121)</f>
        <v>5.2644772501480612E-3</v>
      </c>
      <c r="M17" s="19" t="s">
        <v>8</v>
      </c>
      <c r="N17" s="19">
        <v>2.0629149999999998E-3</v>
      </c>
      <c r="O17" s="19">
        <v>2.0477910000000002E-3</v>
      </c>
      <c r="P17" s="19">
        <v>3.57413E-4</v>
      </c>
      <c r="Q17" s="19">
        <v>2.7552399999999997E-4</v>
      </c>
      <c r="R17" s="19">
        <v>1.5834079999999999E-3</v>
      </c>
      <c r="S17" s="19">
        <v>5.6176050000000003E-3</v>
      </c>
      <c r="T17" s="19">
        <v>2.8941980000000002E-3</v>
      </c>
      <c r="U17" s="19">
        <v>9.9795700000000005E-4</v>
      </c>
      <c r="V17" s="19">
        <v>1.303221E-3</v>
      </c>
      <c r="W17" s="19">
        <v>5.264477E-3</v>
      </c>
    </row>
    <row r="18" spans="1:23" ht="15.75">
      <c r="A18" s="5" t="str">
        <f>'Without Opinion'!A17</f>
        <v>BLK</v>
      </c>
      <c r="B18">
        <f>_xlfn.COVARIANCE.S(Returns!$H$2:$H$121, Returns!B2:B121)</f>
        <v>2.7580522285200236E-3</v>
      </c>
      <c r="C18">
        <f>_xlfn.COVARIANCE.S(Returns!$H$2:$H$121, Returns!C2:C121)</f>
        <v>3.6515460238326731E-3</v>
      </c>
      <c r="D18">
        <f>_xlfn.COVARIANCE.S(Returns!$H$2:$H$121, Returns!D2:D121)</f>
        <v>1.8617314989901072E-4</v>
      </c>
      <c r="E18">
        <f>_xlfn.COVARIANCE.S(Returns!$H$2:$H$121, Returns!E2:E121)</f>
        <v>1.1273741093176149E-4</v>
      </c>
      <c r="F18">
        <f>_xlfn.COVARIANCE.S(Returns!$H$2:$H$121, Returns!F2:F121)</f>
        <v>2.6768446538728537E-3</v>
      </c>
      <c r="G18">
        <f>_xlfn.COVARIANCE.S(Returns!$H$2:$H$121, Returns!G2:G121)</f>
        <v>2.894198336995966E-3</v>
      </c>
      <c r="H18">
        <f>_xlfn.COVARIANCE.S(Returns!$H$2:$H$121, Returns!H2:H121)</f>
        <v>5.1735360017600715E-3</v>
      </c>
      <c r="I18">
        <f>_xlfn.COVARIANCE.S(Returns!$H$2:$H$121, Returns!I2:I121)</f>
        <v>1.3262649902734845E-3</v>
      </c>
      <c r="J18">
        <f>_xlfn.COVARIANCE.S(Returns!$H$2:$H$121, Returns!J2:J121)</f>
        <v>2.036997084618498E-3</v>
      </c>
      <c r="K18">
        <f>_xlfn.COVARIANCE.S(Returns!$H$2:$H$121, Returns!K2:K121)</f>
        <v>3.2541176285513988E-3</v>
      </c>
      <c r="M18" s="19" t="s">
        <v>9</v>
      </c>
      <c r="N18" s="19">
        <v>2.758052E-3</v>
      </c>
      <c r="O18" s="19">
        <v>3.6515459999999999E-3</v>
      </c>
      <c r="P18" s="19">
        <v>1.8617300000000001E-4</v>
      </c>
      <c r="Q18" s="19">
        <v>1.12737E-4</v>
      </c>
      <c r="R18" s="19">
        <v>2.6768450000000002E-3</v>
      </c>
      <c r="S18" s="19">
        <v>2.8941980000000002E-3</v>
      </c>
      <c r="T18" s="19">
        <v>5.1735360000000003E-3</v>
      </c>
      <c r="U18" s="19">
        <v>1.3262650000000001E-3</v>
      </c>
      <c r="V18" s="19">
        <v>2.036997E-3</v>
      </c>
      <c r="W18" s="19">
        <v>3.2541179999999999E-3</v>
      </c>
    </row>
    <row r="19" spans="1:23" ht="15.75">
      <c r="A19" s="5" t="str">
        <f>'Without Opinion'!A18</f>
        <v>LMT</v>
      </c>
      <c r="B19">
        <f>_xlfn.COVARIANCE.S(Returns!$I$2:$I$121, Returns!B2:B121)</f>
        <v>1.0096871879814503E-3</v>
      </c>
      <c r="C19">
        <f>_xlfn.COVARIANCE.S(Returns!$I$2:$I$121, Returns!C2:C121)</f>
        <v>1.3341124987259372E-3</v>
      </c>
      <c r="D19">
        <f>_xlfn.COVARIANCE.S(Returns!$I$2:$I$121, Returns!D2:D121)</f>
        <v>-5.8570587937628754E-5</v>
      </c>
      <c r="E19">
        <f>_xlfn.COVARIANCE.S(Returns!$I$2:$I$121, Returns!E2:E121)</f>
        <v>5.0060632273413121E-4</v>
      </c>
      <c r="F19">
        <f>_xlfn.COVARIANCE.S(Returns!$I$2:$I$121, Returns!F2:F121)</f>
        <v>1.1295750100314172E-3</v>
      </c>
      <c r="G19">
        <f>_xlfn.COVARIANCE.S(Returns!$I$2:$I$121, Returns!G2:G121)</f>
        <v>9.9795700119976972E-4</v>
      </c>
      <c r="H19">
        <f>_xlfn.COVARIANCE.S(Returns!$I$2:$I$121, Returns!H2:H121)</f>
        <v>1.3262649902734845E-3</v>
      </c>
      <c r="I19">
        <f>_xlfn.COVARIANCE.S(Returns!$I$2:$I$121, Returns!I2:I121)</f>
        <v>3.5456911184755199E-3</v>
      </c>
      <c r="J19">
        <f>_xlfn.COVARIANCE.S(Returns!$I$2:$I$121, Returns!J2:J121)</f>
        <v>1.0645432909702325E-3</v>
      </c>
      <c r="K19">
        <f>_xlfn.COVARIANCE.S(Returns!$I$2:$I$121, Returns!K2:K121)</f>
        <v>7.3921441439964738E-4</v>
      </c>
      <c r="M19" s="19" t="s">
        <v>10</v>
      </c>
      <c r="N19" s="19">
        <v>1.009687E-3</v>
      </c>
      <c r="O19" s="19">
        <v>1.3341119999999999E-3</v>
      </c>
      <c r="P19" s="22">
        <v>-5.8570599999999998E-5</v>
      </c>
      <c r="Q19" s="19">
        <v>5.0060600000000001E-4</v>
      </c>
      <c r="R19" s="19">
        <v>1.1295750000000001E-3</v>
      </c>
      <c r="S19" s="19">
        <v>9.9795700000000005E-4</v>
      </c>
      <c r="T19" s="19">
        <v>1.3262650000000001E-3</v>
      </c>
      <c r="U19" s="19">
        <v>3.5456910000000001E-3</v>
      </c>
      <c r="V19" s="19">
        <v>1.064543E-3</v>
      </c>
      <c r="W19" s="19">
        <v>7.3921399999999997E-4</v>
      </c>
    </row>
    <row r="20" spans="1:23" ht="15.75">
      <c r="A20" s="5" t="str">
        <f>'Without Opinion'!A19</f>
        <v>XLV</v>
      </c>
      <c r="B20">
        <f>_xlfn.COVARIANCE.S(Returns!$J$2:$J$121, Returns!B2:B121)</f>
        <v>1.5453709928517009E-3</v>
      </c>
      <c r="C20">
        <f>_xlfn.COVARIANCE.S(Returns!$J$2:$J$121, Returns!C2:C121)</f>
        <v>1.9506041338838008E-3</v>
      </c>
      <c r="D20">
        <f>_xlfn.COVARIANCE.S(Returns!$J$2:$J$121, Returns!D2:D121)</f>
        <v>1.5478719997890909E-4</v>
      </c>
      <c r="E20">
        <f>_xlfn.COVARIANCE.S(Returns!$J$2:$J$121, Returns!E2:E121)</f>
        <v>1.6406653225151233E-4</v>
      </c>
      <c r="F20">
        <f>_xlfn.COVARIANCE.S(Returns!$J$2:$J$121, Returns!F2:F121)</f>
        <v>1.7129906102771296E-3</v>
      </c>
      <c r="G20">
        <f>_xlfn.COVARIANCE.S(Returns!$J$2:$J$121, Returns!G2:G121)</f>
        <v>1.3032212363176415E-3</v>
      </c>
      <c r="H20">
        <f>_xlfn.COVARIANCE.S(Returns!$J$2:$J$121, Returns!H2:H121)</f>
        <v>2.036997084618498E-3</v>
      </c>
      <c r="I20">
        <f>_xlfn.COVARIANCE.S(Returns!$J$2:$J$121, Returns!I2:I121)</f>
        <v>1.0645432909702325E-3</v>
      </c>
      <c r="J20">
        <f>_xlfn.COVARIANCE.S(Returns!$J$2:$J$121, Returns!J2:J121)</f>
        <v>1.7693031966476704E-3</v>
      </c>
      <c r="K20">
        <f>_xlfn.COVARIANCE.S(Returns!$J$2:$J$121, Returns!K2:K121)</f>
        <v>1.3266616948777517E-3</v>
      </c>
      <c r="M20" s="19" t="s">
        <v>11</v>
      </c>
      <c r="N20" s="19">
        <v>1.545371E-3</v>
      </c>
      <c r="O20" s="19">
        <v>1.9506040000000001E-3</v>
      </c>
      <c r="P20" s="19">
        <v>1.5478700000000001E-4</v>
      </c>
      <c r="Q20" s="19">
        <v>1.64067E-4</v>
      </c>
      <c r="R20" s="19">
        <v>1.7129910000000001E-3</v>
      </c>
      <c r="S20" s="19">
        <v>1.303221E-3</v>
      </c>
      <c r="T20" s="19">
        <v>2.036997E-3</v>
      </c>
      <c r="U20" s="19">
        <v>1.064543E-3</v>
      </c>
      <c r="V20" s="19">
        <v>1.7693030000000001E-3</v>
      </c>
      <c r="W20" s="19">
        <v>1.3266619999999999E-3</v>
      </c>
    </row>
    <row r="21" spans="1:23" ht="15.75">
      <c r="A21" s="5" t="str">
        <f>'Without Opinion'!A20</f>
        <v>SMCI</v>
      </c>
      <c r="B21">
        <f>_xlfn.COVARIANCE.S(Returns!$K$2:$K$121, Returns!B2:B121)</f>
        <v>3.1414557222455711E-3</v>
      </c>
      <c r="C21">
        <f>_xlfn.COVARIANCE.S(Returns!$K$2:$K$121, Returns!C2:C121)</f>
        <v>3.4162164872032093E-3</v>
      </c>
      <c r="D21">
        <f>_xlfn.COVARIANCE.S(Returns!$K$2:$K$121, Returns!D2:D121)</f>
        <v>5.3475320687700393E-4</v>
      </c>
      <c r="E21">
        <f>_xlfn.COVARIANCE.S(Returns!$K$2:$K$121, Returns!E2:E121)</f>
        <v>-9.1667147774127707E-4</v>
      </c>
      <c r="F21">
        <f>_xlfn.COVARIANCE.S(Returns!$K$2:$K$121, Returns!F2:F121)</f>
        <v>1.9591618449585546E-3</v>
      </c>
      <c r="G21">
        <f>_xlfn.COVARIANCE.S(Returns!$K$2:$K$121, Returns!G2:G121)</f>
        <v>5.2644772501480612E-3</v>
      </c>
      <c r="H21">
        <f>_xlfn.COVARIANCE.S(Returns!$K$2:$K$121, Returns!H2:H121)</f>
        <v>3.2541176285513988E-3</v>
      </c>
      <c r="I21">
        <f>_xlfn.COVARIANCE.S(Returns!$K$2:$K$121, Returns!I2:I121)</f>
        <v>7.3921441439964738E-4</v>
      </c>
      <c r="J21">
        <f>_xlfn.COVARIANCE.S(Returns!$K$2:$K$121, Returns!J2:J121)</f>
        <v>1.3266616948777517E-3</v>
      </c>
      <c r="K21">
        <f>_xlfn.COVARIANCE.S(Returns!$K$2:$K$121, Returns!K2:K121)</f>
        <v>3.5950299275519682E-2</v>
      </c>
      <c r="M21" s="19" t="s">
        <v>12</v>
      </c>
      <c r="N21" s="19">
        <v>3.1414559999999999E-3</v>
      </c>
      <c r="O21" s="19">
        <v>3.4162160000000001E-3</v>
      </c>
      <c r="P21" s="19">
        <v>5.3475300000000001E-4</v>
      </c>
      <c r="Q21" s="19">
        <v>-9.1667099999999998E-4</v>
      </c>
      <c r="R21" s="19">
        <v>1.959162E-3</v>
      </c>
      <c r="S21" s="19">
        <v>5.264477E-3</v>
      </c>
      <c r="T21" s="19">
        <v>3.2541179999999999E-3</v>
      </c>
      <c r="U21" s="19">
        <v>7.3921399999999997E-4</v>
      </c>
      <c r="V21" s="19">
        <v>1.3266619999999999E-3</v>
      </c>
      <c r="W21" s="19">
        <v>3.5950298999999998E-2</v>
      </c>
    </row>
    <row r="22" spans="1:23" ht="15.75"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</row>
    <row r="23" spans="1:23" ht="15.75">
      <c r="A23" t="s">
        <v>52</v>
      </c>
      <c r="M23" s="19" t="s">
        <v>52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</row>
    <row r="24" spans="1:23" ht="15.75">
      <c r="B24" t="s">
        <v>3</v>
      </c>
      <c r="C24" t="s">
        <v>4</v>
      </c>
      <c r="D24" t="s">
        <v>5</v>
      </c>
      <c r="E24" t="s">
        <v>6</v>
      </c>
      <c r="F24" t="s">
        <v>7</v>
      </c>
      <c r="G24" t="s">
        <v>8</v>
      </c>
      <c r="H24" t="s">
        <v>9</v>
      </c>
      <c r="I24" t="s">
        <v>10</v>
      </c>
      <c r="J24" t="s">
        <v>11</v>
      </c>
      <c r="K24" t="s">
        <v>12</v>
      </c>
      <c r="M24" s="19"/>
      <c r="N24" s="19" t="s">
        <v>3</v>
      </c>
      <c r="O24" s="19" t="s">
        <v>4</v>
      </c>
      <c r="P24" s="19" t="s">
        <v>5</v>
      </c>
      <c r="Q24" s="19" t="s">
        <v>6</v>
      </c>
      <c r="R24" s="19" t="s">
        <v>7</v>
      </c>
      <c r="S24" s="19" t="s">
        <v>8</v>
      </c>
      <c r="T24" s="19" t="s">
        <v>9</v>
      </c>
      <c r="U24" s="19" t="s">
        <v>10</v>
      </c>
      <c r="V24" s="19" t="s">
        <v>11</v>
      </c>
      <c r="W24" s="19" t="s">
        <v>12</v>
      </c>
    </row>
    <row r="25" spans="1:23" ht="15.75">
      <c r="A25" s="5" t="s">
        <v>3</v>
      </c>
      <c r="B25" s="16">
        <f>B12/(_xlfn.VAR.S(Returns!B$2:B$121))</f>
        <v>1.0000000000000002</v>
      </c>
      <c r="C25" s="16">
        <f>C12/(_xlfn.VAR.S(Returns!C$2:C$121))</f>
        <v>0.64020779008438744</v>
      </c>
      <c r="D25" s="16">
        <f>D12/(_xlfn.VAR.S(Returns!D$2:D$121))</f>
        <v>4.1377685508259598E-2</v>
      </c>
      <c r="E25" s="16">
        <f>E12/(_xlfn.VAR.S(Returns!E$2:E$121))</f>
        <v>0.10160711896137659</v>
      </c>
      <c r="F25" s="16">
        <f>F12/(_xlfn.VAR.S(Returns!F$2:F$121))</f>
        <v>0.65254420038828365</v>
      </c>
      <c r="G25" s="16">
        <f>G12/(_xlfn.VAR.S(Returns!G$2:G$121))</f>
        <v>0.36722320158759025</v>
      </c>
      <c r="H25" s="16">
        <f>H12/(_xlfn.VAR.S(Returns!H$2:H$121))</f>
        <v>0.53310776760453915</v>
      </c>
      <c r="I25" s="16">
        <f>I12/(_xlfn.VAR.S(Returns!I$2:I$121))</f>
        <v>0.28476456471921002</v>
      </c>
      <c r="J25" s="16">
        <f>J12/(_xlfn.VAR.S(Returns!J$2:J$121))</f>
        <v>0.87343480517061356</v>
      </c>
      <c r="K25" s="16">
        <f>K12/(_xlfn.VAR.S(Returns!K$2:K$121))</f>
        <v>8.7383298207610302E-2</v>
      </c>
      <c r="M25" s="19" t="s">
        <v>3</v>
      </c>
      <c r="N25" s="19">
        <v>1</v>
      </c>
      <c r="O25" s="19">
        <v>0.64</v>
      </c>
      <c r="P25" s="19">
        <v>0.04</v>
      </c>
      <c r="Q25" s="19">
        <v>0.1</v>
      </c>
      <c r="R25" s="19">
        <v>0.65</v>
      </c>
      <c r="S25" s="19">
        <v>0.37</v>
      </c>
      <c r="T25" s="19">
        <v>0.53</v>
      </c>
      <c r="U25" s="19">
        <v>0.28000000000000003</v>
      </c>
      <c r="V25" s="19">
        <v>0.87</v>
      </c>
      <c r="W25" s="19">
        <v>0.09</v>
      </c>
    </row>
    <row r="26" spans="1:23" ht="15.75">
      <c r="A26" s="5" t="s">
        <v>4</v>
      </c>
      <c r="B26" s="16">
        <f>B13/(_xlfn.VAR.S(Returns!B$2:B$121))</f>
        <v>1.2331922340092658</v>
      </c>
      <c r="C26" s="16">
        <f>C13/(_xlfn.VAR.S(Returns!C$2:C$121))</f>
        <v>1.0000000000000004</v>
      </c>
      <c r="D26" s="16">
        <f>D13/(_xlfn.VAR.S(Returns!D$2:D$121))</f>
        <v>-0.10062503479055579</v>
      </c>
      <c r="E26" s="16">
        <f>E13/(_xlfn.VAR.S(Returns!E$2:E$121))</f>
        <v>-6.062137154899308E-2</v>
      </c>
      <c r="F26" s="16">
        <f>F13/(_xlfn.VAR.S(Returns!F$2:F$121))</f>
        <v>0.88810768648637184</v>
      </c>
      <c r="G26" s="16">
        <f>G13/(_xlfn.VAR.S(Returns!G$2:G$121))</f>
        <v>0.36453098808534812</v>
      </c>
      <c r="H26" s="16">
        <f>H13/(_xlfn.VAR.S(Returns!H$2:H$121))</f>
        <v>0.70581243130238092</v>
      </c>
      <c r="I26" s="16">
        <f>I13/(_xlfn.VAR.S(Returns!I$2:I$121))</f>
        <v>0.37626303424296664</v>
      </c>
      <c r="J26" s="16">
        <f>J13/(_xlfn.VAR.S(Returns!J$2:J$121))</f>
        <v>1.1024702479369537</v>
      </c>
      <c r="K26" s="16">
        <f>K13/(_xlfn.VAR.S(Returns!K$2:K$121))</f>
        <v>9.5026093135460496E-2</v>
      </c>
      <c r="M26" s="19" t="s">
        <v>4</v>
      </c>
      <c r="N26" s="19">
        <v>1.23</v>
      </c>
      <c r="O26" s="19">
        <v>1</v>
      </c>
      <c r="P26" s="19">
        <v>-0.1</v>
      </c>
      <c r="Q26" s="19">
        <v>-0.06</v>
      </c>
      <c r="R26" s="19">
        <v>0.89</v>
      </c>
      <c r="S26" s="19">
        <v>0.36</v>
      </c>
      <c r="T26" s="19">
        <v>0.71</v>
      </c>
      <c r="U26" s="19">
        <v>0.38</v>
      </c>
      <c r="V26" s="19">
        <v>1.1000000000000001</v>
      </c>
      <c r="W26" s="19">
        <v>0.1</v>
      </c>
    </row>
    <row r="27" spans="1:23" ht="15.75">
      <c r="A27" s="5" t="s">
        <v>5</v>
      </c>
      <c r="B27" s="16">
        <f>B14/(_xlfn.VAR.S(Returns!B$2:B$121))</f>
        <v>3.093869328480028E-2</v>
      </c>
      <c r="C27" s="16">
        <f>C14/(_xlfn.VAR.S(Returns!C$2:C$121))</f>
        <v>-3.9059977556547054E-2</v>
      </c>
      <c r="D27" s="16">
        <f>D14/(_xlfn.VAR.S(Returns!D$2:D$121))</f>
        <v>1</v>
      </c>
      <c r="E27" s="16">
        <f>E14/(_xlfn.VAR.S(Returns!E$2:E$121))</f>
        <v>0.41751150456260638</v>
      </c>
      <c r="F27" s="16">
        <f>F14/(_xlfn.VAR.S(Returns!F$2:F$121))</f>
        <v>0.16443388617532126</v>
      </c>
      <c r="G27" s="16">
        <f>G14/(_xlfn.VAR.S(Returns!G$2:G$121))</f>
        <v>6.3623750328722736E-2</v>
      </c>
      <c r="H27" s="16">
        <f>H14/(_xlfn.VAR.S(Returns!H$2:H$121))</f>
        <v>3.59856681843276E-2</v>
      </c>
      <c r="I27" s="16">
        <f>I14/(_xlfn.VAR.S(Returns!I$2:I$121))</f>
        <v>-1.6518807188938486E-2</v>
      </c>
      <c r="J27" s="16">
        <f>J14/(_xlfn.VAR.S(Returns!J$2:J$121))</f>
        <v>8.7484835992037532E-2</v>
      </c>
      <c r="K27" s="16">
        <f>K14/(_xlfn.VAR.S(Returns!K$2:K$121))</f>
        <v>1.4874791522003931E-2</v>
      </c>
      <c r="M27" s="19" t="s">
        <v>5</v>
      </c>
      <c r="N27" s="19">
        <v>0.03</v>
      </c>
      <c r="O27" s="19">
        <v>-0.04</v>
      </c>
      <c r="P27" s="19">
        <v>1</v>
      </c>
      <c r="Q27" s="19">
        <v>0.42</v>
      </c>
      <c r="R27" s="19">
        <v>0.16</v>
      </c>
      <c r="S27" s="19">
        <v>0.06</v>
      </c>
      <c r="T27" s="19">
        <v>0.04</v>
      </c>
      <c r="U27" s="19">
        <v>-0.02</v>
      </c>
      <c r="V27" s="19">
        <v>0.09</v>
      </c>
      <c r="W27" s="19">
        <v>0.01</v>
      </c>
    </row>
    <row r="28" spans="1:23" ht="15.75">
      <c r="A28" s="5" t="s">
        <v>6</v>
      </c>
      <c r="B28" s="16">
        <f>B15/(_xlfn.VAR.S(Returns!B$2:B$121))</f>
        <v>7.5685601754873932E-2</v>
      </c>
      <c r="C28" s="16">
        <f>C15/(_xlfn.VAR.S(Returns!C$2:C$121))</f>
        <v>-2.3442561402491884E-2</v>
      </c>
      <c r="D28" s="16">
        <f>D15/(_xlfn.VAR.S(Returns!D$2:D$121))</f>
        <v>0.41593149334242246</v>
      </c>
      <c r="E28" s="16">
        <f>E15/(_xlfn.VAR.S(Returns!E$2:E$121))</f>
        <v>0.99999999999999989</v>
      </c>
      <c r="F28" s="16">
        <f>F15/(_xlfn.VAR.S(Returns!F$2:F$121))</f>
        <v>0.11060853366842759</v>
      </c>
      <c r="G28" s="16">
        <f>G15/(_xlfn.VAR.S(Returns!G$2:G$121))</f>
        <v>4.904659554113646E-2</v>
      </c>
      <c r="H28" s="16">
        <f>H15/(_xlfn.VAR.S(Returns!H$2:H$121))</f>
        <v>2.1791171626795974E-2</v>
      </c>
      <c r="I28" s="16">
        <f>I15/(_xlfn.VAR.S(Returns!I$2:I$121))</f>
        <v>0.14118723430972982</v>
      </c>
      <c r="J28" s="16">
        <f>J15/(_xlfn.VAR.S(Returns!J$2:J$121))</f>
        <v>9.2729461271743668E-2</v>
      </c>
      <c r="K28" s="16">
        <f>K15/(_xlfn.VAR.S(Returns!K$2:K$121))</f>
        <v>-2.549829893531607E-2</v>
      </c>
      <c r="M28" s="19" t="s">
        <v>6</v>
      </c>
      <c r="N28" s="19">
        <v>0.08</v>
      </c>
      <c r="O28" s="19">
        <v>-0.02</v>
      </c>
      <c r="P28" s="19">
        <v>0.42</v>
      </c>
      <c r="Q28" s="19">
        <v>1</v>
      </c>
      <c r="R28" s="19">
        <v>0.11</v>
      </c>
      <c r="S28" s="19">
        <v>0.05</v>
      </c>
      <c r="T28" s="19">
        <v>0.02</v>
      </c>
      <c r="U28" s="19">
        <v>0.14000000000000001</v>
      </c>
      <c r="V28" s="19">
        <v>0.09</v>
      </c>
      <c r="W28" s="19">
        <v>-0.03</v>
      </c>
    </row>
    <row r="29" spans="1:23" ht="15.75">
      <c r="A29" s="5" t="s">
        <v>7</v>
      </c>
      <c r="B29" s="16">
        <f>B16/(_xlfn.VAR.S(Returns!B$2:B$121))</f>
        <v>0.98903989651064483</v>
      </c>
      <c r="C29" s="16">
        <f>C16/(_xlfn.VAR.S(Returns!C$2:C$121))</f>
        <v>0.69881091335012635</v>
      </c>
      <c r="D29" s="16">
        <f>D16/(_xlfn.VAR.S(Returns!D$2:D$121))</f>
        <v>0.33331850472493596</v>
      </c>
      <c r="E29" s="16">
        <f>E16/(_xlfn.VAR.S(Returns!E$2:E$121))</f>
        <v>0.22506262535744218</v>
      </c>
      <c r="F29" s="16">
        <f>F16/(_xlfn.VAR.S(Returns!F$2:F$121))</f>
        <v>1.0000000000000004</v>
      </c>
      <c r="G29" s="16">
        <f>G16/(_xlfn.VAR.S(Returns!G$2:G$121))</f>
        <v>0.28186527540312312</v>
      </c>
      <c r="H29" s="16">
        <f>H16/(_xlfn.VAR.S(Returns!H$2:H$121))</f>
        <v>0.51741104207299893</v>
      </c>
      <c r="I29" s="16">
        <f>I16/(_xlfn.VAR.S(Returns!I$2:I$121))</f>
        <v>0.31857682248336433</v>
      </c>
      <c r="J29" s="16">
        <f>J16/(_xlfn.VAR.S(Returns!J$2:J$121))</f>
        <v>0.9681724497659665</v>
      </c>
      <c r="K29" s="16">
        <f>K16/(_xlfn.VAR.S(Returns!K$2:K$121))</f>
        <v>5.4496398762739783E-2</v>
      </c>
      <c r="M29" s="19" t="s">
        <v>7</v>
      </c>
      <c r="N29" s="19">
        <v>0.99</v>
      </c>
      <c r="O29" s="19">
        <v>0.7</v>
      </c>
      <c r="P29" s="19">
        <v>0.33</v>
      </c>
      <c r="Q29" s="19">
        <v>0.23</v>
      </c>
      <c r="R29" s="19">
        <v>1</v>
      </c>
      <c r="S29" s="19">
        <v>0.28000000000000003</v>
      </c>
      <c r="T29" s="19">
        <v>0.52</v>
      </c>
      <c r="U29" s="19">
        <v>0.32</v>
      </c>
      <c r="V29" s="19">
        <v>0.97</v>
      </c>
      <c r="W29" s="19">
        <v>0.05</v>
      </c>
    </row>
    <row r="30" spans="1:23" ht="15.75">
      <c r="A30" s="5" t="s">
        <v>8</v>
      </c>
      <c r="B30" s="16">
        <f>B17/(_xlfn.VAR.S(Returns!B$2:B$121))</f>
        <v>0.93528426897082073</v>
      </c>
      <c r="C30" s="16">
        <f>C17/(_xlfn.VAR.S(Returns!C$2:C$121))</f>
        <v>0.48199012795812401</v>
      </c>
      <c r="D30" s="16">
        <f>D17/(_xlfn.VAR.S(Returns!D$2:D$121))</f>
        <v>0.21671901080418174</v>
      </c>
      <c r="E30" s="16">
        <f>E17/(_xlfn.VAR.S(Returns!E$2:E$121))</f>
        <v>0.16770007366264111</v>
      </c>
      <c r="F30" s="16">
        <f>F17/(_xlfn.VAR.S(Returns!F$2:F$121))</f>
        <v>0.4736431016810877</v>
      </c>
      <c r="G30" s="16">
        <f>G17/(_xlfn.VAR.S(Returns!G$2:G$121))</f>
        <v>1.0000000000000002</v>
      </c>
      <c r="H30" s="16">
        <f>H17/(_xlfn.VAR.S(Returns!H$2:H$121))</f>
        <v>0.55942363907612547</v>
      </c>
      <c r="I30" s="16">
        <f>I17/(_xlfn.VAR.S(Returns!I$2:I$121))</f>
        <v>0.28145627124701267</v>
      </c>
      <c r="J30" s="16">
        <f>J17/(_xlfn.VAR.S(Returns!J$2:J$121))</f>
        <v>0.73657315421510472</v>
      </c>
      <c r="K30" s="16">
        <f>K17/(_xlfn.VAR.S(Returns!K$2:K$121))</f>
        <v>0.14643764742545284</v>
      </c>
      <c r="M30" s="19" t="s">
        <v>8</v>
      </c>
      <c r="N30" s="19">
        <v>0.94</v>
      </c>
      <c r="O30" s="19">
        <v>0.48</v>
      </c>
      <c r="P30" s="19">
        <v>0.22</v>
      </c>
      <c r="Q30" s="19">
        <v>0.17</v>
      </c>
      <c r="R30" s="19">
        <v>0.47</v>
      </c>
      <c r="S30" s="19">
        <v>1</v>
      </c>
      <c r="T30" s="19">
        <v>0.56000000000000005</v>
      </c>
      <c r="U30" s="19">
        <v>0.28000000000000003</v>
      </c>
      <c r="V30" s="19">
        <v>0.74</v>
      </c>
      <c r="W30" s="19">
        <v>0.15</v>
      </c>
    </row>
    <row r="31" spans="1:23" ht="15.75">
      <c r="A31" s="5" t="s">
        <v>9</v>
      </c>
      <c r="B31" s="16">
        <f>B18/(_xlfn.VAR.S(Returns!B$2:B$121))</f>
        <v>1.2504455160174954</v>
      </c>
      <c r="C31" s="16">
        <f>C18/(_xlfn.VAR.S(Returns!C$2:C$121))</f>
        <v>0.85946706604206813</v>
      </c>
      <c r="D31" s="16">
        <f>D18/(_xlfn.VAR.S(Returns!D$2:D$121))</f>
        <v>0.11288690379818062</v>
      </c>
      <c r="E31" s="16">
        <f>E18/(_xlfn.VAR.S(Returns!E$2:E$121))</f>
        <v>6.8618498925892696E-2</v>
      </c>
      <c r="F31" s="16">
        <f>F18/(_xlfn.VAR.S(Returns!F$2:F$121))</f>
        <v>0.80072166488273333</v>
      </c>
      <c r="G31" s="16">
        <f>G18/(_xlfn.VAR.S(Returns!G$2:G$121))</f>
        <v>0.5152014302425042</v>
      </c>
      <c r="H31" s="16">
        <f>H18/(_xlfn.VAR.S(Returns!H$2:H$121))</f>
        <v>1.0000000000000004</v>
      </c>
      <c r="I31" s="16">
        <f>I18/(_xlfn.VAR.S(Returns!I$2:I$121))</f>
        <v>0.37404978210389517</v>
      </c>
      <c r="J31" s="16">
        <f>J18/(_xlfn.VAR.S(Returns!J$2:J$121))</f>
        <v>1.1512990472622404</v>
      </c>
      <c r="K31" s="16">
        <f>K18/(_xlfn.VAR.S(Returns!K$2:K$121))</f>
        <v>9.0517122086026386E-2</v>
      </c>
      <c r="M31" s="19" t="s">
        <v>9</v>
      </c>
      <c r="N31" s="19">
        <v>1.25</v>
      </c>
      <c r="O31" s="19">
        <v>0.86</v>
      </c>
      <c r="P31" s="19">
        <v>0.11</v>
      </c>
      <c r="Q31" s="19">
        <v>7.0000000000000007E-2</v>
      </c>
      <c r="R31" s="19">
        <v>0.8</v>
      </c>
      <c r="S31" s="19">
        <v>0.52</v>
      </c>
      <c r="T31" s="19">
        <v>1</v>
      </c>
      <c r="U31" s="19">
        <v>0.37</v>
      </c>
      <c r="V31" s="19">
        <v>1.1499999999999999</v>
      </c>
      <c r="W31" s="19">
        <v>0.09</v>
      </c>
    </row>
    <row r="32" spans="1:23" ht="15.75">
      <c r="A32" s="5" t="s">
        <v>10</v>
      </c>
      <c r="B32" s="16">
        <f>B19/(_xlfn.VAR.S(Returns!B$2:B$121))</f>
        <v>0.45777190284362745</v>
      </c>
      <c r="C32" s="16">
        <f>C19/(_xlfn.VAR.S(Returns!C$2:C$121))</f>
        <v>0.31401103739794356</v>
      </c>
      <c r="D32" s="16">
        <f>D19/(_xlfn.VAR.S(Returns!D$2:D$121))</f>
        <v>-3.5514532194919415E-2</v>
      </c>
      <c r="E32" s="16">
        <f>E19/(_xlfn.VAR.S(Returns!E$2:E$121))</f>
        <v>0.30469791824134762</v>
      </c>
      <c r="F32" s="16">
        <f>F19/(_xlfn.VAR.S(Returns!F$2:F$121))</f>
        <v>0.33788855895454883</v>
      </c>
      <c r="G32" s="16">
        <f>G19/(_xlfn.VAR.S(Returns!G$2:G$121))</f>
        <v>0.17764811338821473</v>
      </c>
      <c r="H32" s="16">
        <f>H19/(_xlfn.VAR.S(Returns!H$2:H$121))</f>
        <v>0.25635561245196342</v>
      </c>
      <c r="I32" s="16">
        <f>I19/(_xlfn.VAR.S(Returns!I$2:I$121))</f>
        <v>1</v>
      </c>
      <c r="J32" s="16">
        <f>J19/(_xlfn.VAR.S(Returns!J$2:J$121))</f>
        <v>0.60167375099261777</v>
      </c>
      <c r="K32" s="16">
        <f>K19/(_xlfn.VAR.S(Returns!K$2:K$121))</f>
        <v>2.0562121297916847E-2</v>
      </c>
      <c r="M32" s="19" t="s">
        <v>10</v>
      </c>
      <c r="N32" s="19">
        <v>0.46</v>
      </c>
      <c r="O32" s="19">
        <v>0.31</v>
      </c>
      <c r="P32" s="19">
        <v>-0.04</v>
      </c>
      <c r="Q32" s="19">
        <v>0.3</v>
      </c>
      <c r="R32" s="19">
        <v>0.34</v>
      </c>
      <c r="S32" s="19">
        <v>0.18</v>
      </c>
      <c r="T32" s="19">
        <v>0.26</v>
      </c>
      <c r="U32" s="19">
        <v>1</v>
      </c>
      <c r="V32" s="19">
        <v>0.6</v>
      </c>
      <c r="W32" s="19">
        <v>0.02</v>
      </c>
    </row>
    <row r="33" spans="1:23" ht="15.75">
      <c r="A33" s="5" t="s">
        <v>11</v>
      </c>
      <c r="B33" s="16">
        <f>B20/(_xlfn.VAR.S(Returns!B$2:B$121))</f>
        <v>0.70064018680017714</v>
      </c>
      <c r="C33" s="16">
        <f>C20/(_xlfn.VAR.S(Returns!C$2:C$121))</f>
        <v>0.45911512576226593</v>
      </c>
      <c r="D33" s="16">
        <f>D20/(_xlfn.VAR.S(Returns!D$2:D$121))</f>
        <v>9.3855895775987533E-2</v>
      </c>
      <c r="E33" s="16">
        <f>E20/(_xlfn.VAR.S(Returns!E$2:E$121))</f>
        <v>9.9860366439403686E-2</v>
      </c>
      <c r="F33" s="16">
        <f>F20/(_xlfn.VAR.S(Returns!F$2:F$121))</f>
        <v>0.5124050405409678</v>
      </c>
      <c r="G33" s="16">
        <f>G20/(_xlfn.VAR.S(Returns!G$2:G$121))</f>
        <v>0.23198874669044126</v>
      </c>
      <c r="H33" s="16">
        <f>H20/(_xlfn.VAR.S(Returns!H$2:H$121))</f>
        <v>0.39373401169441924</v>
      </c>
      <c r="I33" s="16">
        <f>I20/(_xlfn.VAR.S(Returns!I$2:I$121))</f>
        <v>0.30023576656839074</v>
      </c>
      <c r="J33" s="16">
        <f>J20/(_xlfn.VAR.S(Returns!J$2:J$121))</f>
        <v>1.0000000000000007</v>
      </c>
      <c r="K33" s="16">
        <f>K20/(_xlfn.VAR.S(Returns!K$2:K$121))</f>
        <v>3.6902660662442424E-2</v>
      </c>
      <c r="M33" s="19" t="s">
        <v>11</v>
      </c>
      <c r="N33" s="19">
        <v>0.7</v>
      </c>
      <c r="O33" s="19">
        <v>0.46</v>
      </c>
      <c r="P33" s="19">
        <v>0.09</v>
      </c>
      <c r="Q33" s="19">
        <v>0.1</v>
      </c>
      <c r="R33" s="19">
        <v>0.51</v>
      </c>
      <c r="S33" s="19">
        <v>0.23</v>
      </c>
      <c r="T33" s="19">
        <v>0.39</v>
      </c>
      <c r="U33" s="19">
        <v>0.3</v>
      </c>
      <c r="V33" s="19">
        <v>1</v>
      </c>
      <c r="W33" s="19">
        <v>0.04</v>
      </c>
    </row>
    <row r="34" spans="1:23" ht="15.75">
      <c r="A34" s="5" t="s">
        <v>12</v>
      </c>
      <c r="B34" s="16">
        <f>B21/(_xlfn.VAR.S(Returns!B$2:B$121))</f>
        <v>1.4242729637347611</v>
      </c>
      <c r="C34" s="16">
        <f>C21/(_xlfn.VAR.S(Returns!C$2:C$121))</f>
        <v>0.80407738039114651</v>
      </c>
      <c r="D34" s="16">
        <f>D21/(_xlfn.VAR.S(Returns!D$2:D$121))</f>
        <v>0.32424994610253244</v>
      </c>
      <c r="E34" s="16">
        <f>E21/(_xlfn.VAR.S(Returns!E$2:E$121))</f>
        <v>-0.55793919951611481</v>
      </c>
      <c r="F34" s="16">
        <f>F21/(_xlfn.VAR.S(Returns!F$2:F$121))</f>
        <v>0.58604197744545483</v>
      </c>
      <c r="G34" s="16">
        <f>G21/(_xlfn.VAR.S(Returns!G$2:G$121))</f>
        <v>0.93713902536845639</v>
      </c>
      <c r="H34" s="16">
        <f>H21/(_xlfn.VAR.S(Returns!H$2:H$121))</f>
        <v>0.62899294166394659</v>
      </c>
      <c r="I34" s="16">
        <f>I21/(_xlfn.VAR.S(Returns!I$2:I$121))</f>
        <v>0.20848246214900829</v>
      </c>
      <c r="J34" s="16">
        <f>J21/(_xlfn.VAR.S(Returns!J$2:J$121))</f>
        <v>0.74982156670004418</v>
      </c>
      <c r="K34" s="16">
        <f>K21/(_xlfn.VAR.S(Returns!K$2:K$121))</f>
        <v>1.0000000000000007</v>
      </c>
      <c r="M34" s="19" t="s">
        <v>12</v>
      </c>
      <c r="N34" s="19">
        <v>1.42</v>
      </c>
      <c r="O34" s="19">
        <v>0.8</v>
      </c>
      <c r="P34" s="19">
        <v>0.32</v>
      </c>
      <c r="Q34" s="19">
        <v>-0.56000000000000005</v>
      </c>
      <c r="R34" s="19">
        <v>0.59</v>
      </c>
      <c r="S34" s="19">
        <v>0.94</v>
      </c>
      <c r="T34" s="19">
        <v>0.63</v>
      </c>
      <c r="U34" s="19">
        <v>0.21</v>
      </c>
      <c r="V34" s="19">
        <v>0.75</v>
      </c>
      <c r="W34" s="19">
        <v>1</v>
      </c>
    </row>
    <row r="35" spans="1:23" ht="15.75"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 spans="1:23" ht="15.75">
      <c r="A36" s="6" t="s">
        <v>53</v>
      </c>
      <c r="B36">
        <v>0.6</v>
      </c>
      <c r="M36" s="19" t="s">
        <v>53</v>
      </c>
      <c r="N36" s="19">
        <v>0.6</v>
      </c>
      <c r="O36" s="19"/>
      <c r="P36" s="19"/>
      <c r="Q36" s="19"/>
      <c r="R36" s="19"/>
      <c r="S36" s="19"/>
      <c r="T36" s="19"/>
      <c r="U36" s="19"/>
      <c r="V36" s="19"/>
      <c r="W36" s="19"/>
    </row>
    <row r="37" spans="1:23" ht="15.75"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1:23" ht="77.25">
      <c r="B38" s="17" t="s">
        <v>54</v>
      </c>
      <c r="C38" s="17" t="s">
        <v>55</v>
      </c>
      <c r="D38" s="17" t="s">
        <v>56</v>
      </c>
      <c r="E38" s="17" t="s">
        <v>57</v>
      </c>
      <c r="F38" s="17"/>
      <c r="G38" s="17"/>
      <c r="M38" s="19"/>
      <c r="N38" s="23" t="s">
        <v>54</v>
      </c>
      <c r="O38" s="23" t="s">
        <v>55</v>
      </c>
      <c r="P38" s="23" t="s">
        <v>56</v>
      </c>
      <c r="Q38" s="23" t="s">
        <v>57</v>
      </c>
      <c r="R38" s="23"/>
      <c r="S38" s="23"/>
      <c r="T38" s="19"/>
      <c r="U38" s="19"/>
      <c r="V38" s="19"/>
      <c r="W38" s="19"/>
    </row>
    <row r="39" spans="1:23" ht="15.75">
      <c r="A39" s="5" t="str">
        <f>A25</f>
        <v>SPY</v>
      </c>
      <c r="B39" s="10" cm="1">
        <f t="array" ref="B39:B48">(MMULT(B12:K21,TRANSPOSE(B8:K8))*B4+B2)</f>
        <v>8.6704672901314304E-3</v>
      </c>
      <c r="C39" s="10">
        <v>4.4000000000000003E-3</v>
      </c>
      <c r="D39" s="13" cm="1">
        <f t="array" ref="D39:D48">(_xlfn.ANCHORARRAY(B39)+MMULT(B25:K34,C39:C48))</f>
        <v>1.3820510456609062E-2</v>
      </c>
      <c r="E39" s="10">
        <f>$B$36*D39+(1-$B$36)*B39</f>
        <v>1.1760493190018009E-2</v>
      </c>
      <c r="M39" s="19" t="s">
        <v>3</v>
      </c>
      <c r="N39" s="20">
        <v>8.6999999999999994E-3</v>
      </c>
      <c r="O39" s="20">
        <v>4.4000000000000003E-3</v>
      </c>
      <c r="P39" s="20">
        <v>1.38E-2</v>
      </c>
      <c r="Q39" s="20">
        <v>1.18E-2</v>
      </c>
      <c r="R39" s="19"/>
      <c r="S39" s="19"/>
      <c r="T39" s="19"/>
      <c r="U39" s="19"/>
      <c r="V39" s="19"/>
      <c r="W39" s="19"/>
    </row>
    <row r="40" spans="1:23" ht="15.75">
      <c r="A40" s="5" t="str">
        <f>A26</f>
        <v>IWM</v>
      </c>
      <c r="B40" s="10">
        <v>9.44578133155018E-3</v>
      </c>
      <c r="C40" s="10">
        <v>1.1999999999999999E-3</v>
      </c>
      <c r="D40" s="10">
        <v>1.6116102176498795E-2</v>
      </c>
      <c r="E40" s="10">
        <f t="shared" ref="E40:E48" si="0">$B$36*D40+(1-$B$36)*B40</f>
        <v>1.3447973838519348E-2</v>
      </c>
      <c r="M40" s="19" t="s">
        <v>4</v>
      </c>
      <c r="N40" s="20">
        <v>9.4000000000000004E-3</v>
      </c>
      <c r="O40" s="20">
        <v>1.1999999999999999E-3</v>
      </c>
      <c r="P40" s="20">
        <v>1.61E-2</v>
      </c>
      <c r="Q40" s="20">
        <v>1.34E-2</v>
      </c>
      <c r="R40" s="19"/>
      <c r="S40" s="19"/>
      <c r="T40" s="19"/>
      <c r="U40" s="19"/>
      <c r="V40" s="19"/>
      <c r="W40" s="19"/>
    </row>
    <row r="41" spans="1:23" ht="15.75">
      <c r="A41" s="5" t="str">
        <f>A27</f>
        <v>TLT</v>
      </c>
      <c r="B41" s="10">
        <v>4.1124284570158987E-3</v>
      </c>
      <c r="C41" s="10">
        <v>-4.4000000000000002E-4</v>
      </c>
      <c r="D41" s="10">
        <v>3.7616867344011633E-3</v>
      </c>
      <c r="E41" s="10">
        <f t="shared" si="0"/>
        <v>3.9019834234470573E-3</v>
      </c>
      <c r="M41" s="19" t="s">
        <v>5</v>
      </c>
      <c r="N41" s="20">
        <v>4.1000000000000003E-3</v>
      </c>
      <c r="O41" s="20">
        <v>-4.0000000000000002E-4</v>
      </c>
      <c r="P41" s="20">
        <v>3.8E-3</v>
      </c>
      <c r="Q41" s="20">
        <v>3.8999999999999998E-3</v>
      </c>
      <c r="R41" s="19"/>
      <c r="S41" s="19"/>
      <c r="T41" s="19"/>
      <c r="U41" s="19"/>
      <c r="V41" s="19"/>
      <c r="W41" s="19"/>
    </row>
    <row r="42" spans="1:23" ht="15.75">
      <c r="A42" s="5" t="str">
        <f>A28</f>
        <v>GLD</v>
      </c>
      <c r="B42" s="10">
        <v>4.179496921627261E-3</v>
      </c>
      <c r="C42" s="10">
        <v>0</v>
      </c>
      <c r="D42" s="10">
        <v>4.3013726385950505E-3</v>
      </c>
      <c r="E42" s="10">
        <f t="shared" si="0"/>
        <v>4.2526223518079345E-3</v>
      </c>
      <c r="M42" s="19" t="s">
        <v>6</v>
      </c>
      <c r="N42" s="20">
        <v>4.1999999999999997E-3</v>
      </c>
      <c r="O42" s="20">
        <v>0</v>
      </c>
      <c r="P42" s="20">
        <v>4.3E-3</v>
      </c>
      <c r="Q42" s="20">
        <v>4.3E-3</v>
      </c>
      <c r="R42" s="19"/>
      <c r="S42" s="19"/>
      <c r="T42" s="19"/>
      <c r="U42" s="19"/>
      <c r="V42" s="19"/>
      <c r="W42" s="19"/>
    </row>
    <row r="43" spans="1:23" ht="15.75">
      <c r="A43" s="5" t="str">
        <f>A29</f>
        <v>VNQ</v>
      </c>
      <c r="B43" s="10">
        <v>8.2160429079937598E-3</v>
      </c>
      <c r="C43" s="10">
        <v>0</v>
      </c>
      <c r="D43" s="10">
        <v>1.3259731406581777E-2</v>
      </c>
      <c r="E43" s="10">
        <f t="shared" si="0"/>
        <v>1.1242256007146571E-2</v>
      </c>
      <c r="M43" s="19" t="s">
        <v>7</v>
      </c>
      <c r="N43" s="20">
        <v>8.2000000000000007E-3</v>
      </c>
      <c r="O43" s="20">
        <v>0</v>
      </c>
      <c r="P43" s="20">
        <v>1.3299999999999999E-2</v>
      </c>
      <c r="Q43" s="20">
        <v>1.12E-2</v>
      </c>
      <c r="R43" s="19"/>
      <c r="S43" s="19"/>
      <c r="T43" s="19"/>
      <c r="U43" s="19"/>
      <c r="V43" s="19"/>
      <c r="W43" s="19"/>
    </row>
    <row r="44" spans="1:23" ht="15.75">
      <c r="A44" s="5" t="str">
        <f>A30</f>
        <v>ORCL</v>
      </c>
      <c r="B44" s="10">
        <v>1.246122862059785E-2</v>
      </c>
      <c r="C44" s="10">
        <v>0</v>
      </c>
      <c r="D44" s="10">
        <v>1.7059511192865369E-2</v>
      </c>
      <c r="E44" s="10">
        <f t="shared" si="0"/>
        <v>1.5220198163958362E-2</v>
      </c>
      <c r="M44" s="19" t="s">
        <v>8</v>
      </c>
      <c r="N44" s="20">
        <v>1.2500000000000001E-2</v>
      </c>
      <c r="O44" s="20">
        <v>0</v>
      </c>
      <c r="P44" s="20">
        <v>1.7100000000000001E-2</v>
      </c>
      <c r="Q44" s="20">
        <v>1.52E-2</v>
      </c>
      <c r="R44" s="19"/>
      <c r="S44" s="19"/>
      <c r="T44" s="19"/>
      <c r="U44" s="19"/>
      <c r="V44" s="19"/>
      <c r="W44" s="19"/>
    </row>
    <row r="45" spans="1:23" ht="15.75">
      <c r="A45" s="5" t="str">
        <f>A31</f>
        <v>BLK</v>
      </c>
      <c r="B45" s="10">
        <v>1.0737678506284945E-2</v>
      </c>
      <c r="C45" s="10">
        <v>0</v>
      </c>
      <c r="D45" s="10">
        <v>1.7221329018341208E-2</v>
      </c>
      <c r="E45" s="10">
        <f t="shared" si="0"/>
        <v>1.4627868813518703E-2</v>
      </c>
      <c r="M45" s="19" t="s">
        <v>9</v>
      </c>
      <c r="N45" s="20">
        <v>1.0699999999999999E-2</v>
      </c>
      <c r="O45" s="20">
        <v>0</v>
      </c>
      <c r="P45" s="20">
        <v>1.72E-2</v>
      </c>
      <c r="Q45" s="20">
        <v>1.46E-2</v>
      </c>
      <c r="R45" s="19"/>
      <c r="S45" s="19"/>
      <c r="T45" s="19"/>
      <c r="U45" s="19"/>
      <c r="V45" s="19"/>
      <c r="W45" s="19"/>
    </row>
    <row r="46" spans="1:23" ht="15.75">
      <c r="A46" s="5" t="str">
        <f>A32</f>
        <v>LMT</v>
      </c>
      <c r="B46" s="10">
        <v>6.400282610552201E-3</v>
      </c>
      <c r="C46" s="10">
        <v>0</v>
      </c>
      <c r="D46" s="10">
        <v>8.8069186221074597E-3</v>
      </c>
      <c r="E46" s="10">
        <f t="shared" si="0"/>
        <v>7.8442642174853562E-3</v>
      </c>
      <c r="M46" s="19" t="s">
        <v>10</v>
      </c>
      <c r="N46" s="20">
        <v>6.4000000000000003E-3</v>
      </c>
      <c r="O46" s="20">
        <v>0</v>
      </c>
      <c r="P46" s="20">
        <v>8.8000000000000005E-3</v>
      </c>
      <c r="Q46" s="20">
        <v>7.7999999999999996E-3</v>
      </c>
      <c r="R46" s="19"/>
      <c r="S46" s="19"/>
      <c r="T46" s="19"/>
      <c r="U46" s="19"/>
      <c r="V46" s="19"/>
      <c r="W46" s="19"/>
    </row>
    <row r="47" spans="1:23" ht="15.75">
      <c r="A47" s="5" t="str">
        <f>A33</f>
        <v>XLV</v>
      </c>
      <c r="B47" s="10">
        <v>7.0304331102810499E-3</v>
      </c>
      <c r="C47" s="10">
        <v>0</v>
      </c>
      <c r="D47" s="10">
        <v>1.0622891488975114E-2</v>
      </c>
      <c r="E47" s="10">
        <f t="shared" si="0"/>
        <v>9.1859081374974887E-3</v>
      </c>
      <c r="M47" s="19" t="s">
        <v>11</v>
      </c>
      <c r="N47" s="20">
        <v>7.0000000000000001E-3</v>
      </c>
      <c r="O47" s="20">
        <v>0</v>
      </c>
      <c r="P47" s="20">
        <v>1.06E-2</v>
      </c>
      <c r="Q47" s="20">
        <v>9.1999999999999998E-3</v>
      </c>
      <c r="R47" s="19"/>
      <c r="S47" s="19"/>
      <c r="T47" s="19"/>
      <c r="U47" s="19"/>
      <c r="V47" s="19"/>
      <c r="W47" s="19"/>
    </row>
    <row r="48" spans="1:23" ht="15.75">
      <c r="A48" s="5" t="str">
        <f>A34</f>
        <v>SMCI</v>
      </c>
      <c r="B48" s="10">
        <v>1.4129627712362395E-2</v>
      </c>
      <c r="C48" s="10">
        <v>0</v>
      </c>
      <c r="D48" s="10">
        <v>2.1218651632979604E-2</v>
      </c>
      <c r="E48" s="10">
        <f t="shared" si="0"/>
        <v>1.8383042064732721E-2</v>
      </c>
      <c r="M48" s="19" t="s">
        <v>12</v>
      </c>
      <c r="N48" s="20">
        <v>1.41E-2</v>
      </c>
      <c r="O48" s="20">
        <v>0</v>
      </c>
      <c r="P48" s="20">
        <v>2.12E-2</v>
      </c>
      <c r="Q48" s="20">
        <v>1.84E-2</v>
      </c>
      <c r="R48" s="19"/>
      <c r="S48" s="19"/>
      <c r="T48" s="19"/>
      <c r="U48" s="19"/>
      <c r="V48" s="19"/>
      <c r="W48" s="19"/>
    </row>
    <row r="49" spans="1:23" ht="15.75"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1:23" ht="77.25">
      <c r="B50" s="17" t="s">
        <v>58</v>
      </c>
      <c r="C50" s="17" t="s">
        <v>59</v>
      </c>
      <c r="D50" s="17" t="s">
        <v>60</v>
      </c>
      <c r="M50" s="19"/>
      <c r="N50" s="23" t="s">
        <v>58</v>
      </c>
      <c r="O50" s="23" t="s">
        <v>59</v>
      </c>
      <c r="P50" s="23" t="s">
        <v>60</v>
      </c>
      <c r="Q50" s="19"/>
      <c r="R50" s="19"/>
      <c r="S50" s="19"/>
      <c r="T50" s="19"/>
      <c r="U50" s="19"/>
      <c r="V50" s="19"/>
      <c r="W50" s="19"/>
    </row>
    <row r="51" spans="1:23" ht="15.75">
      <c r="A51" s="5" t="str">
        <f>A39</f>
        <v>SPY</v>
      </c>
      <c r="B51" s="10" cm="1">
        <f t="array" ref="B51:B60">MMULT(MINVERSE(B12:K21), B39:B48-B2)/SUM(MMULT(MINVERSE(B12:K21), B39:B48-B2))</f>
        <v>0.29596523262951763</v>
      </c>
      <c r="C51" s="10" cm="1">
        <f t="array" ref="C51:C60">MMULT(MINVERSE(B12:K21),_xlfn.ANCHORARRAY( D39)-B2)/SUM(MMULT(MINVERSE(B12:K21),_xlfn.ANCHORARRAY( D39)-B2))</f>
        <v>0.59637987529798142</v>
      </c>
      <c r="D51" s="10" cm="1">
        <f t="array" ref="D51:D60">MMULT(MINVERSE(B12:K21), E39:E48-B2)/SUM(MMULT(MINVERSE(B12:K21), E39:E48-B2))</f>
        <v>0.51381217762776021</v>
      </c>
      <c r="M51" s="19" t="s">
        <v>3</v>
      </c>
      <c r="N51" s="20">
        <v>0.29599999999999999</v>
      </c>
      <c r="O51" s="20">
        <v>0.59640000000000004</v>
      </c>
      <c r="P51" s="20">
        <v>0.51380000000000003</v>
      </c>
      <c r="Q51" s="19"/>
      <c r="R51" s="19"/>
      <c r="S51" s="19"/>
      <c r="T51" s="19"/>
      <c r="U51" s="19"/>
      <c r="V51" s="19"/>
      <c r="W51" s="19"/>
    </row>
    <row r="52" spans="1:23" ht="15.75">
      <c r="A52" s="5" t="str">
        <f t="shared" ref="A52:A59" si="1">A40</f>
        <v>IWM</v>
      </c>
      <c r="B52" s="10">
        <v>3.1645682791013582E-2</v>
      </c>
      <c r="C52" s="10">
        <v>7.8606403602163033E-2</v>
      </c>
      <c r="D52" s="10">
        <v>6.5699447523494603E-2</v>
      </c>
      <c r="M52" s="19" t="s">
        <v>4</v>
      </c>
      <c r="N52" s="20">
        <v>3.1600000000000003E-2</v>
      </c>
      <c r="O52" s="20">
        <v>7.8600000000000003E-2</v>
      </c>
      <c r="P52" s="20">
        <v>6.5699999999999995E-2</v>
      </c>
      <c r="Q52" s="19"/>
      <c r="R52" s="19"/>
      <c r="S52" s="19"/>
      <c r="T52" s="19"/>
      <c r="U52" s="19"/>
      <c r="V52" s="19"/>
      <c r="W52" s="19"/>
    </row>
    <row r="53" spans="1:23" ht="15.75">
      <c r="A53" s="5" t="str">
        <f t="shared" si="1"/>
        <v>TLT</v>
      </c>
      <c r="B53" s="10">
        <v>2.5290444566767552E-2</v>
      </c>
      <c r="C53" s="10">
        <v>-4.2878366198938207E-2</v>
      </c>
      <c r="D53" s="10">
        <v>-2.4142456032092814E-2</v>
      </c>
      <c r="M53" s="19" t="s">
        <v>5</v>
      </c>
      <c r="N53" s="20">
        <v>2.53E-2</v>
      </c>
      <c r="O53" s="20">
        <v>-4.2900000000000001E-2</v>
      </c>
      <c r="P53" s="20">
        <v>-2.41E-2</v>
      </c>
      <c r="Q53" s="19"/>
      <c r="R53" s="19"/>
      <c r="S53" s="19"/>
      <c r="T53" s="19"/>
      <c r="U53" s="19"/>
      <c r="V53" s="19"/>
      <c r="W53" s="19"/>
    </row>
    <row r="54" spans="1:23" ht="15.75">
      <c r="A54" s="5" t="str">
        <f t="shared" si="1"/>
        <v>GLD</v>
      </c>
      <c r="B54" s="10">
        <v>5.2249224937146295E-2</v>
      </c>
      <c r="C54" s="10">
        <v>2.9705017493923114E-2</v>
      </c>
      <c r="D54" s="10">
        <v>3.5901197839369813E-2</v>
      </c>
      <c r="M54" s="19" t="s">
        <v>6</v>
      </c>
      <c r="N54" s="20">
        <v>5.2200000000000003E-2</v>
      </c>
      <c r="O54" s="20">
        <v>2.9700000000000001E-2</v>
      </c>
      <c r="P54" s="20">
        <v>3.5900000000000001E-2</v>
      </c>
      <c r="Q54" s="19"/>
      <c r="R54" s="19"/>
      <c r="S54" s="19"/>
      <c r="T54" s="19"/>
      <c r="U54" s="19"/>
      <c r="V54" s="19"/>
      <c r="W54" s="19"/>
    </row>
    <row r="55" spans="1:23" ht="15.75">
      <c r="A55" s="5" t="str">
        <f t="shared" si="1"/>
        <v>VNQ</v>
      </c>
      <c r="B55" s="10">
        <v>1.3930673233794336E-2</v>
      </c>
      <c r="C55" s="10">
        <v>7.9199431687216534E-3</v>
      </c>
      <c r="D55" s="10">
        <v>9.5719669794860907E-3</v>
      </c>
      <c r="M55" s="19" t="s">
        <v>7</v>
      </c>
      <c r="N55" s="20">
        <v>1.3899999999999999E-2</v>
      </c>
      <c r="O55" s="20">
        <v>7.9000000000000008E-3</v>
      </c>
      <c r="P55" s="20">
        <v>9.5999999999999992E-3</v>
      </c>
      <c r="Q55" s="19"/>
      <c r="R55" s="19"/>
      <c r="S55" s="19"/>
      <c r="T55" s="19"/>
      <c r="U55" s="19"/>
      <c r="V55" s="19"/>
      <c r="W55" s="19"/>
    </row>
    <row r="56" spans="1:23" ht="15.75">
      <c r="A56" s="5" t="str">
        <f t="shared" si="1"/>
        <v>ORCL</v>
      </c>
      <c r="B56" s="10">
        <v>0.40802908040874991</v>
      </c>
      <c r="C56" s="10">
        <v>0.23197494290396917</v>
      </c>
      <c r="D56" s="10">
        <v>0.28036268016592519</v>
      </c>
      <c r="M56" s="19" t="s">
        <v>8</v>
      </c>
      <c r="N56" s="20">
        <v>0.40799999999999997</v>
      </c>
      <c r="O56" s="20">
        <v>0.23200000000000001</v>
      </c>
      <c r="P56" s="20">
        <v>0.28039999999999998</v>
      </c>
      <c r="Q56" s="19"/>
      <c r="R56" s="19"/>
      <c r="S56" s="19"/>
      <c r="T56" s="19"/>
      <c r="U56" s="19"/>
      <c r="V56" s="19"/>
      <c r="W56" s="19"/>
    </row>
    <row r="57" spans="1:23" ht="15.75">
      <c r="A57" s="5" t="str">
        <f t="shared" si="1"/>
        <v>BLK</v>
      </c>
      <c r="B57" s="10">
        <v>8.919856572987106E-2</v>
      </c>
      <c r="C57" s="10">
        <v>5.0711660481587068E-2</v>
      </c>
      <c r="D57" s="10">
        <v>6.1289624087408415E-2</v>
      </c>
      <c r="M57" s="19" t="s">
        <v>9</v>
      </c>
      <c r="N57" s="20">
        <v>8.9200000000000002E-2</v>
      </c>
      <c r="O57" s="20">
        <v>5.0700000000000002E-2</v>
      </c>
      <c r="P57" s="20">
        <v>6.13E-2</v>
      </c>
      <c r="Q57" s="19"/>
      <c r="R57" s="19"/>
      <c r="S57" s="19"/>
      <c r="T57" s="19"/>
      <c r="U57" s="19"/>
      <c r="V57" s="19"/>
      <c r="W57" s="19"/>
    </row>
    <row r="58" spans="1:23" ht="15.75">
      <c r="A58" s="5" t="str">
        <f t="shared" si="1"/>
        <v>LMT</v>
      </c>
      <c r="B58" s="10">
        <v>5.6922783034882456E-2</v>
      </c>
      <c r="C58" s="10">
        <v>3.2362054516369053E-2</v>
      </c>
      <c r="D58" s="10">
        <v>3.91124671755647E-2</v>
      </c>
      <c r="M58" s="19" t="s">
        <v>10</v>
      </c>
      <c r="N58" s="20">
        <v>5.6899999999999999E-2</v>
      </c>
      <c r="O58" s="20">
        <v>3.2399999999999998E-2</v>
      </c>
      <c r="P58" s="20">
        <v>3.9100000000000003E-2</v>
      </c>
      <c r="Q58" s="19"/>
      <c r="R58" s="19"/>
      <c r="S58" s="19"/>
      <c r="T58" s="19"/>
      <c r="U58" s="19"/>
      <c r="V58" s="19"/>
      <c r="W58" s="19"/>
    </row>
    <row r="59" spans="1:23" ht="15.75">
      <c r="A59" s="5" t="str">
        <f t="shared" si="1"/>
        <v>XLV</v>
      </c>
      <c r="B59" s="10">
        <v>1.2225057715633536E-2</v>
      </c>
      <c r="C59" s="10">
        <v>6.9502572285803036E-3</v>
      </c>
      <c r="D59" s="10">
        <v>8.4000138982858758E-3</v>
      </c>
      <c r="M59" s="19" t="s">
        <v>11</v>
      </c>
      <c r="N59" s="20">
        <v>1.2200000000000001E-2</v>
      </c>
      <c r="O59" s="20">
        <v>7.0000000000000001E-3</v>
      </c>
      <c r="P59" s="20">
        <v>8.3999999999999995E-3</v>
      </c>
      <c r="Q59" s="19"/>
      <c r="R59" s="19"/>
      <c r="S59" s="19"/>
      <c r="T59" s="19"/>
      <c r="U59" s="19"/>
      <c r="V59" s="19"/>
      <c r="W59" s="19"/>
    </row>
    <row r="60" spans="1:23" ht="15.75">
      <c r="A60" s="5" t="str">
        <f>A48</f>
        <v>SMCI</v>
      </c>
      <c r="B60" s="10">
        <v>1.4543254952623616E-2</v>
      </c>
      <c r="C60" s="10">
        <v>8.2682115056434639E-3</v>
      </c>
      <c r="D60" s="10">
        <v>9.9928807347979647E-3</v>
      </c>
      <c r="M60" s="19" t="s">
        <v>12</v>
      </c>
      <c r="N60" s="20">
        <v>1.4500000000000001E-2</v>
      </c>
      <c r="O60" s="20">
        <v>8.3000000000000001E-3</v>
      </c>
      <c r="P60" s="20">
        <v>0.01</v>
      </c>
      <c r="Q60" s="19"/>
      <c r="R60" s="19"/>
      <c r="S60" s="19"/>
      <c r="T60" s="19"/>
      <c r="U60" s="19"/>
      <c r="V60" s="19"/>
      <c r="W60" s="19"/>
    </row>
    <row r="61" spans="1:23" ht="15.75">
      <c r="A61" s="7" t="s">
        <v>61</v>
      </c>
      <c r="B61">
        <f>SUM(B51:B60)</f>
        <v>1</v>
      </c>
      <c r="C61">
        <f t="shared" ref="C61:D61" si="2">SUM(C51:C60)</f>
        <v>1</v>
      </c>
      <c r="D61">
        <f t="shared" si="2"/>
        <v>1.0000000000000002</v>
      </c>
      <c r="M61" s="24" t="s">
        <v>61</v>
      </c>
      <c r="N61" s="19">
        <v>1</v>
      </c>
      <c r="O61" s="19">
        <v>1</v>
      </c>
      <c r="P61" s="19">
        <v>1</v>
      </c>
      <c r="Q61" s="19"/>
      <c r="R61" s="19"/>
      <c r="S61" s="19"/>
      <c r="T61" s="19"/>
      <c r="U61" s="19"/>
      <c r="V61" s="19"/>
      <c r="W61" s="19"/>
    </row>
    <row r="62" spans="1:23" ht="15.75"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1:23" ht="15.75">
      <c r="A63" t="s">
        <v>62</v>
      </c>
      <c r="B63" s="10" cm="1">
        <f t="array" ref="B63">MMULT(TRANSPOSE(B51:B60), (_xlfn.ANCHORARRAY(B39)))</f>
        <v>9.9999999999999898E-3</v>
      </c>
      <c r="C63" s="10" cm="1">
        <f t="array" ref="C63">MMULT(TRANSPOSE(C51:C60),D39:D48)</f>
        <v>1.4945580255823144E-2</v>
      </c>
      <c r="D63" s="10" cm="1">
        <f t="array" ref="D63">MMULT(TRANSPOSE(_xlfn.ANCHORARRAY(D51)), E39:E48)</f>
        <v>1.2823672304192124E-2</v>
      </c>
      <c r="M63" s="19" t="s">
        <v>63</v>
      </c>
      <c r="N63" s="20">
        <v>0.01</v>
      </c>
      <c r="O63" s="20">
        <v>1.49E-2</v>
      </c>
      <c r="P63" s="20">
        <v>1.2800000000000001E-2</v>
      </c>
      <c r="Q63" s="19"/>
      <c r="R63" s="19"/>
      <c r="S63" s="19"/>
      <c r="T63" s="19"/>
      <c r="U63" s="19"/>
      <c r="V63" s="19"/>
      <c r="W63" s="19"/>
    </row>
  </sheetData>
  <mergeCells count="1"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Arnie (Student)</dc:creator>
  <cp:keywords/>
  <dc:description/>
  <cp:lastModifiedBy>Arnav Mathur</cp:lastModifiedBy>
  <cp:revision/>
  <dcterms:created xsi:type="dcterms:W3CDTF">2025-10-26T18:50:12Z</dcterms:created>
  <dcterms:modified xsi:type="dcterms:W3CDTF">2025-11-23T00:29:07Z</dcterms:modified>
  <cp:category/>
  <cp:contentStatus/>
</cp:coreProperties>
</file>