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3" documentId="13_ncr:1_{7585DC61-5185-D64D-9E58-D81A21BA24D4}" xr6:coauthVersionLast="47" xr6:coauthVersionMax="47" xr10:uidLastSave="{871BBCF7-91D6-42F8-8A92-4DE386A361B0}"/>
  <bookViews>
    <workbookView xWindow="1020" yWindow="1040" windowWidth="28040" windowHeight="17060" xr2:uid="{FA3FDD5F-9FA7-5E4E-ACCF-DDA50B62C43E}"/>
  </bookViews>
  <sheets>
    <sheet name="3 bond portfolio optimiz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 s="1"/>
  <c r="D12" i="1"/>
  <c r="E12" i="1" s="1"/>
  <c r="D10" i="1"/>
  <c r="E10" i="1" s="1"/>
  <c r="B12" i="1"/>
  <c r="C12" i="1" s="1"/>
  <c r="B10" i="1"/>
  <c r="C10" i="1" s="1"/>
  <c r="B14" i="1" s="1"/>
  <c r="A12" i="1"/>
  <c r="A11" i="1"/>
  <c r="A10" i="1"/>
  <c r="F6" i="1"/>
  <c r="B11" i="1" s="1"/>
  <c r="C11" i="1" s="1"/>
  <c r="B16" i="1" l="1"/>
  <c r="B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tc={1224D1A0-0408-604C-AAFC-2BC0E92ED19B}</author>
    <author>tc={E2528616-DA9A-F048-A97B-48DB10673B64}</author>
    <author>tc={5A2CD5E0-0682-464E-BDE1-74FBF989DC69}</author>
  </authors>
  <commentList>
    <comment ref="B14" authorId="0" shapeId="0" xr:uid="{1224D1A0-0408-604C-AAFC-2BC0E92ED19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can expect a return of 4.98% a year from this portfolio</t>
      </text>
    </comment>
    <comment ref="B15" authorId="1" shapeId="0" xr:uid="{E2528616-DA9A-F048-A97B-48DB10673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average, bonds in our portfolio will mature in 7 years
</t>
      </text>
    </comment>
    <comment ref="B16" authorId="2" shapeId="0" xr:uid="{5A2CD5E0-0682-464E-BDE1-74FBF989DC6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interest rate is to increase by 1%, the value of the portfolio will fall by 7.06%
Invest in shorter-term bonds to reduce interest rate risk.</t>
      </text>
    </comment>
  </commentList>
</comments>
</file>

<file path=xl/sharedStrings.xml><?xml version="1.0" encoding="utf-8"?>
<sst xmlns="http://schemas.openxmlformats.org/spreadsheetml/2006/main" count="22" uniqueCount="21">
  <si>
    <t>Todays Date</t>
  </si>
  <si>
    <t>Bond Name</t>
  </si>
  <si>
    <t>Issuer Type</t>
  </si>
  <si>
    <t>Coupon Rate(%)</t>
  </si>
  <si>
    <t>Yield to Maturity (%)</t>
  </si>
  <si>
    <t>Maturity Date</t>
  </si>
  <si>
    <t>Market Price</t>
  </si>
  <si>
    <t>Face Value</t>
  </si>
  <si>
    <t>US10Y</t>
  </si>
  <si>
    <t>US Treasury</t>
  </si>
  <si>
    <t>JNSTT6194863</t>
  </si>
  <si>
    <t>Jane Street</t>
  </si>
  <si>
    <t>Municipal Bond</t>
  </si>
  <si>
    <t>Municipal</t>
  </si>
  <si>
    <t>Market Value</t>
  </si>
  <si>
    <t>Weight</t>
  </si>
  <si>
    <t>Maturity (years)</t>
  </si>
  <si>
    <t>Duration</t>
  </si>
  <si>
    <t>Weighted Average Yield (%)</t>
  </si>
  <si>
    <t>Weighted Average Maturity</t>
  </si>
  <si>
    <t>Weight Average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</si>
</sst>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%"/>
    <numFmt numFmtId="165" formatCode="&quot;$&quot;#,##0.0000_);[Red]\(&quot;$&quot;#,##0.0000\)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8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791B8F69-6277-FD49-BD9E-2B8666351394}" userId="S::amathur@chapman.edu::75f659af-a6ec-4989-964d-4525fe542e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0T08:59:12.92" personId="{791B8F69-6277-FD49-BD9E-2B8666351394}" id="{1224D1A0-0408-604C-AAFC-2BC0E92ED19B}">
    <text>we can expect a return of 4.98% a year from this portfolio</text>
  </threadedComment>
  <threadedComment ref="B15" dT="2025-11-10T08:59:42.22" personId="{791B8F69-6277-FD49-BD9E-2B8666351394}" id="{E2528616-DA9A-F048-A97B-48DB10673B64}">
    <text xml:space="preserve">In average, bonds in our portfolio will mature in 7 years
</text>
  </threadedComment>
  <threadedComment ref="B16" dT="2025-11-10T09:00:05.85" personId="{791B8F69-6277-FD49-BD9E-2B8666351394}" id="{5A2CD5E0-0682-464E-BDE1-74FBF989DC69}">
    <text>If the interest rate is to increase by 1%, the value of the portfolio will fall by 7.06%
Invest in shorter-term bonds to reduce interest rate risk.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FCD917-DA5E-0A4A-A1A8-DB9A0A1D656C}">
  <we:reference id="wa200005656" version="1.7.0.0" store="en-US" storeType="OMEX"/>
  <we:alternateReferences>
    <we:reference id="wa200005656" version="1.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_xldudf_QFS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967E-60EF-6046-9EEC-290E9B86C103}">
  <dimension ref="A2:G16"/>
  <sheetViews>
    <sheetView showGridLines="0" tabSelected="1" zoomScale="131" workbookViewId="0">
      <selection activeCell="H16" sqref="H16"/>
    </sheetView>
  </sheetViews>
  <sheetFormatPr defaultColWidth="11" defaultRowHeight="15.95"/>
  <cols>
    <col min="1" max="1" width="23" bestFit="1" customWidth="1"/>
    <col min="2" max="2" width="13.5" bestFit="1" customWidth="1"/>
    <col min="3" max="3" width="14.5" bestFit="1" customWidth="1"/>
    <col min="4" max="4" width="17.625" bestFit="1" customWidth="1"/>
    <col min="5" max="5" width="12.875" bestFit="1" customWidth="1"/>
    <col min="6" max="6" width="11.375" bestFit="1" customWidth="1"/>
    <col min="7" max="7" width="10" bestFit="1" customWidth="1"/>
  </cols>
  <sheetData>
    <row r="2" spans="1:7">
      <c r="A2" s="6" t="s">
        <v>0</v>
      </c>
      <c r="B2" s="7">
        <v>45983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8</v>
      </c>
      <c r="B5" s="3" t="s">
        <v>9</v>
      </c>
      <c r="C5" s="8">
        <v>4.2500000000000003E-2</v>
      </c>
      <c r="D5" s="9">
        <v>4.1410000000000002E-2</v>
      </c>
      <c r="E5" s="4">
        <v>49535</v>
      </c>
      <c r="F5" s="11">
        <v>100.85939999999999</v>
      </c>
      <c r="G5" s="5">
        <v>100</v>
      </c>
    </row>
    <row r="6" spans="1:7">
      <c r="A6" s="3" t="s">
        <v>10</v>
      </c>
      <c r="B6" s="3" t="s">
        <v>11</v>
      </c>
      <c r="C6" s="8">
        <v>6.7500000000000004E-2</v>
      </c>
      <c r="D6" s="9">
        <v>5.9799999999999999E-2</v>
      </c>
      <c r="E6" s="4">
        <v>48700</v>
      </c>
      <c r="F6" s="5">
        <f>G6*104.625%</f>
        <v>104.62499999999999</v>
      </c>
      <c r="G6" s="5">
        <v>100</v>
      </c>
    </row>
    <row r="7" spans="1:7">
      <c r="A7" s="3" t="s">
        <v>12</v>
      </c>
      <c r="B7" s="3" t="s">
        <v>13</v>
      </c>
      <c r="C7" s="8">
        <v>5.5E-2</v>
      </c>
      <c r="D7" s="9">
        <v>4.8000000000000001E-2</v>
      </c>
      <c r="E7" s="4">
        <v>47484</v>
      </c>
      <c r="F7" s="5">
        <v>107.89</v>
      </c>
      <c r="G7" s="5">
        <v>100</v>
      </c>
    </row>
    <row r="9" spans="1:7">
      <c r="A9" s="12" t="s">
        <v>1</v>
      </c>
      <c r="B9" s="12" t="s">
        <v>14</v>
      </c>
      <c r="C9" s="12" t="s">
        <v>15</v>
      </c>
      <c r="D9" s="12" t="s">
        <v>16</v>
      </c>
      <c r="E9" s="12" t="s">
        <v>17</v>
      </c>
    </row>
    <row r="10" spans="1:7">
      <c r="A10" s="3" t="str">
        <f>A5</f>
        <v>US10Y</v>
      </c>
      <c r="B10" s="1">
        <f>F5*G5</f>
        <v>10085.939999999999</v>
      </c>
      <c r="C10" s="14">
        <f>B10/(SUM($B$10:$B$12))</f>
        <v>0.32184951929704531</v>
      </c>
      <c r="D10" s="15">
        <f>(E5-$B$2)/365</f>
        <v>9.7315068493150694</v>
      </c>
      <c r="E10" s="15">
        <f>D10/(1+D5/100)</f>
        <v>9.727478700385241</v>
      </c>
    </row>
    <row r="11" spans="1:7">
      <c r="A11" s="3" t="str">
        <f>A6</f>
        <v>JNSTT6194863</v>
      </c>
      <c r="B11" s="1">
        <f t="shared" ref="B11:B12" si="0">F6*G6</f>
        <v>10462.499999999998</v>
      </c>
      <c r="C11" s="14">
        <f t="shared" ref="C11:C12" si="1">B11/(SUM($B$10:$B$12))</f>
        <v>0.33386581673550869</v>
      </c>
      <c r="D11" s="15">
        <f t="shared" ref="D11:D12" si="2">(E6-$B$2)/365</f>
        <v>7.4438356164383563</v>
      </c>
      <c r="E11" s="15">
        <f t="shared" ref="E11:E12" si="3">D11/(1+D6/100)</f>
        <v>7.4393868630942253</v>
      </c>
    </row>
    <row r="12" spans="1:7">
      <c r="A12" s="3" t="str">
        <f>A7</f>
        <v>Municipal Bond</v>
      </c>
      <c r="B12" s="1">
        <f t="shared" si="0"/>
        <v>10789</v>
      </c>
      <c r="C12" s="14">
        <f t="shared" si="1"/>
        <v>0.344284663967446</v>
      </c>
      <c r="D12" s="15">
        <f t="shared" si="2"/>
        <v>4.1123287671232873</v>
      </c>
      <c r="E12" s="15">
        <f t="shared" si="3"/>
        <v>4.1103557963410431</v>
      </c>
    </row>
    <row r="14" spans="1:7">
      <c r="A14" s="13" t="s">
        <v>18</v>
      </c>
      <c r="B14" s="10">
        <f>SUMPRODUCT(D5:D7, C10:C12)</f>
        <v>4.9818628305311474E-2</v>
      </c>
    </row>
    <row r="15" spans="1:7">
      <c r="A15" s="13" t="s">
        <v>19</v>
      </c>
      <c r="B15" s="16">
        <f>SUMPRODUCT(D10:D12, C10:C12)</f>
        <v>7.0331347869277216</v>
      </c>
    </row>
    <row r="16" spans="1:7">
      <c r="A16" s="13" t="s">
        <v>20</v>
      </c>
      <c r="B16" s="16">
        <f>SUMPRODUCT(E10:E12, C10:C12)</f>
        <v>7.0296737788795243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2025-11-10T08:29:46Z</dcterms:created>
  <dcterms:modified xsi:type="dcterms:W3CDTF">2025-11-24T02:55:30Z</dcterms:modified>
  <cp:category/>
  <cp:contentStatus/>
</cp:coreProperties>
</file>