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13_ncr:1_{B49DD502-0AFE-1E4A-A7F9-8CE412206B40}" xr6:coauthVersionLast="47" xr6:coauthVersionMax="47" xr10:uidLastSave="{00000000-0000-0000-0000-000000000000}"/>
  <bookViews>
    <workbookView xWindow="0" yWindow="760" windowWidth="29400" windowHeight="17060" xr2:uid="{C1A3CE0B-65B0-A145-B86C-5A734626FEC3}"/>
  </bookViews>
  <sheets>
    <sheet name="USD" sheetId="1" r:id="rId1"/>
    <sheet name="EUR" sheetId="2" r:id="rId2"/>
    <sheet name="GB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  <c r="F8" i="3"/>
  <c r="F12" i="3" s="1"/>
  <c r="F13" i="3" s="1"/>
  <c r="F5" i="3" a="1"/>
  <c r="F5" i="3" s="1"/>
  <c r="C8" i="2"/>
  <c r="C12" i="2" s="1"/>
  <c r="C13" i="2" s="1"/>
  <c r="C5" i="2" a="1"/>
  <c r="C5" i="2" s="1"/>
  <c r="F5" i="2" a="1"/>
  <c r="F5" i="2" s="1"/>
  <c r="F8" i="2"/>
  <c r="C8" i="3"/>
  <c r="C12" i="3" s="1"/>
  <c r="C13" i="3" s="1"/>
  <c r="C5" i="3" a="1"/>
  <c r="C5" i="3" s="1"/>
  <c r="F8" i="1"/>
  <c r="F12" i="1" s="1"/>
  <c r="F13" i="1" s="1"/>
  <c r="C8" i="1"/>
  <c r="C12" i="1" s="1"/>
  <c r="C13" i="1" s="1"/>
  <c r="C5" i="1" a="1"/>
  <c r="C5" i="1" s="1"/>
  <c r="F12" i="2" l="1"/>
  <c r="F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<sst xmlns="http://schemas.openxmlformats.org/spreadsheetml/2006/main" count="69" uniqueCount="12">
  <si>
    <t>PEP</t>
  </si>
  <si>
    <t>GGM</t>
  </si>
  <si>
    <t>KO</t>
  </si>
  <si>
    <t>PPS :</t>
  </si>
  <si>
    <t>Dividend:</t>
  </si>
  <si>
    <t>Assumed Growth:</t>
  </si>
  <si>
    <t>Next Year Div:</t>
  </si>
  <si>
    <t>Required Return:</t>
  </si>
  <si>
    <t>Margin of Safety:</t>
  </si>
  <si>
    <t>Fair Price:</t>
  </si>
  <si>
    <t>MOS: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</si>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</sst>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€-2]\ #,##0.00"/>
    <numFmt numFmtId="166" formatCode="[$£-809]#,##0.00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0" fontId="0" fillId="0" borderId="0" xfId="1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0" fillId="0" borderId="4" xfId="0" applyNumberFormat="1" applyBorder="1"/>
    <xf numFmtId="9" fontId="0" fillId="0" borderId="4" xfId="1" applyFont="1" applyBorder="1"/>
    <xf numFmtId="0" fontId="0" fillId="0" borderId="4" xfId="0" applyBorder="1"/>
    <xf numFmtId="0" fontId="2" fillId="2" borderId="5" xfId="0" applyFont="1" applyFill="1" applyBorder="1"/>
    <xf numFmtId="164" fontId="2" fillId="3" borderId="4" xfId="0" applyNumberFormat="1" applyFont="1" applyFill="1" applyBorder="1"/>
    <xf numFmtId="164" fontId="2" fillId="3" borderId="6" xfId="0" applyNumberFormat="1" applyFont="1" applyFill="1" applyBorder="1"/>
    <xf numFmtId="164" fontId="0" fillId="4" borderId="4" xfId="0" applyNumberFormat="1" applyFill="1" applyBorder="1"/>
    <xf numFmtId="165" fontId="0" fillId="0" borderId="4" xfId="0" applyNumberFormat="1" applyBorder="1"/>
    <xf numFmtId="165" fontId="0" fillId="4" borderId="4" xfId="0" applyNumberFormat="1" applyFill="1" applyBorder="1"/>
    <xf numFmtId="165" fontId="2" fillId="3" borderId="4" xfId="0" applyNumberFormat="1" applyFont="1" applyFill="1" applyBorder="1"/>
    <xf numFmtId="165" fontId="2" fillId="3" borderId="6" xfId="0" applyNumberFormat="1" applyFont="1" applyFill="1" applyBorder="1"/>
    <xf numFmtId="0" fontId="2" fillId="3" borderId="4" xfId="0" applyFont="1" applyFill="1" applyBorder="1"/>
    <xf numFmtId="166" fontId="0" fillId="0" borderId="4" xfId="0" applyNumberFormat="1" applyBorder="1"/>
    <xf numFmtId="166" fontId="0" fillId="4" borderId="4" xfId="0" applyNumberFormat="1" applyFill="1" applyBorder="1"/>
    <xf numFmtId="166" fontId="2" fillId="3" borderId="4" xfId="0" applyNumberFormat="1" applyFont="1" applyFill="1" applyBorder="1"/>
    <xf numFmtId="166" fontId="2" fillId="3" borderId="6" xfId="0" applyNumberFormat="1" applyFont="1" applyFill="1" applyBorder="1"/>
    <xf numFmtId="10" fontId="0" fillId="4" borderId="4" xfId="1" applyNumberFormat="1" applyFont="1" applyFill="1" applyBorder="1"/>
    <xf numFmtId="10" fontId="0" fillId="0" borderId="4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A92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50CA75-A22A-BD4C-861A-650F52039D5D}">
  <we:reference id="wa200005656" version="1.7.0.0" store="en-US" storeType="OMEX"/>
  <we:alternateReferences>
    <we:reference id="wa200005656" version="1.7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_xldudf_QFS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1F5A-4D72-5843-A9E1-4FC0D7AFFBB7}">
  <dimension ref="B3:F70"/>
  <sheetViews>
    <sheetView showGridLines="0" tabSelected="1" workbookViewId="0">
      <selection activeCell="D9" sqref="D9"/>
    </sheetView>
  </sheetViews>
  <sheetFormatPr defaultColWidth="11" defaultRowHeight="15.95"/>
  <cols>
    <col min="2" max="2" width="15.875" bestFit="1" customWidth="1"/>
    <col min="3" max="3" width="14.875" bestFit="1" customWidth="1"/>
    <col min="4" max="4" width="14.375" bestFit="1" customWidth="1"/>
    <col min="5" max="5" width="15.875" bestFit="1" customWidth="1"/>
    <col min="6" max="6" width="14.5" customWidth="1"/>
  </cols>
  <sheetData>
    <row r="3" spans="2:6" ht="17.100000000000001" thickBot="1"/>
    <row r="4" spans="2:6">
      <c r="B4" s="2" t="s">
        <v>0</v>
      </c>
      <c r="C4" s="3" t="s">
        <v>1</v>
      </c>
      <c r="E4" s="2" t="s">
        <v>2</v>
      </c>
      <c r="F4" s="3" t="s">
        <v>1</v>
      </c>
    </row>
    <row r="5" spans="2:6">
      <c r="B5" s="4" t="s">
        <v>3</v>
      </c>
      <c r="C5" s="5" cm="1">
        <f t="array" ref="C5">_xldudf_QFS(B4,"price")</f>
        <v>145.08000000000001</v>
      </c>
      <c r="E5" s="4" t="s">
        <v>3</v>
      </c>
      <c r="F5" s="5" cm="1">
        <f t="array" ref="F5">IFERROR(_xldudf_QFS(E4,"price"), "NA")</f>
        <v>71.61</v>
      </c>
    </row>
    <row r="6" spans="2:6">
      <c r="B6" s="4" t="s">
        <v>4</v>
      </c>
      <c r="C6" s="11">
        <v>5.69</v>
      </c>
      <c r="E6" s="4" t="s">
        <v>4</v>
      </c>
      <c r="F6" s="11">
        <v>2.04</v>
      </c>
    </row>
    <row r="7" spans="2:6">
      <c r="B7" s="4" t="s">
        <v>5</v>
      </c>
      <c r="C7" s="21">
        <v>0.06</v>
      </c>
      <c r="E7" s="4" t="s">
        <v>5</v>
      </c>
      <c r="F7" s="21">
        <v>2.3800000000000002E-2</v>
      </c>
    </row>
    <row r="8" spans="2:6">
      <c r="B8" s="4" t="s">
        <v>6</v>
      </c>
      <c r="C8" s="5">
        <f>C6*(1+C7)</f>
        <v>6.0314000000000005</v>
      </c>
      <c r="E8" s="4" t="s">
        <v>6</v>
      </c>
      <c r="F8" s="5">
        <f>F6*(1+F7)</f>
        <v>2.088552</v>
      </c>
    </row>
    <row r="9" spans="2:6">
      <c r="B9" s="4" t="s">
        <v>7</v>
      </c>
      <c r="C9" s="22">
        <v>0.1</v>
      </c>
      <c r="E9" s="4" t="s">
        <v>7</v>
      </c>
      <c r="F9" s="22">
        <v>4.7500000000000001E-2</v>
      </c>
    </row>
    <row r="10" spans="2:6">
      <c r="B10" s="4" t="s">
        <v>8</v>
      </c>
      <c r="C10" s="22">
        <v>0.05</v>
      </c>
      <c r="E10" s="4" t="s">
        <v>8</v>
      </c>
      <c r="F10" s="22">
        <v>0.05</v>
      </c>
    </row>
    <row r="11" spans="2:6">
      <c r="B11" s="4"/>
      <c r="C11" s="7"/>
      <c r="E11" s="4"/>
      <c r="F11" s="7"/>
    </row>
    <row r="12" spans="2:6">
      <c r="B12" s="4" t="s">
        <v>9</v>
      </c>
      <c r="C12" s="9">
        <f>C8/(C9-C7)</f>
        <v>150.785</v>
      </c>
      <c r="E12" s="4" t="s">
        <v>9</v>
      </c>
      <c r="F12" s="9">
        <f>F8/(F9-F7)</f>
        <v>88.124556962025324</v>
      </c>
    </row>
    <row r="13" spans="2:6" ht="17.100000000000001" thickBot="1">
      <c r="B13" s="8" t="s">
        <v>10</v>
      </c>
      <c r="C13" s="10">
        <f>C12-(C12*C10)</f>
        <v>143.24574999999999</v>
      </c>
      <c r="E13" s="8" t="s">
        <v>10</v>
      </c>
      <c r="F13" s="10">
        <f>F12-(F12*F10)</f>
        <v>83.718329113924057</v>
      </c>
    </row>
    <row r="49" spans="2:4">
      <c r="B49" t="s">
        <v>5</v>
      </c>
      <c r="C49" t="s">
        <v>7</v>
      </c>
      <c r="D49" t="s">
        <v>8</v>
      </c>
    </row>
    <row r="50" spans="2:4">
      <c r="B50" s="1">
        <v>0.01</v>
      </c>
      <c r="C50" s="1">
        <v>0.05</v>
      </c>
      <c r="D50" s="1">
        <v>0</v>
      </c>
    </row>
    <row r="51" spans="2:4">
      <c r="B51" s="1">
        <v>1.4999999999999999E-2</v>
      </c>
      <c r="C51" s="1">
        <v>5.5E-2</v>
      </c>
      <c r="D51" s="1">
        <v>0.01</v>
      </c>
    </row>
    <row r="52" spans="2:4">
      <c r="B52" s="1">
        <v>0.02</v>
      </c>
      <c r="C52" s="1">
        <v>0.06</v>
      </c>
      <c r="D52" s="1">
        <v>0.02</v>
      </c>
    </row>
    <row r="53" spans="2:4">
      <c r="B53" s="1">
        <v>2.5000000000000001E-2</v>
      </c>
      <c r="C53" s="1">
        <v>6.5000000000000002E-2</v>
      </c>
      <c r="D53" s="1">
        <v>0.03</v>
      </c>
    </row>
    <row r="54" spans="2:4">
      <c r="B54" s="1">
        <v>0.03</v>
      </c>
      <c r="C54" s="1">
        <v>7.0000000000000007E-2</v>
      </c>
      <c r="D54" s="1">
        <v>0.04</v>
      </c>
    </row>
    <row r="55" spans="2:4">
      <c r="B55" s="1">
        <v>3.5000000000000003E-2</v>
      </c>
      <c r="C55" s="1">
        <v>7.4999999999999997E-2</v>
      </c>
      <c r="D55" s="1">
        <v>0.05</v>
      </c>
    </row>
    <row r="56" spans="2:4">
      <c r="B56" s="1">
        <v>0.04</v>
      </c>
      <c r="C56" s="1">
        <v>0.08</v>
      </c>
      <c r="D56" s="1">
        <v>0.06</v>
      </c>
    </row>
    <row r="57" spans="2:4">
      <c r="B57" s="1">
        <v>4.4999999999999998E-2</v>
      </c>
      <c r="C57" s="1">
        <v>8.5000000000000006E-2</v>
      </c>
      <c r="D57" s="1">
        <v>7.0000000000000007E-2</v>
      </c>
    </row>
    <row r="58" spans="2:4">
      <c r="B58" s="1">
        <v>0.05</v>
      </c>
      <c r="C58" s="1">
        <v>0.09</v>
      </c>
      <c r="D58" s="1">
        <v>0.08</v>
      </c>
    </row>
    <row r="59" spans="2:4">
      <c r="B59" s="1">
        <v>5.5E-2</v>
      </c>
      <c r="C59" s="1">
        <v>9.5000000000000001E-2</v>
      </c>
      <c r="D59" s="1">
        <v>0.09</v>
      </c>
    </row>
    <row r="60" spans="2:4">
      <c r="B60" s="1">
        <v>0.06</v>
      </c>
      <c r="C60" s="1">
        <v>0.1</v>
      </c>
      <c r="D60" s="1">
        <v>0.1</v>
      </c>
    </row>
    <row r="61" spans="2:4">
      <c r="B61" s="1">
        <v>6.5000000000000002E-2</v>
      </c>
      <c r="C61" s="1">
        <v>0.105</v>
      </c>
      <c r="D61" s="1">
        <v>0.11</v>
      </c>
    </row>
    <row r="62" spans="2:4">
      <c r="B62" s="1">
        <v>7.0000000000000007E-2</v>
      </c>
      <c r="C62" s="1">
        <v>0.11</v>
      </c>
      <c r="D62" s="1">
        <v>0.12</v>
      </c>
    </row>
    <row r="63" spans="2:4">
      <c r="B63" s="1">
        <v>7.4999999999999997E-2</v>
      </c>
      <c r="C63" s="1">
        <v>0.115</v>
      </c>
      <c r="D63" s="1">
        <v>0.13</v>
      </c>
    </row>
    <row r="64" spans="2:4">
      <c r="B64" s="1">
        <v>0.08</v>
      </c>
      <c r="C64" s="1">
        <v>0.12</v>
      </c>
      <c r="D64" s="1">
        <v>0.14000000000000001</v>
      </c>
    </row>
    <row r="65" spans="2:4">
      <c r="B65" s="1">
        <v>8.5000000000000006E-2</v>
      </c>
      <c r="D65" s="1">
        <v>0.15</v>
      </c>
    </row>
    <row r="66" spans="2:4">
      <c r="B66" s="1">
        <v>0.09</v>
      </c>
      <c r="D66" s="1">
        <v>0.16</v>
      </c>
    </row>
    <row r="67" spans="2:4">
      <c r="B67" s="1">
        <v>9.5000000000000001E-2</v>
      </c>
      <c r="D67" s="1">
        <v>0.17</v>
      </c>
    </row>
    <row r="68" spans="2:4">
      <c r="B68" s="1">
        <v>0.1</v>
      </c>
      <c r="D68" s="1">
        <v>0.18</v>
      </c>
    </row>
    <row r="69" spans="2:4">
      <c r="D69" s="1">
        <v>0.19</v>
      </c>
    </row>
    <row r="70" spans="2:4">
      <c r="D70" s="1">
        <v>0.2</v>
      </c>
    </row>
  </sheetData>
  <dataValidations count="3">
    <dataValidation type="list" allowBlank="1" showInputMessage="1" showErrorMessage="1" sqref="C7" xr:uid="{63F2DD12-77A6-364B-92E2-2B9B14FCFE36}">
      <formula1>$B$50:$B$68</formula1>
    </dataValidation>
    <dataValidation type="list" allowBlank="1" showInputMessage="1" showErrorMessage="1" sqref="C9" xr:uid="{D8E103CF-173B-A040-9587-A6A91E0A6DEF}">
      <formula1>$C$50:$C$64</formula1>
    </dataValidation>
    <dataValidation type="list" allowBlank="1" showInputMessage="1" showErrorMessage="1" sqref="C10" xr:uid="{A7738B1B-B509-BC44-AA86-4EEBE4ACA898}">
      <formula1>$D$50:$D$70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848C-89A0-3D46-81D0-4BB33E982F82}">
  <dimension ref="B3:F70"/>
  <sheetViews>
    <sheetView showGridLines="0" workbookViewId="0">
      <selection activeCell="F9" sqref="F9:F10"/>
    </sheetView>
  </sheetViews>
  <sheetFormatPr defaultColWidth="11" defaultRowHeight="15.95"/>
  <cols>
    <col min="2" max="2" width="15.125" bestFit="1" customWidth="1"/>
    <col min="3" max="3" width="14.875" bestFit="1" customWidth="1"/>
    <col min="4" max="4" width="14.375" bestFit="1" customWidth="1"/>
    <col min="5" max="5" width="15.125" bestFit="1" customWidth="1"/>
    <col min="6" max="6" width="14.5" customWidth="1"/>
  </cols>
  <sheetData>
    <row r="3" spans="2:6" ht="17.100000000000001" thickBot="1"/>
    <row r="4" spans="2:6">
      <c r="B4" s="2" t="s">
        <v>11</v>
      </c>
      <c r="C4" s="3" t="s">
        <v>1</v>
      </c>
      <c r="E4" s="2" t="s">
        <v>11</v>
      </c>
      <c r="F4" s="3" t="s">
        <v>1</v>
      </c>
    </row>
    <row r="5" spans="2:6">
      <c r="B5" s="4" t="s">
        <v>3</v>
      </c>
      <c r="C5" s="12" t="str" cm="1">
        <f t="array" ref="C5">_xldudf_QFS(B4,"price")</f>
        <v>UnsupportedCompanyError</v>
      </c>
      <c r="E5" s="4" t="s">
        <v>3</v>
      </c>
      <c r="F5" s="12" t="str" cm="1">
        <f t="array" ref="F5">_xldudf_QFS(E4,"price")</f>
        <v>UnsupportedCompanyError</v>
      </c>
    </row>
    <row r="6" spans="2:6">
      <c r="B6" s="4" t="s">
        <v>4</v>
      </c>
      <c r="C6" s="13"/>
      <c r="E6" s="4" t="s">
        <v>4</v>
      </c>
      <c r="F6" s="13"/>
    </row>
    <row r="7" spans="2:6">
      <c r="B7" s="4" t="s">
        <v>5</v>
      </c>
      <c r="C7" s="21"/>
      <c r="E7" s="4" t="s">
        <v>5</v>
      </c>
      <c r="F7" s="21"/>
    </row>
    <row r="8" spans="2:6">
      <c r="B8" s="4" t="s">
        <v>6</v>
      </c>
      <c r="C8" s="12">
        <f>C6*(1+C7)</f>
        <v>0</v>
      </c>
      <c r="E8" s="4" t="s">
        <v>6</v>
      </c>
      <c r="F8" s="12">
        <f>F6*(1+F7)</f>
        <v>0</v>
      </c>
    </row>
    <row r="9" spans="2:6">
      <c r="B9" s="4" t="s">
        <v>7</v>
      </c>
      <c r="C9" s="22"/>
      <c r="E9" s="4" t="s">
        <v>7</v>
      </c>
      <c r="F9" s="22"/>
    </row>
    <row r="10" spans="2:6">
      <c r="B10" s="4" t="s">
        <v>8</v>
      </c>
      <c r="C10" s="22"/>
      <c r="E10" s="4" t="s">
        <v>8</v>
      </c>
      <c r="F10" s="22"/>
    </row>
    <row r="11" spans="2:6">
      <c r="B11" s="4"/>
      <c r="C11" s="7"/>
      <c r="E11" s="4"/>
      <c r="F11" s="7"/>
    </row>
    <row r="12" spans="2:6">
      <c r="B12" s="4" t="s">
        <v>9</v>
      </c>
      <c r="C12" s="14" t="e">
        <f>C8/(C9-C7)</f>
        <v>#DIV/0!</v>
      </c>
      <c r="E12" s="4" t="s">
        <v>9</v>
      </c>
      <c r="F12" s="16" t="e">
        <f>F8/(F9-F7)</f>
        <v>#DIV/0!</v>
      </c>
    </row>
    <row r="13" spans="2:6" ht="17.100000000000001" thickBot="1">
      <c r="B13" s="8" t="s">
        <v>10</v>
      </c>
      <c r="C13" s="15" t="e">
        <f>C12-(C12*C10)</f>
        <v>#DIV/0!</v>
      </c>
      <c r="E13" s="8" t="s">
        <v>10</v>
      </c>
      <c r="F13" s="15" t="e">
        <f>F12-(F12*F10)</f>
        <v>#DIV/0!</v>
      </c>
    </row>
    <row r="49" spans="2:4">
      <c r="B49" t="s">
        <v>5</v>
      </c>
      <c r="C49" t="s">
        <v>7</v>
      </c>
      <c r="D49" t="s">
        <v>8</v>
      </c>
    </row>
    <row r="50" spans="2:4">
      <c r="B50" s="1">
        <v>0.01</v>
      </c>
      <c r="C50" s="1">
        <v>0.05</v>
      </c>
      <c r="D50" s="1">
        <v>0</v>
      </c>
    </row>
    <row r="51" spans="2:4">
      <c r="B51" s="1">
        <v>1.4999999999999999E-2</v>
      </c>
      <c r="C51" s="1">
        <v>5.5E-2</v>
      </c>
      <c r="D51" s="1">
        <v>0.01</v>
      </c>
    </row>
    <row r="52" spans="2:4">
      <c r="B52" s="1">
        <v>0.02</v>
      </c>
      <c r="C52" s="1">
        <v>0.06</v>
      </c>
      <c r="D52" s="1">
        <v>0.02</v>
      </c>
    </row>
    <row r="53" spans="2:4">
      <c r="B53" s="1">
        <v>2.5000000000000001E-2</v>
      </c>
      <c r="C53" s="1">
        <v>6.5000000000000002E-2</v>
      </c>
      <c r="D53" s="1">
        <v>0.03</v>
      </c>
    </row>
    <row r="54" spans="2:4">
      <c r="B54" s="1">
        <v>0.03</v>
      </c>
      <c r="C54" s="1">
        <v>7.0000000000000007E-2</v>
      </c>
      <c r="D54" s="1">
        <v>0.04</v>
      </c>
    </row>
    <row r="55" spans="2:4">
      <c r="B55" s="1">
        <v>3.5000000000000003E-2</v>
      </c>
      <c r="C55" s="1">
        <v>7.4999999999999997E-2</v>
      </c>
      <c r="D55" s="1">
        <v>0.05</v>
      </c>
    </row>
    <row r="56" spans="2:4">
      <c r="B56" s="1">
        <v>0.04</v>
      </c>
      <c r="C56" s="1">
        <v>0.08</v>
      </c>
      <c r="D56" s="1">
        <v>0.06</v>
      </c>
    </row>
    <row r="57" spans="2:4">
      <c r="B57" s="1">
        <v>4.4999999999999998E-2</v>
      </c>
      <c r="C57" s="1">
        <v>8.5000000000000006E-2</v>
      </c>
      <c r="D57" s="1">
        <v>7.0000000000000007E-2</v>
      </c>
    </row>
    <row r="58" spans="2:4">
      <c r="B58" s="1">
        <v>0.05</v>
      </c>
      <c r="C58" s="1">
        <v>0.09</v>
      </c>
      <c r="D58" s="1">
        <v>0.08</v>
      </c>
    </row>
    <row r="59" spans="2:4">
      <c r="B59" s="1">
        <v>5.5E-2</v>
      </c>
      <c r="C59" s="1">
        <v>9.5000000000000001E-2</v>
      </c>
      <c r="D59" s="1">
        <v>0.09</v>
      </c>
    </row>
    <row r="60" spans="2:4">
      <c r="B60" s="1">
        <v>0.06</v>
      </c>
      <c r="C60" s="1">
        <v>0.1</v>
      </c>
      <c r="D60" s="1">
        <v>0.1</v>
      </c>
    </row>
    <row r="61" spans="2:4">
      <c r="B61" s="1">
        <v>6.5000000000000002E-2</v>
      </c>
      <c r="C61" s="1">
        <v>0.105</v>
      </c>
      <c r="D61" s="1">
        <v>0.11</v>
      </c>
    </row>
    <row r="62" spans="2:4">
      <c r="B62" s="1">
        <v>7.0000000000000007E-2</v>
      </c>
      <c r="C62" s="1">
        <v>0.11</v>
      </c>
      <c r="D62" s="1">
        <v>0.12</v>
      </c>
    </row>
    <row r="63" spans="2:4">
      <c r="B63" s="1">
        <v>7.4999999999999997E-2</v>
      </c>
      <c r="C63" s="1">
        <v>0.115</v>
      </c>
      <c r="D63" s="1">
        <v>0.13</v>
      </c>
    </row>
    <row r="64" spans="2:4">
      <c r="B64" s="1">
        <v>0.08</v>
      </c>
      <c r="C64" s="1">
        <v>0.12</v>
      </c>
      <c r="D64" s="1">
        <v>0.14000000000000001</v>
      </c>
    </row>
    <row r="65" spans="2:4">
      <c r="B65" s="1">
        <v>8.5000000000000006E-2</v>
      </c>
      <c r="D65" s="1">
        <v>0.15</v>
      </c>
    </row>
    <row r="66" spans="2:4">
      <c r="B66" s="1">
        <v>0.09</v>
      </c>
      <c r="D66" s="1">
        <v>0.16</v>
      </c>
    </row>
    <row r="67" spans="2:4">
      <c r="B67" s="1">
        <v>9.5000000000000001E-2</v>
      </c>
      <c r="D67" s="1">
        <v>0.17</v>
      </c>
    </row>
    <row r="68" spans="2:4">
      <c r="B68" s="1">
        <v>0.1</v>
      </c>
      <c r="D68" s="1">
        <v>0.18</v>
      </c>
    </row>
    <row r="69" spans="2:4">
      <c r="D69" s="1">
        <v>0.19</v>
      </c>
    </row>
    <row r="70" spans="2:4">
      <c r="D70" s="1">
        <v>0.2</v>
      </c>
    </row>
  </sheetData>
  <dataValidations count="3">
    <dataValidation type="list" allowBlank="1" showInputMessage="1" showErrorMessage="1" sqref="C10 F10" xr:uid="{A34A4F94-7BBB-E941-AFBB-5F1539F8A24D}">
      <formula1>$D$50:$D$70</formula1>
    </dataValidation>
    <dataValidation type="list" allowBlank="1" showInputMessage="1" showErrorMessage="1" sqref="C9 F9" xr:uid="{4A590F62-A869-4C4B-A39A-6EC5B9E885B1}">
      <formula1>$C$50:$C$64</formula1>
    </dataValidation>
    <dataValidation type="list" allowBlank="1" showInputMessage="1" showErrorMessage="1" sqref="C7 F7" xr:uid="{B6157FD6-995C-C748-9B15-7DF8152C61CA}">
      <formula1>$B$50:$B$68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0D2E-1870-ED47-BDC0-69715CCE65EB}">
  <dimension ref="B3:F70"/>
  <sheetViews>
    <sheetView showGridLines="0" workbookViewId="0">
      <selection activeCell="F10" sqref="F9:F10"/>
    </sheetView>
  </sheetViews>
  <sheetFormatPr defaultColWidth="11" defaultRowHeight="15.95"/>
  <cols>
    <col min="2" max="2" width="15.125" bestFit="1" customWidth="1"/>
    <col min="3" max="3" width="14.875" bestFit="1" customWidth="1"/>
    <col min="4" max="4" width="14.375" bestFit="1" customWidth="1"/>
    <col min="5" max="5" width="15.125" bestFit="1" customWidth="1"/>
    <col min="6" max="6" width="14.5" customWidth="1"/>
  </cols>
  <sheetData>
    <row r="3" spans="2:6" ht="17.100000000000001" thickBot="1"/>
    <row r="4" spans="2:6">
      <c r="B4" s="2" t="s">
        <v>11</v>
      </c>
      <c r="C4" s="3" t="s">
        <v>1</v>
      </c>
      <c r="E4" s="2" t="s">
        <v>11</v>
      </c>
      <c r="F4" s="3" t="s">
        <v>1</v>
      </c>
    </row>
    <row r="5" spans="2:6">
      <c r="B5" s="4" t="s">
        <v>3</v>
      </c>
      <c r="C5" s="17" t="str" cm="1">
        <f t="array" ref="C5">_xldudf_QFS(B4,"price")</f>
        <v>UnsupportedCompanyError</v>
      </c>
      <c r="E5" s="4" t="s">
        <v>3</v>
      </c>
      <c r="F5" s="17" t="str" cm="1">
        <f t="array" ref="F5">_xldudf_QFS(E4,"price")</f>
        <v>UnsupportedCompanyError</v>
      </c>
    </row>
    <row r="6" spans="2:6">
      <c r="B6" s="4" t="s">
        <v>4</v>
      </c>
      <c r="C6" s="18"/>
      <c r="E6" s="4" t="s">
        <v>4</v>
      </c>
      <c r="F6" s="18"/>
    </row>
    <row r="7" spans="2:6">
      <c r="B7" s="4" t="s">
        <v>5</v>
      </c>
      <c r="C7" s="21"/>
      <c r="E7" s="4" t="s">
        <v>5</v>
      </c>
      <c r="F7" s="21"/>
    </row>
    <row r="8" spans="2:6">
      <c r="B8" s="4" t="s">
        <v>6</v>
      </c>
      <c r="C8" s="17">
        <f>C6*(1+C7)</f>
        <v>0</v>
      </c>
      <c r="E8" s="4" t="s">
        <v>6</v>
      </c>
      <c r="F8" s="17">
        <f>F6*(1+F7)</f>
        <v>0</v>
      </c>
    </row>
    <row r="9" spans="2:6">
      <c r="B9" s="4" t="s">
        <v>7</v>
      </c>
      <c r="C9" s="6"/>
      <c r="E9" s="4" t="s">
        <v>7</v>
      </c>
      <c r="F9" s="22"/>
    </row>
    <row r="10" spans="2:6">
      <c r="B10" s="4" t="s">
        <v>8</v>
      </c>
      <c r="C10" s="6"/>
      <c r="E10" s="4" t="s">
        <v>8</v>
      </c>
      <c r="F10" s="22"/>
    </row>
    <row r="11" spans="2:6">
      <c r="B11" s="4"/>
      <c r="C11" s="7"/>
      <c r="E11" s="4"/>
      <c r="F11" s="7"/>
    </row>
    <row r="12" spans="2:6">
      <c r="B12" s="4" t="s">
        <v>9</v>
      </c>
      <c r="C12" s="19" t="e">
        <f>C8/(C9-C7)</f>
        <v>#DIV/0!</v>
      </c>
      <c r="E12" s="4" t="s">
        <v>9</v>
      </c>
      <c r="F12" s="19" t="e">
        <f>F8/(F9-F7)</f>
        <v>#DIV/0!</v>
      </c>
    </row>
    <row r="13" spans="2:6" ht="17.100000000000001" thickBot="1">
      <c r="B13" s="8" t="s">
        <v>10</v>
      </c>
      <c r="C13" s="20" t="e">
        <f>C12-(C12*C10)</f>
        <v>#DIV/0!</v>
      </c>
      <c r="E13" s="8" t="s">
        <v>10</v>
      </c>
      <c r="F13" s="20" t="e">
        <f>F12-(F12*F10)</f>
        <v>#DIV/0!</v>
      </c>
    </row>
    <row r="49" spans="2:4">
      <c r="B49" t="s">
        <v>5</v>
      </c>
      <c r="C49" t="s">
        <v>7</v>
      </c>
      <c r="D49" t="s">
        <v>8</v>
      </c>
    </row>
    <row r="50" spans="2:4">
      <c r="B50" s="1">
        <v>0.01</v>
      </c>
      <c r="C50" s="1">
        <v>0.05</v>
      </c>
      <c r="D50" s="1">
        <v>0</v>
      </c>
    </row>
    <row r="51" spans="2:4">
      <c r="B51" s="1">
        <v>1.4999999999999999E-2</v>
      </c>
      <c r="C51" s="1">
        <v>5.5E-2</v>
      </c>
      <c r="D51" s="1">
        <v>0.01</v>
      </c>
    </row>
    <row r="52" spans="2:4">
      <c r="B52" s="1">
        <v>0.02</v>
      </c>
      <c r="C52" s="1">
        <v>0.06</v>
      </c>
      <c r="D52" s="1">
        <v>0.02</v>
      </c>
    </row>
    <row r="53" spans="2:4">
      <c r="B53" s="1">
        <v>2.5000000000000001E-2</v>
      </c>
      <c r="C53" s="1">
        <v>6.5000000000000002E-2</v>
      </c>
      <c r="D53" s="1">
        <v>0.03</v>
      </c>
    </row>
    <row r="54" spans="2:4">
      <c r="B54" s="1">
        <v>0.03</v>
      </c>
      <c r="C54" s="1">
        <v>7.0000000000000007E-2</v>
      </c>
      <c r="D54" s="1">
        <v>0.04</v>
      </c>
    </row>
    <row r="55" spans="2:4">
      <c r="B55" s="1">
        <v>3.5000000000000003E-2</v>
      </c>
      <c r="C55" s="1">
        <v>7.4999999999999997E-2</v>
      </c>
      <c r="D55" s="1">
        <v>0.05</v>
      </c>
    </row>
    <row r="56" spans="2:4">
      <c r="B56" s="1">
        <v>0.04</v>
      </c>
      <c r="C56" s="1">
        <v>0.08</v>
      </c>
      <c r="D56" s="1">
        <v>0.06</v>
      </c>
    </row>
    <row r="57" spans="2:4">
      <c r="B57" s="1">
        <v>4.4999999999999998E-2</v>
      </c>
      <c r="C57" s="1">
        <v>8.5000000000000006E-2</v>
      </c>
      <c r="D57" s="1">
        <v>7.0000000000000007E-2</v>
      </c>
    </row>
    <row r="58" spans="2:4">
      <c r="B58" s="1">
        <v>0.05</v>
      </c>
      <c r="C58" s="1">
        <v>0.09</v>
      </c>
      <c r="D58" s="1">
        <v>0.08</v>
      </c>
    </row>
    <row r="59" spans="2:4">
      <c r="B59" s="1">
        <v>5.5E-2</v>
      </c>
      <c r="C59" s="1">
        <v>9.5000000000000001E-2</v>
      </c>
      <c r="D59" s="1">
        <v>0.09</v>
      </c>
    </row>
    <row r="60" spans="2:4">
      <c r="B60" s="1">
        <v>0.06</v>
      </c>
      <c r="C60" s="1">
        <v>0.1</v>
      </c>
      <c r="D60" s="1">
        <v>0.1</v>
      </c>
    </row>
    <row r="61" spans="2:4">
      <c r="B61" s="1">
        <v>6.5000000000000002E-2</v>
      </c>
      <c r="C61" s="1">
        <v>0.105</v>
      </c>
      <c r="D61" s="1">
        <v>0.11</v>
      </c>
    </row>
    <row r="62" spans="2:4">
      <c r="B62" s="1">
        <v>7.0000000000000007E-2</v>
      </c>
      <c r="C62" s="1">
        <v>0.11</v>
      </c>
      <c r="D62" s="1">
        <v>0.12</v>
      </c>
    </row>
    <row r="63" spans="2:4">
      <c r="B63" s="1">
        <v>7.4999999999999997E-2</v>
      </c>
      <c r="C63" s="1">
        <v>0.115</v>
      </c>
      <c r="D63" s="1">
        <v>0.13</v>
      </c>
    </row>
    <row r="64" spans="2:4">
      <c r="B64" s="1">
        <v>0.08</v>
      </c>
      <c r="C64" s="1">
        <v>0.12</v>
      </c>
      <c r="D64" s="1">
        <v>0.14000000000000001</v>
      </c>
    </row>
    <row r="65" spans="2:4">
      <c r="B65" s="1">
        <v>8.5000000000000006E-2</v>
      </c>
      <c r="D65" s="1">
        <v>0.15</v>
      </c>
    </row>
    <row r="66" spans="2:4">
      <c r="B66" s="1">
        <v>0.09</v>
      </c>
      <c r="D66" s="1">
        <v>0.16</v>
      </c>
    </row>
    <row r="67" spans="2:4">
      <c r="B67" s="1">
        <v>9.5000000000000001E-2</v>
      </c>
      <c r="D67" s="1">
        <v>0.17</v>
      </c>
    </row>
    <row r="68" spans="2:4">
      <c r="B68" s="1">
        <v>0.1</v>
      </c>
      <c r="D68" s="1">
        <v>0.18</v>
      </c>
    </row>
    <row r="69" spans="2:4">
      <c r="D69" s="1">
        <v>0.19</v>
      </c>
    </row>
    <row r="70" spans="2:4">
      <c r="D70" s="1">
        <v>0.2</v>
      </c>
    </row>
  </sheetData>
  <dataValidations count="3">
    <dataValidation type="list" allowBlank="1" showInputMessage="1" showErrorMessage="1" sqref="C7 F7" xr:uid="{B01C7822-7294-884F-8470-8976A29682A4}">
      <formula1>$B$50:$B$68</formula1>
    </dataValidation>
    <dataValidation type="list" allowBlank="1" showInputMessage="1" showErrorMessage="1" sqref="C9 F9" xr:uid="{34EC9874-B328-8440-A6DB-24C67B9CF2B7}">
      <formula1>$C$50:$C$64</formula1>
    </dataValidation>
    <dataValidation type="list" allowBlank="1" showInputMessage="1" showErrorMessage="1" sqref="C10 F10" xr:uid="{7AEC2E8A-0214-0A44-905F-73DAE87E43EB}">
      <formula1>$D$50:$D$70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2025-11-04T19:18:48Z</dcterms:created>
  <dcterms:modified xsi:type="dcterms:W3CDTF">2025-11-23T00:48:24Z</dcterms:modified>
  <cp:category/>
  <cp:contentStatus/>
</cp:coreProperties>
</file>