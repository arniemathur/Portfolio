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10" documentId="11_0B1D56BE9CDCCE836B02CE7A5FB0D4A9BBFD1C62" xr6:coauthVersionLast="47" xr6:coauthVersionMax="47" xr10:uidLastSave="{999CB22E-91EB-4588-9859-6486A2C864E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D36" i="1" l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B11" i="1"/>
  <c r="F16" i="1" l="1"/>
  <c r="B17" i="1" s="1"/>
  <c r="B12" i="1"/>
  <c r="C17" i="1" l="1"/>
  <c r="E17" i="1" s="1"/>
  <c r="F17" i="1" s="1"/>
  <c r="B18" i="1" s="1"/>
  <c r="C18" i="1" l="1"/>
  <c r="E18" i="1" s="1"/>
  <c r="F18" i="1" s="1"/>
  <c r="B19" i="1" s="1"/>
  <c r="C19" i="1" l="1"/>
  <c r="E19" i="1" s="1"/>
  <c r="F19" i="1" s="1"/>
  <c r="B20" i="1" s="1"/>
  <c r="C20" i="1" l="1"/>
  <c r="E20" i="1" s="1"/>
  <c r="F20" i="1" s="1"/>
  <c r="B21" i="1" s="1"/>
  <c r="C21" i="1" l="1"/>
  <c r="E21" i="1" s="1"/>
  <c r="F21" i="1" s="1"/>
  <c r="B22" i="1" s="1"/>
  <c r="C22" i="1" l="1"/>
  <c r="E22" i="1" s="1"/>
  <c r="F22" i="1" s="1"/>
  <c r="B23" i="1" s="1"/>
  <c r="C23" i="1" l="1"/>
  <c r="E23" i="1" s="1"/>
  <c r="F23" i="1" s="1"/>
  <c r="B24" i="1" s="1"/>
  <c r="C24" i="1" l="1"/>
  <c r="E24" i="1" s="1"/>
  <c r="F24" i="1" s="1"/>
  <c r="B25" i="1" s="1"/>
  <c r="C25" i="1" l="1"/>
  <c r="E25" i="1" s="1"/>
  <c r="F25" i="1" s="1"/>
  <c r="B26" i="1" s="1"/>
  <c r="C26" i="1" l="1"/>
  <c r="E26" i="1" s="1"/>
  <c r="F26" i="1" s="1"/>
  <c r="B27" i="1" s="1"/>
  <c r="C27" i="1" l="1"/>
  <c r="E27" i="1" s="1"/>
  <c r="F27" i="1" s="1"/>
  <c r="B28" i="1" s="1"/>
  <c r="C28" i="1" l="1"/>
  <c r="E28" i="1" s="1"/>
  <c r="F28" i="1" s="1"/>
  <c r="B29" i="1" s="1"/>
  <c r="C29" i="1" l="1"/>
  <c r="E29" i="1" s="1"/>
  <c r="F29" i="1" s="1"/>
  <c r="B30" i="1" s="1"/>
  <c r="C30" i="1" l="1"/>
  <c r="E30" i="1" s="1"/>
  <c r="F30" i="1" s="1"/>
  <c r="B31" i="1" s="1"/>
  <c r="C31" i="1" l="1"/>
  <c r="E31" i="1" s="1"/>
  <c r="F31" i="1" s="1"/>
  <c r="B32" i="1" s="1"/>
  <c r="C32" i="1" l="1"/>
  <c r="E32" i="1" s="1"/>
  <c r="F32" i="1" s="1"/>
  <c r="B33" i="1" s="1"/>
  <c r="C33" i="1" l="1"/>
  <c r="E33" i="1" s="1"/>
  <c r="F33" i="1" s="1"/>
  <c r="B34" i="1" s="1"/>
  <c r="C34" i="1" l="1"/>
  <c r="E34" i="1" s="1"/>
  <c r="F34" i="1" s="1"/>
  <c r="B35" i="1" s="1"/>
  <c r="C35" i="1" l="1"/>
  <c r="E35" i="1" s="1"/>
  <c r="F35" i="1" s="1"/>
  <c r="B36" i="1" s="1"/>
  <c r="C36" i="1" l="1"/>
  <c r="E36" i="1" s="1"/>
  <c r="F36" i="1" s="1"/>
</calcChain>
</file>

<file path=xl/sharedStrings.xml><?xml version="1.0" encoding="utf-8"?>
<sst xmlns="http://schemas.openxmlformats.org/spreadsheetml/2006/main" count="20" uniqueCount="16">
  <si>
    <t>Bond Pricing Calculator</t>
  </si>
  <si>
    <t>Face Value</t>
  </si>
  <si>
    <t>Coupon Rate of Interest</t>
  </si>
  <si>
    <t>Frequency Per Year</t>
  </si>
  <si>
    <t>Maturity in Years</t>
  </si>
  <si>
    <t>Market Rate</t>
  </si>
  <si>
    <t>Coupon Payment</t>
  </si>
  <si>
    <t>Price of bond</t>
  </si>
  <si>
    <t>Premium or (discount)</t>
  </si>
  <si>
    <t>Amortization Chart</t>
  </si>
  <si>
    <t>Period</t>
  </si>
  <si>
    <t>Beginning Carry Value</t>
  </si>
  <si>
    <t>Interest</t>
  </si>
  <si>
    <t>Amortization</t>
  </si>
  <si>
    <t>Ending Carry Value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</si>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</sst>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horizontal="center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F17" sqref="F17"/>
    </sheetView>
  </sheetViews>
  <sheetFormatPr defaultRowHeight="15"/>
  <cols>
    <col min="1" max="1" width="21.28515625" customWidth="1"/>
    <col min="2" max="2" width="10" bestFit="1" customWidth="1"/>
    <col min="6" max="6" width="10" bestFit="1" customWidth="1"/>
  </cols>
  <sheetData>
    <row r="1" spans="1:6" ht="24">
      <c r="A1" s="1" t="s">
        <v>0</v>
      </c>
    </row>
    <row r="3" spans="1:6">
      <c r="A3" t="s">
        <v>1</v>
      </c>
      <c r="B3" s="2">
        <v>1000</v>
      </c>
    </row>
    <row r="4" spans="1:6">
      <c r="A4" t="s">
        <v>2</v>
      </c>
      <c r="B4" s="3">
        <v>0.09</v>
      </c>
    </row>
    <row r="5" spans="1:6">
      <c r="A5" t="s">
        <v>3</v>
      </c>
      <c r="B5">
        <v>12</v>
      </c>
    </row>
    <row r="6" spans="1:6">
      <c r="A6" t="s">
        <v>4</v>
      </c>
      <c r="B6">
        <v>10</v>
      </c>
    </row>
    <row r="8" spans="1:6">
      <c r="A8" t="s">
        <v>5</v>
      </c>
      <c r="B8" s="3">
        <v>7.0000000000000007E-2</v>
      </c>
    </row>
    <row r="9" spans="1:6">
      <c r="A9" t="s">
        <v>6</v>
      </c>
      <c r="B9" s="2">
        <f>B4*B3/B5</f>
        <v>7.5</v>
      </c>
    </row>
    <row r="11" spans="1:6">
      <c r="A11" t="s">
        <v>7</v>
      </c>
      <c r="B11" s="2">
        <f>PV(B8/B5, B6*B5, -B9, -B3)</f>
        <v>1143.543923568963</v>
      </c>
    </row>
    <row r="12" spans="1:6">
      <c r="A12" t="s">
        <v>8</v>
      </c>
      <c r="B12" s="2">
        <f>B11-B3</f>
        <v>143.54392356896301</v>
      </c>
    </row>
    <row r="14" spans="1:6">
      <c r="A14" t="s">
        <v>9</v>
      </c>
    </row>
    <row r="15" spans="1:6" ht="43.5">
      <c r="A15" t="s">
        <v>10</v>
      </c>
      <c r="B15" s="4" t="s">
        <v>11</v>
      </c>
      <c r="C15" t="s">
        <v>12</v>
      </c>
      <c r="D15" s="4" t="s">
        <v>6</v>
      </c>
      <c r="E15" s="4" t="s">
        <v>13</v>
      </c>
      <c r="F15" s="4" t="s">
        <v>14</v>
      </c>
    </row>
    <row r="16" spans="1:6">
      <c r="A16">
        <v>0</v>
      </c>
      <c r="B16" s="5" t="s">
        <v>15</v>
      </c>
      <c r="C16" s="5" t="s">
        <v>15</v>
      </c>
      <c r="D16" s="5" t="s">
        <v>15</v>
      </c>
      <c r="E16" s="5" t="s">
        <v>15</v>
      </c>
      <c r="F16" s="2">
        <f>B11</f>
        <v>1143.543923568963</v>
      </c>
    </row>
    <row r="17" spans="1:6">
      <c r="A17">
        <v>1</v>
      </c>
      <c r="B17" s="2">
        <f>F16</f>
        <v>1143.543923568963</v>
      </c>
      <c r="C17" s="6">
        <f>B17*$B$8/$B$5</f>
        <v>6.670672887485618</v>
      </c>
      <c r="D17" s="2">
        <f>$B$9</f>
        <v>7.5</v>
      </c>
      <c r="E17" s="2">
        <f>D17-C17</f>
        <v>0.82932711251438196</v>
      </c>
      <c r="F17" s="2">
        <f>B17-E17</f>
        <v>1142.7145964564486</v>
      </c>
    </row>
    <row r="18" spans="1:6">
      <c r="A18">
        <v>2</v>
      </c>
      <c r="B18" s="2">
        <f t="shared" ref="B18:B36" si="0">F17</f>
        <v>1142.7145964564486</v>
      </c>
      <c r="C18" s="6">
        <f>B18*$B$8/$B$5</f>
        <v>6.66583514599595</v>
      </c>
      <c r="D18" s="2">
        <f t="shared" ref="D18:D36" si="1">$B$9</f>
        <v>7.5</v>
      </c>
      <c r="E18" s="2">
        <f t="shared" ref="E18:E36" si="2">D18-C18</f>
        <v>0.83416485400405005</v>
      </c>
      <c r="F18" s="2">
        <f t="shared" ref="F18:F36" si="3">B18-E18</f>
        <v>1141.8804316024446</v>
      </c>
    </row>
    <row r="19" spans="1:6">
      <c r="A19">
        <v>3</v>
      </c>
      <c r="B19" s="2">
        <f t="shared" si="0"/>
        <v>1141.8804316024446</v>
      </c>
      <c r="C19" s="6">
        <f t="shared" ref="C19:C36" si="4">B19*$B$8/$B$5</f>
        <v>6.6609691843475938</v>
      </c>
      <c r="D19" s="2">
        <f t="shared" si="1"/>
        <v>7.5</v>
      </c>
      <c r="E19" s="2">
        <f t="shared" si="2"/>
        <v>0.83903081565240623</v>
      </c>
      <c r="F19" s="2">
        <f t="shared" si="3"/>
        <v>1141.0414007867921</v>
      </c>
    </row>
    <row r="20" spans="1:6">
      <c r="A20">
        <v>4</v>
      </c>
      <c r="B20" s="2">
        <f t="shared" si="0"/>
        <v>1141.0414007867921</v>
      </c>
      <c r="C20" s="6">
        <f t="shared" si="4"/>
        <v>6.6560748379229544</v>
      </c>
      <c r="D20" s="2">
        <f t="shared" si="1"/>
        <v>7.5</v>
      </c>
      <c r="E20" s="2">
        <f t="shared" si="2"/>
        <v>0.8439251620770456</v>
      </c>
      <c r="F20" s="2">
        <f t="shared" si="3"/>
        <v>1140.197475624715</v>
      </c>
    </row>
    <row r="21" spans="1:6">
      <c r="A21">
        <v>5</v>
      </c>
      <c r="B21" s="2">
        <f t="shared" si="0"/>
        <v>1140.197475624715</v>
      </c>
      <c r="C21" s="6">
        <f t="shared" si="4"/>
        <v>6.6511519411441711</v>
      </c>
      <c r="D21" s="2">
        <f t="shared" si="1"/>
        <v>7.5</v>
      </c>
      <c r="E21" s="2">
        <f t="shared" si="2"/>
        <v>0.84884805885582892</v>
      </c>
      <c r="F21" s="2">
        <f t="shared" si="3"/>
        <v>1139.3486275658593</v>
      </c>
    </row>
    <row r="22" spans="1:6">
      <c r="A22">
        <v>6</v>
      </c>
      <c r="B22" s="2">
        <f t="shared" si="0"/>
        <v>1139.3486275658593</v>
      </c>
      <c r="C22" s="6">
        <f t="shared" si="4"/>
        <v>6.6462003274675121</v>
      </c>
      <c r="D22" s="2">
        <f t="shared" si="1"/>
        <v>7.5</v>
      </c>
      <c r="E22" s="2">
        <f t="shared" si="2"/>
        <v>0.8537996725324879</v>
      </c>
      <c r="F22" s="2">
        <f t="shared" si="3"/>
        <v>1138.4948278933268</v>
      </c>
    </row>
    <row r="23" spans="1:6">
      <c r="A23">
        <v>7</v>
      </c>
      <c r="B23" s="2">
        <f t="shared" si="0"/>
        <v>1138.4948278933268</v>
      </c>
      <c r="C23" s="6">
        <f t="shared" si="4"/>
        <v>6.6412198293777402</v>
      </c>
      <c r="D23" s="2">
        <f t="shared" si="1"/>
        <v>7.5</v>
      </c>
      <c r="E23" s="2">
        <f t="shared" si="2"/>
        <v>0.85878017062225975</v>
      </c>
      <c r="F23" s="2">
        <f t="shared" si="3"/>
        <v>1137.6360477227045</v>
      </c>
    </row>
    <row r="24" spans="1:6">
      <c r="A24">
        <v>8</v>
      </c>
      <c r="B24" s="2">
        <f t="shared" si="0"/>
        <v>1137.6360477227045</v>
      </c>
      <c r="C24" s="6">
        <f t="shared" si="4"/>
        <v>6.6362102783824435</v>
      </c>
      <c r="D24" s="2">
        <f t="shared" si="1"/>
        <v>7.5</v>
      </c>
      <c r="E24" s="2">
        <f t="shared" si="2"/>
        <v>0.86378972161755652</v>
      </c>
      <c r="F24" s="2">
        <f t="shared" si="3"/>
        <v>1136.7722580010868</v>
      </c>
    </row>
    <row r="25" spans="1:6">
      <c r="A25">
        <v>9</v>
      </c>
      <c r="B25" s="2">
        <f t="shared" si="0"/>
        <v>1136.7722580010868</v>
      </c>
      <c r="C25" s="6">
        <f t="shared" si="4"/>
        <v>6.63117150500634</v>
      </c>
      <c r="D25" s="2">
        <f t="shared" si="1"/>
        <v>7.5</v>
      </c>
      <c r="E25" s="2">
        <f t="shared" si="2"/>
        <v>0.86882849499365999</v>
      </c>
      <c r="F25" s="2">
        <f t="shared" si="3"/>
        <v>1135.9034295060931</v>
      </c>
    </row>
    <row r="26" spans="1:6">
      <c r="A26">
        <v>10</v>
      </c>
      <c r="B26" s="2">
        <f t="shared" si="0"/>
        <v>1135.9034295060931</v>
      </c>
      <c r="C26" s="6">
        <f t="shared" si="4"/>
        <v>6.6261033387855433</v>
      </c>
      <c r="D26" s="2">
        <f t="shared" si="1"/>
        <v>7.5</v>
      </c>
      <c r="E26" s="2">
        <f t="shared" si="2"/>
        <v>0.87389666121445675</v>
      </c>
      <c r="F26" s="2">
        <f t="shared" si="3"/>
        <v>1135.0295328448785</v>
      </c>
    </row>
    <row r="27" spans="1:6">
      <c r="A27">
        <v>11</v>
      </c>
      <c r="B27" s="2">
        <f t="shared" si="0"/>
        <v>1135.0295328448785</v>
      </c>
      <c r="C27" s="6">
        <f t="shared" si="4"/>
        <v>6.6210056082617923</v>
      </c>
      <c r="D27" s="2">
        <f t="shared" si="1"/>
        <v>7.5</v>
      </c>
      <c r="E27" s="2">
        <f t="shared" si="2"/>
        <v>0.8789943917382077</v>
      </c>
      <c r="F27" s="2">
        <f t="shared" si="3"/>
        <v>1134.1505384531404</v>
      </c>
    </row>
    <row r="28" spans="1:6">
      <c r="A28">
        <v>12</v>
      </c>
      <c r="B28" s="2">
        <f t="shared" si="0"/>
        <v>1134.1505384531404</v>
      </c>
      <c r="C28" s="6">
        <f t="shared" si="4"/>
        <v>6.6158781409766521</v>
      </c>
      <c r="D28" s="2">
        <f t="shared" si="1"/>
        <v>7.5</v>
      </c>
      <c r="E28" s="2">
        <f t="shared" si="2"/>
        <v>0.88412185902334794</v>
      </c>
      <c r="F28" s="2">
        <f t="shared" si="3"/>
        <v>1133.2664165941171</v>
      </c>
    </row>
    <row r="29" spans="1:6">
      <c r="A29">
        <v>13</v>
      </c>
      <c r="B29" s="2">
        <f t="shared" si="0"/>
        <v>1133.2664165941171</v>
      </c>
      <c r="C29" s="6">
        <f t="shared" si="4"/>
        <v>6.6107207634656833</v>
      </c>
      <c r="D29" s="2">
        <f t="shared" si="1"/>
        <v>7.5</v>
      </c>
      <c r="E29" s="2">
        <f t="shared" si="2"/>
        <v>0.88927923653431673</v>
      </c>
      <c r="F29" s="2">
        <f t="shared" si="3"/>
        <v>1132.3771373575828</v>
      </c>
    </row>
    <row r="30" spans="1:6">
      <c r="A30">
        <v>14</v>
      </c>
      <c r="B30" s="2">
        <f t="shared" si="0"/>
        <v>1132.3771373575828</v>
      </c>
      <c r="C30" s="6">
        <f t="shared" si="4"/>
        <v>6.6055333012525672</v>
      </c>
      <c r="D30" s="2">
        <f t="shared" si="1"/>
        <v>7.5</v>
      </c>
      <c r="E30" s="2">
        <f t="shared" si="2"/>
        <v>0.89446669874743279</v>
      </c>
      <c r="F30" s="2">
        <f t="shared" si="3"/>
        <v>1131.4826706588353</v>
      </c>
    </row>
    <row r="31" spans="1:6">
      <c r="A31">
        <v>15</v>
      </c>
      <c r="B31" s="2">
        <f t="shared" si="0"/>
        <v>1131.4826706588353</v>
      </c>
      <c r="C31" s="6">
        <f t="shared" si="4"/>
        <v>6.6003155788432073</v>
      </c>
      <c r="D31" s="2">
        <f t="shared" si="1"/>
        <v>7.5</v>
      </c>
      <c r="E31" s="2">
        <f t="shared" si="2"/>
        <v>0.8996844211567927</v>
      </c>
      <c r="F31" s="2">
        <f t="shared" si="3"/>
        <v>1130.5829862376786</v>
      </c>
    </row>
    <row r="32" spans="1:6">
      <c r="A32">
        <v>16</v>
      </c>
      <c r="B32" s="2">
        <f t="shared" si="0"/>
        <v>1130.5829862376786</v>
      </c>
      <c r="C32" s="6">
        <f t="shared" si="4"/>
        <v>6.5950674197197925</v>
      </c>
      <c r="D32" s="2">
        <f t="shared" si="1"/>
        <v>7.5</v>
      </c>
      <c r="E32" s="2">
        <f t="shared" si="2"/>
        <v>0.90493258028020751</v>
      </c>
      <c r="F32" s="2">
        <f t="shared" si="3"/>
        <v>1129.6780536573983</v>
      </c>
    </row>
    <row r="33" spans="1:6">
      <c r="A33">
        <v>17</v>
      </c>
      <c r="B33" s="2">
        <f t="shared" si="0"/>
        <v>1129.6780536573983</v>
      </c>
      <c r="C33" s="6">
        <f t="shared" si="4"/>
        <v>6.5897886463348243</v>
      </c>
      <c r="D33" s="2">
        <f t="shared" si="1"/>
        <v>7.5</v>
      </c>
      <c r="E33" s="2">
        <f t="shared" si="2"/>
        <v>0.91021135366517569</v>
      </c>
      <c r="F33" s="2">
        <f t="shared" si="3"/>
        <v>1128.7678423037332</v>
      </c>
    </row>
    <row r="34" spans="1:6">
      <c r="A34">
        <v>18</v>
      </c>
      <c r="B34" s="2">
        <f t="shared" si="0"/>
        <v>1128.7678423037332</v>
      </c>
      <c r="C34" s="6">
        <f t="shared" si="4"/>
        <v>6.584479080105111</v>
      </c>
      <c r="D34" s="2">
        <f t="shared" si="1"/>
        <v>7.5</v>
      </c>
      <c r="E34" s="2">
        <f t="shared" si="2"/>
        <v>0.91552091989488904</v>
      </c>
      <c r="F34" s="2">
        <f t="shared" si="3"/>
        <v>1127.8523213838384</v>
      </c>
    </row>
    <row r="35" spans="1:6">
      <c r="A35">
        <v>19</v>
      </c>
      <c r="B35" s="2">
        <f t="shared" si="0"/>
        <v>1127.8523213838384</v>
      </c>
      <c r="C35" s="6">
        <f t="shared" si="4"/>
        <v>6.5791385414057251</v>
      </c>
      <c r="D35" s="2">
        <f t="shared" si="1"/>
        <v>7.5</v>
      </c>
      <c r="E35" s="2">
        <f t="shared" si="2"/>
        <v>0.92086145859427493</v>
      </c>
      <c r="F35" s="2">
        <f t="shared" si="3"/>
        <v>1126.9314599252441</v>
      </c>
    </row>
    <row r="36" spans="1:6">
      <c r="A36">
        <v>20</v>
      </c>
      <c r="B36" s="2">
        <f t="shared" si="0"/>
        <v>1126.9314599252441</v>
      </c>
      <c r="C36" s="6">
        <f t="shared" si="4"/>
        <v>6.5737668495639241</v>
      </c>
      <c r="D36" s="2">
        <f t="shared" si="1"/>
        <v>7.5</v>
      </c>
      <c r="E36" s="2">
        <f t="shared" si="2"/>
        <v>0.9262331504360759</v>
      </c>
      <c r="F36" s="2">
        <f t="shared" si="3"/>
        <v>1126.0052267748081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0b8253723396d9f3</cp:lastModifiedBy>
  <cp:revision/>
  <dcterms:created xsi:type="dcterms:W3CDTF">2025-11-24T02:34:49Z</dcterms:created>
  <dcterms:modified xsi:type="dcterms:W3CDTF">2025-11-24T02:36:15Z</dcterms:modified>
  <cp:category/>
  <cp:contentStatus/>
</cp:coreProperties>
</file>