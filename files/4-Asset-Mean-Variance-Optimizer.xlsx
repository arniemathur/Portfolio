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iemathur/Desktop/Financial Modelling/"/>
    </mc:Choice>
  </mc:AlternateContent>
  <xr:revisionPtr revIDLastSave="0" documentId="8_{5CBCCF35-B6F9-E14A-8739-9D777E0BC1C8}" xr6:coauthVersionLast="47" xr6:coauthVersionMax="47" xr10:uidLastSave="{00000000-0000-0000-0000-000000000000}"/>
  <bookViews>
    <workbookView xWindow="760" yWindow="880" windowWidth="27260" windowHeight="16940" activeTab="1" xr2:uid="{CAFA2F16-3400-A543-9A92-BF399EB15691}"/>
  </bookViews>
  <sheets>
    <sheet name="Data" sheetId="1" r:id="rId1"/>
    <sheet name="MonthlyData" sheetId="2" r:id="rId2"/>
    <sheet name="MonthlyReturns" sheetId="3" r:id="rId3"/>
  </sheets>
  <definedNames>
    <definedName name="AAPL">MonthlyReturns!$B:$B</definedName>
    <definedName name="META">MonthlyReturns!$D:$D</definedName>
    <definedName name="NVDA">MonthlyReturns!$C:$C</definedName>
    <definedName name="SMCI">MonthlyReturns!$E:$E</definedName>
    <definedName name="solver_adj" localSheetId="2" hidden="1">MonthlyReturns!$L$15:$L$18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itr" localSheetId="2" hidden="1">2147483647</definedName>
    <definedName name="solver_lhs1" localSheetId="2" hidden="1">MonthlyReturns!$L$19</definedName>
    <definedName name="solver_lin" localSheetId="2" hidden="1">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opt" localSheetId="2" hidden="1">MonthlyReturns!$L$23</definedName>
    <definedName name="solver_pre" localSheetId="2" hidden="1">0.000001</definedName>
    <definedName name="solver_rbv" localSheetId="2" hidden="1">1</definedName>
    <definedName name="solver_rel1" localSheetId="2" hidden="1">2</definedName>
    <definedName name="solver_rhs1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K3" i="3"/>
  <c r="J3" i="3"/>
  <c r="I3" i="3"/>
  <c r="I2" i="3"/>
  <c r="I31" i="3"/>
  <c r="I33" i="3" s="1"/>
  <c r="L27" i="3" s="1"/>
  <c r="B2183" i="1"/>
  <c r="C2183" i="1"/>
  <c r="B2184" i="1"/>
  <c r="C2184" i="1"/>
  <c r="B2185" i="1"/>
  <c r="C2185" i="1"/>
  <c r="B2186" i="1"/>
  <c r="C2186" i="1"/>
  <c r="B2187" i="1"/>
  <c r="C2187" i="1"/>
  <c r="B2188" i="1"/>
  <c r="C2188" i="1"/>
  <c r="B2189" i="1"/>
  <c r="C2189" i="1"/>
  <c r="B2190" i="1"/>
  <c r="C2190" i="1"/>
  <c r="B2191" i="1"/>
  <c r="C2191" i="1"/>
  <c r="B2192" i="1"/>
  <c r="C2192" i="1"/>
  <c r="B2193" i="1"/>
  <c r="C2193" i="1"/>
  <c r="B2194" i="1"/>
  <c r="C2194" i="1"/>
  <c r="B2195" i="1"/>
  <c r="C2195" i="1"/>
  <c r="B2196" i="1"/>
  <c r="C2196" i="1"/>
  <c r="B2197" i="1"/>
  <c r="C2197" i="1"/>
  <c r="B2198" i="1"/>
  <c r="C2198" i="1"/>
  <c r="B2199" i="1"/>
  <c r="C2199" i="1"/>
  <c r="B2200" i="1"/>
  <c r="C2200" i="1"/>
  <c r="B2201" i="1"/>
  <c r="C2201" i="1"/>
  <c r="B2202" i="1"/>
  <c r="C2202" i="1"/>
  <c r="B2203" i="1"/>
  <c r="C2203" i="1"/>
  <c r="B2204" i="1"/>
  <c r="C2204" i="1"/>
  <c r="B2205" i="1"/>
  <c r="C2205" i="1"/>
  <c r="B2206" i="1"/>
  <c r="C2206" i="1"/>
  <c r="B2207" i="1"/>
  <c r="C2207" i="1"/>
  <c r="B2208" i="1"/>
  <c r="C2208" i="1"/>
  <c r="B2209" i="1"/>
  <c r="C2209" i="1"/>
  <c r="B2210" i="1"/>
  <c r="C2210" i="1"/>
  <c r="B2211" i="1"/>
  <c r="C2211" i="1"/>
  <c r="B2212" i="1"/>
  <c r="C2212" i="1"/>
  <c r="B2213" i="1"/>
  <c r="C2213" i="1"/>
  <c r="B2214" i="1"/>
  <c r="C2214" i="1"/>
  <c r="B2215" i="1"/>
  <c r="C2215" i="1"/>
  <c r="B2216" i="1"/>
  <c r="C2216" i="1"/>
  <c r="B2217" i="1"/>
  <c r="C2217" i="1"/>
  <c r="B2218" i="1"/>
  <c r="C2218" i="1"/>
  <c r="B2219" i="1"/>
  <c r="C2219" i="1"/>
  <c r="B2220" i="1"/>
  <c r="C2220" i="1"/>
  <c r="B2221" i="1"/>
  <c r="C2221" i="1"/>
  <c r="B2222" i="1"/>
  <c r="C2222" i="1"/>
  <c r="B2223" i="1"/>
  <c r="C2223" i="1"/>
  <c r="B2224" i="1"/>
  <c r="C2224" i="1"/>
  <c r="B2225" i="1"/>
  <c r="C2225" i="1"/>
  <c r="B2226" i="1"/>
  <c r="C2226" i="1"/>
  <c r="B2227" i="1"/>
  <c r="C2227" i="1"/>
  <c r="B2228" i="1"/>
  <c r="C2228" i="1"/>
  <c r="B2229" i="1"/>
  <c r="C2229" i="1"/>
  <c r="B2230" i="1"/>
  <c r="C2230" i="1"/>
  <c r="B2231" i="1"/>
  <c r="C2231" i="1"/>
  <c r="B2232" i="1"/>
  <c r="C2232" i="1"/>
  <c r="B2233" i="1"/>
  <c r="C2233" i="1"/>
  <c r="B2234" i="1"/>
  <c r="C2234" i="1"/>
  <c r="B2235" i="1"/>
  <c r="C2235" i="1"/>
  <c r="B2236" i="1"/>
  <c r="C2236" i="1"/>
  <c r="B2237" i="1"/>
  <c r="C2237" i="1"/>
  <c r="B2238" i="1"/>
  <c r="C2238" i="1"/>
  <c r="B2239" i="1"/>
  <c r="C2239" i="1"/>
  <c r="B2240" i="1"/>
  <c r="C2240" i="1"/>
  <c r="B2241" i="1"/>
  <c r="C2241" i="1"/>
  <c r="B2242" i="1"/>
  <c r="C2242" i="1"/>
  <c r="B2243" i="1"/>
  <c r="C2243" i="1"/>
  <c r="B2244" i="1"/>
  <c r="C2244" i="1"/>
  <c r="B2245" i="1"/>
  <c r="C2245" i="1"/>
  <c r="B2246" i="1"/>
  <c r="C2246" i="1"/>
  <c r="B2247" i="1"/>
  <c r="C2247" i="1"/>
  <c r="B2248" i="1"/>
  <c r="C2248" i="1"/>
  <c r="B2249" i="1"/>
  <c r="C2249" i="1"/>
  <c r="B2250" i="1"/>
  <c r="C2250" i="1"/>
  <c r="B2251" i="1"/>
  <c r="C2251" i="1"/>
  <c r="B2252" i="1"/>
  <c r="C2252" i="1"/>
  <c r="B2253" i="1"/>
  <c r="C2253" i="1"/>
  <c r="B2254" i="1"/>
  <c r="C2254" i="1"/>
  <c r="B2255" i="1"/>
  <c r="C2255" i="1"/>
  <c r="B2256" i="1"/>
  <c r="C2256" i="1"/>
  <c r="B2257" i="1"/>
  <c r="C2257" i="1"/>
  <c r="B2258" i="1"/>
  <c r="C2258" i="1"/>
  <c r="B2259" i="1"/>
  <c r="C2259" i="1"/>
  <c r="B2260" i="1"/>
  <c r="C2260" i="1"/>
  <c r="B2261" i="1"/>
  <c r="C2261" i="1"/>
  <c r="B2262" i="1"/>
  <c r="C2262" i="1"/>
  <c r="B2263" i="1"/>
  <c r="C2263" i="1"/>
  <c r="B2264" i="1"/>
  <c r="C2264" i="1"/>
  <c r="B2265" i="1"/>
  <c r="C2265" i="1"/>
  <c r="B2266" i="1"/>
  <c r="C2266" i="1"/>
  <c r="B2267" i="1"/>
  <c r="C2267" i="1"/>
  <c r="B2268" i="1"/>
  <c r="C2268" i="1"/>
  <c r="B2269" i="1"/>
  <c r="C2269" i="1"/>
  <c r="B2270" i="1"/>
  <c r="C2270" i="1"/>
  <c r="B2271" i="1"/>
  <c r="C2271" i="1"/>
  <c r="B2272" i="1"/>
  <c r="C2272" i="1"/>
  <c r="B2273" i="1"/>
  <c r="C2273" i="1"/>
  <c r="B2274" i="1"/>
  <c r="C2274" i="1"/>
  <c r="B2275" i="1"/>
  <c r="C2275" i="1"/>
  <c r="B2276" i="1"/>
  <c r="C2276" i="1"/>
  <c r="B2277" i="1"/>
  <c r="C2277" i="1"/>
  <c r="B2278" i="1"/>
  <c r="C2278" i="1"/>
  <c r="B2279" i="1"/>
  <c r="C2279" i="1"/>
  <c r="B2280" i="1"/>
  <c r="C2280" i="1"/>
  <c r="B2281" i="1"/>
  <c r="C2281" i="1"/>
  <c r="B2282" i="1"/>
  <c r="C2282" i="1"/>
  <c r="B2283" i="1"/>
  <c r="C2283" i="1"/>
  <c r="B2284" i="1"/>
  <c r="C2284" i="1"/>
  <c r="B2285" i="1"/>
  <c r="C2285" i="1"/>
  <c r="B2286" i="1"/>
  <c r="C2286" i="1"/>
  <c r="B2287" i="1"/>
  <c r="C2287" i="1"/>
  <c r="B2288" i="1"/>
  <c r="C2288" i="1"/>
  <c r="B2289" i="1"/>
  <c r="C2289" i="1"/>
  <c r="B2290" i="1"/>
  <c r="C2290" i="1"/>
  <c r="B2291" i="1"/>
  <c r="C2291" i="1"/>
  <c r="B2292" i="1"/>
  <c r="C2292" i="1"/>
  <c r="B2293" i="1"/>
  <c r="C2293" i="1"/>
  <c r="B2294" i="1"/>
  <c r="C2294" i="1"/>
  <c r="B2295" i="1"/>
  <c r="C2295" i="1"/>
  <c r="B2296" i="1"/>
  <c r="C2296" i="1"/>
  <c r="B2297" i="1"/>
  <c r="C2297" i="1"/>
  <c r="B2298" i="1"/>
  <c r="C2298" i="1"/>
  <c r="B2299" i="1"/>
  <c r="C2299" i="1"/>
  <c r="B2300" i="1"/>
  <c r="C2300" i="1"/>
  <c r="B2301" i="1"/>
  <c r="C2301" i="1"/>
  <c r="B2302" i="1"/>
  <c r="C2302" i="1"/>
  <c r="B2303" i="1"/>
  <c r="C2303" i="1"/>
  <c r="B2304" i="1"/>
  <c r="C2304" i="1"/>
  <c r="B2305" i="1"/>
  <c r="C2305" i="1"/>
  <c r="B2306" i="1"/>
  <c r="C2306" i="1"/>
  <c r="B2307" i="1"/>
  <c r="C2307" i="1"/>
  <c r="B2308" i="1"/>
  <c r="C2308" i="1"/>
  <c r="B2309" i="1"/>
  <c r="C2309" i="1"/>
  <c r="B2310" i="1"/>
  <c r="C2310" i="1"/>
  <c r="B2311" i="1"/>
  <c r="C2311" i="1"/>
  <c r="B2312" i="1"/>
  <c r="C2312" i="1"/>
  <c r="B2313" i="1"/>
  <c r="C2313" i="1"/>
  <c r="B2314" i="1"/>
  <c r="C2314" i="1"/>
  <c r="B2315" i="1"/>
  <c r="C2315" i="1"/>
  <c r="B2316" i="1"/>
  <c r="C2316" i="1"/>
  <c r="B2317" i="1"/>
  <c r="C2317" i="1"/>
  <c r="B2318" i="1"/>
  <c r="C2318" i="1"/>
  <c r="B2319" i="1"/>
  <c r="C2319" i="1"/>
  <c r="B2320" i="1"/>
  <c r="C2320" i="1"/>
  <c r="B2321" i="1"/>
  <c r="C2321" i="1"/>
  <c r="B2322" i="1"/>
  <c r="C2322" i="1"/>
  <c r="B2323" i="1"/>
  <c r="C2323" i="1"/>
  <c r="B2324" i="1"/>
  <c r="C2324" i="1"/>
  <c r="B2325" i="1"/>
  <c r="C2325" i="1"/>
  <c r="B2326" i="1"/>
  <c r="C2326" i="1"/>
  <c r="B2327" i="1"/>
  <c r="C2327" i="1"/>
  <c r="B2328" i="1"/>
  <c r="C2328" i="1"/>
  <c r="B2329" i="1"/>
  <c r="C2329" i="1"/>
  <c r="B2330" i="1"/>
  <c r="C2330" i="1"/>
  <c r="B2331" i="1"/>
  <c r="C2331" i="1"/>
  <c r="B2332" i="1"/>
  <c r="C2332" i="1"/>
  <c r="B2333" i="1"/>
  <c r="C2333" i="1"/>
  <c r="B2334" i="1"/>
  <c r="C2334" i="1"/>
  <c r="B2335" i="1"/>
  <c r="C2335" i="1"/>
  <c r="B2336" i="1"/>
  <c r="C2336" i="1"/>
  <c r="B2337" i="1"/>
  <c r="C2337" i="1"/>
  <c r="B2338" i="1"/>
  <c r="C2338" i="1"/>
  <c r="B2339" i="1"/>
  <c r="C2339" i="1"/>
  <c r="B2340" i="1"/>
  <c r="C2340" i="1"/>
  <c r="B2341" i="1"/>
  <c r="C2341" i="1"/>
  <c r="B2342" i="1"/>
  <c r="C2342" i="1"/>
  <c r="B2343" i="1"/>
  <c r="C2343" i="1"/>
  <c r="B2344" i="1"/>
  <c r="C2344" i="1"/>
  <c r="B2345" i="1"/>
  <c r="C2345" i="1"/>
  <c r="B2346" i="1"/>
  <c r="C2346" i="1"/>
  <c r="B2347" i="1"/>
  <c r="C2347" i="1"/>
  <c r="B2348" i="1"/>
  <c r="C2348" i="1"/>
  <c r="B2349" i="1"/>
  <c r="C2349" i="1"/>
  <c r="B2350" i="1"/>
  <c r="C2350" i="1"/>
  <c r="B2351" i="1"/>
  <c r="C2351" i="1"/>
  <c r="B2352" i="1"/>
  <c r="C2352" i="1"/>
  <c r="B2353" i="1"/>
  <c r="C2353" i="1"/>
  <c r="B2354" i="1"/>
  <c r="C2354" i="1"/>
  <c r="B2355" i="1"/>
  <c r="C2355" i="1"/>
  <c r="B2356" i="1"/>
  <c r="C2356" i="1"/>
  <c r="B2357" i="1"/>
  <c r="C2357" i="1"/>
  <c r="B2358" i="1"/>
  <c r="C2358" i="1"/>
  <c r="B2359" i="1"/>
  <c r="C2359" i="1"/>
  <c r="B2360" i="1"/>
  <c r="C2360" i="1"/>
  <c r="B2361" i="1"/>
  <c r="C2361" i="1"/>
  <c r="B2362" i="1"/>
  <c r="C2362" i="1"/>
  <c r="B2363" i="1"/>
  <c r="C2363" i="1"/>
  <c r="B2364" i="1"/>
  <c r="C2364" i="1"/>
  <c r="B2365" i="1"/>
  <c r="C2365" i="1"/>
  <c r="B2366" i="1"/>
  <c r="C2366" i="1"/>
  <c r="B2367" i="1"/>
  <c r="C2367" i="1"/>
  <c r="B2368" i="1"/>
  <c r="C2368" i="1"/>
  <c r="B2369" i="1"/>
  <c r="C2369" i="1"/>
  <c r="B2370" i="1"/>
  <c r="C2370" i="1"/>
  <c r="B2371" i="1"/>
  <c r="C2371" i="1"/>
  <c r="B2372" i="1"/>
  <c r="C2372" i="1"/>
  <c r="B2373" i="1"/>
  <c r="C2373" i="1"/>
  <c r="B2374" i="1"/>
  <c r="C2374" i="1"/>
  <c r="B2375" i="1"/>
  <c r="C2375" i="1"/>
  <c r="B2376" i="1"/>
  <c r="C2376" i="1"/>
  <c r="B2377" i="1"/>
  <c r="C2377" i="1"/>
  <c r="B2378" i="1"/>
  <c r="C2378" i="1"/>
  <c r="B2379" i="1"/>
  <c r="C2379" i="1"/>
  <c r="B2380" i="1"/>
  <c r="C2380" i="1"/>
  <c r="B2381" i="1"/>
  <c r="C2381" i="1"/>
  <c r="B2382" i="1"/>
  <c r="C2382" i="1"/>
  <c r="B2383" i="1"/>
  <c r="C2383" i="1"/>
  <c r="B2384" i="1"/>
  <c r="C2384" i="1"/>
  <c r="B2385" i="1"/>
  <c r="C2385" i="1"/>
  <c r="B2386" i="1"/>
  <c r="C2386" i="1"/>
  <c r="B2387" i="1"/>
  <c r="C2387" i="1"/>
  <c r="B2388" i="1"/>
  <c r="C2388" i="1"/>
  <c r="B2389" i="1"/>
  <c r="C2389" i="1"/>
  <c r="B2390" i="1"/>
  <c r="C2390" i="1"/>
  <c r="B2391" i="1"/>
  <c r="C2391" i="1"/>
  <c r="B2392" i="1"/>
  <c r="C2392" i="1"/>
  <c r="B2393" i="1"/>
  <c r="C2393" i="1"/>
  <c r="B2394" i="1"/>
  <c r="C2394" i="1"/>
  <c r="B2395" i="1"/>
  <c r="C2395" i="1"/>
  <c r="B2396" i="1"/>
  <c r="C2396" i="1"/>
  <c r="B2397" i="1"/>
  <c r="C2397" i="1"/>
  <c r="B2398" i="1"/>
  <c r="C2398" i="1"/>
  <c r="B2399" i="1"/>
  <c r="C2399" i="1"/>
  <c r="B2400" i="1"/>
  <c r="C2400" i="1"/>
  <c r="B2401" i="1"/>
  <c r="C2401" i="1"/>
  <c r="B2402" i="1"/>
  <c r="C2402" i="1"/>
  <c r="B2403" i="1"/>
  <c r="C2403" i="1"/>
  <c r="B2404" i="1"/>
  <c r="C2404" i="1"/>
  <c r="B2405" i="1"/>
  <c r="C2405" i="1"/>
  <c r="B2406" i="1"/>
  <c r="C2406" i="1"/>
  <c r="B2407" i="1"/>
  <c r="C2407" i="1"/>
  <c r="B2408" i="1"/>
  <c r="C2408" i="1"/>
  <c r="B2409" i="1"/>
  <c r="C2409" i="1"/>
  <c r="B2410" i="1"/>
  <c r="C2410" i="1"/>
  <c r="B2411" i="1"/>
  <c r="C2411" i="1"/>
  <c r="B2412" i="1"/>
  <c r="C2412" i="1"/>
  <c r="B2413" i="1"/>
  <c r="C2413" i="1"/>
  <c r="B2414" i="1"/>
  <c r="C2414" i="1"/>
  <c r="B2415" i="1"/>
  <c r="C2415" i="1"/>
  <c r="B2416" i="1"/>
  <c r="C2416" i="1"/>
  <c r="B2417" i="1"/>
  <c r="C2417" i="1"/>
  <c r="B2418" i="1"/>
  <c r="C2418" i="1"/>
  <c r="B2419" i="1"/>
  <c r="C2419" i="1"/>
  <c r="B2420" i="1"/>
  <c r="C2420" i="1"/>
  <c r="B2421" i="1"/>
  <c r="C2421" i="1"/>
  <c r="B2422" i="1"/>
  <c r="C2422" i="1"/>
  <c r="B2423" i="1"/>
  <c r="C2423" i="1"/>
  <c r="B2424" i="1"/>
  <c r="C2424" i="1"/>
  <c r="B2425" i="1"/>
  <c r="C2425" i="1"/>
  <c r="B2426" i="1"/>
  <c r="C2426" i="1"/>
  <c r="B2427" i="1"/>
  <c r="C2427" i="1"/>
  <c r="B2428" i="1"/>
  <c r="C2428" i="1"/>
  <c r="B2429" i="1"/>
  <c r="C2429" i="1"/>
  <c r="B2430" i="1"/>
  <c r="C2430" i="1"/>
  <c r="B2431" i="1"/>
  <c r="C2431" i="1"/>
  <c r="B2432" i="1"/>
  <c r="C2432" i="1"/>
  <c r="B2433" i="1"/>
  <c r="C2433" i="1"/>
  <c r="B2434" i="1"/>
  <c r="C2434" i="1"/>
  <c r="B2435" i="1"/>
  <c r="C2435" i="1"/>
  <c r="B2436" i="1"/>
  <c r="C2436" i="1"/>
  <c r="B2437" i="1"/>
  <c r="C2437" i="1"/>
  <c r="B2438" i="1"/>
  <c r="C2438" i="1"/>
  <c r="B2439" i="1"/>
  <c r="C2439" i="1"/>
  <c r="B2440" i="1"/>
  <c r="C2440" i="1"/>
  <c r="B2441" i="1"/>
  <c r="C2441" i="1"/>
  <c r="B2442" i="1"/>
  <c r="C2442" i="1"/>
  <c r="B2443" i="1"/>
  <c r="C2443" i="1"/>
  <c r="B2444" i="1"/>
  <c r="C2444" i="1"/>
  <c r="B2445" i="1"/>
  <c r="C2445" i="1"/>
  <c r="B2446" i="1"/>
  <c r="C2446" i="1"/>
  <c r="B2447" i="1"/>
  <c r="C2447" i="1"/>
  <c r="B2448" i="1"/>
  <c r="C2448" i="1"/>
  <c r="B2449" i="1"/>
  <c r="C2449" i="1"/>
  <c r="B2450" i="1"/>
  <c r="C2450" i="1"/>
  <c r="B2451" i="1"/>
  <c r="C2451" i="1"/>
  <c r="B2452" i="1"/>
  <c r="C2452" i="1"/>
  <c r="B2453" i="1"/>
  <c r="C2453" i="1"/>
  <c r="B2454" i="1"/>
  <c r="C2454" i="1"/>
  <c r="B2455" i="1"/>
  <c r="C2455" i="1"/>
  <c r="B2456" i="1"/>
  <c r="C2456" i="1"/>
  <c r="B2457" i="1"/>
  <c r="C2457" i="1"/>
  <c r="B2458" i="1"/>
  <c r="C2458" i="1"/>
  <c r="B2459" i="1"/>
  <c r="C2459" i="1"/>
  <c r="B2460" i="1"/>
  <c r="C2460" i="1"/>
  <c r="B2461" i="1"/>
  <c r="C2461" i="1"/>
  <c r="B2462" i="1"/>
  <c r="C2462" i="1"/>
  <c r="B2463" i="1"/>
  <c r="C2463" i="1"/>
  <c r="B2464" i="1"/>
  <c r="C2464" i="1"/>
  <c r="B2465" i="1"/>
  <c r="C2465" i="1"/>
  <c r="B2466" i="1"/>
  <c r="C2466" i="1"/>
  <c r="B2467" i="1"/>
  <c r="C2467" i="1"/>
  <c r="B2468" i="1"/>
  <c r="C2468" i="1"/>
  <c r="B2469" i="1"/>
  <c r="C2469" i="1"/>
  <c r="B2470" i="1"/>
  <c r="C2470" i="1"/>
  <c r="B2471" i="1"/>
  <c r="C2471" i="1"/>
  <c r="B2472" i="1"/>
  <c r="C2472" i="1"/>
  <c r="B2473" i="1"/>
  <c r="C2473" i="1"/>
  <c r="B2474" i="1"/>
  <c r="C2474" i="1"/>
  <c r="B2475" i="1"/>
  <c r="C2475" i="1"/>
  <c r="B2476" i="1"/>
  <c r="C2476" i="1"/>
  <c r="B2477" i="1"/>
  <c r="C2477" i="1"/>
  <c r="B2478" i="1"/>
  <c r="C2478" i="1"/>
  <c r="B2479" i="1"/>
  <c r="C2479" i="1"/>
  <c r="B2480" i="1"/>
  <c r="C2480" i="1"/>
  <c r="B2481" i="1"/>
  <c r="C2481" i="1"/>
  <c r="B2482" i="1"/>
  <c r="C2482" i="1"/>
  <c r="B2483" i="1"/>
  <c r="C2483" i="1"/>
  <c r="B2484" i="1"/>
  <c r="C2484" i="1"/>
  <c r="B2485" i="1"/>
  <c r="C2485" i="1"/>
  <c r="B2486" i="1"/>
  <c r="C2486" i="1"/>
  <c r="B2487" i="1"/>
  <c r="C2487" i="1"/>
  <c r="B2488" i="1"/>
  <c r="C2488" i="1"/>
  <c r="B2489" i="1"/>
  <c r="C2489" i="1"/>
  <c r="B2490" i="1"/>
  <c r="C2490" i="1"/>
  <c r="B2491" i="1"/>
  <c r="C2491" i="1"/>
  <c r="B2492" i="1"/>
  <c r="C2492" i="1"/>
  <c r="B2493" i="1"/>
  <c r="C2493" i="1"/>
  <c r="B2494" i="1"/>
  <c r="C2494" i="1"/>
  <c r="B2495" i="1"/>
  <c r="C2495" i="1"/>
  <c r="B2496" i="1"/>
  <c r="C2496" i="1"/>
  <c r="B2497" i="1"/>
  <c r="C2497" i="1"/>
  <c r="B2498" i="1"/>
  <c r="C2498" i="1"/>
  <c r="B2499" i="1"/>
  <c r="C2499" i="1"/>
  <c r="B2500" i="1"/>
  <c r="C2500" i="1"/>
  <c r="B2501" i="1"/>
  <c r="C2501" i="1"/>
  <c r="B2502" i="1"/>
  <c r="C2502" i="1"/>
  <c r="B2503" i="1"/>
  <c r="C2503" i="1"/>
  <c r="B2504" i="1"/>
  <c r="C2504" i="1"/>
  <c r="B2505" i="1"/>
  <c r="C2505" i="1"/>
  <c r="B2506" i="1"/>
  <c r="C2506" i="1"/>
  <c r="B2507" i="1"/>
  <c r="C2507" i="1"/>
  <c r="B2508" i="1"/>
  <c r="C2508" i="1"/>
  <c r="B2509" i="1"/>
  <c r="C2509" i="1"/>
  <c r="B2510" i="1"/>
  <c r="C2510" i="1"/>
  <c r="B2511" i="1"/>
  <c r="C2511" i="1"/>
  <c r="B2512" i="1"/>
  <c r="C2512" i="1"/>
  <c r="B2513" i="1"/>
  <c r="C2513" i="1"/>
  <c r="B2514" i="1"/>
  <c r="C2514" i="1"/>
  <c r="B2515" i="1"/>
  <c r="C2515" i="1"/>
  <c r="L19" i="3"/>
  <c r="I19" i="3" l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" i="1"/>
  <c r="A6" i="2" s="1" a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" i="1"/>
  <c r="A6" i="2" l="1"/>
  <c r="B126" i="2" s="1"/>
  <c r="B116" i="2"/>
  <c r="B118" i="2"/>
  <c r="B119" i="2"/>
  <c r="B111" i="2"/>
  <c r="B113" i="2"/>
  <c r="B120" i="2"/>
  <c r="B115" i="2"/>
  <c r="B121" i="2"/>
  <c r="B112" i="2"/>
  <c r="B122" i="2"/>
  <c r="B123" i="2"/>
  <c r="B125" i="2"/>
  <c r="B117" i="2"/>
  <c r="B114" i="2"/>
  <c r="B124" i="2"/>
  <c r="C126" i="2"/>
  <c r="D126" i="2"/>
  <c r="E126" i="2"/>
  <c r="F126" i="2"/>
  <c r="B6" i="2"/>
  <c r="B16" i="2"/>
  <c r="B26" i="2"/>
  <c r="B36" i="2"/>
  <c r="B46" i="2"/>
  <c r="B56" i="2"/>
  <c r="B66" i="2"/>
  <c r="B76" i="2"/>
  <c r="B86" i="2"/>
  <c r="B96" i="2"/>
  <c r="B106" i="2"/>
  <c r="B7" i="2"/>
  <c r="B17" i="2"/>
  <c r="B27" i="2"/>
  <c r="B37" i="2"/>
  <c r="B47" i="2"/>
  <c r="B57" i="2"/>
  <c r="B67" i="2"/>
  <c r="B77" i="2"/>
  <c r="B87" i="2"/>
  <c r="B97" i="2"/>
  <c r="B107" i="2"/>
  <c r="B8" i="2"/>
  <c r="D8" i="2" s="1"/>
  <c r="B18" i="2"/>
  <c r="C18" i="2" s="1"/>
  <c r="B28" i="2"/>
  <c r="B38" i="2"/>
  <c r="D38" i="2" s="1"/>
  <c r="B48" i="2"/>
  <c r="D48" i="2" s="1"/>
  <c r="B58" i="2"/>
  <c r="B68" i="2"/>
  <c r="D68" i="2" s="1"/>
  <c r="B78" i="2"/>
  <c r="D78" i="2" s="1"/>
  <c r="B88" i="2"/>
  <c r="C88" i="2" s="1"/>
  <c r="B98" i="2"/>
  <c r="C98" i="2" s="1"/>
  <c r="B108" i="2"/>
  <c r="C108" i="2" s="1"/>
  <c r="B9" i="2"/>
  <c r="B19" i="2"/>
  <c r="B29" i="2"/>
  <c r="B39" i="2"/>
  <c r="B49" i="2"/>
  <c r="B59" i="2"/>
  <c r="B69" i="2"/>
  <c r="B79" i="2"/>
  <c r="B89" i="2"/>
  <c r="B99" i="2"/>
  <c r="B109" i="2"/>
  <c r="B10" i="2"/>
  <c r="B20" i="2"/>
  <c r="B30" i="2"/>
  <c r="B40" i="2"/>
  <c r="B50" i="2"/>
  <c r="B60" i="2"/>
  <c r="B70" i="2"/>
  <c r="B80" i="2"/>
  <c r="B90" i="2"/>
  <c r="B100" i="2"/>
  <c r="B110" i="2"/>
  <c r="B11" i="2"/>
  <c r="B21" i="2"/>
  <c r="B31" i="2"/>
  <c r="B41" i="2"/>
  <c r="B51" i="2"/>
  <c r="B61" i="2"/>
  <c r="B71" i="2"/>
  <c r="B81" i="2"/>
  <c r="B91" i="2"/>
  <c r="B101" i="2"/>
  <c r="B12" i="2"/>
  <c r="B22" i="2"/>
  <c r="B32" i="2"/>
  <c r="B42" i="2"/>
  <c r="B52" i="2"/>
  <c r="B62" i="2"/>
  <c r="B72" i="2"/>
  <c r="B82" i="2"/>
  <c r="B92" i="2"/>
  <c r="B102" i="2"/>
  <c r="B13" i="2"/>
  <c r="B23" i="2"/>
  <c r="B33" i="2"/>
  <c r="B43" i="2"/>
  <c r="B53" i="2"/>
  <c r="B63" i="2"/>
  <c r="B73" i="2"/>
  <c r="B83" i="2"/>
  <c r="B93" i="2"/>
  <c r="B103" i="2"/>
  <c r="B14" i="2"/>
  <c r="B24" i="2"/>
  <c r="B34" i="2"/>
  <c r="B44" i="2"/>
  <c r="B54" i="2"/>
  <c r="B64" i="2"/>
  <c r="B74" i="2"/>
  <c r="B84" i="2"/>
  <c r="B94" i="2"/>
  <c r="B104" i="2"/>
  <c r="B15" i="2"/>
  <c r="B25" i="2"/>
  <c r="B35" i="2"/>
  <c r="B45" i="2"/>
  <c r="B55" i="2"/>
  <c r="B65" i="2"/>
  <c r="B75" i="2"/>
  <c r="B85" i="2"/>
  <c r="B95" i="2"/>
  <c r="B105" i="2"/>
  <c r="C28" i="2"/>
  <c r="C58" i="2"/>
  <c r="D28" i="2"/>
  <c r="D58" i="2"/>
  <c r="D88" i="2"/>
  <c r="D98" i="2"/>
  <c r="C112" i="2" l="1"/>
  <c r="E112" i="2"/>
  <c r="D112" i="2"/>
  <c r="F112" i="2"/>
  <c r="C121" i="2"/>
  <c r="D121" i="2"/>
  <c r="E121" i="2"/>
  <c r="F121" i="2"/>
  <c r="C115" i="2"/>
  <c r="D115" i="2"/>
  <c r="E115" i="2"/>
  <c r="F115" i="2"/>
  <c r="C120" i="2"/>
  <c r="E120" i="2"/>
  <c r="F120" i="2"/>
  <c r="D120" i="2"/>
  <c r="C124" i="2"/>
  <c r="F124" i="2"/>
  <c r="D124" i="2"/>
  <c r="E124" i="2"/>
  <c r="C113" i="2"/>
  <c r="F113" i="2"/>
  <c r="E113" i="2"/>
  <c r="D113" i="2"/>
  <c r="C114" i="2"/>
  <c r="E114" i="2"/>
  <c r="D114" i="2"/>
  <c r="F114" i="2"/>
  <c r="C111" i="2"/>
  <c r="E111" i="2"/>
  <c r="D111" i="2"/>
  <c r="F111" i="2"/>
  <c r="C117" i="2"/>
  <c r="F117" i="2"/>
  <c r="D117" i="2"/>
  <c r="E117" i="2"/>
  <c r="C119" i="2"/>
  <c r="D119" i="2"/>
  <c r="E119" i="2"/>
  <c r="F119" i="2"/>
  <c r="C125" i="2"/>
  <c r="F125" i="2"/>
  <c r="D125" i="2"/>
  <c r="E125" i="2"/>
  <c r="C118" i="2"/>
  <c r="E118" i="2"/>
  <c r="F118" i="2"/>
  <c r="D118" i="2"/>
  <c r="D108" i="2"/>
  <c r="C123" i="2"/>
  <c r="F123" i="2"/>
  <c r="E123" i="2"/>
  <c r="D123" i="2"/>
  <c r="C116" i="2"/>
  <c r="E116" i="2"/>
  <c r="F116" i="2"/>
  <c r="D116" i="2"/>
  <c r="C122" i="2"/>
  <c r="D122" i="2"/>
  <c r="F122" i="2"/>
  <c r="E122" i="2"/>
  <c r="C8" i="2"/>
  <c r="D18" i="2"/>
  <c r="C68" i="2"/>
  <c r="C38" i="2"/>
  <c r="C48" i="2"/>
  <c r="F83" i="2"/>
  <c r="E83" i="2"/>
  <c r="C83" i="2"/>
  <c r="D83" i="2"/>
  <c r="C25" i="2"/>
  <c r="D25" i="2"/>
  <c r="F25" i="2"/>
  <c r="E25" i="2"/>
  <c r="E44" i="2"/>
  <c r="C44" i="2"/>
  <c r="D44" i="2"/>
  <c r="F44" i="2"/>
  <c r="E63" i="2"/>
  <c r="C63" i="2"/>
  <c r="D63" i="2"/>
  <c r="F63" i="2"/>
  <c r="D82" i="2"/>
  <c r="F82" i="2"/>
  <c r="E82" i="2"/>
  <c r="C82" i="2"/>
  <c r="C101" i="2"/>
  <c r="E101" i="2"/>
  <c r="D101" i="2"/>
  <c r="F101" i="2"/>
  <c r="E20" i="2"/>
  <c r="C20" i="2"/>
  <c r="D20" i="2"/>
  <c r="F20" i="2"/>
  <c r="F39" i="2"/>
  <c r="E39" i="2"/>
  <c r="C39" i="2"/>
  <c r="B35" i="3" s="1"/>
  <c r="D39" i="2"/>
  <c r="C35" i="3" s="1"/>
  <c r="F58" i="2"/>
  <c r="E58" i="2"/>
  <c r="C77" i="2"/>
  <c r="D77" i="2"/>
  <c r="C74" i="3" s="1"/>
  <c r="F77" i="2"/>
  <c r="E77" i="2"/>
  <c r="C96" i="2"/>
  <c r="D96" i="2"/>
  <c r="F96" i="2"/>
  <c r="E96" i="2"/>
  <c r="E21" i="2"/>
  <c r="D17" i="3" s="1"/>
  <c r="C21" i="2"/>
  <c r="D21" i="2"/>
  <c r="F21" i="2"/>
  <c r="D15" i="2"/>
  <c r="F15" i="2"/>
  <c r="E15" i="2"/>
  <c r="C15" i="2"/>
  <c r="E34" i="2"/>
  <c r="C34" i="2"/>
  <c r="D34" i="2"/>
  <c r="F34" i="2"/>
  <c r="E53" i="2"/>
  <c r="C53" i="2"/>
  <c r="D53" i="2"/>
  <c r="F53" i="2"/>
  <c r="F72" i="2"/>
  <c r="E72" i="2"/>
  <c r="C72" i="2"/>
  <c r="D72" i="2"/>
  <c r="C91" i="2"/>
  <c r="D91" i="2"/>
  <c r="F91" i="2"/>
  <c r="E91" i="2"/>
  <c r="E110" i="2"/>
  <c r="C110" i="2"/>
  <c r="D110" i="2"/>
  <c r="F110" i="2"/>
  <c r="E10" i="2"/>
  <c r="C10" i="2"/>
  <c r="D10" i="2"/>
  <c r="F10" i="2"/>
  <c r="E29" i="2"/>
  <c r="C29" i="2"/>
  <c r="B25" i="3" s="1"/>
  <c r="D29" i="2"/>
  <c r="C25" i="3" s="1"/>
  <c r="F29" i="2"/>
  <c r="F48" i="2"/>
  <c r="E48" i="2"/>
  <c r="C67" i="2"/>
  <c r="D67" i="2"/>
  <c r="F67" i="2"/>
  <c r="E67" i="2"/>
  <c r="C86" i="2"/>
  <c r="D86" i="2"/>
  <c r="F86" i="2"/>
  <c r="E86" i="2"/>
  <c r="F78" i="2"/>
  <c r="E74" i="3" s="1"/>
  <c r="E78" i="2"/>
  <c r="D74" i="3" s="1"/>
  <c r="F105" i="2"/>
  <c r="C105" i="2"/>
  <c r="E105" i="2"/>
  <c r="D105" i="2"/>
  <c r="E24" i="2"/>
  <c r="C24" i="2"/>
  <c r="D24" i="2"/>
  <c r="F24" i="2"/>
  <c r="E43" i="2"/>
  <c r="C43" i="2"/>
  <c r="D43" i="2"/>
  <c r="F43" i="2"/>
  <c r="E62" i="2"/>
  <c r="C62" i="2"/>
  <c r="D62" i="2"/>
  <c r="F62" i="2"/>
  <c r="C81" i="2"/>
  <c r="D81" i="2"/>
  <c r="F81" i="2"/>
  <c r="E81" i="2"/>
  <c r="C100" i="2"/>
  <c r="E100" i="2"/>
  <c r="D100" i="2"/>
  <c r="F100" i="2"/>
  <c r="E115" i="3"/>
  <c r="E19" i="2"/>
  <c r="C19" i="2"/>
  <c r="B15" i="3" s="1"/>
  <c r="D19" i="2"/>
  <c r="C15" i="3" s="1"/>
  <c r="F19" i="2"/>
  <c r="E15" i="3" s="1"/>
  <c r="F38" i="2"/>
  <c r="E38" i="2"/>
  <c r="C57" i="2"/>
  <c r="D57" i="2"/>
  <c r="F57" i="2"/>
  <c r="E57" i="2"/>
  <c r="C76" i="2"/>
  <c r="D76" i="2"/>
  <c r="F76" i="2"/>
  <c r="E76" i="2"/>
  <c r="E40" i="2"/>
  <c r="D36" i="3" s="1"/>
  <c r="C40" i="2"/>
  <c r="B36" i="3" s="1"/>
  <c r="D40" i="2"/>
  <c r="C36" i="3" s="1"/>
  <c r="F40" i="2"/>
  <c r="E36" i="3" s="1"/>
  <c r="C95" i="2"/>
  <c r="D95" i="2"/>
  <c r="F95" i="2"/>
  <c r="E95" i="2"/>
  <c r="D110" i="3"/>
  <c r="E14" i="2"/>
  <c r="C14" i="2"/>
  <c r="B10" i="3" s="1"/>
  <c r="D14" i="2"/>
  <c r="C10" i="3" s="1"/>
  <c r="F14" i="2"/>
  <c r="E10" i="3" s="1"/>
  <c r="E33" i="2"/>
  <c r="D29" i="3" s="1"/>
  <c r="C33" i="2"/>
  <c r="D33" i="2"/>
  <c r="F33" i="2"/>
  <c r="E52" i="2"/>
  <c r="C52" i="2"/>
  <c r="D52" i="2"/>
  <c r="F52" i="2"/>
  <c r="D71" i="2"/>
  <c r="C67" i="3" s="1"/>
  <c r="F71" i="2"/>
  <c r="E67" i="3" s="1"/>
  <c r="E71" i="2"/>
  <c r="D67" i="3" s="1"/>
  <c r="C71" i="2"/>
  <c r="C90" i="2"/>
  <c r="D90" i="2"/>
  <c r="F90" i="2"/>
  <c r="E90" i="2"/>
  <c r="E109" i="2"/>
  <c r="C109" i="2"/>
  <c r="B105" i="3" s="1"/>
  <c r="D109" i="2"/>
  <c r="C105" i="3" s="1"/>
  <c r="F109" i="2"/>
  <c r="E9" i="2"/>
  <c r="D5" i="3" s="1"/>
  <c r="C9" i="2"/>
  <c r="B5" i="3" s="1"/>
  <c r="D9" i="2"/>
  <c r="C5" i="3" s="1"/>
  <c r="F9" i="2"/>
  <c r="E5" i="3" s="1"/>
  <c r="F28" i="2"/>
  <c r="E28" i="2"/>
  <c r="C47" i="2"/>
  <c r="D47" i="2"/>
  <c r="F47" i="2"/>
  <c r="E47" i="2"/>
  <c r="C66" i="2"/>
  <c r="B62" i="3" s="1"/>
  <c r="D66" i="2"/>
  <c r="F66" i="2"/>
  <c r="E66" i="2"/>
  <c r="C59" i="2"/>
  <c r="B55" i="3" s="1"/>
  <c r="D59" i="2"/>
  <c r="C55" i="3" s="1"/>
  <c r="F59" i="2"/>
  <c r="E55" i="3" s="1"/>
  <c r="E59" i="2"/>
  <c r="D55" i="3" s="1"/>
  <c r="C78" i="2"/>
  <c r="B74" i="3" s="1"/>
  <c r="E104" i="2"/>
  <c r="D104" i="2"/>
  <c r="C100" i="3" s="1"/>
  <c r="F104" i="2"/>
  <c r="C104" i="2"/>
  <c r="D119" i="3"/>
  <c r="E23" i="2"/>
  <c r="C23" i="2"/>
  <c r="D23" i="2"/>
  <c r="F23" i="2"/>
  <c r="E42" i="2"/>
  <c r="C42" i="2"/>
  <c r="D42" i="2"/>
  <c r="F42" i="2"/>
  <c r="F61" i="2"/>
  <c r="E61" i="2"/>
  <c r="C61" i="2"/>
  <c r="D61" i="2"/>
  <c r="C57" i="3" s="1"/>
  <c r="C80" i="2"/>
  <c r="D80" i="2"/>
  <c r="F80" i="2"/>
  <c r="E80" i="2"/>
  <c r="C99" i="2"/>
  <c r="B95" i="3" s="1"/>
  <c r="E99" i="2"/>
  <c r="D99" i="2"/>
  <c r="C95" i="3" s="1"/>
  <c r="F99" i="2"/>
  <c r="F18" i="2"/>
  <c r="E18" i="2"/>
  <c r="D14" i="3" s="1"/>
  <c r="D37" i="2"/>
  <c r="C34" i="3" s="1"/>
  <c r="F37" i="2"/>
  <c r="E37" i="2"/>
  <c r="C37" i="2"/>
  <c r="C56" i="2"/>
  <c r="D56" i="2"/>
  <c r="F56" i="2"/>
  <c r="E56" i="2"/>
  <c r="D117" i="3"/>
  <c r="B117" i="3"/>
  <c r="C117" i="3"/>
  <c r="E117" i="3"/>
  <c r="C85" i="2"/>
  <c r="D85" i="2"/>
  <c r="F85" i="2"/>
  <c r="E85" i="2"/>
  <c r="C75" i="2"/>
  <c r="D75" i="2"/>
  <c r="F75" i="2"/>
  <c r="E75" i="2"/>
  <c r="F94" i="2"/>
  <c r="E94" i="2"/>
  <c r="C94" i="2"/>
  <c r="D94" i="2"/>
  <c r="E13" i="2"/>
  <c r="D9" i="3" s="1"/>
  <c r="C13" i="2"/>
  <c r="D13" i="2"/>
  <c r="F13" i="2"/>
  <c r="E32" i="2"/>
  <c r="C32" i="2"/>
  <c r="D32" i="2"/>
  <c r="F32" i="2"/>
  <c r="E51" i="2"/>
  <c r="C51" i="2"/>
  <c r="B47" i="3" s="1"/>
  <c r="D51" i="2"/>
  <c r="F51" i="2"/>
  <c r="C70" i="2"/>
  <c r="D70" i="2"/>
  <c r="F70" i="2"/>
  <c r="E70" i="2"/>
  <c r="C89" i="2"/>
  <c r="B85" i="3" s="1"/>
  <c r="D89" i="2"/>
  <c r="C85" i="3" s="1"/>
  <c r="F89" i="2"/>
  <c r="E89" i="2"/>
  <c r="F108" i="2"/>
  <c r="E104" i="3" s="1"/>
  <c r="E108" i="2"/>
  <c r="F8" i="2"/>
  <c r="E8" i="2"/>
  <c r="F27" i="2"/>
  <c r="E27" i="2"/>
  <c r="C27" i="2"/>
  <c r="B24" i="3" s="1"/>
  <c r="D27" i="2"/>
  <c r="C24" i="3" s="1"/>
  <c r="C46" i="2"/>
  <c r="D46" i="2"/>
  <c r="F46" i="2"/>
  <c r="E46" i="2"/>
  <c r="E64" i="2"/>
  <c r="D60" i="3" s="1"/>
  <c r="C64" i="2"/>
  <c r="B60" i="3" s="1"/>
  <c r="D64" i="2"/>
  <c r="C60" i="3" s="1"/>
  <c r="F64" i="2"/>
  <c r="E60" i="3" s="1"/>
  <c r="E84" i="2"/>
  <c r="D80" i="3" s="1"/>
  <c r="C84" i="2"/>
  <c r="B80" i="3" s="1"/>
  <c r="D84" i="2"/>
  <c r="C80" i="3" s="1"/>
  <c r="F84" i="2"/>
  <c r="E80" i="3" s="1"/>
  <c r="C103" i="2"/>
  <c r="B99" i="3" s="1"/>
  <c r="E103" i="2"/>
  <c r="D103" i="2"/>
  <c r="F103" i="2"/>
  <c r="E118" i="3"/>
  <c r="E22" i="2"/>
  <c r="D18" i="3" s="1"/>
  <c r="C22" i="2"/>
  <c r="B18" i="3" s="1"/>
  <c r="D22" i="2"/>
  <c r="C18" i="3" s="1"/>
  <c r="F22" i="2"/>
  <c r="E18" i="3" s="1"/>
  <c r="E41" i="2"/>
  <c r="D37" i="3" s="1"/>
  <c r="C41" i="2"/>
  <c r="D41" i="2"/>
  <c r="F41" i="2"/>
  <c r="D60" i="2"/>
  <c r="F60" i="2"/>
  <c r="E60" i="2"/>
  <c r="C60" i="2"/>
  <c r="B56" i="3" s="1"/>
  <c r="C79" i="2"/>
  <c r="D79" i="2"/>
  <c r="C75" i="3" s="1"/>
  <c r="F79" i="2"/>
  <c r="E75" i="3" s="1"/>
  <c r="E79" i="2"/>
  <c r="D75" i="3" s="1"/>
  <c r="F98" i="2"/>
  <c r="E98" i="2"/>
  <c r="E113" i="3"/>
  <c r="E17" i="2"/>
  <c r="C17" i="2"/>
  <c r="D17" i="2"/>
  <c r="F17" i="2"/>
  <c r="E13" i="3" s="1"/>
  <c r="C36" i="2"/>
  <c r="D36" i="2"/>
  <c r="F36" i="2"/>
  <c r="E36" i="2"/>
  <c r="C45" i="2"/>
  <c r="D45" i="2"/>
  <c r="C41" i="3" s="1"/>
  <c r="F45" i="2"/>
  <c r="E41" i="3" s="1"/>
  <c r="E45" i="2"/>
  <c r="D41" i="3" s="1"/>
  <c r="C65" i="2"/>
  <c r="B61" i="3" s="1"/>
  <c r="D65" i="2"/>
  <c r="F65" i="2"/>
  <c r="E65" i="2"/>
  <c r="C55" i="2"/>
  <c r="B51" i="3" s="1"/>
  <c r="D55" i="2"/>
  <c r="F55" i="2"/>
  <c r="E55" i="2"/>
  <c r="E74" i="2"/>
  <c r="C74" i="2"/>
  <c r="D74" i="2"/>
  <c r="F74" i="2"/>
  <c r="D93" i="2"/>
  <c r="F93" i="2"/>
  <c r="E93" i="2"/>
  <c r="D89" i="3" s="1"/>
  <c r="C93" i="2"/>
  <c r="D108" i="3"/>
  <c r="B108" i="3"/>
  <c r="E108" i="3"/>
  <c r="E12" i="2"/>
  <c r="D8" i="3" s="1"/>
  <c r="C12" i="2"/>
  <c r="B8" i="3" s="1"/>
  <c r="D12" i="2"/>
  <c r="C8" i="3" s="1"/>
  <c r="F12" i="2"/>
  <c r="E8" i="3" s="1"/>
  <c r="E31" i="2"/>
  <c r="C31" i="2"/>
  <c r="B27" i="3" s="1"/>
  <c r="D31" i="2"/>
  <c r="F31" i="2"/>
  <c r="F50" i="2"/>
  <c r="E50" i="2"/>
  <c r="C50" i="2"/>
  <c r="D50" i="2"/>
  <c r="C69" i="2"/>
  <c r="B65" i="3" s="1"/>
  <c r="D69" i="2"/>
  <c r="C65" i="3" s="1"/>
  <c r="F69" i="2"/>
  <c r="E69" i="2"/>
  <c r="F88" i="2"/>
  <c r="E88" i="2"/>
  <c r="C107" i="2"/>
  <c r="E107" i="2"/>
  <c r="D107" i="2"/>
  <c r="C104" i="3" s="1"/>
  <c r="F107" i="2"/>
  <c r="C7" i="2"/>
  <c r="B3" i="3" s="1"/>
  <c r="E7" i="2"/>
  <c r="D3" i="3" s="1"/>
  <c r="D7" i="2"/>
  <c r="C3" i="3" s="1"/>
  <c r="F7" i="2"/>
  <c r="E3" i="3" s="1"/>
  <c r="D26" i="2"/>
  <c r="C22" i="3" s="1"/>
  <c r="F26" i="2"/>
  <c r="E22" i="3" s="1"/>
  <c r="E26" i="2"/>
  <c r="D22" i="3" s="1"/>
  <c r="C26" i="2"/>
  <c r="B22" i="3" s="1"/>
  <c r="C97" i="2"/>
  <c r="B93" i="3" s="1"/>
  <c r="D97" i="2"/>
  <c r="F97" i="2"/>
  <c r="E93" i="3" s="1"/>
  <c r="E97" i="2"/>
  <c r="D93" i="3" s="1"/>
  <c r="E112" i="3"/>
  <c r="D112" i="3"/>
  <c r="B112" i="3"/>
  <c r="C112" i="3"/>
  <c r="F16" i="2"/>
  <c r="E12" i="3" s="1"/>
  <c r="E16" i="2"/>
  <c r="D12" i="3" s="1"/>
  <c r="C16" i="2"/>
  <c r="B12" i="3" s="1"/>
  <c r="D16" i="2"/>
  <c r="C12" i="3" s="1"/>
  <c r="C102" i="2"/>
  <c r="B98" i="3" s="1"/>
  <c r="E102" i="2"/>
  <c r="D98" i="3" s="1"/>
  <c r="D102" i="2"/>
  <c r="C98" i="3" s="1"/>
  <c r="F102" i="2"/>
  <c r="E98" i="3" s="1"/>
  <c r="C35" i="2"/>
  <c r="B31" i="3" s="1"/>
  <c r="D35" i="2"/>
  <c r="F35" i="2"/>
  <c r="E31" i="3" s="1"/>
  <c r="E35" i="2"/>
  <c r="D31" i="3" s="1"/>
  <c r="E54" i="2"/>
  <c r="D50" i="3" s="1"/>
  <c r="C54" i="2"/>
  <c r="B50" i="3" s="1"/>
  <c r="D54" i="2"/>
  <c r="C50" i="3" s="1"/>
  <c r="F54" i="2"/>
  <c r="E50" i="3" s="1"/>
  <c r="E73" i="2"/>
  <c r="D69" i="3" s="1"/>
  <c r="C73" i="2"/>
  <c r="B69" i="3" s="1"/>
  <c r="D73" i="2"/>
  <c r="C69" i="3" s="1"/>
  <c r="F73" i="2"/>
  <c r="E69" i="3" s="1"/>
  <c r="C92" i="2"/>
  <c r="D92" i="2"/>
  <c r="C88" i="3" s="1"/>
  <c r="F92" i="2"/>
  <c r="E88" i="3" s="1"/>
  <c r="E92" i="2"/>
  <c r="D88" i="3" s="1"/>
  <c r="D107" i="3"/>
  <c r="B107" i="3"/>
  <c r="C107" i="3"/>
  <c r="E107" i="3"/>
  <c r="E11" i="2"/>
  <c r="C11" i="2"/>
  <c r="D11" i="2"/>
  <c r="F11" i="2"/>
  <c r="E7" i="3" s="1"/>
  <c r="E30" i="2"/>
  <c r="D26" i="3" s="1"/>
  <c r="C30" i="2"/>
  <c r="B26" i="3" s="1"/>
  <c r="D30" i="2"/>
  <c r="C26" i="3" s="1"/>
  <c r="F30" i="2"/>
  <c r="D49" i="2"/>
  <c r="C45" i="3" s="1"/>
  <c r="F49" i="2"/>
  <c r="E49" i="2"/>
  <c r="C49" i="2"/>
  <c r="F68" i="2"/>
  <c r="E68" i="2"/>
  <c r="D64" i="3" s="1"/>
  <c r="C87" i="2"/>
  <c r="B83" i="3" s="1"/>
  <c r="D87" i="2"/>
  <c r="C83" i="3" s="1"/>
  <c r="F87" i="2"/>
  <c r="E83" i="3" s="1"/>
  <c r="E87" i="2"/>
  <c r="D83" i="3" s="1"/>
  <c r="C106" i="2"/>
  <c r="E106" i="2"/>
  <c r="D102" i="3" s="1"/>
  <c r="D106" i="2"/>
  <c r="C102" i="3" s="1"/>
  <c r="F106" i="2"/>
  <c r="C6" i="2"/>
  <c r="E6" i="2"/>
  <c r="D6" i="2"/>
  <c r="F6" i="2"/>
  <c r="C90" i="3" l="1"/>
  <c r="C17" i="3"/>
  <c r="B88" i="3"/>
  <c r="B7" i="3"/>
  <c r="C31" i="3"/>
  <c r="D45" i="3"/>
  <c r="D7" i="3"/>
  <c r="B17" i="3"/>
  <c r="E45" i="3"/>
  <c r="E26" i="3"/>
  <c r="C7" i="3"/>
  <c r="E64" i="3"/>
  <c r="C6" i="3"/>
  <c r="B6" i="3"/>
  <c r="D79" i="3"/>
  <c r="D6" i="3"/>
  <c r="B11" i="3"/>
  <c r="D11" i="3"/>
  <c r="E11" i="3"/>
  <c r="E16" i="3"/>
  <c r="B33" i="3"/>
  <c r="D76" i="3"/>
  <c r="D13" i="3"/>
  <c r="E56" i="3"/>
  <c r="E14" i="3"/>
  <c r="C11" i="3"/>
  <c r="C16" i="3"/>
  <c r="C14" i="3"/>
  <c r="C13" i="3"/>
  <c r="D15" i="3"/>
  <c r="E17" i="3"/>
  <c r="B16" i="3"/>
  <c r="C4" i="3"/>
  <c r="D10" i="3"/>
  <c r="B13" i="3"/>
  <c r="D4" i="3"/>
  <c r="D16" i="3"/>
  <c r="B4" i="3"/>
  <c r="E9" i="3"/>
  <c r="E102" i="3"/>
  <c r="E4" i="3"/>
  <c r="C9" i="3"/>
  <c r="E84" i="3"/>
  <c r="C27" i="3"/>
  <c r="C51" i="3"/>
  <c r="D99" i="3"/>
  <c r="E47" i="3"/>
  <c r="B9" i="3"/>
  <c r="D81" i="3"/>
  <c r="E100" i="3"/>
  <c r="B67" i="3"/>
  <c r="B29" i="3"/>
  <c r="B91" i="3"/>
  <c r="E6" i="3"/>
  <c r="B14" i="3"/>
  <c r="D38" i="3"/>
  <c r="E71" i="3"/>
  <c r="E46" i="3"/>
  <c r="D51" i="3"/>
  <c r="C56" i="3"/>
  <c r="C71" i="3"/>
  <c r="E95" i="3"/>
  <c r="D62" i="3"/>
  <c r="E91" i="3"/>
  <c r="B45" i="3"/>
  <c r="D84" i="3"/>
  <c r="E27" i="3"/>
  <c r="E51" i="3"/>
  <c r="B41" i="3"/>
  <c r="B66" i="3"/>
  <c r="E52" i="3"/>
  <c r="E62" i="3"/>
  <c r="B86" i="3"/>
  <c r="E96" i="3"/>
  <c r="B79" i="3"/>
  <c r="E76" i="3"/>
  <c r="E90" i="3"/>
  <c r="C93" i="3"/>
  <c r="B70" i="3"/>
  <c r="D56" i="3"/>
  <c r="E20" i="3"/>
  <c r="B38" i="3"/>
  <c r="B75" i="3"/>
  <c r="D103" i="3"/>
  <c r="D46" i="3"/>
  <c r="D70" i="3"/>
  <c r="D91" i="3"/>
  <c r="D85" i="3"/>
  <c r="E109" i="3"/>
  <c r="B103" i="3"/>
  <c r="B104" i="3"/>
  <c r="E42" i="3"/>
  <c r="E85" i="3"/>
  <c r="D42" i="3"/>
  <c r="B42" i="3"/>
  <c r="D47" i="3"/>
  <c r="C109" i="3"/>
  <c r="B71" i="3"/>
  <c r="D104" i="3"/>
  <c r="D71" i="3"/>
  <c r="B100" i="3"/>
  <c r="E72" i="3"/>
  <c r="D100" i="3"/>
  <c r="B46" i="3"/>
  <c r="E29" i="3"/>
  <c r="B110" i="3"/>
  <c r="D72" i="3"/>
  <c r="D96" i="3"/>
  <c r="E39" i="3"/>
  <c r="B120" i="3"/>
  <c r="D87" i="3"/>
  <c r="B49" i="3"/>
  <c r="B111" i="3"/>
  <c r="D54" i="3"/>
  <c r="E116" i="3"/>
  <c r="E78" i="3"/>
  <c r="D21" i="3"/>
  <c r="B64" i="3"/>
  <c r="B96" i="3"/>
  <c r="C39" i="3"/>
  <c r="D120" i="3"/>
  <c r="B82" i="3"/>
  <c r="D25" i="3"/>
  <c r="E87" i="3"/>
  <c r="D49" i="3"/>
  <c r="D111" i="3"/>
  <c r="E54" i="3"/>
  <c r="E21" i="3"/>
  <c r="D77" i="3"/>
  <c r="B39" i="3"/>
  <c r="D63" i="3"/>
  <c r="C87" i="3"/>
  <c r="E30" i="3"/>
  <c r="E111" i="3"/>
  <c r="D92" i="3"/>
  <c r="B116" i="3"/>
  <c r="E59" i="3"/>
  <c r="D52" i="3"/>
  <c r="E114" i="3"/>
  <c r="C76" i="3"/>
  <c r="E19" i="3"/>
  <c r="B72" i="3"/>
  <c r="E77" i="3"/>
  <c r="D39" i="3"/>
  <c r="D101" i="3"/>
  <c r="E63" i="3"/>
  <c r="B87" i="3"/>
  <c r="C30" i="3"/>
  <c r="E92" i="3"/>
  <c r="D116" i="3"/>
  <c r="B21" i="3"/>
  <c r="B84" i="3"/>
  <c r="B30" i="3"/>
  <c r="B121" i="3"/>
  <c r="D35" i="3"/>
  <c r="E97" i="3"/>
  <c r="B59" i="3"/>
  <c r="C79" i="3"/>
  <c r="B94" i="3"/>
  <c r="B77" i="3"/>
  <c r="E101" i="3"/>
  <c r="B63" i="3"/>
  <c r="B68" i="3"/>
  <c r="D30" i="3"/>
  <c r="D121" i="3"/>
  <c r="B92" i="3"/>
  <c r="E35" i="3"/>
  <c r="D59" i="3"/>
  <c r="B76" i="3"/>
  <c r="E105" i="3"/>
  <c r="D53" i="3"/>
  <c r="C63" i="3"/>
  <c r="E28" i="3"/>
  <c r="B109" i="3"/>
  <c r="B114" i="3"/>
  <c r="B19" i="3"/>
  <c r="D27" i="3"/>
  <c r="D113" i="3"/>
  <c r="C118" i="3"/>
  <c r="D109" i="3"/>
  <c r="D114" i="3"/>
  <c r="D19" i="3"/>
  <c r="K5" i="3" s="1"/>
  <c r="B115" i="3"/>
  <c r="E58" i="3"/>
  <c r="B20" i="3"/>
  <c r="D44" i="3"/>
  <c r="E106" i="3"/>
  <c r="D68" i="3"/>
  <c r="E121" i="3"/>
  <c r="D73" i="3"/>
  <c r="D97" i="3"/>
  <c r="E40" i="3"/>
  <c r="B53" i="3"/>
  <c r="D115" i="3"/>
  <c r="D20" i="3"/>
  <c r="E44" i="3"/>
  <c r="E68" i="3"/>
  <c r="C121" i="3"/>
  <c r="E73" i="3"/>
  <c r="B97" i="3"/>
  <c r="C40" i="3"/>
  <c r="E79" i="3"/>
  <c r="B54" i="3"/>
  <c r="B58" i="3"/>
  <c r="E120" i="3"/>
  <c r="D82" i="3"/>
  <c r="E25" i="3"/>
  <c r="B106" i="3"/>
  <c r="E49" i="3"/>
  <c r="B78" i="3"/>
  <c r="B40" i="3"/>
  <c r="B44" i="3"/>
  <c r="C19" i="3"/>
  <c r="D43" i="3"/>
  <c r="B101" i="3"/>
  <c r="D65" i="3"/>
  <c r="B89" i="3"/>
  <c r="D32" i="3"/>
  <c r="B113" i="3"/>
  <c r="E43" i="3"/>
  <c r="E53" i="3"/>
  <c r="B102" i="3"/>
  <c r="E65" i="3"/>
  <c r="E32" i="3"/>
  <c r="B23" i="3"/>
  <c r="E81" i="3"/>
  <c r="B52" i="3"/>
  <c r="B57" i="3"/>
  <c r="E48" i="3"/>
  <c r="E89" i="3"/>
  <c r="D61" i="3"/>
  <c r="D94" i="3"/>
  <c r="E37" i="3"/>
  <c r="B118" i="3"/>
  <c r="D23" i="3"/>
  <c r="D66" i="3"/>
  <c r="B28" i="3"/>
  <c r="C81" i="3"/>
  <c r="D57" i="3"/>
  <c r="E119" i="3"/>
  <c r="B43" i="3"/>
  <c r="D105" i="3"/>
  <c r="C48" i="3"/>
  <c r="C89" i="3"/>
  <c r="E61" i="3"/>
  <c r="B32" i="3"/>
  <c r="E94" i="3"/>
  <c r="D118" i="3"/>
  <c r="E23" i="3"/>
  <c r="E66" i="3"/>
  <c r="D28" i="3"/>
  <c r="B90" i="3"/>
  <c r="B81" i="3"/>
  <c r="D33" i="3"/>
  <c r="E57" i="3"/>
  <c r="D24" i="3"/>
  <c r="D86" i="3"/>
  <c r="B48" i="3"/>
  <c r="E110" i="3"/>
  <c r="D34" i="3"/>
  <c r="E103" i="3"/>
  <c r="E70" i="3"/>
  <c r="C61" i="3"/>
  <c r="B37" i="3"/>
  <c r="E99" i="3"/>
  <c r="D90" i="3"/>
  <c r="E33" i="3"/>
  <c r="D95" i="3"/>
  <c r="E38" i="3"/>
  <c r="B119" i="3"/>
  <c r="E24" i="3"/>
  <c r="E86" i="3"/>
  <c r="D48" i="3"/>
  <c r="E34" i="3"/>
  <c r="C96" i="3"/>
  <c r="D58" i="3"/>
  <c r="C120" i="3"/>
  <c r="E82" i="3"/>
  <c r="D106" i="3"/>
  <c r="B73" i="3"/>
  <c r="D78" i="3"/>
  <c r="D40" i="3"/>
  <c r="B34" i="3"/>
  <c r="C108" i="3"/>
  <c r="C47" i="3"/>
  <c r="C62" i="3"/>
  <c r="C72" i="3"/>
  <c r="C101" i="3"/>
  <c r="C21" i="3"/>
  <c r="C64" i="3"/>
  <c r="C42" i="3"/>
  <c r="C111" i="3"/>
  <c r="C59" i="3"/>
  <c r="C91" i="3"/>
  <c r="C77" i="3"/>
  <c r="C68" i="3"/>
  <c r="C92" i="3"/>
  <c r="C115" i="3"/>
  <c r="C20" i="3"/>
  <c r="C97" i="3"/>
  <c r="C28" i="3"/>
  <c r="C43" i="3"/>
  <c r="C53" i="3"/>
  <c r="C54" i="3"/>
  <c r="C113" i="3"/>
  <c r="C114" i="3"/>
  <c r="C58" i="3"/>
  <c r="C106" i="3"/>
  <c r="C23" i="3"/>
  <c r="C37" i="3"/>
  <c r="C119" i="3"/>
  <c r="C73" i="3"/>
  <c r="C52" i="3"/>
  <c r="C32" i="3"/>
  <c r="C46" i="3"/>
  <c r="C66" i="3"/>
  <c r="C110" i="3"/>
  <c r="C49" i="3"/>
  <c r="C84" i="3"/>
  <c r="C103" i="3"/>
  <c r="C70" i="3"/>
  <c r="C99" i="3"/>
  <c r="C33" i="3"/>
  <c r="C38" i="3"/>
  <c r="C86" i="3"/>
  <c r="C82" i="3"/>
  <c r="C94" i="3"/>
  <c r="C29" i="3"/>
  <c r="C116" i="3"/>
  <c r="C78" i="3"/>
  <c r="C44" i="3"/>
  <c r="I5" i="3"/>
  <c r="J5" i="3" l="1"/>
  <c r="I4" i="3"/>
  <c r="I8" i="3" s="1"/>
  <c r="L5" i="3"/>
  <c r="O3" i="3"/>
  <c r="Q18" i="3"/>
  <c r="O16" i="3"/>
  <c r="O17" i="3"/>
  <c r="R6" i="3"/>
  <c r="R18" i="3"/>
  <c r="R16" i="3"/>
  <c r="O6" i="3"/>
  <c r="R17" i="3"/>
  <c r="P17" i="3"/>
  <c r="Q16" i="3"/>
  <c r="Q17" i="3"/>
  <c r="L2" i="3"/>
  <c r="L4" i="3" s="1"/>
  <c r="I11" i="3" s="1"/>
  <c r="J2" i="3"/>
  <c r="J4" i="3" s="1"/>
  <c r="I9" i="3" s="1"/>
  <c r="L21" i="3" s="1" a="1"/>
  <c r="L21" i="3" s="1"/>
  <c r="I32" i="3" s="1"/>
  <c r="M27" i="3" s="1"/>
  <c r="Q6" i="3"/>
  <c r="Q3" i="3"/>
  <c r="O18" i="3"/>
  <c r="O15" i="3"/>
  <c r="Q5" i="3"/>
  <c r="R15" i="3"/>
  <c r="R3" i="3"/>
  <c r="O5" i="3"/>
  <c r="Q15" i="3"/>
  <c r="K2" i="3"/>
  <c r="K4" i="3" s="1"/>
  <c r="I10" i="3" s="1"/>
  <c r="P5" i="3"/>
  <c r="R5" i="3"/>
  <c r="Q4" i="3"/>
  <c r="P6" i="3"/>
  <c r="P3" i="3"/>
  <c r="P18" i="3"/>
  <c r="O4" i="3"/>
  <c r="P4" i="3"/>
  <c r="R4" i="3"/>
  <c r="P16" i="3"/>
  <c r="P15" i="3"/>
  <c r="I21" i="3" l="1" a="1"/>
  <c r="I21" i="3" s="1"/>
  <c r="I22" i="3" a="1"/>
  <c r="I22" i="3" s="1"/>
  <c r="L22" i="3" a="1"/>
  <c r="L22" i="3" s="1"/>
  <c r="L23" i="3" s="1"/>
  <c r="I26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<sst xmlns="http://schemas.openxmlformats.org/spreadsheetml/2006/main" count="89" uniqueCount="36">
  <si>
    <t>Dates</t>
  </si>
  <si>
    <t>Apple</t>
  </si>
  <si>
    <t>Nvidia</t>
  </si>
  <si>
    <t>META</t>
  </si>
  <si>
    <t>SMCI</t>
  </si>
  <si>
    <t>Monthly</t>
  </si>
  <si>
    <t>Key</t>
  </si>
  <si>
    <t>Company Name</t>
  </si>
  <si>
    <t>Ticker</t>
  </si>
  <si>
    <t>Market Capitalization</t>
  </si>
  <si>
    <t>AAPL</t>
  </si>
  <si>
    <t>NVDA</t>
  </si>
  <si>
    <t>Meta</t>
  </si>
  <si>
    <t>Super Micro</t>
  </si>
  <si>
    <t>Monthly Variance</t>
  </si>
  <si>
    <t>Average Annual Returns</t>
  </si>
  <si>
    <t>Average Monthly Returns</t>
  </si>
  <si>
    <t>Annual Variance</t>
  </si>
  <si>
    <t>Returns</t>
  </si>
  <si>
    <t>Equally Weighted Portfolios</t>
  </si>
  <si>
    <t>Sum</t>
  </si>
  <si>
    <t>Exp Return (ER)</t>
  </si>
  <si>
    <t>Standard Deviation (Std)</t>
  </si>
  <si>
    <t>Optimal Risk Portfolio</t>
  </si>
  <si>
    <t>SD</t>
  </si>
  <si>
    <t>Sharpe Ratio</t>
  </si>
  <si>
    <t>ER</t>
  </si>
  <si>
    <t>Variance-Covariance Matrix</t>
  </si>
  <si>
    <t>Risk Free Rate</t>
  </si>
  <si>
    <t>A (Risk Aversion)</t>
  </si>
  <si>
    <t>Correlation Matrix</t>
  </si>
  <si>
    <t>---</t>
  </si>
  <si>
    <t>y* - How much should be held in risky portfolio</t>
  </si>
  <si>
    <t>Combination of Tangent Portfolio and RF</t>
  </si>
  <si>
    <t>Weight in RF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</si>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</sst>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0.00000000"/>
    <numFmt numFmtId="166" formatCode="0.000"/>
    <numFmt numFmtId="167" formatCode="0.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14" fontId="3" fillId="0" borderId="0" xfId="0" applyNumberFormat="1" applyFont="1"/>
    <xf numFmtId="8" fontId="2" fillId="0" borderId="0" xfId="0" applyNumberFormat="1" applyFont="1"/>
    <xf numFmtId="0" fontId="0" fillId="0" borderId="0" xfId="0" applyAlignment="1">
      <alignment horizontal="right"/>
    </xf>
    <xf numFmtId="164" fontId="0" fillId="0" borderId="0" xfId="1" applyNumberFormat="1" applyFont="1"/>
    <xf numFmtId="10" fontId="0" fillId="0" borderId="0" xfId="2" applyNumberFormat="1" applyFont="1"/>
    <xf numFmtId="0" fontId="0" fillId="0" borderId="0" xfId="2" applyNumberFormat="1" applyFont="1"/>
    <xf numFmtId="166" fontId="0" fillId="0" borderId="0" xfId="0" applyNumberFormat="1"/>
    <xf numFmtId="0" fontId="4" fillId="0" borderId="0" xfId="0" applyFont="1"/>
    <xf numFmtId="10" fontId="4" fillId="0" borderId="0" xfId="2" applyNumberFormat="1" applyFont="1"/>
    <xf numFmtId="14" fontId="4" fillId="0" borderId="0" xfId="0" applyNumberFormat="1" applyFont="1"/>
    <xf numFmtId="0" fontId="5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2" quotePrefix="1" applyNumberFormat="1" applyFont="1" applyAlignment="1">
      <alignment horizontal="center"/>
    </xf>
    <xf numFmtId="2" fontId="0" fillId="0" borderId="0" xfId="2" applyNumberFormat="1" applyFont="1"/>
    <xf numFmtId="167" fontId="0" fillId="0" borderId="0" xfId="2" applyNumberFormat="1" applyFont="1"/>
    <xf numFmtId="165" fontId="4" fillId="0" borderId="0" xfId="0" applyNumberFormat="1" applyFont="1"/>
    <xf numFmtId="166" fontId="4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CML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CML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MonthlyReturns!$L$28:$L$48</c:f>
              <c:numCache>
                <c:formatCode>General</c:formatCode>
                <c:ptCount val="21"/>
                <c:pt idx="0">
                  <c:v>0</c:v>
                </c:pt>
                <c:pt idx="1">
                  <c:v>1.3983234135616567E-2</c:v>
                </c:pt>
                <c:pt idx="2">
                  <c:v>2.7966468271233134E-2</c:v>
                </c:pt>
                <c:pt idx="3">
                  <c:v>4.1949702406849719E-2</c:v>
                </c:pt>
                <c:pt idx="4">
                  <c:v>5.5932936542466283E-2</c:v>
                </c:pt>
                <c:pt idx="5">
                  <c:v>6.9916170678082853E-2</c:v>
                </c:pt>
                <c:pt idx="6">
                  <c:v>8.3899404813699424E-2</c:v>
                </c:pt>
                <c:pt idx="7">
                  <c:v>9.7882638949315995E-2</c:v>
                </c:pt>
                <c:pt idx="8">
                  <c:v>0.11186587308493257</c:v>
                </c:pt>
                <c:pt idx="9">
                  <c:v>0.12584910722054915</c:v>
                </c:pt>
                <c:pt idx="10">
                  <c:v>0.13983234135616571</c:v>
                </c:pt>
                <c:pt idx="11">
                  <c:v>0.15381557549178229</c:v>
                </c:pt>
                <c:pt idx="12">
                  <c:v>0.16779880962739885</c:v>
                </c:pt>
                <c:pt idx="13">
                  <c:v>0.18178204376301543</c:v>
                </c:pt>
                <c:pt idx="14">
                  <c:v>0.19576527789863199</c:v>
                </c:pt>
                <c:pt idx="15">
                  <c:v>0.20974851203424855</c:v>
                </c:pt>
                <c:pt idx="16">
                  <c:v>0.22373174616986513</c:v>
                </c:pt>
                <c:pt idx="17">
                  <c:v>0.23771498030548169</c:v>
                </c:pt>
                <c:pt idx="18">
                  <c:v>0.2516982144410983</c:v>
                </c:pt>
                <c:pt idx="19">
                  <c:v>0.26568144857671483</c:v>
                </c:pt>
                <c:pt idx="20">
                  <c:v>0.27966468271233141</c:v>
                </c:pt>
              </c:numCache>
            </c:numRef>
          </c:xVal>
          <c:yVal>
            <c:numRef>
              <c:f>MonthlyReturns!$M$28:$M$48</c:f>
              <c:numCache>
                <c:formatCode>General</c:formatCode>
                <c:ptCount val="21"/>
                <c:pt idx="0">
                  <c:v>0.04</c:v>
                </c:pt>
                <c:pt idx="1">
                  <c:v>0.10288701501772327</c:v>
                </c:pt>
                <c:pt idx="2">
                  <c:v>0.16577403003544652</c:v>
                </c:pt>
                <c:pt idx="3">
                  <c:v>0.22866104505316984</c:v>
                </c:pt>
                <c:pt idx="4">
                  <c:v>0.29154806007089312</c:v>
                </c:pt>
                <c:pt idx="5">
                  <c:v>0.35443507508861638</c:v>
                </c:pt>
                <c:pt idx="6">
                  <c:v>0.41732209010633964</c:v>
                </c:pt>
                <c:pt idx="7">
                  <c:v>0.4802091051240629</c:v>
                </c:pt>
                <c:pt idx="8">
                  <c:v>0.54309612014178621</c:v>
                </c:pt>
                <c:pt idx="9">
                  <c:v>0.60598313515950952</c:v>
                </c:pt>
                <c:pt idx="10">
                  <c:v>0.66887015017723273</c:v>
                </c:pt>
                <c:pt idx="11">
                  <c:v>0.73175716519495604</c:v>
                </c:pt>
                <c:pt idx="12">
                  <c:v>0.79464418021267924</c:v>
                </c:pt>
                <c:pt idx="13">
                  <c:v>0.85753119523040255</c:v>
                </c:pt>
                <c:pt idx="14">
                  <c:v>0.92041821024812576</c:v>
                </c:pt>
                <c:pt idx="15">
                  <c:v>0.98330522526584918</c:v>
                </c:pt>
                <c:pt idx="16">
                  <c:v>1.0461922402835724</c:v>
                </c:pt>
                <c:pt idx="17">
                  <c:v>1.1090792553012956</c:v>
                </c:pt>
                <c:pt idx="18">
                  <c:v>1.171966270319019</c:v>
                </c:pt>
                <c:pt idx="19">
                  <c:v>1.234853285336742</c:v>
                </c:pt>
                <c:pt idx="20">
                  <c:v>1.2977403003544654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C5-B54C-B943-C589D3342B71}"/>
            </c:ext>
          </c:extLst>
        </c:ser>
        <c:ser>
          <c:idx val="1"/>
          <c:order val="1"/>
          <c:tx>
            <c:v>Tangent Portfolio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431458124885816E-17"/>
                  <c:y val="2.3148148148148064E-2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TP</a:t>
                    </a:r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CFC5-B54C-B943-C589D3342B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MonthlyReturns!$L$22</c:f>
              <c:numCache>
                <c:formatCode>0.00%</c:formatCode>
                <c:ptCount val="1"/>
                <c:pt idx="0">
                  <c:v>0.13983234135616571</c:v>
                </c:pt>
              </c:numCache>
            </c:numRef>
          </c:xVal>
          <c:yVal>
            <c:numRef>
              <c:f>MonthlyReturns!$L$21</c:f>
              <c:numCache>
                <c:formatCode>0.00%</c:formatCode>
                <c:ptCount val="1"/>
                <c:pt idx="0">
                  <c:v>0.66887015017723273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C5-B54C-B943-C589D3342B71}"/>
            </c:ext>
          </c:extLst>
        </c:ser>
        <c:ser>
          <c:idx val="2"/>
          <c:order val="2"/>
          <c:tx>
            <c:v>Equally Weighted Portfolio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EWP</a:t>
                    </a:r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CFC5-B54C-B943-C589D3342B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MonthlyReturns!$I$22</c:f>
              <c:numCache>
                <c:formatCode>0.00%</c:formatCode>
                <c:ptCount val="1"/>
                <c:pt idx="0">
                  <c:v>0.10213708510030378</c:v>
                </c:pt>
              </c:numCache>
            </c:numRef>
          </c:xVal>
          <c:yVal>
            <c:numRef>
              <c:f>MonthlyReturns!$I$21</c:f>
              <c:numCache>
                <c:formatCode>0.00%</c:formatCode>
                <c:ptCount val="1"/>
                <c:pt idx="0">
                  <c:v>0.42535303636342026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C5-B54C-B943-C589D3342B71}"/>
            </c:ext>
          </c:extLst>
        </c:ser>
        <c:ser>
          <c:idx val="3"/>
          <c:order val="3"/>
          <c:tx>
            <c:v>AAPL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MonthlyReturns!$I$5</c:f>
              <c:numCache>
                <c:formatCode>General</c:formatCode>
                <c:ptCount val="1"/>
                <c:pt idx="0">
                  <c:v>8.6109716958788926E-2</c:v>
                </c:pt>
              </c:numCache>
            </c:numRef>
          </c:xVal>
          <c:yVal>
            <c:numRef>
              <c:f>MonthlyReturns!$I$4</c:f>
              <c:numCache>
                <c:formatCode>General</c:formatCode>
                <c:ptCount val="1"/>
                <c:pt idx="0">
                  <c:v>0.25009363574330767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C5-B54C-B943-C589D3342B71}"/>
            </c:ext>
          </c:extLst>
        </c:ser>
        <c:ser>
          <c:idx val="4"/>
          <c:order val="4"/>
          <c:tx>
            <c:v>NVDA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MonthlyReturns!$J$5</c:f>
              <c:numCache>
                <c:formatCode>General</c:formatCode>
                <c:ptCount val="1"/>
                <c:pt idx="0">
                  <c:v>0.24687330508868949</c:v>
                </c:pt>
              </c:numCache>
            </c:numRef>
          </c:xVal>
          <c:yVal>
            <c:numRef>
              <c:f>MonthlyReturns!$J$4</c:f>
              <c:numCache>
                <c:formatCode>General</c:formatCode>
                <c:ptCount val="1"/>
                <c:pt idx="0">
                  <c:v>0.68158072748138032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C5-B54C-B943-C589D3342B71}"/>
            </c:ext>
          </c:extLst>
        </c:ser>
        <c:ser>
          <c:idx val="5"/>
          <c:order val="5"/>
          <c:tx>
            <c:v>META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MonthlyReturns!$K$5</c:f>
              <c:numCache>
                <c:formatCode>General</c:formatCode>
                <c:ptCount val="1"/>
                <c:pt idx="0">
                  <c:v>0.13288793083708303</c:v>
                </c:pt>
              </c:numCache>
            </c:numRef>
          </c:xVal>
          <c:yVal>
            <c:numRef>
              <c:f>MonthlyReturns!$K$4</c:f>
              <c:numCache>
                <c:formatCode>General</c:formatCode>
                <c:ptCount val="1"/>
                <c:pt idx="0">
                  <c:v>0.26608037722126021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C5-B54C-B943-C589D3342B71}"/>
            </c:ext>
          </c:extLst>
        </c:ser>
        <c:ser>
          <c:idx val="6"/>
          <c:order val="6"/>
          <c:tx>
            <c:v>SMCI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MonthlyReturns!$L$4</c:f>
              <c:numCache>
                <c:formatCode>General</c:formatCode>
                <c:ptCount val="1"/>
                <c:pt idx="0">
                  <c:v>0.50365740500773282</c:v>
                </c:pt>
              </c:numCache>
            </c:numRef>
          </c:xVal>
          <c:yVal>
            <c:numRef>
              <c:f>MonthlyReturns!$L$5</c:f>
              <c:numCache>
                <c:formatCode>General</c:formatCode>
                <c:ptCount val="1"/>
                <c:pt idx="0">
                  <c:v>0.57620690559499088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C5-B54C-B943-C589D3342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523647"/>
        <c:axId val="1602311967"/>
      </c:scatterChart>
      <c:valAx>
        <c:axId val="160252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11967"/>
        <c:crosses val="autoZero"/>
        <c:crossBetween val="midCat"/>
      </c:valAx>
      <c:valAx>
        <c:axId val="160231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523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12700</xdr:colOff>
      <xdr:row>26</xdr:row>
      <xdr:rowOff>184150</xdr:rowOff>
    </xdr:from>
    <xdr:to>
      <xdr:col>21</xdr:col>
      <xdr:colOff>635000</xdr:colOff>
      <xdr:row>40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24217C-EDFF-EFC3-1E32-BDA5E02AC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363A5-D13A-A144-A9E2-29183F4BF852}">
  <dimension ref="A1:G2515"/>
  <sheetViews>
    <sheetView workbookViewId="0">
      <selection activeCell="H20" sqref="H20"/>
    </sheetView>
  </sheetViews>
  <sheetFormatPr baseColWidth="10" defaultRowHeight="16" x14ac:dyDescent="0.2"/>
  <sheetData>
    <row r="1" spans="1:7" x14ac:dyDescent="0.2">
      <c r="A1" t="s">
        <v>0</v>
      </c>
      <c r="B1" t="s">
        <v>5</v>
      </c>
      <c r="C1" t="s">
        <v>6</v>
      </c>
      <c r="D1" t="s">
        <v>10</v>
      </c>
      <c r="E1" t="s">
        <v>11</v>
      </c>
      <c r="F1" t="s">
        <v>3</v>
      </c>
      <c r="G1" t="s">
        <v>4</v>
      </c>
    </row>
    <row r="2" spans="1:7" x14ac:dyDescent="0.2">
      <c r="A2" s="2">
        <v>45957</v>
      </c>
      <c r="B2" s="1">
        <f>EOMONTH(A2, -1)+1</f>
        <v>45931</v>
      </c>
      <c r="C2" s="4" t="str">
        <f>TEXT(A2, "yyyy-mm")</f>
        <v>2025-10</v>
      </c>
      <c r="D2" s="3">
        <v>268.81</v>
      </c>
      <c r="E2" s="3">
        <v>191.49</v>
      </c>
      <c r="F2" s="3">
        <v>750.82</v>
      </c>
      <c r="G2" s="3">
        <v>51.57</v>
      </c>
    </row>
    <row r="3" spans="1:7" x14ac:dyDescent="0.2">
      <c r="A3" s="2">
        <v>45954</v>
      </c>
      <c r="B3" s="1">
        <f t="shared" ref="B3:B66" si="0">EOMONTH(A3, -1)+1</f>
        <v>45931</v>
      </c>
      <c r="C3" s="4" t="str">
        <f t="shared" ref="C3:C66" si="1">TEXT(A3, "yyyy-mm")</f>
        <v>2025-10</v>
      </c>
      <c r="D3" s="3">
        <v>262.82</v>
      </c>
      <c r="E3" s="3">
        <v>186.26</v>
      </c>
      <c r="F3" s="3">
        <v>738.36</v>
      </c>
      <c r="G3" s="3">
        <v>48.29</v>
      </c>
    </row>
    <row r="4" spans="1:7" x14ac:dyDescent="0.2">
      <c r="A4" s="2">
        <v>45953</v>
      </c>
      <c r="B4" s="1">
        <f t="shared" si="0"/>
        <v>45931</v>
      </c>
      <c r="C4" s="4" t="str">
        <f t="shared" si="1"/>
        <v>2025-10</v>
      </c>
      <c r="D4" s="3">
        <v>259.58</v>
      </c>
      <c r="E4" s="3">
        <v>182.16</v>
      </c>
      <c r="F4" s="3">
        <v>734</v>
      </c>
      <c r="G4" s="3">
        <v>47.92</v>
      </c>
    </row>
    <row r="5" spans="1:7" x14ac:dyDescent="0.2">
      <c r="A5" s="2">
        <v>45952</v>
      </c>
      <c r="B5" s="1">
        <f t="shared" si="0"/>
        <v>45931</v>
      </c>
      <c r="C5" s="4" t="str">
        <f t="shared" si="1"/>
        <v>2025-10</v>
      </c>
      <c r="D5" s="3">
        <v>258.45</v>
      </c>
      <c r="E5" s="3">
        <v>180.28</v>
      </c>
      <c r="F5" s="3">
        <v>733.41</v>
      </c>
      <c r="G5" s="3">
        <v>52.5</v>
      </c>
    </row>
    <row r="6" spans="1:7" x14ac:dyDescent="0.2">
      <c r="A6" s="2">
        <v>45951</v>
      </c>
      <c r="B6" s="1">
        <f t="shared" si="0"/>
        <v>45931</v>
      </c>
      <c r="C6" s="4" t="str">
        <f t="shared" si="1"/>
        <v>2025-10</v>
      </c>
      <c r="D6" s="3">
        <v>262.77</v>
      </c>
      <c r="E6" s="3">
        <v>181.16</v>
      </c>
      <c r="F6" s="3">
        <v>733.27</v>
      </c>
      <c r="G6" s="3">
        <v>54.82</v>
      </c>
    </row>
    <row r="7" spans="1:7" x14ac:dyDescent="0.2">
      <c r="A7" s="2">
        <v>45950</v>
      </c>
      <c r="B7" s="1">
        <f t="shared" si="0"/>
        <v>45931</v>
      </c>
      <c r="C7" s="4" t="str">
        <f t="shared" si="1"/>
        <v>2025-10</v>
      </c>
      <c r="D7" s="3">
        <v>262.24</v>
      </c>
      <c r="E7" s="3">
        <v>182.64</v>
      </c>
      <c r="F7" s="3">
        <v>732.17</v>
      </c>
      <c r="G7" s="3">
        <v>55.04</v>
      </c>
    </row>
    <row r="8" spans="1:7" x14ac:dyDescent="0.2">
      <c r="A8" s="2">
        <v>45947</v>
      </c>
      <c r="B8" s="1">
        <f t="shared" si="0"/>
        <v>45931</v>
      </c>
      <c r="C8" s="4" t="str">
        <f t="shared" si="1"/>
        <v>2025-10</v>
      </c>
      <c r="D8" s="3">
        <v>252.29</v>
      </c>
      <c r="E8" s="3">
        <v>183.22</v>
      </c>
      <c r="F8" s="3">
        <v>716.92</v>
      </c>
      <c r="G8" s="3">
        <v>52.18</v>
      </c>
    </row>
    <row r="9" spans="1:7" x14ac:dyDescent="0.2">
      <c r="A9" s="2">
        <v>45946</v>
      </c>
      <c r="B9" s="1">
        <f t="shared" si="0"/>
        <v>45931</v>
      </c>
      <c r="C9" s="4" t="str">
        <f t="shared" si="1"/>
        <v>2025-10</v>
      </c>
      <c r="D9" s="3">
        <v>247.45</v>
      </c>
      <c r="E9" s="3">
        <v>181.81</v>
      </c>
      <c r="F9" s="3">
        <v>712.07</v>
      </c>
      <c r="G9" s="3">
        <v>53.84</v>
      </c>
    </row>
    <row r="10" spans="1:7" x14ac:dyDescent="0.2">
      <c r="A10" s="2">
        <v>45945</v>
      </c>
      <c r="B10" s="1">
        <f t="shared" si="0"/>
        <v>45931</v>
      </c>
      <c r="C10" s="4" t="str">
        <f t="shared" si="1"/>
        <v>2025-10</v>
      </c>
      <c r="D10" s="3">
        <v>249.34</v>
      </c>
      <c r="E10" s="3">
        <v>179.83</v>
      </c>
      <c r="F10" s="3">
        <v>717.55</v>
      </c>
      <c r="G10" s="3">
        <v>53.94</v>
      </c>
    </row>
    <row r="11" spans="1:7" x14ac:dyDescent="0.2">
      <c r="A11" s="2">
        <v>45944</v>
      </c>
      <c r="B11" s="1">
        <f t="shared" si="0"/>
        <v>45931</v>
      </c>
      <c r="C11" s="4" t="str">
        <f t="shared" si="1"/>
        <v>2025-10</v>
      </c>
      <c r="D11" s="3">
        <v>247.77</v>
      </c>
      <c r="E11" s="3">
        <v>180.03</v>
      </c>
      <c r="F11" s="3">
        <v>708.65</v>
      </c>
      <c r="G11" s="3">
        <v>53.11</v>
      </c>
    </row>
    <row r="12" spans="1:7" x14ac:dyDescent="0.2">
      <c r="A12" s="2">
        <v>45943</v>
      </c>
      <c r="B12" s="1">
        <f t="shared" si="0"/>
        <v>45931</v>
      </c>
      <c r="C12" s="4" t="str">
        <f t="shared" si="1"/>
        <v>2025-10</v>
      </c>
      <c r="D12" s="3">
        <v>247.66</v>
      </c>
      <c r="E12" s="3">
        <v>188.32</v>
      </c>
      <c r="F12" s="3">
        <v>715.7</v>
      </c>
      <c r="G12" s="3">
        <v>54.75</v>
      </c>
    </row>
    <row r="13" spans="1:7" x14ac:dyDescent="0.2">
      <c r="A13" s="2">
        <v>45940</v>
      </c>
      <c r="B13" s="1">
        <f t="shared" si="0"/>
        <v>45931</v>
      </c>
      <c r="C13" s="4" t="str">
        <f t="shared" si="1"/>
        <v>2025-10</v>
      </c>
      <c r="D13" s="3">
        <v>245.27</v>
      </c>
      <c r="E13" s="3">
        <v>183.16</v>
      </c>
      <c r="F13" s="3">
        <v>705.3</v>
      </c>
      <c r="G13" s="3">
        <v>52.86</v>
      </c>
    </row>
    <row r="14" spans="1:7" x14ac:dyDescent="0.2">
      <c r="A14" s="2">
        <v>45939</v>
      </c>
      <c r="B14" s="1">
        <f t="shared" si="0"/>
        <v>45931</v>
      </c>
      <c r="C14" s="4" t="str">
        <f t="shared" si="1"/>
        <v>2025-10</v>
      </c>
      <c r="D14" s="3">
        <v>254.04</v>
      </c>
      <c r="E14" s="3">
        <v>192.57</v>
      </c>
      <c r="F14" s="3">
        <v>733.51</v>
      </c>
      <c r="G14" s="3">
        <v>57.98</v>
      </c>
    </row>
    <row r="15" spans="1:7" x14ac:dyDescent="0.2">
      <c r="A15" s="2">
        <v>45938</v>
      </c>
      <c r="B15" s="1">
        <f t="shared" si="0"/>
        <v>45931</v>
      </c>
      <c r="C15" s="4" t="str">
        <f t="shared" si="1"/>
        <v>2025-10</v>
      </c>
      <c r="D15" s="3">
        <v>258.06</v>
      </c>
      <c r="E15" s="3">
        <v>189.11</v>
      </c>
      <c r="F15" s="3">
        <v>717.84</v>
      </c>
      <c r="G15" s="3">
        <v>58.68</v>
      </c>
    </row>
    <row r="16" spans="1:7" x14ac:dyDescent="0.2">
      <c r="A16" s="2">
        <v>45937</v>
      </c>
      <c r="B16" s="1">
        <f t="shared" si="0"/>
        <v>45931</v>
      </c>
      <c r="C16" s="4" t="str">
        <f t="shared" si="1"/>
        <v>2025-10</v>
      </c>
      <c r="D16" s="3">
        <v>256.48</v>
      </c>
      <c r="E16" s="3">
        <v>185.04</v>
      </c>
      <c r="F16" s="3">
        <v>713.08</v>
      </c>
      <c r="G16" s="3">
        <v>55.07</v>
      </c>
    </row>
    <row r="17" spans="1:7" x14ac:dyDescent="0.2">
      <c r="A17" s="2">
        <v>45936</v>
      </c>
      <c r="B17" s="1">
        <f t="shared" si="0"/>
        <v>45931</v>
      </c>
      <c r="C17" s="4" t="str">
        <f t="shared" si="1"/>
        <v>2025-10</v>
      </c>
      <c r="D17" s="3">
        <v>256.69</v>
      </c>
      <c r="E17" s="3">
        <v>185.54</v>
      </c>
      <c r="F17" s="3">
        <v>715.66</v>
      </c>
      <c r="G17" s="3">
        <v>54.62</v>
      </c>
    </row>
    <row r="18" spans="1:7" x14ac:dyDescent="0.2">
      <c r="A18" s="2">
        <v>45933</v>
      </c>
      <c r="B18" s="1">
        <f t="shared" si="0"/>
        <v>45931</v>
      </c>
      <c r="C18" s="4" t="str">
        <f t="shared" si="1"/>
        <v>2025-10</v>
      </c>
      <c r="D18" s="3">
        <v>258.02</v>
      </c>
      <c r="E18" s="3">
        <v>187.62</v>
      </c>
      <c r="F18" s="3">
        <v>710.56</v>
      </c>
      <c r="G18" s="3">
        <v>51.96</v>
      </c>
    </row>
    <row r="19" spans="1:7" x14ac:dyDescent="0.2">
      <c r="A19" s="2">
        <v>45932</v>
      </c>
      <c r="B19" s="1">
        <f t="shared" si="0"/>
        <v>45931</v>
      </c>
      <c r="C19" s="4" t="str">
        <f t="shared" si="1"/>
        <v>2025-10</v>
      </c>
      <c r="D19" s="3">
        <v>257.13</v>
      </c>
      <c r="E19" s="3">
        <v>188.89</v>
      </c>
      <c r="F19" s="3">
        <v>727.05</v>
      </c>
      <c r="G19" s="3">
        <v>52.5</v>
      </c>
    </row>
    <row r="20" spans="1:7" x14ac:dyDescent="0.2">
      <c r="A20" s="2">
        <v>45931</v>
      </c>
      <c r="B20" s="1">
        <f t="shared" si="0"/>
        <v>45931</v>
      </c>
      <c r="C20" s="4" t="str">
        <f t="shared" si="1"/>
        <v>2025-10</v>
      </c>
      <c r="D20" s="3">
        <v>255.45</v>
      </c>
      <c r="E20" s="3">
        <v>187.24</v>
      </c>
      <c r="F20" s="3">
        <v>717.34</v>
      </c>
      <c r="G20" s="3">
        <v>52.39</v>
      </c>
    </row>
    <row r="21" spans="1:7" x14ac:dyDescent="0.2">
      <c r="A21" s="2">
        <v>45930</v>
      </c>
      <c r="B21" s="1">
        <f t="shared" si="0"/>
        <v>45901</v>
      </c>
      <c r="C21" s="4" t="str">
        <f t="shared" si="1"/>
        <v>2025-09</v>
      </c>
      <c r="D21" s="3">
        <v>254.63</v>
      </c>
      <c r="E21" s="3">
        <v>186.58</v>
      </c>
      <c r="F21" s="3">
        <v>734.38</v>
      </c>
      <c r="G21" s="3">
        <v>47.94</v>
      </c>
    </row>
    <row r="22" spans="1:7" x14ac:dyDescent="0.2">
      <c r="A22" s="2">
        <v>45929</v>
      </c>
      <c r="B22" s="1">
        <f t="shared" si="0"/>
        <v>45901</v>
      </c>
      <c r="C22" s="4" t="str">
        <f t="shared" si="1"/>
        <v>2025-09</v>
      </c>
      <c r="D22" s="3">
        <v>254.43</v>
      </c>
      <c r="E22" s="3">
        <v>181.85</v>
      </c>
      <c r="F22" s="3">
        <v>743.4</v>
      </c>
      <c r="G22" s="3">
        <v>46.36</v>
      </c>
    </row>
    <row r="23" spans="1:7" x14ac:dyDescent="0.2">
      <c r="A23" s="2">
        <v>45926</v>
      </c>
      <c r="B23" s="1">
        <f t="shared" si="0"/>
        <v>45901</v>
      </c>
      <c r="C23" s="4" t="str">
        <f t="shared" si="1"/>
        <v>2025-09</v>
      </c>
      <c r="D23" s="3">
        <v>255.46</v>
      </c>
      <c r="E23" s="3">
        <v>178.19</v>
      </c>
      <c r="F23" s="3">
        <v>743.75</v>
      </c>
      <c r="G23" s="3">
        <v>45.82</v>
      </c>
    </row>
    <row r="24" spans="1:7" x14ac:dyDescent="0.2">
      <c r="A24" s="2">
        <v>45925</v>
      </c>
      <c r="B24" s="1">
        <f t="shared" si="0"/>
        <v>45901</v>
      </c>
      <c r="C24" s="4" t="str">
        <f t="shared" si="1"/>
        <v>2025-09</v>
      </c>
      <c r="D24" s="3">
        <v>256.87</v>
      </c>
      <c r="E24" s="3">
        <v>177.69</v>
      </c>
      <c r="F24" s="3">
        <v>748.91</v>
      </c>
      <c r="G24" s="3">
        <v>46.24</v>
      </c>
    </row>
    <row r="25" spans="1:7" x14ac:dyDescent="0.2">
      <c r="A25" s="2">
        <v>45924</v>
      </c>
      <c r="B25" s="1">
        <f t="shared" si="0"/>
        <v>45901</v>
      </c>
      <c r="C25" s="4" t="str">
        <f t="shared" si="1"/>
        <v>2025-09</v>
      </c>
      <c r="D25" s="3">
        <v>252.31</v>
      </c>
      <c r="E25" s="3">
        <v>176.97</v>
      </c>
      <c r="F25" s="3">
        <v>760.66</v>
      </c>
      <c r="G25" s="3">
        <v>46.2</v>
      </c>
    </row>
    <row r="26" spans="1:7" x14ac:dyDescent="0.2">
      <c r="A26" s="2">
        <v>45923</v>
      </c>
      <c r="B26" s="1">
        <f t="shared" si="0"/>
        <v>45901</v>
      </c>
      <c r="C26" s="4" t="str">
        <f t="shared" si="1"/>
        <v>2025-09</v>
      </c>
      <c r="D26" s="3">
        <v>254.43</v>
      </c>
      <c r="E26" s="3">
        <v>178.43</v>
      </c>
      <c r="F26" s="3">
        <v>755.4</v>
      </c>
      <c r="G26" s="3">
        <v>46.99</v>
      </c>
    </row>
    <row r="27" spans="1:7" x14ac:dyDescent="0.2">
      <c r="A27" s="2">
        <v>45922</v>
      </c>
      <c r="B27" s="1">
        <f t="shared" si="0"/>
        <v>45901</v>
      </c>
      <c r="C27" s="4" t="str">
        <f t="shared" si="1"/>
        <v>2025-09</v>
      </c>
      <c r="D27" s="3">
        <v>256.08</v>
      </c>
      <c r="E27" s="3">
        <v>183.61</v>
      </c>
      <c r="F27" s="3">
        <v>765.16</v>
      </c>
      <c r="G27" s="3">
        <v>46.87</v>
      </c>
    </row>
    <row r="28" spans="1:7" x14ac:dyDescent="0.2">
      <c r="A28" s="2">
        <v>45919</v>
      </c>
      <c r="B28" s="1">
        <f t="shared" si="0"/>
        <v>45901</v>
      </c>
      <c r="C28" s="4" t="str">
        <f t="shared" si="1"/>
        <v>2025-09</v>
      </c>
      <c r="D28" s="3">
        <v>245.5</v>
      </c>
      <c r="E28" s="3">
        <v>176.67</v>
      </c>
      <c r="F28" s="3">
        <v>778.38</v>
      </c>
      <c r="G28" s="3">
        <v>45.81</v>
      </c>
    </row>
    <row r="29" spans="1:7" x14ac:dyDescent="0.2">
      <c r="A29" s="2">
        <v>45918</v>
      </c>
      <c r="B29" s="1">
        <f t="shared" si="0"/>
        <v>45901</v>
      </c>
      <c r="C29" s="4" t="str">
        <f t="shared" si="1"/>
        <v>2025-09</v>
      </c>
      <c r="D29" s="3">
        <v>237.88</v>
      </c>
      <c r="E29" s="3">
        <v>176.24</v>
      </c>
      <c r="F29" s="3">
        <v>780.25</v>
      </c>
      <c r="G29" s="3">
        <v>45.94</v>
      </c>
    </row>
    <row r="30" spans="1:7" x14ac:dyDescent="0.2">
      <c r="A30" s="2">
        <v>45917</v>
      </c>
      <c r="B30" s="1">
        <f t="shared" si="0"/>
        <v>45901</v>
      </c>
      <c r="C30" s="4" t="str">
        <f t="shared" si="1"/>
        <v>2025-09</v>
      </c>
      <c r="D30" s="3">
        <v>238.99</v>
      </c>
      <c r="E30" s="3">
        <v>170.29</v>
      </c>
      <c r="F30" s="3">
        <v>775.72</v>
      </c>
      <c r="G30" s="3">
        <v>44.9</v>
      </c>
    </row>
    <row r="31" spans="1:7" x14ac:dyDescent="0.2">
      <c r="A31" s="2">
        <v>45916</v>
      </c>
      <c r="B31" s="1">
        <f t="shared" si="0"/>
        <v>45901</v>
      </c>
      <c r="C31" s="4" t="str">
        <f t="shared" si="1"/>
        <v>2025-09</v>
      </c>
      <c r="D31" s="3">
        <v>238.15</v>
      </c>
      <c r="E31" s="3">
        <v>174.88</v>
      </c>
      <c r="F31" s="3">
        <v>779</v>
      </c>
      <c r="G31" s="3">
        <v>44.91</v>
      </c>
    </row>
    <row r="32" spans="1:7" x14ac:dyDescent="0.2">
      <c r="A32" s="2">
        <v>45915</v>
      </c>
      <c r="B32" s="1">
        <f t="shared" si="0"/>
        <v>45901</v>
      </c>
      <c r="C32" s="4" t="str">
        <f t="shared" si="1"/>
        <v>2025-09</v>
      </c>
      <c r="D32" s="3">
        <v>236.7</v>
      </c>
      <c r="E32" s="3">
        <v>177.75</v>
      </c>
      <c r="F32" s="3">
        <v>764.7</v>
      </c>
      <c r="G32" s="3">
        <v>45.38</v>
      </c>
    </row>
    <row r="33" spans="1:7" x14ac:dyDescent="0.2">
      <c r="A33" s="2">
        <v>45912</v>
      </c>
      <c r="B33" s="1">
        <f t="shared" si="0"/>
        <v>45901</v>
      </c>
      <c r="C33" s="4" t="str">
        <f t="shared" si="1"/>
        <v>2025-09</v>
      </c>
      <c r="D33" s="3">
        <v>234.07</v>
      </c>
      <c r="E33" s="3">
        <v>177.82</v>
      </c>
      <c r="F33" s="3">
        <v>755.59</v>
      </c>
      <c r="G33" s="3">
        <v>45</v>
      </c>
    </row>
    <row r="34" spans="1:7" x14ac:dyDescent="0.2">
      <c r="A34" s="2">
        <v>45911</v>
      </c>
      <c r="B34" s="1">
        <f t="shared" si="0"/>
        <v>45901</v>
      </c>
      <c r="C34" s="4" t="str">
        <f t="shared" si="1"/>
        <v>2025-09</v>
      </c>
      <c r="D34" s="3">
        <v>230.03</v>
      </c>
      <c r="E34" s="3">
        <v>177.17</v>
      </c>
      <c r="F34" s="3">
        <v>750.9</v>
      </c>
      <c r="G34" s="3">
        <v>43.95</v>
      </c>
    </row>
    <row r="35" spans="1:7" x14ac:dyDescent="0.2">
      <c r="A35" s="2">
        <v>45910</v>
      </c>
      <c r="B35" s="1">
        <f t="shared" si="0"/>
        <v>45901</v>
      </c>
      <c r="C35" s="4" t="str">
        <f t="shared" si="1"/>
        <v>2025-09</v>
      </c>
      <c r="D35" s="3">
        <v>226.79</v>
      </c>
      <c r="E35" s="3">
        <v>177.33</v>
      </c>
      <c r="F35" s="3">
        <v>751.98</v>
      </c>
      <c r="G35" s="3">
        <v>43.91</v>
      </c>
    </row>
    <row r="36" spans="1:7" x14ac:dyDescent="0.2">
      <c r="A36" s="2">
        <v>45909</v>
      </c>
      <c r="B36" s="1">
        <f t="shared" si="0"/>
        <v>45901</v>
      </c>
      <c r="C36" s="4" t="str">
        <f t="shared" si="1"/>
        <v>2025-09</v>
      </c>
      <c r="D36" s="3">
        <v>234.35</v>
      </c>
      <c r="E36" s="3">
        <v>170.76</v>
      </c>
      <c r="F36" s="3">
        <v>765.7</v>
      </c>
      <c r="G36" s="3">
        <v>42.92</v>
      </c>
    </row>
    <row r="37" spans="1:7" x14ac:dyDescent="0.2">
      <c r="A37" s="2">
        <v>45908</v>
      </c>
      <c r="B37" s="1">
        <f t="shared" si="0"/>
        <v>45901</v>
      </c>
      <c r="C37" s="4" t="str">
        <f t="shared" si="1"/>
        <v>2025-09</v>
      </c>
      <c r="D37" s="3">
        <v>237.88</v>
      </c>
      <c r="E37" s="3">
        <v>168.31</v>
      </c>
      <c r="F37" s="3">
        <v>752.3</v>
      </c>
      <c r="G37" s="3">
        <v>40.04</v>
      </c>
    </row>
    <row r="38" spans="1:7" x14ac:dyDescent="0.2">
      <c r="A38" s="2">
        <v>45905</v>
      </c>
      <c r="B38" s="1">
        <f t="shared" si="0"/>
        <v>45901</v>
      </c>
      <c r="C38" s="4" t="str">
        <f t="shared" si="1"/>
        <v>2025-09</v>
      </c>
      <c r="D38" s="3">
        <v>239.69</v>
      </c>
      <c r="E38" s="3">
        <v>167.02</v>
      </c>
      <c r="F38" s="3">
        <v>752.45</v>
      </c>
      <c r="G38" s="3">
        <v>40.409999999999997</v>
      </c>
    </row>
    <row r="39" spans="1:7" x14ac:dyDescent="0.2">
      <c r="A39" s="2">
        <v>45904</v>
      </c>
      <c r="B39" s="1">
        <f t="shared" si="0"/>
        <v>45901</v>
      </c>
      <c r="C39" s="4" t="str">
        <f t="shared" si="1"/>
        <v>2025-09</v>
      </c>
      <c r="D39" s="3">
        <v>239.78</v>
      </c>
      <c r="E39" s="3">
        <v>171.66</v>
      </c>
      <c r="F39" s="3">
        <v>748.65</v>
      </c>
      <c r="G39" s="3">
        <v>40.700000000000003</v>
      </c>
    </row>
    <row r="40" spans="1:7" x14ac:dyDescent="0.2">
      <c r="A40" s="2">
        <v>45903</v>
      </c>
      <c r="B40" s="1">
        <f t="shared" si="0"/>
        <v>45901</v>
      </c>
      <c r="C40" s="4" t="str">
        <f t="shared" si="1"/>
        <v>2025-09</v>
      </c>
      <c r="D40" s="3">
        <v>238.47</v>
      </c>
      <c r="E40" s="3">
        <v>170.62</v>
      </c>
      <c r="F40" s="3">
        <v>737.05</v>
      </c>
      <c r="G40" s="3">
        <v>40.1</v>
      </c>
    </row>
    <row r="41" spans="1:7" x14ac:dyDescent="0.2">
      <c r="A41" s="2">
        <v>45902</v>
      </c>
      <c r="B41" s="1">
        <f t="shared" si="0"/>
        <v>45901</v>
      </c>
      <c r="C41" s="4" t="str">
        <f t="shared" si="1"/>
        <v>2025-09</v>
      </c>
      <c r="D41" s="3">
        <v>229.72</v>
      </c>
      <c r="E41" s="3">
        <v>170.78</v>
      </c>
      <c r="F41" s="3">
        <v>735.11</v>
      </c>
      <c r="G41" s="3">
        <v>40.78</v>
      </c>
    </row>
    <row r="42" spans="1:7" x14ac:dyDescent="0.2">
      <c r="A42" s="2">
        <v>45898</v>
      </c>
      <c r="B42" s="1">
        <f t="shared" si="0"/>
        <v>45870</v>
      </c>
      <c r="C42" s="4" t="str">
        <f t="shared" si="1"/>
        <v>2025-08</v>
      </c>
      <c r="D42" s="3">
        <v>232.14</v>
      </c>
      <c r="E42" s="3">
        <v>174.18</v>
      </c>
      <c r="F42" s="3">
        <v>738.7</v>
      </c>
      <c r="G42" s="3">
        <v>41.54</v>
      </c>
    </row>
    <row r="43" spans="1:7" x14ac:dyDescent="0.2">
      <c r="A43" s="2">
        <v>45897</v>
      </c>
      <c r="B43" s="1">
        <f t="shared" si="0"/>
        <v>45870</v>
      </c>
      <c r="C43" s="4" t="str">
        <f t="shared" si="1"/>
        <v>2025-08</v>
      </c>
      <c r="D43" s="3">
        <v>232.56</v>
      </c>
      <c r="E43" s="3">
        <v>180.17</v>
      </c>
      <c r="F43" s="3">
        <v>751.11</v>
      </c>
      <c r="G43" s="3">
        <v>43.97</v>
      </c>
    </row>
    <row r="44" spans="1:7" x14ac:dyDescent="0.2">
      <c r="A44" s="2">
        <v>45896</v>
      </c>
      <c r="B44" s="1">
        <f t="shared" si="0"/>
        <v>45870</v>
      </c>
      <c r="C44" s="4" t="str">
        <f t="shared" si="1"/>
        <v>2025-08</v>
      </c>
      <c r="D44" s="3">
        <v>230.49</v>
      </c>
      <c r="E44" s="3">
        <v>181.6</v>
      </c>
      <c r="F44" s="3">
        <v>747.38</v>
      </c>
      <c r="G44" s="3">
        <v>44.76</v>
      </c>
    </row>
    <row r="45" spans="1:7" x14ac:dyDescent="0.2">
      <c r="A45" s="2">
        <v>45895</v>
      </c>
      <c r="B45" s="1">
        <f t="shared" si="0"/>
        <v>45870</v>
      </c>
      <c r="C45" s="4" t="str">
        <f t="shared" si="1"/>
        <v>2025-08</v>
      </c>
      <c r="D45" s="3">
        <v>229.31</v>
      </c>
      <c r="E45" s="3">
        <v>181.77</v>
      </c>
      <c r="F45" s="3">
        <v>754.1</v>
      </c>
      <c r="G45" s="3">
        <v>44.36</v>
      </c>
    </row>
    <row r="46" spans="1:7" x14ac:dyDescent="0.2">
      <c r="A46" s="2">
        <v>45894</v>
      </c>
      <c r="B46" s="1">
        <f t="shared" si="0"/>
        <v>45870</v>
      </c>
      <c r="C46" s="4" t="str">
        <f t="shared" si="1"/>
        <v>2025-08</v>
      </c>
      <c r="D46" s="3">
        <v>227.16</v>
      </c>
      <c r="E46" s="3">
        <v>179.81</v>
      </c>
      <c r="F46" s="3">
        <v>753.3</v>
      </c>
      <c r="G46" s="3">
        <v>44.07</v>
      </c>
    </row>
    <row r="47" spans="1:7" x14ac:dyDescent="0.2">
      <c r="A47" s="2">
        <v>45891</v>
      </c>
      <c r="B47" s="1">
        <f t="shared" si="0"/>
        <v>45870</v>
      </c>
      <c r="C47" s="4" t="str">
        <f t="shared" si="1"/>
        <v>2025-08</v>
      </c>
      <c r="D47" s="3">
        <v>227.76</v>
      </c>
      <c r="E47" s="3">
        <v>177.99</v>
      </c>
      <c r="F47" s="3">
        <v>754.79</v>
      </c>
      <c r="G47" s="3">
        <v>43.88</v>
      </c>
    </row>
    <row r="48" spans="1:7" x14ac:dyDescent="0.2">
      <c r="A48" s="2">
        <v>45890</v>
      </c>
      <c r="B48" s="1">
        <f t="shared" si="0"/>
        <v>45870</v>
      </c>
      <c r="C48" s="4" t="str">
        <f t="shared" si="1"/>
        <v>2025-08</v>
      </c>
      <c r="D48" s="3">
        <v>224.9</v>
      </c>
      <c r="E48" s="3">
        <v>174.98</v>
      </c>
      <c r="F48" s="3">
        <v>739.1</v>
      </c>
      <c r="G48" s="3">
        <v>42.31</v>
      </c>
    </row>
    <row r="49" spans="1:7" x14ac:dyDescent="0.2">
      <c r="A49" s="2">
        <v>45889</v>
      </c>
      <c r="B49" s="1">
        <f t="shared" si="0"/>
        <v>45870</v>
      </c>
      <c r="C49" s="4" t="str">
        <f t="shared" si="1"/>
        <v>2025-08</v>
      </c>
      <c r="D49" s="3">
        <v>226.01</v>
      </c>
      <c r="E49" s="3">
        <v>175.4</v>
      </c>
      <c r="F49" s="3">
        <v>747.72</v>
      </c>
      <c r="G49" s="3">
        <v>42.61</v>
      </c>
    </row>
    <row r="50" spans="1:7" x14ac:dyDescent="0.2">
      <c r="A50" s="2">
        <v>45888</v>
      </c>
      <c r="B50" s="1">
        <f t="shared" si="0"/>
        <v>45870</v>
      </c>
      <c r="C50" s="4" t="str">
        <f t="shared" si="1"/>
        <v>2025-08</v>
      </c>
      <c r="D50" s="3">
        <v>230.56</v>
      </c>
      <c r="E50" s="3">
        <v>175.64</v>
      </c>
      <c r="F50" s="3">
        <v>751.48</v>
      </c>
      <c r="G50" s="3">
        <v>43.24</v>
      </c>
    </row>
    <row r="51" spans="1:7" x14ac:dyDescent="0.2">
      <c r="A51" s="2">
        <v>45887</v>
      </c>
      <c r="B51" s="1">
        <f t="shared" si="0"/>
        <v>45870</v>
      </c>
      <c r="C51" s="4" t="str">
        <f t="shared" si="1"/>
        <v>2025-08</v>
      </c>
      <c r="D51" s="3">
        <v>230.89</v>
      </c>
      <c r="E51" s="3">
        <v>182.01</v>
      </c>
      <c r="F51" s="3">
        <v>767.37</v>
      </c>
      <c r="G51" s="3">
        <v>45.86</v>
      </c>
    </row>
    <row r="52" spans="1:7" x14ac:dyDescent="0.2">
      <c r="A52" s="2">
        <v>45884</v>
      </c>
      <c r="B52" s="1">
        <f t="shared" si="0"/>
        <v>45870</v>
      </c>
      <c r="C52" s="4" t="str">
        <f t="shared" si="1"/>
        <v>2025-08</v>
      </c>
      <c r="D52" s="3">
        <v>231.59</v>
      </c>
      <c r="E52" s="3">
        <v>180.45</v>
      </c>
      <c r="F52" s="3">
        <v>785.23</v>
      </c>
      <c r="G52" s="3">
        <v>45.37</v>
      </c>
    </row>
    <row r="53" spans="1:7" x14ac:dyDescent="0.2">
      <c r="A53" s="2">
        <v>45883</v>
      </c>
      <c r="B53" s="1">
        <f t="shared" si="0"/>
        <v>45870</v>
      </c>
      <c r="C53" s="4" t="str">
        <f t="shared" si="1"/>
        <v>2025-08</v>
      </c>
      <c r="D53" s="3">
        <v>232.78</v>
      </c>
      <c r="E53" s="3">
        <v>182.02</v>
      </c>
      <c r="F53" s="3">
        <v>782.13</v>
      </c>
      <c r="G53" s="3">
        <v>45.49</v>
      </c>
    </row>
    <row r="54" spans="1:7" x14ac:dyDescent="0.2">
      <c r="A54" s="2">
        <v>45882</v>
      </c>
      <c r="B54" s="1">
        <f t="shared" si="0"/>
        <v>45870</v>
      </c>
      <c r="C54" s="4" t="str">
        <f t="shared" si="1"/>
        <v>2025-08</v>
      </c>
      <c r="D54" s="3">
        <v>233.33</v>
      </c>
      <c r="E54" s="3">
        <v>181.59</v>
      </c>
      <c r="F54" s="3">
        <v>780.08</v>
      </c>
      <c r="G54" s="3">
        <v>46.07</v>
      </c>
    </row>
    <row r="55" spans="1:7" x14ac:dyDescent="0.2">
      <c r="A55" s="2">
        <v>45881</v>
      </c>
      <c r="B55" s="1">
        <f t="shared" si="0"/>
        <v>45870</v>
      </c>
      <c r="C55" s="4" t="str">
        <f t="shared" si="1"/>
        <v>2025-08</v>
      </c>
      <c r="D55" s="3">
        <v>229.65</v>
      </c>
      <c r="E55" s="3">
        <v>183.16</v>
      </c>
      <c r="F55" s="3">
        <v>790</v>
      </c>
      <c r="G55" s="3">
        <v>46.43</v>
      </c>
    </row>
    <row r="56" spans="1:7" x14ac:dyDescent="0.2">
      <c r="A56" s="2">
        <v>45880</v>
      </c>
      <c r="B56" s="1">
        <f t="shared" si="0"/>
        <v>45870</v>
      </c>
      <c r="C56" s="4" t="str">
        <f t="shared" si="1"/>
        <v>2025-08</v>
      </c>
      <c r="D56" s="3">
        <v>227.18</v>
      </c>
      <c r="E56" s="3">
        <v>182.06</v>
      </c>
      <c r="F56" s="3">
        <v>765.87</v>
      </c>
      <c r="G56" s="3">
        <v>45.2</v>
      </c>
    </row>
    <row r="57" spans="1:7" x14ac:dyDescent="0.2">
      <c r="A57" s="2">
        <v>45877</v>
      </c>
      <c r="B57" s="1">
        <f t="shared" si="0"/>
        <v>45870</v>
      </c>
      <c r="C57" s="4" t="str">
        <f t="shared" si="1"/>
        <v>2025-08</v>
      </c>
      <c r="D57" s="3">
        <v>229.35</v>
      </c>
      <c r="E57" s="3">
        <v>182.7</v>
      </c>
      <c r="F57" s="3">
        <v>769.3</v>
      </c>
      <c r="G57" s="3">
        <v>44.6</v>
      </c>
    </row>
    <row r="58" spans="1:7" x14ac:dyDescent="0.2">
      <c r="A58" s="2">
        <v>45876</v>
      </c>
      <c r="B58" s="1">
        <f t="shared" si="0"/>
        <v>45870</v>
      </c>
      <c r="C58" s="4" t="str">
        <f t="shared" si="1"/>
        <v>2025-08</v>
      </c>
      <c r="D58" s="3">
        <v>220.03</v>
      </c>
      <c r="E58" s="3">
        <v>180.77</v>
      </c>
      <c r="F58" s="3">
        <v>761.83</v>
      </c>
      <c r="G58" s="3">
        <v>46.67</v>
      </c>
    </row>
    <row r="59" spans="1:7" x14ac:dyDescent="0.2">
      <c r="A59" s="2">
        <v>45875</v>
      </c>
      <c r="B59" s="1">
        <f t="shared" si="0"/>
        <v>45870</v>
      </c>
      <c r="C59" s="4" t="str">
        <f t="shared" si="1"/>
        <v>2025-08</v>
      </c>
      <c r="D59" s="3">
        <v>213.25</v>
      </c>
      <c r="E59" s="3">
        <v>179.42</v>
      </c>
      <c r="F59" s="3">
        <v>771.99</v>
      </c>
      <c r="G59" s="3">
        <v>46.79</v>
      </c>
    </row>
    <row r="60" spans="1:7" x14ac:dyDescent="0.2">
      <c r="A60" s="2">
        <v>45874</v>
      </c>
      <c r="B60" s="1">
        <f t="shared" si="0"/>
        <v>45870</v>
      </c>
      <c r="C60" s="4" t="str">
        <f t="shared" si="1"/>
        <v>2025-08</v>
      </c>
      <c r="D60" s="3">
        <v>202.92</v>
      </c>
      <c r="E60" s="3">
        <v>178.26</v>
      </c>
      <c r="F60" s="3">
        <v>763.46</v>
      </c>
      <c r="G60" s="3">
        <v>57.26</v>
      </c>
    </row>
    <row r="61" spans="1:7" x14ac:dyDescent="0.2">
      <c r="A61" s="2">
        <v>45873</v>
      </c>
      <c r="B61" s="1">
        <f t="shared" si="0"/>
        <v>45870</v>
      </c>
      <c r="C61" s="4" t="str">
        <f t="shared" si="1"/>
        <v>2025-08</v>
      </c>
      <c r="D61" s="3">
        <v>203.35</v>
      </c>
      <c r="E61" s="3">
        <v>180</v>
      </c>
      <c r="F61" s="3">
        <v>776.37</v>
      </c>
      <c r="G61" s="3">
        <v>58.23</v>
      </c>
    </row>
    <row r="62" spans="1:7" x14ac:dyDescent="0.2">
      <c r="A62" s="2">
        <v>45870</v>
      </c>
      <c r="B62" s="1">
        <f t="shared" si="0"/>
        <v>45870</v>
      </c>
      <c r="C62" s="4" t="str">
        <f t="shared" si="1"/>
        <v>2025-08</v>
      </c>
      <c r="D62" s="3">
        <v>202.38</v>
      </c>
      <c r="E62" s="3">
        <v>173.72</v>
      </c>
      <c r="F62" s="3">
        <v>750.01</v>
      </c>
      <c r="G62" s="3">
        <v>56.64</v>
      </c>
    </row>
    <row r="63" spans="1:7" x14ac:dyDescent="0.2">
      <c r="A63" s="2">
        <v>45869</v>
      </c>
      <c r="B63" s="1">
        <f t="shared" si="0"/>
        <v>45839</v>
      </c>
      <c r="C63" s="4" t="str">
        <f t="shared" si="1"/>
        <v>2025-07</v>
      </c>
      <c r="D63" s="3">
        <v>207.57</v>
      </c>
      <c r="E63" s="3">
        <v>177.87</v>
      </c>
      <c r="F63" s="3">
        <v>773.44</v>
      </c>
      <c r="G63" s="3">
        <v>58.97</v>
      </c>
    </row>
    <row r="64" spans="1:7" x14ac:dyDescent="0.2">
      <c r="A64" s="2">
        <v>45868</v>
      </c>
      <c r="B64" s="1">
        <f t="shared" si="0"/>
        <v>45839</v>
      </c>
      <c r="C64" s="4" t="str">
        <f t="shared" si="1"/>
        <v>2025-07</v>
      </c>
      <c r="D64" s="3">
        <v>209.05</v>
      </c>
      <c r="E64" s="3">
        <v>179.27</v>
      </c>
      <c r="F64" s="3">
        <v>695.21</v>
      </c>
      <c r="G64" s="3">
        <v>60.71</v>
      </c>
    </row>
    <row r="65" spans="1:7" x14ac:dyDescent="0.2">
      <c r="A65" s="2">
        <v>45867</v>
      </c>
      <c r="B65" s="1">
        <f t="shared" si="0"/>
        <v>45839</v>
      </c>
      <c r="C65" s="4" t="str">
        <f t="shared" si="1"/>
        <v>2025-07</v>
      </c>
      <c r="D65" s="3">
        <v>211.27</v>
      </c>
      <c r="E65" s="3">
        <v>175.51</v>
      </c>
      <c r="F65" s="3">
        <v>700</v>
      </c>
      <c r="G65" s="3">
        <v>58.63</v>
      </c>
    </row>
    <row r="66" spans="1:7" x14ac:dyDescent="0.2">
      <c r="A66" s="2">
        <v>45866</v>
      </c>
      <c r="B66" s="1">
        <f t="shared" si="0"/>
        <v>45839</v>
      </c>
      <c r="C66" s="4" t="str">
        <f t="shared" si="1"/>
        <v>2025-07</v>
      </c>
      <c r="D66" s="3">
        <v>214.05</v>
      </c>
      <c r="E66" s="3">
        <v>176.75</v>
      </c>
      <c r="F66" s="3">
        <v>717.63</v>
      </c>
      <c r="G66" s="3">
        <v>60.05</v>
      </c>
    </row>
    <row r="67" spans="1:7" x14ac:dyDescent="0.2">
      <c r="A67" s="2">
        <v>45863</v>
      </c>
      <c r="B67" s="1">
        <f t="shared" ref="B67:B130" si="2">EOMONTH(A67, -1)+1</f>
        <v>45839</v>
      </c>
      <c r="C67" s="4" t="str">
        <f t="shared" ref="C67:C130" si="3">TEXT(A67, "yyyy-mm")</f>
        <v>2025-07</v>
      </c>
      <c r="D67" s="3">
        <v>213.88</v>
      </c>
      <c r="E67" s="3">
        <v>173.5</v>
      </c>
      <c r="F67" s="3">
        <v>712.68</v>
      </c>
      <c r="G67" s="3">
        <v>54.47</v>
      </c>
    </row>
    <row r="68" spans="1:7" x14ac:dyDescent="0.2">
      <c r="A68" s="2">
        <v>45862</v>
      </c>
      <c r="B68" s="1">
        <f t="shared" si="2"/>
        <v>45839</v>
      </c>
      <c r="C68" s="4" t="str">
        <f t="shared" si="3"/>
        <v>2025-07</v>
      </c>
      <c r="D68" s="3">
        <v>213.76</v>
      </c>
      <c r="E68" s="3">
        <v>173.74</v>
      </c>
      <c r="F68" s="3">
        <v>714.8</v>
      </c>
      <c r="G68" s="3">
        <v>52.52</v>
      </c>
    </row>
    <row r="69" spans="1:7" x14ac:dyDescent="0.2">
      <c r="A69" s="2">
        <v>45861</v>
      </c>
      <c r="B69" s="1">
        <f t="shared" si="2"/>
        <v>45839</v>
      </c>
      <c r="C69" s="4" t="str">
        <f t="shared" si="3"/>
        <v>2025-07</v>
      </c>
      <c r="D69" s="3">
        <v>214.15</v>
      </c>
      <c r="E69" s="3">
        <v>170.78</v>
      </c>
      <c r="F69" s="3">
        <v>713.58</v>
      </c>
      <c r="G69" s="3">
        <v>51.7</v>
      </c>
    </row>
    <row r="70" spans="1:7" x14ac:dyDescent="0.2">
      <c r="A70" s="2">
        <v>45860</v>
      </c>
      <c r="B70" s="1">
        <f t="shared" si="2"/>
        <v>45839</v>
      </c>
      <c r="C70" s="4" t="str">
        <f t="shared" si="3"/>
        <v>2025-07</v>
      </c>
      <c r="D70" s="3">
        <v>214.4</v>
      </c>
      <c r="E70" s="3">
        <v>167.03</v>
      </c>
      <c r="F70" s="3">
        <v>704.81</v>
      </c>
      <c r="G70" s="3">
        <v>49.86</v>
      </c>
    </row>
    <row r="71" spans="1:7" x14ac:dyDescent="0.2">
      <c r="A71" s="2">
        <v>45859</v>
      </c>
      <c r="B71" s="1">
        <f t="shared" si="2"/>
        <v>45839</v>
      </c>
      <c r="C71" s="4" t="str">
        <f t="shared" si="3"/>
        <v>2025-07</v>
      </c>
      <c r="D71" s="3">
        <v>212.48</v>
      </c>
      <c r="E71" s="3">
        <v>171.38</v>
      </c>
      <c r="F71" s="3">
        <v>712.97</v>
      </c>
      <c r="G71" s="3">
        <v>51.5</v>
      </c>
    </row>
    <row r="72" spans="1:7" x14ac:dyDescent="0.2">
      <c r="A72" s="2">
        <v>45856</v>
      </c>
      <c r="B72" s="1">
        <f t="shared" si="2"/>
        <v>45839</v>
      </c>
      <c r="C72" s="4" t="str">
        <f t="shared" si="3"/>
        <v>2025-07</v>
      </c>
      <c r="D72" s="3">
        <v>211.18</v>
      </c>
      <c r="E72" s="3">
        <v>172.41</v>
      </c>
      <c r="F72" s="3">
        <v>704.28</v>
      </c>
      <c r="G72" s="3">
        <v>51.77</v>
      </c>
    </row>
    <row r="73" spans="1:7" x14ac:dyDescent="0.2">
      <c r="A73" s="2">
        <v>45855</v>
      </c>
      <c r="B73" s="1">
        <f t="shared" si="2"/>
        <v>45839</v>
      </c>
      <c r="C73" s="4" t="str">
        <f t="shared" si="3"/>
        <v>2025-07</v>
      </c>
      <c r="D73" s="3">
        <v>210.02</v>
      </c>
      <c r="E73" s="3">
        <v>173</v>
      </c>
      <c r="F73" s="3">
        <v>701.41</v>
      </c>
      <c r="G73" s="3">
        <v>52.75</v>
      </c>
    </row>
    <row r="74" spans="1:7" x14ac:dyDescent="0.2">
      <c r="A74" s="2">
        <v>45854</v>
      </c>
      <c r="B74" s="1">
        <f t="shared" si="2"/>
        <v>45839</v>
      </c>
      <c r="C74" s="4" t="str">
        <f t="shared" si="3"/>
        <v>2025-07</v>
      </c>
      <c r="D74" s="3">
        <v>210.16</v>
      </c>
      <c r="E74" s="3">
        <v>171.37</v>
      </c>
      <c r="F74" s="3">
        <v>702.91</v>
      </c>
      <c r="G74" s="3">
        <v>53.22</v>
      </c>
    </row>
    <row r="75" spans="1:7" x14ac:dyDescent="0.2">
      <c r="A75" s="2">
        <v>45853</v>
      </c>
      <c r="B75" s="1">
        <f t="shared" si="2"/>
        <v>45839</v>
      </c>
      <c r="C75" s="4" t="str">
        <f t="shared" si="3"/>
        <v>2025-07</v>
      </c>
      <c r="D75" s="3">
        <v>209.11</v>
      </c>
      <c r="E75" s="3">
        <v>170.7</v>
      </c>
      <c r="F75" s="3">
        <v>710.39</v>
      </c>
      <c r="G75" s="3">
        <v>53.17</v>
      </c>
    </row>
    <row r="76" spans="1:7" x14ac:dyDescent="0.2">
      <c r="A76" s="2">
        <v>45852</v>
      </c>
      <c r="B76" s="1">
        <f t="shared" si="2"/>
        <v>45839</v>
      </c>
      <c r="C76" s="4" t="str">
        <f t="shared" si="3"/>
        <v>2025-07</v>
      </c>
      <c r="D76" s="3">
        <v>208.62</v>
      </c>
      <c r="E76" s="3">
        <v>164.07</v>
      </c>
      <c r="F76" s="3">
        <v>720.92</v>
      </c>
      <c r="G76" s="3">
        <v>49.73</v>
      </c>
    </row>
    <row r="77" spans="1:7" x14ac:dyDescent="0.2">
      <c r="A77" s="2">
        <v>45849</v>
      </c>
      <c r="B77" s="1">
        <f t="shared" si="2"/>
        <v>45839</v>
      </c>
      <c r="C77" s="4" t="str">
        <f t="shared" si="3"/>
        <v>2025-07</v>
      </c>
      <c r="D77" s="3">
        <v>211.16</v>
      </c>
      <c r="E77" s="3">
        <v>164.92</v>
      </c>
      <c r="F77" s="3">
        <v>717.51</v>
      </c>
      <c r="G77" s="3">
        <v>49.24</v>
      </c>
    </row>
    <row r="78" spans="1:7" x14ac:dyDescent="0.2">
      <c r="A78" s="2">
        <v>45848</v>
      </c>
      <c r="B78" s="1">
        <f t="shared" si="2"/>
        <v>45839</v>
      </c>
      <c r="C78" s="4" t="str">
        <f t="shared" si="3"/>
        <v>2025-07</v>
      </c>
      <c r="D78" s="3">
        <v>212.41</v>
      </c>
      <c r="E78" s="3">
        <v>164.1</v>
      </c>
      <c r="F78" s="3">
        <v>727.24</v>
      </c>
      <c r="G78" s="3">
        <v>50.36</v>
      </c>
    </row>
    <row r="79" spans="1:7" x14ac:dyDescent="0.2">
      <c r="A79" s="2">
        <v>45847</v>
      </c>
      <c r="B79" s="1">
        <f t="shared" si="2"/>
        <v>45839</v>
      </c>
      <c r="C79" s="4" t="str">
        <f t="shared" si="3"/>
        <v>2025-07</v>
      </c>
      <c r="D79" s="3">
        <v>211.14</v>
      </c>
      <c r="E79" s="3">
        <v>162.88</v>
      </c>
      <c r="F79" s="3">
        <v>732.78</v>
      </c>
      <c r="G79" s="3">
        <v>50.02</v>
      </c>
    </row>
    <row r="80" spans="1:7" x14ac:dyDescent="0.2">
      <c r="A80" s="2">
        <v>45846</v>
      </c>
      <c r="B80" s="1">
        <f t="shared" si="2"/>
        <v>45839</v>
      </c>
      <c r="C80" s="4" t="str">
        <f t="shared" si="3"/>
        <v>2025-07</v>
      </c>
      <c r="D80" s="3">
        <v>210.01</v>
      </c>
      <c r="E80" s="3">
        <v>160</v>
      </c>
      <c r="F80" s="3">
        <v>720.67</v>
      </c>
      <c r="G80" s="3">
        <v>49.11</v>
      </c>
    </row>
    <row r="81" spans="1:7" x14ac:dyDescent="0.2">
      <c r="A81" s="2">
        <v>45845</v>
      </c>
      <c r="B81" s="1">
        <f t="shared" si="2"/>
        <v>45839</v>
      </c>
      <c r="C81" s="4" t="str">
        <f t="shared" si="3"/>
        <v>2025-07</v>
      </c>
      <c r="D81" s="3">
        <v>209.95</v>
      </c>
      <c r="E81" s="3">
        <v>158.24</v>
      </c>
      <c r="F81" s="3">
        <v>718.35</v>
      </c>
      <c r="G81" s="3">
        <v>47.11</v>
      </c>
    </row>
    <row r="82" spans="1:7" x14ac:dyDescent="0.2">
      <c r="A82" s="2">
        <v>45841</v>
      </c>
      <c r="B82" s="1">
        <f t="shared" si="2"/>
        <v>45839</v>
      </c>
      <c r="C82" s="4" t="str">
        <f t="shared" si="3"/>
        <v>2025-07</v>
      </c>
      <c r="D82" s="3">
        <v>213.55</v>
      </c>
      <c r="E82" s="3">
        <v>159.34</v>
      </c>
      <c r="F82" s="3">
        <v>719.01</v>
      </c>
      <c r="G82" s="3">
        <v>48.56</v>
      </c>
    </row>
    <row r="83" spans="1:7" x14ac:dyDescent="0.2">
      <c r="A83" s="2">
        <v>45840</v>
      </c>
      <c r="B83" s="1">
        <f t="shared" si="2"/>
        <v>45839</v>
      </c>
      <c r="C83" s="4" t="str">
        <f t="shared" si="3"/>
        <v>2025-07</v>
      </c>
      <c r="D83" s="3">
        <v>212.44</v>
      </c>
      <c r="E83" s="3">
        <v>157.25</v>
      </c>
      <c r="F83" s="3">
        <v>713.57</v>
      </c>
      <c r="G83" s="3">
        <v>48.74</v>
      </c>
    </row>
    <row r="84" spans="1:7" x14ac:dyDescent="0.2">
      <c r="A84" s="2">
        <v>45839</v>
      </c>
      <c r="B84" s="1">
        <f t="shared" si="2"/>
        <v>45839</v>
      </c>
      <c r="C84" s="4" t="str">
        <f t="shared" si="3"/>
        <v>2025-07</v>
      </c>
      <c r="D84" s="3">
        <v>207.82</v>
      </c>
      <c r="E84" s="3">
        <v>153.30000000000001</v>
      </c>
      <c r="F84" s="3">
        <v>719.22</v>
      </c>
      <c r="G84" s="3">
        <v>47.2</v>
      </c>
    </row>
    <row r="85" spans="1:7" x14ac:dyDescent="0.2">
      <c r="A85" s="2">
        <v>45838</v>
      </c>
      <c r="B85" s="1">
        <f t="shared" si="2"/>
        <v>45809</v>
      </c>
      <c r="C85" s="4" t="str">
        <f t="shared" si="3"/>
        <v>2025-06</v>
      </c>
      <c r="D85" s="3">
        <v>205.17</v>
      </c>
      <c r="E85" s="3">
        <v>157.99</v>
      </c>
      <c r="F85" s="3">
        <v>738.09</v>
      </c>
      <c r="G85" s="3">
        <v>49.01</v>
      </c>
    </row>
    <row r="86" spans="1:7" x14ac:dyDescent="0.2">
      <c r="A86" s="2">
        <v>45835</v>
      </c>
      <c r="B86" s="1">
        <f t="shared" si="2"/>
        <v>45809</v>
      </c>
      <c r="C86" s="4" t="str">
        <f t="shared" si="3"/>
        <v>2025-06</v>
      </c>
      <c r="D86" s="3">
        <v>201.08</v>
      </c>
      <c r="E86" s="3">
        <v>157.75</v>
      </c>
      <c r="F86" s="3">
        <v>733.63</v>
      </c>
      <c r="G86" s="3">
        <v>47.58</v>
      </c>
    </row>
    <row r="87" spans="1:7" x14ac:dyDescent="0.2">
      <c r="A87" s="2">
        <v>45834</v>
      </c>
      <c r="B87" s="1">
        <f t="shared" si="2"/>
        <v>45809</v>
      </c>
      <c r="C87" s="4" t="str">
        <f t="shared" si="3"/>
        <v>2025-06</v>
      </c>
      <c r="D87" s="3">
        <v>201</v>
      </c>
      <c r="E87" s="3">
        <v>155.02000000000001</v>
      </c>
      <c r="F87" s="3">
        <v>726.09</v>
      </c>
      <c r="G87" s="3">
        <v>49.27</v>
      </c>
    </row>
    <row r="88" spans="1:7" x14ac:dyDescent="0.2">
      <c r="A88" s="2">
        <v>45833</v>
      </c>
      <c r="B88" s="1">
        <f t="shared" si="2"/>
        <v>45809</v>
      </c>
      <c r="C88" s="4" t="str">
        <f t="shared" si="3"/>
        <v>2025-06</v>
      </c>
      <c r="D88" s="3">
        <v>201.56</v>
      </c>
      <c r="E88" s="3">
        <v>154.31</v>
      </c>
      <c r="F88" s="3">
        <v>708.68</v>
      </c>
      <c r="G88" s="3">
        <v>46.61</v>
      </c>
    </row>
    <row r="89" spans="1:7" x14ac:dyDescent="0.2">
      <c r="A89" s="2">
        <v>45832</v>
      </c>
      <c r="B89" s="1">
        <f t="shared" si="2"/>
        <v>45809</v>
      </c>
      <c r="C89" s="4" t="str">
        <f t="shared" si="3"/>
        <v>2025-06</v>
      </c>
      <c r="D89" s="3">
        <v>200.3</v>
      </c>
      <c r="E89" s="3">
        <v>147.9</v>
      </c>
      <c r="F89" s="3">
        <v>712.2</v>
      </c>
      <c r="G89" s="3">
        <v>42.84</v>
      </c>
    </row>
    <row r="90" spans="1:7" x14ac:dyDescent="0.2">
      <c r="A90" s="2">
        <v>45831</v>
      </c>
      <c r="B90" s="1">
        <f t="shared" si="2"/>
        <v>45809</v>
      </c>
      <c r="C90" s="4" t="str">
        <f t="shared" si="3"/>
        <v>2025-06</v>
      </c>
      <c r="D90" s="3">
        <v>201.5</v>
      </c>
      <c r="E90" s="3">
        <v>144.16999999999999</v>
      </c>
      <c r="F90" s="3">
        <v>698.53</v>
      </c>
      <c r="G90" s="3">
        <v>40.89</v>
      </c>
    </row>
    <row r="91" spans="1:7" x14ac:dyDescent="0.2">
      <c r="A91" s="2">
        <v>45828</v>
      </c>
      <c r="B91" s="1">
        <f t="shared" si="2"/>
        <v>45809</v>
      </c>
      <c r="C91" s="4" t="str">
        <f t="shared" si="3"/>
        <v>2025-06</v>
      </c>
      <c r="D91" s="3">
        <v>201</v>
      </c>
      <c r="E91" s="3">
        <v>143.85</v>
      </c>
      <c r="F91" s="3">
        <v>682.35</v>
      </c>
      <c r="G91" s="3">
        <v>45.32</v>
      </c>
    </row>
    <row r="92" spans="1:7" x14ac:dyDescent="0.2">
      <c r="A92" s="2">
        <v>45826</v>
      </c>
      <c r="B92" s="1">
        <f t="shared" si="2"/>
        <v>45809</v>
      </c>
      <c r="C92" s="4" t="str">
        <f t="shared" si="3"/>
        <v>2025-06</v>
      </c>
      <c r="D92" s="3">
        <v>196.58</v>
      </c>
      <c r="E92" s="3">
        <v>145.47999999999999</v>
      </c>
      <c r="F92" s="3">
        <v>695.77</v>
      </c>
      <c r="G92" s="3">
        <v>44.47</v>
      </c>
    </row>
    <row r="93" spans="1:7" x14ac:dyDescent="0.2">
      <c r="A93" s="2">
        <v>45825</v>
      </c>
      <c r="B93" s="1">
        <f t="shared" si="2"/>
        <v>45809</v>
      </c>
      <c r="C93" s="4" t="str">
        <f t="shared" si="3"/>
        <v>2025-06</v>
      </c>
      <c r="D93" s="3">
        <v>195.64</v>
      </c>
      <c r="E93" s="3">
        <v>144.12</v>
      </c>
      <c r="F93" s="3">
        <v>697.23</v>
      </c>
      <c r="G93" s="3">
        <v>43.11</v>
      </c>
    </row>
    <row r="94" spans="1:7" x14ac:dyDescent="0.2">
      <c r="A94" s="2">
        <v>45824</v>
      </c>
      <c r="B94" s="1">
        <f t="shared" si="2"/>
        <v>45809</v>
      </c>
      <c r="C94" s="4" t="str">
        <f t="shared" si="3"/>
        <v>2025-06</v>
      </c>
      <c r="D94" s="3">
        <v>198.42</v>
      </c>
      <c r="E94" s="3">
        <v>144.69</v>
      </c>
      <c r="F94" s="3">
        <v>702.12</v>
      </c>
      <c r="G94" s="3">
        <v>43.69</v>
      </c>
    </row>
    <row r="95" spans="1:7" x14ac:dyDescent="0.2">
      <c r="A95" s="2">
        <v>45821</v>
      </c>
      <c r="B95" s="1">
        <f t="shared" si="2"/>
        <v>45809</v>
      </c>
      <c r="C95" s="4" t="str">
        <f t="shared" si="3"/>
        <v>2025-06</v>
      </c>
      <c r="D95" s="3">
        <v>196.45</v>
      </c>
      <c r="E95" s="3">
        <v>141.97</v>
      </c>
      <c r="F95" s="3">
        <v>682.87</v>
      </c>
      <c r="G95" s="3">
        <v>41.56</v>
      </c>
    </row>
    <row r="96" spans="1:7" x14ac:dyDescent="0.2">
      <c r="A96" s="2">
        <v>45820</v>
      </c>
      <c r="B96" s="1">
        <f t="shared" si="2"/>
        <v>45809</v>
      </c>
      <c r="C96" s="4" t="str">
        <f t="shared" si="3"/>
        <v>2025-06</v>
      </c>
      <c r="D96" s="3">
        <v>199.2</v>
      </c>
      <c r="E96" s="3">
        <v>145</v>
      </c>
      <c r="F96" s="3">
        <v>693.36</v>
      </c>
      <c r="G96" s="3">
        <v>43.36</v>
      </c>
    </row>
    <row r="97" spans="1:7" x14ac:dyDescent="0.2">
      <c r="A97" s="2">
        <v>45819</v>
      </c>
      <c r="B97" s="1">
        <f t="shared" si="2"/>
        <v>45809</v>
      </c>
      <c r="C97" s="4" t="str">
        <f t="shared" si="3"/>
        <v>2025-06</v>
      </c>
      <c r="D97" s="3">
        <v>198.78</v>
      </c>
      <c r="E97" s="3">
        <v>142.83000000000001</v>
      </c>
      <c r="F97" s="3">
        <v>694.14</v>
      </c>
      <c r="G97" s="3">
        <v>43.21</v>
      </c>
    </row>
    <row r="98" spans="1:7" x14ac:dyDescent="0.2">
      <c r="A98" s="2">
        <v>45818</v>
      </c>
      <c r="B98" s="1">
        <f t="shared" si="2"/>
        <v>45809</v>
      </c>
      <c r="C98" s="4" t="str">
        <f t="shared" si="3"/>
        <v>2025-06</v>
      </c>
      <c r="D98" s="3">
        <v>202.67</v>
      </c>
      <c r="E98" s="3">
        <v>143.96</v>
      </c>
      <c r="F98" s="3">
        <v>702.4</v>
      </c>
      <c r="G98" s="3">
        <v>42.91</v>
      </c>
    </row>
    <row r="99" spans="1:7" x14ac:dyDescent="0.2">
      <c r="A99" s="2">
        <v>45817</v>
      </c>
      <c r="B99" s="1">
        <f t="shared" si="2"/>
        <v>45809</v>
      </c>
      <c r="C99" s="4" t="str">
        <f t="shared" si="3"/>
        <v>2025-06</v>
      </c>
      <c r="D99" s="3">
        <v>201.45</v>
      </c>
      <c r="E99" s="3">
        <v>142.63</v>
      </c>
      <c r="F99" s="3">
        <v>694.06</v>
      </c>
      <c r="G99" s="3">
        <v>43.12</v>
      </c>
    </row>
    <row r="100" spans="1:7" x14ac:dyDescent="0.2">
      <c r="A100" s="2">
        <v>45814</v>
      </c>
      <c r="B100" s="1">
        <f t="shared" si="2"/>
        <v>45809</v>
      </c>
      <c r="C100" s="4" t="str">
        <f t="shared" si="3"/>
        <v>2025-06</v>
      </c>
      <c r="D100" s="3">
        <v>203.92</v>
      </c>
      <c r="E100" s="3">
        <v>141.72</v>
      </c>
      <c r="F100" s="3">
        <v>697.71</v>
      </c>
      <c r="G100" s="3">
        <v>41.55</v>
      </c>
    </row>
    <row r="101" spans="1:7" x14ac:dyDescent="0.2">
      <c r="A101" s="2">
        <v>45813</v>
      </c>
      <c r="B101" s="1">
        <f t="shared" si="2"/>
        <v>45809</v>
      </c>
      <c r="C101" s="4" t="str">
        <f t="shared" si="3"/>
        <v>2025-06</v>
      </c>
      <c r="D101" s="3">
        <v>200.63</v>
      </c>
      <c r="E101" s="3">
        <v>139.99</v>
      </c>
      <c r="F101" s="3">
        <v>684.62</v>
      </c>
      <c r="G101" s="3">
        <v>40.770000000000003</v>
      </c>
    </row>
    <row r="102" spans="1:7" x14ac:dyDescent="0.2">
      <c r="A102" s="2">
        <v>45812</v>
      </c>
      <c r="B102" s="1">
        <f t="shared" si="2"/>
        <v>45809</v>
      </c>
      <c r="C102" s="4" t="str">
        <f t="shared" si="3"/>
        <v>2025-06</v>
      </c>
      <c r="D102" s="3">
        <v>202.82</v>
      </c>
      <c r="E102" s="3">
        <v>141.91999999999999</v>
      </c>
      <c r="F102" s="3">
        <v>687.95</v>
      </c>
      <c r="G102" s="3">
        <v>44.13</v>
      </c>
    </row>
    <row r="103" spans="1:7" x14ac:dyDescent="0.2">
      <c r="A103" s="2">
        <v>45811</v>
      </c>
      <c r="B103" s="1">
        <f t="shared" si="2"/>
        <v>45809</v>
      </c>
      <c r="C103" s="4" t="str">
        <f t="shared" si="3"/>
        <v>2025-06</v>
      </c>
      <c r="D103" s="3">
        <v>203.27</v>
      </c>
      <c r="E103" s="3">
        <v>141.22</v>
      </c>
      <c r="F103" s="3">
        <v>666.85</v>
      </c>
      <c r="G103" s="3">
        <v>43.19</v>
      </c>
    </row>
    <row r="104" spans="1:7" x14ac:dyDescent="0.2">
      <c r="A104" s="2">
        <v>45810</v>
      </c>
      <c r="B104" s="1">
        <f t="shared" si="2"/>
        <v>45809</v>
      </c>
      <c r="C104" s="4" t="str">
        <f t="shared" si="3"/>
        <v>2025-06</v>
      </c>
      <c r="D104" s="3">
        <v>201.7</v>
      </c>
      <c r="E104" s="3">
        <v>137.38</v>
      </c>
      <c r="F104" s="3">
        <v>670.9</v>
      </c>
      <c r="G104" s="3">
        <v>41.2</v>
      </c>
    </row>
    <row r="105" spans="1:7" x14ac:dyDescent="0.2">
      <c r="A105" s="2">
        <v>45807</v>
      </c>
      <c r="B105" s="1">
        <f t="shared" si="2"/>
        <v>45778</v>
      </c>
      <c r="C105" s="4" t="str">
        <f t="shared" si="3"/>
        <v>2025-05</v>
      </c>
      <c r="D105" s="3">
        <v>200.85</v>
      </c>
      <c r="E105" s="3">
        <v>135.13</v>
      </c>
      <c r="F105" s="3">
        <v>647.49</v>
      </c>
      <c r="G105" s="3">
        <v>40.020000000000003</v>
      </c>
    </row>
    <row r="106" spans="1:7" x14ac:dyDescent="0.2">
      <c r="A106" s="2">
        <v>45806</v>
      </c>
      <c r="B106" s="1">
        <f t="shared" si="2"/>
        <v>45778</v>
      </c>
      <c r="C106" s="4" t="str">
        <f t="shared" si="3"/>
        <v>2025-05</v>
      </c>
      <c r="D106" s="3">
        <v>199.95</v>
      </c>
      <c r="E106" s="3">
        <v>139.19</v>
      </c>
      <c r="F106" s="3">
        <v>645.04999999999995</v>
      </c>
      <c r="G106" s="3">
        <v>41.15</v>
      </c>
    </row>
    <row r="107" spans="1:7" x14ac:dyDescent="0.2">
      <c r="A107" s="2">
        <v>45805</v>
      </c>
      <c r="B107" s="1">
        <f t="shared" si="2"/>
        <v>45778</v>
      </c>
      <c r="C107" s="4" t="str">
        <f t="shared" si="3"/>
        <v>2025-05</v>
      </c>
      <c r="D107" s="3">
        <v>200.42</v>
      </c>
      <c r="E107" s="3">
        <v>134.81</v>
      </c>
      <c r="F107" s="3">
        <v>643.58000000000004</v>
      </c>
      <c r="G107" s="3">
        <v>41.96</v>
      </c>
    </row>
    <row r="108" spans="1:7" x14ac:dyDescent="0.2">
      <c r="A108" s="2">
        <v>45804</v>
      </c>
      <c r="B108" s="1">
        <f t="shared" si="2"/>
        <v>45778</v>
      </c>
      <c r="C108" s="4" t="str">
        <f t="shared" si="3"/>
        <v>2025-05</v>
      </c>
      <c r="D108" s="3">
        <v>200.21</v>
      </c>
      <c r="E108" s="3">
        <v>135.5</v>
      </c>
      <c r="F108" s="3">
        <v>642.32000000000005</v>
      </c>
      <c r="G108" s="3">
        <v>41.57</v>
      </c>
    </row>
    <row r="109" spans="1:7" x14ac:dyDescent="0.2">
      <c r="A109" s="2">
        <v>45800</v>
      </c>
      <c r="B109" s="1">
        <f t="shared" si="2"/>
        <v>45778</v>
      </c>
      <c r="C109" s="4" t="str">
        <f t="shared" si="3"/>
        <v>2025-05</v>
      </c>
      <c r="D109" s="3">
        <v>195.27</v>
      </c>
      <c r="E109" s="3">
        <v>131.29</v>
      </c>
      <c r="F109" s="3">
        <v>627.05999999999995</v>
      </c>
      <c r="G109" s="3">
        <v>40.090000000000003</v>
      </c>
    </row>
    <row r="110" spans="1:7" x14ac:dyDescent="0.2">
      <c r="A110" s="2">
        <v>45799</v>
      </c>
      <c r="B110" s="1">
        <f t="shared" si="2"/>
        <v>45778</v>
      </c>
      <c r="C110" s="4" t="str">
        <f t="shared" si="3"/>
        <v>2025-05</v>
      </c>
      <c r="D110" s="3">
        <v>201.36</v>
      </c>
      <c r="E110" s="3">
        <v>132.83000000000001</v>
      </c>
      <c r="F110" s="3">
        <v>636.57000000000005</v>
      </c>
      <c r="G110" s="3">
        <v>41.32</v>
      </c>
    </row>
    <row r="111" spans="1:7" x14ac:dyDescent="0.2">
      <c r="A111" s="2">
        <v>45798</v>
      </c>
      <c r="B111" s="1">
        <f t="shared" si="2"/>
        <v>45778</v>
      </c>
      <c r="C111" s="4" t="str">
        <f t="shared" si="3"/>
        <v>2025-05</v>
      </c>
      <c r="D111" s="3">
        <v>202.09</v>
      </c>
      <c r="E111" s="3">
        <v>131.80000000000001</v>
      </c>
      <c r="F111" s="3">
        <v>635.5</v>
      </c>
      <c r="G111" s="3">
        <v>41.65</v>
      </c>
    </row>
    <row r="112" spans="1:7" x14ac:dyDescent="0.2">
      <c r="A112" s="2">
        <v>45797</v>
      </c>
      <c r="B112" s="1">
        <f t="shared" si="2"/>
        <v>45778</v>
      </c>
      <c r="C112" s="4" t="str">
        <f t="shared" si="3"/>
        <v>2025-05</v>
      </c>
      <c r="D112" s="3">
        <v>206.86</v>
      </c>
      <c r="E112" s="3">
        <v>134.38</v>
      </c>
      <c r="F112" s="3">
        <v>637.1</v>
      </c>
      <c r="G112" s="3">
        <v>42.77</v>
      </c>
    </row>
    <row r="113" spans="1:7" x14ac:dyDescent="0.2">
      <c r="A113" s="2">
        <v>45796</v>
      </c>
      <c r="B113" s="1">
        <f t="shared" si="2"/>
        <v>45778</v>
      </c>
      <c r="C113" s="4" t="str">
        <f t="shared" si="3"/>
        <v>2025-05</v>
      </c>
      <c r="D113" s="3">
        <v>208.78</v>
      </c>
      <c r="E113" s="3">
        <v>135.57</v>
      </c>
      <c r="F113" s="3">
        <v>640.42999999999995</v>
      </c>
      <c r="G113" s="3">
        <v>44.79</v>
      </c>
    </row>
    <row r="114" spans="1:7" x14ac:dyDescent="0.2">
      <c r="A114" s="2">
        <v>45793</v>
      </c>
      <c r="B114" s="1">
        <f t="shared" si="2"/>
        <v>45778</v>
      </c>
      <c r="C114" s="4" t="str">
        <f t="shared" si="3"/>
        <v>2025-05</v>
      </c>
      <c r="D114" s="3">
        <v>211.26</v>
      </c>
      <c r="E114" s="3">
        <v>135.4</v>
      </c>
      <c r="F114" s="3">
        <v>640.34</v>
      </c>
      <c r="G114" s="3">
        <v>46.15</v>
      </c>
    </row>
    <row r="115" spans="1:7" x14ac:dyDescent="0.2">
      <c r="A115" s="2">
        <v>45792</v>
      </c>
      <c r="B115" s="1">
        <f t="shared" si="2"/>
        <v>45778</v>
      </c>
      <c r="C115" s="4" t="str">
        <f t="shared" si="3"/>
        <v>2025-05</v>
      </c>
      <c r="D115" s="3">
        <v>211.45</v>
      </c>
      <c r="E115" s="3">
        <v>134.83000000000001</v>
      </c>
      <c r="F115" s="3">
        <v>643.88</v>
      </c>
      <c r="G115" s="3">
        <v>43.96</v>
      </c>
    </row>
    <row r="116" spans="1:7" x14ac:dyDescent="0.2">
      <c r="A116" s="2">
        <v>45791</v>
      </c>
      <c r="B116" s="1">
        <f t="shared" si="2"/>
        <v>45778</v>
      </c>
      <c r="C116" s="4" t="str">
        <f t="shared" si="3"/>
        <v>2025-05</v>
      </c>
      <c r="D116" s="3">
        <v>212.33</v>
      </c>
      <c r="E116" s="3">
        <v>135.34</v>
      </c>
      <c r="F116" s="3">
        <v>659.36</v>
      </c>
      <c r="G116" s="3">
        <v>45</v>
      </c>
    </row>
    <row r="117" spans="1:7" x14ac:dyDescent="0.2">
      <c r="A117" s="2">
        <v>45790</v>
      </c>
      <c r="B117" s="1">
        <f t="shared" si="2"/>
        <v>45778</v>
      </c>
      <c r="C117" s="4" t="str">
        <f t="shared" si="3"/>
        <v>2025-05</v>
      </c>
      <c r="D117" s="3">
        <v>212.93</v>
      </c>
      <c r="E117" s="3">
        <v>129.93</v>
      </c>
      <c r="F117" s="3">
        <v>656.03</v>
      </c>
      <c r="G117" s="3">
        <v>38.89</v>
      </c>
    </row>
    <row r="118" spans="1:7" x14ac:dyDescent="0.2">
      <c r="A118" s="2">
        <v>45789</v>
      </c>
      <c r="B118" s="1">
        <f t="shared" si="2"/>
        <v>45778</v>
      </c>
      <c r="C118" s="4" t="str">
        <f t="shared" si="3"/>
        <v>2025-05</v>
      </c>
      <c r="D118" s="3">
        <v>210.79</v>
      </c>
      <c r="E118" s="3">
        <v>123</v>
      </c>
      <c r="F118" s="3">
        <v>639.42999999999995</v>
      </c>
      <c r="G118" s="3">
        <v>33.520000000000003</v>
      </c>
    </row>
    <row r="119" spans="1:7" x14ac:dyDescent="0.2">
      <c r="A119" s="2">
        <v>45786</v>
      </c>
      <c r="B119" s="1">
        <f t="shared" si="2"/>
        <v>45778</v>
      </c>
      <c r="C119" s="4" t="str">
        <f t="shared" si="3"/>
        <v>2025-05</v>
      </c>
      <c r="D119" s="3">
        <v>198.53</v>
      </c>
      <c r="E119" s="3">
        <v>116.65</v>
      </c>
      <c r="F119" s="3">
        <v>592.49</v>
      </c>
      <c r="G119" s="3">
        <v>31.99</v>
      </c>
    </row>
    <row r="120" spans="1:7" x14ac:dyDescent="0.2">
      <c r="A120" s="2">
        <v>45785</v>
      </c>
      <c r="B120" s="1">
        <f t="shared" si="2"/>
        <v>45778</v>
      </c>
      <c r="C120" s="4" t="str">
        <f t="shared" si="3"/>
        <v>2025-05</v>
      </c>
      <c r="D120" s="3">
        <v>197.49</v>
      </c>
      <c r="E120" s="3">
        <v>117.37</v>
      </c>
      <c r="F120" s="3">
        <v>598.01</v>
      </c>
      <c r="G120" s="3">
        <v>32.11</v>
      </c>
    </row>
    <row r="121" spans="1:7" x14ac:dyDescent="0.2">
      <c r="A121" s="2">
        <v>45784</v>
      </c>
      <c r="B121" s="1">
        <f t="shared" si="2"/>
        <v>45778</v>
      </c>
      <c r="C121" s="4" t="str">
        <f t="shared" si="3"/>
        <v>2025-05</v>
      </c>
      <c r="D121" s="3">
        <v>196.25</v>
      </c>
      <c r="E121" s="3">
        <v>117.06</v>
      </c>
      <c r="F121" s="3">
        <v>596.80999999999995</v>
      </c>
      <c r="G121" s="3">
        <v>32.479999999999997</v>
      </c>
    </row>
    <row r="122" spans="1:7" x14ac:dyDescent="0.2">
      <c r="A122" s="2">
        <v>45783</v>
      </c>
      <c r="B122" s="1">
        <f t="shared" si="2"/>
        <v>45778</v>
      </c>
      <c r="C122" s="4" t="str">
        <f t="shared" si="3"/>
        <v>2025-05</v>
      </c>
      <c r="D122" s="3">
        <v>198.51</v>
      </c>
      <c r="E122" s="3">
        <v>113.54</v>
      </c>
      <c r="F122" s="3">
        <v>587.30999999999995</v>
      </c>
      <c r="G122" s="3">
        <v>32.94</v>
      </c>
    </row>
    <row r="123" spans="1:7" x14ac:dyDescent="0.2">
      <c r="A123" s="2">
        <v>45782</v>
      </c>
      <c r="B123" s="1">
        <f t="shared" si="2"/>
        <v>45778</v>
      </c>
      <c r="C123" s="4" t="str">
        <f t="shared" si="3"/>
        <v>2025-05</v>
      </c>
      <c r="D123" s="3">
        <v>198.89</v>
      </c>
      <c r="E123" s="3">
        <v>113.82</v>
      </c>
      <c r="F123" s="3">
        <v>599.27</v>
      </c>
      <c r="G123" s="3">
        <v>32.17</v>
      </c>
    </row>
    <row r="124" spans="1:7" x14ac:dyDescent="0.2">
      <c r="A124" s="2">
        <v>45779</v>
      </c>
      <c r="B124" s="1">
        <f t="shared" si="2"/>
        <v>45778</v>
      </c>
      <c r="C124" s="4" t="str">
        <f t="shared" si="3"/>
        <v>2025-05</v>
      </c>
      <c r="D124" s="3">
        <v>205.35</v>
      </c>
      <c r="E124" s="3">
        <v>114.5</v>
      </c>
      <c r="F124" s="3">
        <v>597.02</v>
      </c>
      <c r="G124" s="3">
        <v>33.71</v>
      </c>
    </row>
    <row r="125" spans="1:7" x14ac:dyDescent="0.2">
      <c r="A125" s="2">
        <v>45778</v>
      </c>
      <c r="B125" s="1">
        <f t="shared" si="2"/>
        <v>45778</v>
      </c>
      <c r="C125" s="4" t="str">
        <f t="shared" si="3"/>
        <v>2025-05</v>
      </c>
      <c r="D125" s="3">
        <v>213.32</v>
      </c>
      <c r="E125" s="3">
        <v>111.61</v>
      </c>
      <c r="F125" s="3">
        <v>572.21</v>
      </c>
      <c r="G125" s="3">
        <v>32.729999999999997</v>
      </c>
    </row>
    <row r="126" spans="1:7" x14ac:dyDescent="0.2">
      <c r="A126" s="2">
        <v>45777</v>
      </c>
      <c r="B126" s="1">
        <f t="shared" si="2"/>
        <v>45748</v>
      </c>
      <c r="C126" s="4" t="str">
        <f t="shared" si="3"/>
        <v>2025-04</v>
      </c>
      <c r="D126" s="3">
        <v>212.5</v>
      </c>
      <c r="E126" s="3">
        <v>108.92</v>
      </c>
      <c r="F126" s="3">
        <v>549</v>
      </c>
      <c r="G126" s="3">
        <v>31.86</v>
      </c>
    </row>
    <row r="127" spans="1:7" x14ac:dyDescent="0.2">
      <c r="A127" s="2">
        <v>45776</v>
      </c>
      <c r="B127" s="1">
        <f t="shared" si="2"/>
        <v>45748</v>
      </c>
      <c r="C127" s="4" t="str">
        <f t="shared" si="3"/>
        <v>2025-04</v>
      </c>
      <c r="D127" s="3">
        <v>211.21</v>
      </c>
      <c r="E127" s="3">
        <v>109.02</v>
      </c>
      <c r="F127" s="3">
        <v>554.44000000000005</v>
      </c>
      <c r="G127" s="3">
        <v>36</v>
      </c>
    </row>
    <row r="128" spans="1:7" x14ac:dyDescent="0.2">
      <c r="A128" s="2">
        <v>45775</v>
      </c>
      <c r="B128" s="1">
        <f t="shared" si="2"/>
        <v>45748</v>
      </c>
      <c r="C128" s="4" t="str">
        <f t="shared" si="3"/>
        <v>2025-04</v>
      </c>
      <c r="D128" s="3">
        <v>210.14</v>
      </c>
      <c r="E128" s="3">
        <v>108.73</v>
      </c>
      <c r="F128" s="3">
        <v>549.74</v>
      </c>
      <c r="G128" s="3">
        <v>37.270000000000003</v>
      </c>
    </row>
    <row r="129" spans="1:7" x14ac:dyDescent="0.2">
      <c r="A129" s="2">
        <v>45772</v>
      </c>
      <c r="B129" s="1">
        <f t="shared" si="2"/>
        <v>45748</v>
      </c>
      <c r="C129" s="4" t="str">
        <f t="shared" si="3"/>
        <v>2025-04</v>
      </c>
      <c r="D129" s="3">
        <v>209.28</v>
      </c>
      <c r="E129" s="3">
        <v>111.01</v>
      </c>
      <c r="F129" s="3">
        <v>547.27</v>
      </c>
      <c r="G129" s="3">
        <v>36.47</v>
      </c>
    </row>
    <row r="130" spans="1:7" x14ac:dyDescent="0.2">
      <c r="A130" s="2">
        <v>45771</v>
      </c>
      <c r="B130" s="1">
        <f t="shared" si="2"/>
        <v>45748</v>
      </c>
      <c r="C130" s="4" t="str">
        <f t="shared" si="3"/>
        <v>2025-04</v>
      </c>
      <c r="D130" s="3">
        <v>208.37</v>
      </c>
      <c r="E130" s="3">
        <v>106.43</v>
      </c>
      <c r="F130" s="3">
        <v>533.15</v>
      </c>
      <c r="G130" s="3">
        <v>35.81</v>
      </c>
    </row>
    <row r="131" spans="1:7" x14ac:dyDescent="0.2">
      <c r="A131" s="2">
        <v>45770</v>
      </c>
      <c r="B131" s="1">
        <f t="shared" ref="B131:B194" si="4">EOMONTH(A131, -1)+1</f>
        <v>45748</v>
      </c>
      <c r="C131" s="4" t="str">
        <f t="shared" ref="C131:C194" si="5">TEXT(A131, "yyyy-mm")</f>
        <v>2025-04</v>
      </c>
      <c r="D131" s="3">
        <v>204.6</v>
      </c>
      <c r="E131" s="3">
        <v>102.71</v>
      </c>
      <c r="F131" s="3">
        <v>520.27</v>
      </c>
      <c r="G131" s="3">
        <v>32.9</v>
      </c>
    </row>
    <row r="132" spans="1:7" x14ac:dyDescent="0.2">
      <c r="A132" s="2">
        <v>45769</v>
      </c>
      <c r="B132" s="1">
        <f t="shared" si="4"/>
        <v>45748</v>
      </c>
      <c r="C132" s="4" t="str">
        <f t="shared" si="5"/>
        <v>2025-04</v>
      </c>
      <c r="D132" s="3">
        <v>199.74</v>
      </c>
      <c r="E132" s="3">
        <v>98.89</v>
      </c>
      <c r="F132" s="3">
        <v>500.28</v>
      </c>
      <c r="G132" s="3">
        <v>30.58</v>
      </c>
    </row>
    <row r="133" spans="1:7" x14ac:dyDescent="0.2">
      <c r="A133" s="2">
        <v>45768</v>
      </c>
      <c r="B133" s="1">
        <f t="shared" si="4"/>
        <v>45748</v>
      </c>
      <c r="C133" s="4" t="str">
        <f t="shared" si="5"/>
        <v>2025-04</v>
      </c>
      <c r="D133" s="3">
        <v>193.16</v>
      </c>
      <c r="E133" s="3">
        <v>96.91</v>
      </c>
      <c r="F133" s="3">
        <v>484.66</v>
      </c>
      <c r="G133" s="3">
        <v>29.51</v>
      </c>
    </row>
    <row r="134" spans="1:7" x14ac:dyDescent="0.2">
      <c r="A134" s="2">
        <v>45764</v>
      </c>
      <c r="B134" s="1">
        <f t="shared" si="4"/>
        <v>45748</v>
      </c>
      <c r="C134" s="4" t="str">
        <f t="shared" si="5"/>
        <v>2025-04</v>
      </c>
      <c r="D134" s="3">
        <v>196.98</v>
      </c>
      <c r="E134" s="3">
        <v>101.49</v>
      </c>
      <c r="F134" s="3">
        <v>501.48</v>
      </c>
      <c r="G134" s="3">
        <v>31.51</v>
      </c>
    </row>
    <row r="135" spans="1:7" x14ac:dyDescent="0.2">
      <c r="A135" s="2">
        <v>45763</v>
      </c>
      <c r="B135" s="1">
        <f t="shared" si="4"/>
        <v>45748</v>
      </c>
      <c r="C135" s="4" t="str">
        <f t="shared" si="5"/>
        <v>2025-04</v>
      </c>
      <c r="D135" s="3">
        <v>194.27</v>
      </c>
      <c r="E135" s="3">
        <v>104.49</v>
      </c>
      <c r="F135" s="3">
        <v>502.31</v>
      </c>
      <c r="G135" s="3">
        <v>31.89</v>
      </c>
    </row>
    <row r="136" spans="1:7" x14ac:dyDescent="0.2">
      <c r="A136" s="2">
        <v>45762</v>
      </c>
      <c r="B136" s="1">
        <f t="shared" si="4"/>
        <v>45748</v>
      </c>
      <c r="C136" s="4" t="str">
        <f t="shared" si="5"/>
        <v>2025-04</v>
      </c>
      <c r="D136" s="3">
        <v>202.14</v>
      </c>
      <c r="E136" s="3">
        <v>112.2</v>
      </c>
      <c r="F136" s="3">
        <v>521.52</v>
      </c>
      <c r="G136" s="3">
        <v>33.479999999999997</v>
      </c>
    </row>
    <row r="137" spans="1:7" x14ac:dyDescent="0.2">
      <c r="A137" s="2">
        <v>45761</v>
      </c>
      <c r="B137" s="1">
        <f t="shared" si="4"/>
        <v>45748</v>
      </c>
      <c r="C137" s="4" t="str">
        <f t="shared" si="5"/>
        <v>2025-04</v>
      </c>
      <c r="D137" s="3">
        <v>202.52</v>
      </c>
      <c r="E137" s="3">
        <v>110.71</v>
      </c>
      <c r="F137" s="3">
        <v>531.48</v>
      </c>
      <c r="G137" s="3">
        <v>33.119999999999997</v>
      </c>
    </row>
    <row r="138" spans="1:7" x14ac:dyDescent="0.2">
      <c r="A138" s="2">
        <v>45758</v>
      </c>
      <c r="B138" s="1">
        <f t="shared" si="4"/>
        <v>45748</v>
      </c>
      <c r="C138" s="4" t="str">
        <f t="shared" si="5"/>
        <v>2025-04</v>
      </c>
      <c r="D138" s="3">
        <v>198.15</v>
      </c>
      <c r="E138" s="3">
        <v>110.93</v>
      </c>
      <c r="F138" s="3">
        <v>543.57000000000005</v>
      </c>
      <c r="G138" s="3">
        <v>33.15</v>
      </c>
    </row>
    <row r="139" spans="1:7" x14ac:dyDescent="0.2">
      <c r="A139" s="2">
        <v>45757</v>
      </c>
      <c r="B139" s="1">
        <f t="shared" si="4"/>
        <v>45748</v>
      </c>
      <c r="C139" s="4" t="str">
        <f t="shared" si="5"/>
        <v>2025-04</v>
      </c>
      <c r="D139" s="3">
        <v>190.42</v>
      </c>
      <c r="E139" s="3">
        <v>107.57</v>
      </c>
      <c r="F139" s="3">
        <v>546.29</v>
      </c>
      <c r="G139" s="3">
        <v>33.68</v>
      </c>
    </row>
    <row r="140" spans="1:7" x14ac:dyDescent="0.2">
      <c r="A140" s="2">
        <v>45756</v>
      </c>
      <c r="B140" s="1">
        <f t="shared" si="4"/>
        <v>45748</v>
      </c>
      <c r="C140" s="4" t="str">
        <f t="shared" si="5"/>
        <v>2025-04</v>
      </c>
      <c r="D140" s="3">
        <v>198.85</v>
      </c>
      <c r="E140" s="3">
        <v>114.33</v>
      </c>
      <c r="F140" s="3">
        <v>585.77</v>
      </c>
      <c r="G140" s="3">
        <v>36.71</v>
      </c>
    </row>
    <row r="141" spans="1:7" x14ac:dyDescent="0.2">
      <c r="A141" s="2">
        <v>45755</v>
      </c>
      <c r="B141" s="1">
        <f t="shared" si="4"/>
        <v>45748</v>
      </c>
      <c r="C141" s="4" t="str">
        <f t="shared" si="5"/>
        <v>2025-04</v>
      </c>
      <c r="D141" s="3">
        <v>172.42</v>
      </c>
      <c r="E141" s="3">
        <v>96.3</v>
      </c>
      <c r="F141" s="3">
        <v>510.45</v>
      </c>
      <c r="G141" s="3">
        <v>31.71</v>
      </c>
    </row>
    <row r="142" spans="1:7" x14ac:dyDescent="0.2">
      <c r="A142" s="2">
        <v>45754</v>
      </c>
      <c r="B142" s="1">
        <f t="shared" si="4"/>
        <v>45748</v>
      </c>
      <c r="C142" s="4" t="str">
        <f t="shared" si="5"/>
        <v>2025-04</v>
      </c>
      <c r="D142" s="3">
        <v>181.46</v>
      </c>
      <c r="E142" s="3">
        <v>97.64</v>
      </c>
      <c r="F142" s="3">
        <v>516.25</v>
      </c>
      <c r="G142" s="3">
        <v>33</v>
      </c>
    </row>
    <row r="143" spans="1:7" x14ac:dyDescent="0.2">
      <c r="A143" s="2">
        <v>45751</v>
      </c>
      <c r="B143" s="1">
        <f t="shared" si="4"/>
        <v>45748</v>
      </c>
      <c r="C143" s="4" t="str">
        <f t="shared" si="5"/>
        <v>2025-04</v>
      </c>
      <c r="D143" s="3">
        <v>188.38</v>
      </c>
      <c r="E143" s="3">
        <v>94.31</v>
      </c>
      <c r="F143" s="3">
        <v>504.73</v>
      </c>
      <c r="G143" s="3">
        <v>29.82</v>
      </c>
    </row>
    <row r="144" spans="1:7" x14ac:dyDescent="0.2">
      <c r="A144" s="2">
        <v>45750</v>
      </c>
      <c r="B144" s="1">
        <f t="shared" si="4"/>
        <v>45748</v>
      </c>
      <c r="C144" s="4" t="str">
        <f t="shared" si="5"/>
        <v>2025-04</v>
      </c>
      <c r="D144" s="3">
        <v>203.19</v>
      </c>
      <c r="E144" s="3">
        <v>101.8</v>
      </c>
      <c r="F144" s="3">
        <v>531.62</v>
      </c>
      <c r="G144" s="3">
        <v>32.32</v>
      </c>
    </row>
    <row r="145" spans="1:7" x14ac:dyDescent="0.2">
      <c r="A145" s="2">
        <v>45749</v>
      </c>
      <c r="B145" s="1">
        <f t="shared" si="4"/>
        <v>45748</v>
      </c>
      <c r="C145" s="4" t="str">
        <f t="shared" si="5"/>
        <v>2025-04</v>
      </c>
      <c r="D145" s="3">
        <v>223.89</v>
      </c>
      <c r="E145" s="3">
        <v>110.42</v>
      </c>
      <c r="F145" s="3">
        <v>583.92999999999995</v>
      </c>
      <c r="G145" s="3">
        <v>35.090000000000003</v>
      </c>
    </row>
    <row r="146" spans="1:7" x14ac:dyDescent="0.2">
      <c r="A146" s="2">
        <v>45748</v>
      </c>
      <c r="B146" s="1">
        <f t="shared" si="4"/>
        <v>45748</v>
      </c>
      <c r="C146" s="4" t="str">
        <f t="shared" si="5"/>
        <v>2025-04</v>
      </c>
      <c r="D146" s="3">
        <v>223.19</v>
      </c>
      <c r="E146" s="3">
        <v>110.15</v>
      </c>
      <c r="F146" s="3">
        <v>586</v>
      </c>
      <c r="G146" s="3">
        <v>35.049999999999997</v>
      </c>
    </row>
    <row r="147" spans="1:7" x14ac:dyDescent="0.2">
      <c r="A147" s="2">
        <v>45747</v>
      </c>
      <c r="B147" s="1">
        <f t="shared" si="4"/>
        <v>45717</v>
      </c>
      <c r="C147" s="4" t="str">
        <f t="shared" si="5"/>
        <v>2025-03</v>
      </c>
      <c r="D147" s="3">
        <v>222.13</v>
      </c>
      <c r="E147" s="3">
        <v>108.38</v>
      </c>
      <c r="F147" s="3">
        <v>576.36</v>
      </c>
      <c r="G147" s="3">
        <v>34.24</v>
      </c>
    </row>
    <row r="148" spans="1:7" x14ac:dyDescent="0.2">
      <c r="A148" s="2">
        <v>45744</v>
      </c>
      <c r="B148" s="1">
        <f t="shared" si="4"/>
        <v>45717</v>
      </c>
      <c r="C148" s="4" t="str">
        <f t="shared" si="5"/>
        <v>2025-03</v>
      </c>
      <c r="D148" s="3">
        <v>217.9</v>
      </c>
      <c r="E148" s="3">
        <v>109.67</v>
      </c>
      <c r="F148" s="3">
        <v>576.74</v>
      </c>
      <c r="G148" s="3">
        <v>34.26</v>
      </c>
    </row>
    <row r="149" spans="1:7" x14ac:dyDescent="0.2">
      <c r="A149" s="2">
        <v>45743</v>
      </c>
      <c r="B149" s="1">
        <f t="shared" si="4"/>
        <v>45717</v>
      </c>
      <c r="C149" s="4" t="str">
        <f t="shared" si="5"/>
        <v>2025-03</v>
      </c>
      <c r="D149" s="3">
        <v>223.85</v>
      </c>
      <c r="E149" s="3">
        <v>111.43</v>
      </c>
      <c r="F149" s="3">
        <v>602.58000000000004</v>
      </c>
      <c r="G149" s="3">
        <v>34.72</v>
      </c>
    </row>
    <row r="150" spans="1:7" x14ac:dyDescent="0.2">
      <c r="A150" s="2">
        <v>45742</v>
      </c>
      <c r="B150" s="1">
        <f t="shared" si="4"/>
        <v>45717</v>
      </c>
      <c r="C150" s="4" t="str">
        <f t="shared" si="5"/>
        <v>2025-03</v>
      </c>
      <c r="D150" s="3">
        <v>221.53</v>
      </c>
      <c r="E150" s="3">
        <v>113.76</v>
      </c>
      <c r="F150" s="3">
        <v>610.98</v>
      </c>
      <c r="G150" s="3">
        <v>37.04</v>
      </c>
    </row>
    <row r="151" spans="1:7" x14ac:dyDescent="0.2">
      <c r="A151" s="2">
        <v>45741</v>
      </c>
      <c r="B151" s="1">
        <f t="shared" si="4"/>
        <v>45717</v>
      </c>
      <c r="C151" s="4" t="str">
        <f t="shared" si="5"/>
        <v>2025-03</v>
      </c>
      <c r="D151" s="3">
        <v>223.75</v>
      </c>
      <c r="E151" s="3">
        <v>120.69</v>
      </c>
      <c r="F151" s="3">
        <v>626.30999999999995</v>
      </c>
      <c r="G151" s="3">
        <v>40.64</v>
      </c>
    </row>
    <row r="152" spans="1:7" x14ac:dyDescent="0.2">
      <c r="A152" s="2">
        <v>45740</v>
      </c>
      <c r="B152" s="1">
        <f t="shared" si="4"/>
        <v>45717</v>
      </c>
      <c r="C152" s="4" t="str">
        <f t="shared" si="5"/>
        <v>2025-03</v>
      </c>
      <c r="D152" s="3">
        <v>220.73</v>
      </c>
      <c r="E152" s="3">
        <v>121.41</v>
      </c>
      <c r="F152" s="3">
        <v>618.85</v>
      </c>
      <c r="G152" s="3">
        <v>41.72</v>
      </c>
    </row>
    <row r="153" spans="1:7" x14ac:dyDescent="0.2">
      <c r="A153" s="2">
        <v>45737</v>
      </c>
      <c r="B153" s="1">
        <f t="shared" si="4"/>
        <v>45717</v>
      </c>
      <c r="C153" s="4" t="str">
        <f t="shared" si="5"/>
        <v>2025-03</v>
      </c>
      <c r="D153" s="3">
        <v>218.27</v>
      </c>
      <c r="E153" s="3">
        <v>117.7</v>
      </c>
      <c r="F153" s="3">
        <v>596.25</v>
      </c>
      <c r="G153" s="3">
        <v>42.15</v>
      </c>
    </row>
    <row r="154" spans="1:7" x14ac:dyDescent="0.2">
      <c r="A154" s="2">
        <v>45736</v>
      </c>
      <c r="B154" s="1">
        <f t="shared" si="4"/>
        <v>45717</v>
      </c>
      <c r="C154" s="4" t="str">
        <f t="shared" si="5"/>
        <v>2025-03</v>
      </c>
      <c r="D154" s="3">
        <v>214.1</v>
      </c>
      <c r="E154" s="3">
        <v>118.53</v>
      </c>
      <c r="F154" s="3">
        <v>586</v>
      </c>
      <c r="G154" s="3">
        <v>39.1</v>
      </c>
    </row>
    <row r="155" spans="1:7" x14ac:dyDescent="0.2">
      <c r="A155" s="2">
        <v>45735</v>
      </c>
      <c r="B155" s="1">
        <f t="shared" si="4"/>
        <v>45717</v>
      </c>
      <c r="C155" s="4" t="str">
        <f t="shared" si="5"/>
        <v>2025-03</v>
      </c>
      <c r="D155" s="3">
        <v>215.24</v>
      </c>
      <c r="E155" s="3">
        <v>117.52</v>
      </c>
      <c r="F155" s="3">
        <v>584.05999999999995</v>
      </c>
      <c r="G155" s="3">
        <v>40.1</v>
      </c>
    </row>
    <row r="156" spans="1:7" x14ac:dyDescent="0.2">
      <c r="A156" s="2">
        <v>45734</v>
      </c>
      <c r="B156" s="1">
        <f t="shared" si="4"/>
        <v>45717</v>
      </c>
      <c r="C156" s="4" t="str">
        <f t="shared" si="5"/>
        <v>2025-03</v>
      </c>
      <c r="D156" s="3">
        <v>212.69</v>
      </c>
      <c r="E156" s="3">
        <v>115.43</v>
      </c>
      <c r="F156" s="3">
        <v>582.36</v>
      </c>
      <c r="G156" s="3">
        <v>37.9</v>
      </c>
    </row>
    <row r="157" spans="1:7" x14ac:dyDescent="0.2">
      <c r="A157" s="2">
        <v>45733</v>
      </c>
      <c r="B157" s="1">
        <f t="shared" si="4"/>
        <v>45717</v>
      </c>
      <c r="C157" s="4" t="str">
        <f t="shared" si="5"/>
        <v>2025-03</v>
      </c>
      <c r="D157" s="3">
        <v>214</v>
      </c>
      <c r="E157" s="3">
        <v>119.53</v>
      </c>
      <c r="F157" s="3">
        <v>604.9</v>
      </c>
      <c r="G157" s="3">
        <v>41.94</v>
      </c>
    </row>
    <row r="158" spans="1:7" x14ac:dyDescent="0.2">
      <c r="A158" s="2">
        <v>45730</v>
      </c>
      <c r="B158" s="1">
        <f t="shared" si="4"/>
        <v>45717</v>
      </c>
      <c r="C158" s="4" t="str">
        <f t="shared" si="5"/>
        <v>2025-03</v>
      </c>
      <c r="D158" s="3">
        <v>213.49</v>
      </c>
      <c r="E158" s="3">
        <v>121.67</v>
      </c>
      <c r="F158" s="3">
        <v>607.6</v>
      </c>
      <c r="G158" s="3">
        <v>42.17</v>
      </c>
    </row>
    <row r="159" spans="1:7" x14ac:dyDescent="0.2">
      <c r="A159" s="2">
        <v>45729</v>
      </c>
      <c r="B159" s="1">
        <f t="shared" si="4"/>
        <v>45717</v>
      </c>
      <c r="C159" s="4" t="str">
        <f t="shared" si="5"/>
        <v>2025-03</v>
      </c>
      <c r="D159" s="3">
        <v>209.68</v>
      </c>
      <c r="E159" s="3">
        <v>115.58</v>
      </c>
      <c r="F159" s="3">
        <v>590.64</v>
      </c>
      <c r="G159" s="3">
        <v>39.08</v>
      </c>
    </row>
    <row r="160" spans="1:7" x14ac:dyDescent="0.2">
      <c r="A160" s="2">
        <v>45728</v>
      </c>
      <c r="B160" s="1">
        <f t="shared" si="4"/>
        <v>45717</v>
      </c>
      <c r="C160" s="4" t="str">
        <f t="shared" si="5"/>
        <v>2025-03</v>
      </c>
      <c r="D160" s="3">
        <v>216.98</v>
      </c>
      <c r="E160" s="3">
        <v>115.74</v>
      </c>
      <c r="F160" s="3">
        <v>619.55999999999995</v>
      </c>
      <c r="G160" s="3">
        <v>42.47</v>
      </c>
    </row>
    <row r="161" spans="1:7" x14ac:dyDescent="0.2">
      <c r="A161" s="2">
        <v>45727</v>
      </c>
      <c r="B161" s="1">
        <f t="shared" si="4"/>
        <v>45717</v>
      </c>
      <c r="C161" s="4" t="str">
        <f t="shared" si="5"/>
        <v>2025-03</v>
      </c>
      <c r="D161" s="3">
        <v>220.84</v>
      </c>
      <c r="E161" s="3">
        <v>108.76</v>
      </c>
      <c r="F161" s="3">
        <v>605.71</v>
      </c>
      <c r="G161" s="3">
        <v>40.840000000000003</v>
      </c>
    </row>
    <row r="162" spans="1:7" x14ac:dyDescent="0.2">
      <c r="A162" s="2">
        <v>45726</v>
      </c>
      <c r="B162" s="1">
        <f t="shared" si="4"/>
        <v>45717</v>
      </c>
      <c r="C162" s="4" t="str">
        <f t="shared" si="5"/>
        <v>2025-03</v>
      </c>
      <c r="D162" s="3">
        <v>227.48</v>
      </c>
      <c r="E162" s="3">
        <v>106.98</v>
      </c>
      <c r="F162" s="3">
        <v>597.99</v>
      </c>
      <c r="G162" s="3">
        <v>36.9</v>
      </c>
    </row>
    <row r="163" spans="1:7" x14ac:dyDescent="0.2">
      <c r="A163" s="2">
        <v>45723</v>
      </c>
      <c r="B163" s="1">
        <f t="shared" si="4"/>
        <v>45717</v>
      </c>
      <c r="C163" s="4" t="str">
        <f t="shared" si="5"/>
        <v>2025-03</v>
      </c>
      <c r="D163" s="3">
        <v>239.07</v>
      </c>
      <c r="E163" s="3">
        <v>112.69</v>
      </c>
      <c r="F163" s="3">
        <v>625.66</v>
      </c>
      <c r="G163" s="3">
        <v>38.24</v>
      </c>
    </row>
    <row r="164" spans="1:7" x14ac:dyDescent="0.2">
      <c r="A164" s="2">
        <v>45722</v>
      </c>
      <c r="B164" s="1">
        <f t="shared" si="4"/>
        <v>45717</v>
      </c>
      <c r="C164" s="4" t="str">
        <f t="shared" si="5"/>
        <v>2025-03</v>
      </c>
      <c r="D164" s="3">
        <v>235.33</v>
      </c>
      <c r="E164" s="3">
        <v>110.57</v>
      </c>
      <c r="F164" s="3">
        <v>627.92999999999995</v>
      </c>
      <c r="G164" s="3">
        <v>37.049999999999997</v>
      </c>
    </row>
    <row r="165" spans="1:7" x14ac:dyDescent="0.2">
      <c r="A165" s="2">
        <v>45721</v>
      </c>
      <c r="B165" s="1">
        <f t="shared" si="4"/>
        <v>45717</v>
      </c>
      <c r="C165" s="4" t="str">
        <f t="shared" si="5"/>
        <v>2025-03</v>
      </c>
      <c r="D165" s="3">
        <v>235.74</v>
      </c>
      <c r="E165" s="3">
        <v>117.3</v>
      </c>
      <c r="F165" s="3">
        <v>656.47</v>
      </c>
      <c r="G165" s="3">
        <v>38.9</v>
      </c>
    </row>
    <row r="166" spans="1:7" x14ac:dyDescent="0.2">
      <c r="A166" s="2">
        <v>45720</v>
      </c>
      <c r="B166" s="1">
        <f t="shared" si="4"/>
        <v>45717</v>
      </c>
      <c r="C166" s="4" t="str">
        <f t="shared" si="5"/>
        <v>2025-03</v>
      </c>
      <c r="D166" s="3">
        <v>235.93</v>
      </c>
      <c r="E166" s="3">
        <v>115.99</v>
      </c>
      <c r="F166" s="3">
        <v>640</v>
      </c>
      <c r="G166" s="3">
        <v>39.14</v>
      </c>
    </row>
    <row r="167" spans="1:7" x14ac:dyDescent="0.2">
      <c r="A167" s="2">
        <v>45719</v>
      </c>
      <c r="B167" s="1">
        <f t="shared" si="4"/>
        <v>45717</v>
      </c>
      <c r="C167" s="4" t="str">
        <f t="shared" si="5"/>
        <v>2025-03</v>
      </c>
      <c r="D167" s="3">
        <v>238.03</v>
      </c>
      <c r="E167" s="3">
        <v>114.06</v>
      </c>
      <c r="F167" s="3">
        <v>655.04999999999995</v>
      </c>
      <c r="G167" s="3">
        <v>36.07</v>
      </c>
    </row>
    <row r="168" spans="1:7" x14ac:dyDescent="0.2">
      <c r="A168" s="2">
        <v>45716</v>
      </c>
      <c r="B168" s="1">
        <f t="shared" si="4"/>
        <v>45689</v>
      </c>
      <c r="C168" s="4" t="str">
        <f t="shared" si="5"/>
        <v>2025-02</v>
      </c>
      <c r="D168" s="3">
        <v>241.84</v>
      </c>
      <c r="E168" s="3">
        <v>124.92</v>
      </c>
      <c r="F168" s="3">
        <v>668.2</v>
      </c>
      <c r="G168" s="3">
        <v>41.46</v>
      </c>
    </row>
    <row r="169" spans="1:7" x14ac:dyDescent="0.2">
      <c r="A169" s="2">
        <v>45715</v>
      </c>
      <c r="B169" s="1">
        <f t="shared" si="4"/>
        <v>45689</v>
      </c>
      <c r="C169" s="4" t="str">
        <f t="shared" si="5"/>
        <v>2025-02</v>
      </c>
      <c r="D169" s="3">
        <v>237.3</v>
      </c>
      <c r="E169" s="3">
        <v>120.15</v>
      </c>
      <c r="F169" s="3">
        <v>658.24</v>
      </c>
      <c r="G169" s="3">
        <v>42.95</v>
      </c>
    </row>
    <row r="170" spans="1:7" x14ac:dyDescent="0.2">
      <c r="A170" s="2">
        <v>45714</v>
      </c>
      <c r="B170" s="1">
        <f t="shared" si="4"/>
        <v>45689</v>
      </c>
      <c r="C170" s="4" t="str">
        <f t="shared" si="5"/>
        <v>2025-02</v>
      </c>
      <c r="D170" s="3">
        <v>240.36</v>
      </c>
      <c r="E170" s="3">
        <v>131.28</v>
      </c>
      <c r="F170" s="3">
        <v>673.7</v>
      </c>
      <c r="G170" s="3">
        <v>51.11</v>
      </c>
    </row>
    <row r="171" spans="1:7" x14ac:dyDescent="0.2">
      <c r="A171" s="2">
        <v>45713</v>
      </c>
      <c r="B171" s="1">
        <f t="shared" si="4"/>
        <v>45689</v>
      </c>
      <c r="C171" s="4" t="str">
        <f t="shared" si="5"/>
        <v>2025-02</v>
      </c>
      <c r="D171" s="3">
        <v>247.04</v>
      </c>
      <c r="E171" s="3">
        <v>126.63</v>
      </c>
      <c r="F171" s="3">
        <v>657.5</v>
      </c>
      <c r="G171" s="3">
        <v>45.54</v>
      </c>
    </row>
    <row r="172" spans="1:7" x14ac:dyDescent="0.2">
      <c r="A172" s="2">
        <v>45712</v>
      </c>
      <c r="B172" s="1">
        <f t="shared" si="4"/>
        <v>45689</v>
      </c>
      <c r="C172" s="4" t="str">
        <f t="shared" si="5"/>
        <v>2025-02</v>
      </c>
      <c r="D172" s="3">
        <v>247.1</v>
      </c>
      <c r="E172" s="3">
        <v>130.28</v>
      </c>
      <c r="F172" s="3">
        <v>668.13</v>
      </c>
      <c r="G172" s="3">
        <v>51.61</v>
      </c>
    </row>
    <row r="173" spans="1:7" x14ac:dyDescent="0.2">
      <c r="A173" s="2">
        <v>45709</v>
      </c>
      <c r="B173" s="1">
        <f t="shared" si="4"/>
        <v>45689</v>
      </c>
      <c r="C173" s="4" t="str">
        <f t="shared" si="5"/>
        <v>2025-02</v>
      </c>
      <c r="D173" s="3">
        <v>245.55</v>
      </c>
      <c r="E173" s="3">
        <v>134.43</v>
      </c>
      <c r="F173" s="3">
        <v>683.55</v>
      </c>
      <c r="G173" s="3">
        <v>56.07</v>
      </c>
    </row>
    <row r="174" spans="1:7" x14ac:dyDescent="0.2">
      <c r="A174" s="2">
        <v>45708</v>
      </c>
      <c r="B174" s="1">
        <f t="shared" si="4"/>
        <v>45689</v>
      </c>
      <c r="C174" s="4" t="str">
        <f t="shared" si="5"/>
        <v>2025-02</v>
      </c>
      <c r="D174" s="3">
        <v>245.83</v>
      </c>
      <c r="E174" s="3">
        <v>140.11000000000001</v>
      </c>
      <c r="F174" s="3">
        <v>694.84</v>
      </c>
      <c r="G174" s="3">
        <v>59.27</v>
      </c>
    </row>
    <row r="175" spans="1:7" x14ac:dyDescent="0.2">
      <c r="A175" s="2">
        <v>45707</v>
      </c>
      <c r="B175" s="1">
        <f t="shared" si="4"/>
        <v>45689</v>
      </c>
      <c r="C175" s="4" t="str">
        <f t="shared" si="5"/>
        <v>2025-02</v>
      </c>
      <c r="D175" s="3">
        <v>244.87</v>
      </c>
      <c r="E175" s="3">
        <v>139.22999999999999</v>
      </c>
      <c r="F175" s="3">
        <v>703.77</v>
      </c>
      <c r="G175" s="3">
        <v>60.25</v>
      </c>
    </row>
    <row r="176" spans="1:7" x14ac:dyDescent="0.2">
      <c r="A176" s="2">
        <v>45706</v>
      </c>
      <c r="B176" s="1">
        <f t="shared" si="4"/>
        <v>45689</v>
      </c>
      <c r="C176" s="4" t="str">
        <f t="shared" si="5"/>
        <v>2025-02</v>
      </c>
      <c r="D176" s="3">
        <v>244.47</v>
      </c>
      <c r="E176" s="3">
        <v>139.4</v>
      </c>
      <c r="F176" s="3">
        <v>716.37</v>
      </c>
      <c r="G176" s="3">
        <v>55.8</v>
      </c>
    </row>
    <row r="177" spans="1:7" x14ac:dyDescent="0.2">
      <c r="A177" s="2">
        <v>45702</v>
      </c>
      <c r="B177" s="1">
        <f t="shared" si="4"/>
        <v>45689</v>
      </c>
      <c r="C177" s="4" t="str">
        <f t="shared" si="5"/>
        <v>2025-02</v>
      </c>
      <c r="D177" s="3">
        <v>244.6</v>
      </c>
      <c r="E177" s="3">
        <v>138.85</v>
      </c>
      <c r="F177" s="3">
        <v>736.67</v>
      </c>
      <c r="G177" s="3">
        <v>47.91</v>
      </c>
    </row>
    <row r="178" spans="1:7" x14ac:dyDescent="0.2">
      <c r="A178" s="2">
        <v>45701</v>
      </c>
      <c r="B178" s="1">
        <f t="shared" si="4"/>
        <v>45689</v>
      </c>
      <c r="C178" s="4" t="str">
        <f t="shared" si="5"/>
        <v>2025-02</v>
      </c>
      <c r="D178" s="3">
        <v>241.53</v>
      </c>
      <c r="E178" s="3">
        <v>135.29</v>
      </c>
      <c r="F178" s="3">
        <v>728.56</v>
      </c>
      <c r="G178" s="3">
        <v>42.28</v>
      </c>
    </row>
    <row r="179" spans="1:7" x14ac:dyDescent="0.2">
      <c r="A179" s="2">
        <v>45700</v>
      </c>
      <c r="B179" s="1">
        <f t="shared" si="4"/>
        <v>45689</v>
      </c>
      <c r="C179" s="4" t="str">
        <f t="shared" si="5"/>
        <v>2025-02</v>
      </c>
      <c r="D179" s="3">
        <v>236.87</v>
      </c>
      <c r="E179" s="3">
        <v>131.13999999999999</v>
      </c>
      <c r="F179" s="3">
        <v>725.38</v>
      </c>
      <c r="G179" s="3">
        <v>39.68</v>
      </c>
    </row>
    <row r="180" spans="1:7" x14ac:dyDescent="0.2">
      <c r="A180" s="2">
        <v>45699</v>
      </c>
      <c r="B180" s="1">
        <f t="shared" si="4"/>
        <v>45689</v>
      </c>
      <c r="C180" s="4" t="str">
        <f t="shared" si="5"/>
        <v>2025-02</v>
      </c>
      <c r="D180" s="3">
        <v>232.62</v>
      </c>
      <c r="E180" s="3">
        <v>132.80000000000001</v>
      </c>
      <c r="F180" s="3">
        <v>719.8</v>
      </c>
      <c r="G180" s="3">
        <v>38.61</v>
      </c>
    </row>
    <row r="181" spans="1:7" x14ac:dyDescent="0.2">
      <c r="A181" s="2">
        <v>45698</v>
      </c>
      <c r="B181" s="1">
        <f t="shared" si="4"/>
        <v>45689</v>
      </c>
      <c r="C181" s="4" t="str">
        <f t="shared" si="5"/>
        <v>2025-02</v>
      </c>
      <c r="D181" s="3">
        <v>227.65</v>
      </c>
      <c r="E181" s="3">
        <v>133.57</v>
      </c>
      <c r="F181" s="3">
        <v>717.4</v>
      </c>
      <c r="G181" s="3">
        <v>42.65</v>
      </c>
    </row>
    <row r="182" spans="1:7" x14ac:dyDescent="0.2">
      <c r="A182" s="2">
        <v>45695</v>
      </c>
      <c r="B182" s="1">
        <f t="shared" si="4"/>
        <v>45689</v>
      </c>
      <c r="C182" s="4" t="str">
        <f t="shared" si="5"/>
        <v>2025-02</v>
      </c>
      <c r="D182" s="3">
        <v>227.63</v>
      </c>
      <c r="E182" s="3">
        <v>129.84</v>
      </c>
      <c r="F182" s="3">
        <v>714.52</v>
      </c>
      <c r="G182" s="3">
        <v>36.28</v>
      </c>
    </row>
    <row r="183" spans="1:7" x14ac:dyDescent="0.2">
      <c r="A183" s="2">
        <v>45694</v>
      </c>
      <c r="B183" s="1">
        <f t="shared" si="4"/>
        <v>45689</v>
      </c>
      <c r="C183" s="4" t="str">
        <f t="shared" si="5"/>
        <v>2025-02</v>
      </c>
      <c r="D183" s="3">
        <v>233.22</v>
      </c>
      <c r="E183" s="3">
        <v>128.68</v>
      </c>
      <c r="F183" s="3">
        <v>711.99</v>
      </c>
      <c r="G183" s="3">
        <v>33.840000000000003</v>
      </c>
    </row>
    <row r="184" spans="1:7" x14ac:dyDescent="0.2">
      <c r="A184" s="2">
        <v>45693</v>
      </c>
      <c r="B184" s="1">
        <f t="shared" si="4"/>
        <v>45689</v>
      </c>
      <c r="C184" s="4" t="str">
        <f t="shared" si="5"/>
        <v>2025-02</v>
      </c>
      <c r="D184" s="3">
        <v>232.47</v>
      </c>
      <c r="E184" s="3">
        <v>124.83</v>
      </c>
      <c r="F184" s="3">
        <v>704.87</v>
      </c>
      <c r="G184" s="3">
        <v>31.49</v>
      </c>
    </row>
    <row r="185" spans="1:7" x14ac:dyDescent="0.2">
      <c r="A185" s="2">
        <v>45692</v>
      </c>
      <c r="B185" s="1">
        <f t="shared" si="4"/>
        <v>45689</v>
      </c>
      <c r="C185" s="4" t="str">
        <f t="shared" si="5"/>
        <v>2025-02</v>
      </c>
      <c r="D185" s="3">
        <v>232.8</v>
      </c>
      <c r="E185" s="3">
        <v>118.65</v>
      </c>
      <c r="F185" s="3">
        <v>704.19</v>
      </c>
      <c r="G185" s="3">
        <v>29.16</v>
      </c>
    </row>
    <row r="186" spans="1:7" x14ac:dyDescent="0.2">
      <c r="A186" s="2">
        <v>45691</v>
      </c>
      <c r="B186" s="1">
        <f t="shared" si="4"/>
        <v>45689</v>
      </c>
      <c r="C186" s="4" t="str">
        <f t="shared" si="5"/>
        <v>2025-02</v>
      </c>
      <c r="D186" s="3">
        <v>228.01</v>
      </c>
      <c r="E186" s="3">
        <v>116.66</v>
      </c>
      <c r="F186" s="3">
        <v>697.46</v>
      </c>
      <c r="G186" s="3">
        <v>26.85</v>
      </c>
    </row>
    <row r="187" spans="1:7" x14ac:dyDescent="0.2">
      <c r="A187" s="2">
        <v>45688</v>
      </c>
      <c r="B187" s="1">
        <f t="shared" si="4"/>
        <v>45658</v>
      </c>
      <c r="C187" s="4" t="str">
        <f t="shared" si="5"/>
        <v>2025-01</v>
      </c>
      <c r="D187" s="3">
        <v>236</v>
      </c>
      <c r="E187" s="3">
        <v>120.07</v>
      </c>
      <c r="F187" s="3">
        <v>689.18</v>
      </c>
      <c r="G187" s="3">
        <v>28.52</v>
      </c>
    </row>
    <row r="188" spans="1:7" x14ac:dyDescent="0.2">
      <c r="A188" s="2">
        <v>45687</v>
      </c>
      <c r="B188" s="1">
        <f t="shared" si="4"/>
        <v>45658</v>
      </c>
      <c r="C188" s="4" t="str">
        <f t="shared" si="5"/>
        <v>2025-01</v>
      </c>
      <c r="D188" s="3">
        <v>237.59</v>
      </c>
      <c r="E188" s="3">
        <v>124.65</v>
      </c>
      <c r="F188" s="3">
        <v>687</v>
      </c>
      <c r="G188" s="3">
        <v>28.64</v>
      </c>
    </row>
    <row r="189" spans="1:7" x14ac:dyDescent="0.2">
      <c r="A189" s="2">
        <v>45686</v>
      </c>
      <c r="B189" s="1">
        <f t="shared" si="4"/>
        <v>45658</v>
      </c>
      <c r="C189" s="4" t="str">
        <f t="shared" si="5"/>
        <v>2025-01</v>
      </c>
      <c r="D189" s="3">
        <v>239.36</v>
      </c>
      <c r="E189" s="3">
        <v>123.7</v>
      </c>
      <c r="F189" s="3">
        <v>676.49</v>
      </c>
      <c r="G189" s="3">
        <v>27.8</v>
      </c>
    </row>
    <row r="190" spans="1:7" x14ac:dyDescent="0.2">
      <c r="A190" s="2">
        <v>45685</v>
      </c>
      <c r="B190" s="1">
        <f t="shared" si="4"/>
        <v>45658</v>
      </c>
      <c r="C190" s="4" t="str">
        <f t="shared" si="5"/>
        <v>2025-01</v>
      </c>
      <c r="D190" s="3">
        <v>238.26</v>
      </c>
      <c r="E190" s="3">
        <v>128.99</v>
      </c>
      <c r="F190" s="3">
        <v>674.33</v>
      </c>
      <c r="G190" s="3">
        <v>28.18</v>
      </c>
    </row>
    <row r="191" spans="1:7" x14ac:dyDescent="0.2">
      <c r="A191" s="2">
        <v>45684</v>
      </c>
      <c r="B191" s="1">
        <f t="shared" si="4"/>
        <v>45658</v>
      </c>
      <c r="C191" s="4" t="str">
        <f t="shared" si="5"/>
        <v>2025-01</v>
      </c>
      <c r="D191" s="3">
        <v>229.86</v>
      </c>
      <c r="E191" s="3">
        <v>118.42</v>
      </c>
      <c r="F191" s="3">
        <v>659.88</v>
      </c>
      <c r="G191" s="3">
        <v>29.07</v>
      </c>
    </row>
    <row r="192" spans="1:7" x14ac:dyDescent="0.2">
      <c r="A192" s="2">
        <v>45681</v>
      </c>
      <c r="B192" s="1">
        <f t="shared" si="4"/>
        <v>45658</v>
      </c>
      <c r="C192" s="4" t="str">
        <f t="shared" si="5"/>
        <v>2025-01</v>
      </c>
      <c r="D192" s="3">
        <v>222.78</v>
      </c>
      <c r="E192" s="3">
        <v>142.62</v>
      </c>
      <c r="F192" s="3">
        <v>647.49</v>
      </c>
      <c r="G192" s="3">
        <v>33.270000000000003</v>
      </c>
    </row>
    <row r="193" spans="1:7" x14ac:dyDescent="0.2">
      <c r="A193" s="2">
        <v>45680</v>
      </c>
      <c r="B193" s="1">
        <f t="shared" si="4"/>
        <v>45658</v>
      </c>
      <c r="C193" s="4" t="str">
        <f t="shared" si="5"/>
        <v>2025-01</v>
      </c>
      <c r="D193" s="3">
        <v>223.66</v>
      </c>
      <c r="E193" s="3">
        <v>147.22</v>
      </c>
      <c r="F193" s="3">
        <v>636.45000000000005</v>
      </c>
      <c r="G193" s="3">
        <v>33.409999999999997</v>
      </c>
    </row>
    <row r="194" spans="1:7" x14ac:dyDescent="0.2">
      <c r="A194" s="2">
        <v>45679</v>
      </c>
      <c r="B194" s="1">
        <f t="shared" si="4"/>
        <v>45658</v>
      </c>
      <c r="C194" s="4" t="str">
        <f t="shared" si="5"/>
        <v>2025-01</v>
      </c>
      <c r="D194" s="3">
        <v>223.83</v>
      </c>
      <c r="E194" s="3">
        <v>147.07</v>
      </c>
      <c r="F194" s="3">
        <v>623.5</v>
      </c>
      <c r="G194" s="3">
        <v>33.86</v>
      </c>
    </row>
    <row r="195" spans="1:7" x14ac:dyDescent="0.2">
      <c r="A195" s="2">
        <v>45678</v>
      </c>
      <c r="B195" s="1">
        <f t="shared" ref="B195:B258" si="6">EOMONTH(A195, -1)+1</f>
        <v>45658</v>
      </c>
      <c r="C195" s="4" t="str">
        <f t="shared" ref="C195:C258" si="7">TEXT(A195, "yyyy-mm")</f>
        <v>2025-01</v>
      </c>
      <c r="D195" s="3">
        <v>222.64</v>
      </c>
      <c r="E195" s="3">
        <v>140.83000000000001</v>
      </c>
      <c r="F195" s="3">
        <v>616.46</v>
      </c>
      <c r="G195" s="3">
        <v>32.450000000000003</v>
      </c>
    </row>
    <row r="196" spans="1:7" x14ac:dyDescent="0.2">
      <c r="A196" s="2">
        <v>45674</v>
      </c>
      <c r="B196" s="1">
        <f t="shared" si="6"/>
        <v>45658</v>
      </c>
      <c r="C196" s="4" t="str">
        <f t="shared" si="7"/>
        <v>2025-01</v>
      </c>
      <c r="D196" s="3">
        <v>229.98</v>
      </c>
      <c r="E196" s="3">
        <v>137.71</v>
      </c>
      <c r="F196" s="3">
        <v>612.77</v>
      </c>
      <c r="G196" s="3">
        <v>30.82</v>
      </c>
    </row>
    <row r="197" spans="1:7" x14ac:dyDescent="0.2">
      <c r="A197" s="2">
        <v>45673</v>
      </c>
      <c r="B197" s="1">
        <f t="shared" si="6"/>
        <v>45658</v>
      </c>
      <c r="C197" s="4" t="str">
        <f t="shared" si="7"/>
        <v>2025-01</v>
      </c>
      <c r="D197" s="3">
        <v>228.26</v>
      </c>
      <c r="E197" s="3">
        <v>133.57</v>
      </c>
      <c r="F197" s="3">
        <v>611.29999999999995</v>
      </c>
      <c r="G197" s="3">
        <v>31.12</v>
      </c>
    </row>
    <row r="198" spans="1:7" x14ac:dyDescent="0.2">
      <c r="A198" s="2">
        <v>45672</v>
      </c>
      <c r="B198" s="1">
        <f t="shared" si="6"/>
        <v>45658</v>
      </c>
      <c r="C198" s="4" t="str">
        <f t="shared" si="7"/>
        <v>2025-01</v>
      </c>
      <c r="D198" s="3">
        <v>237.87</v>
      </c>
      <c r="E198" s="3">
        <v>136.24</v>
      </c>
      <c r="F198" s="3">
        <v>617.12</v>
      </c>
      <c r="G198" s="3">
        <v>30.99</v>
      </c>
    </row>
    <row r="199" spans="1:7" x14ac:dyDescent="0.2">
      <c r="A199" s="2">
        <v>45671</v>
      </c>
      <c r="B199" s="1">
        <f t="shared" si="6"/>
        <v>45658</v>
      </c>
      <c r="C199" s="4" t="str">
        <f t="shared" si="7"/>
        <v>2025-01</v>
      </c>
      <c r="D199" s="3">
        <v>233.28</v>
      </c>
      <c r="E199" s="3">
        <v>131.76</v>
      </c>
      <c r="F199" s="3">
        <v>594.25</v>
      </c>
      <c r="G199" s="3">
        <v>30.53</v>
      </c>
    </row>
    <row r="200" spans="1:7" x14ac:dyDescent="0.2">
      <c r="A200" s="2">
        <v>45670</v>
      </c>
      <c r="B200" s="1">
        <f t="shared" si="6"/>
        <v>45658</v>
      </c>
      <c r="C200" s="4" t="str">
        <f t="shared" si="7"/>
        <v>2025-01</v>
      </c>
      <c r="D200" s="3">
        <v>234.4</v>
      </c>
      <c r="E200" s="3">
        <v>133.22999999999999</v>
      </c>
      <c r="F200" s="3">
        <v>608.33000000000004</v>
      </c>
      <c r="G200" s="3">
        <v>31.08</v>
      </c>
    </row>
    <row r="201" spans="1:7" x14ac:dyDescent="0.2">
      <c r="A201" s="2">
        <v>45667</v>
      </c>
      <c r="B201" s="1">
        <f t="shared" si="6"/>
        <v>45658</v>
      </c>
      <c r="C201" s="4" t="str">
        <f t="shared" si="7"/>
        <v>2025-01</v>
      </c>
      <c r="D201" s="3">
        <v>236.85</v>
      </c>
      <c r="E201" s="3">
        <v>135.91</v>
      </c>
      <c r="F201" s="3">
        <v>615.86</v>
      </c>
      <c r="G201" s="3">
        <v>32.6</v>
      </c>
    </row>
    <row r="202" spans="1:7" x14ac:dyDescent="0.2">
      <c r="A202" s="2">
        <v>45665</v>
      </c>
      <c r="B202" s="1">
        <f t="shared" si="6"/>
        <v>45658</v>
      </c>
      <c r="C202" s="4" t="str">
        <f t="shared" si="7"/>
        <v>2025-01</v>
      </c>
      <c r="D202" s="3">
        <v>242.7</v>
      </c>
      <c r="E202" s="3">
        <v>140.11000000000001</v>
      </c>
      <c r="F202" s="3">
        <v>610.72</v>
      </c>
      <c r="G202" s="3">
        <v>32.61</v>
      </c>
    </row>
    <row r="203" spans="1:7" x14ac:dyDescent="0.2">
      <c r="A203" s="2">
        <v>45664</v>
      </c>
      <c r="B203" s="1">
        <f t="shared" si="6"/>
        <v>45658</v>
      </c>
      <c r="C203" s="4" t="str">
        <f t="shared" si="7"/>
        <v>2025-01</v>
      </c>
      <c r="D203" s="3">
        <v>242.21</v>
      </c>
      <c r="E203" s="3">
        <v>140.13999999999999</v>
      </c>
      <c r="F203" s="3">
        <v>617.89</v>
      </c>
      <c r="G203" s="3">
        <v>34.380000000000003</v>
      </c>
    </row>
    <row r="204" spans="1:7" x14ac:dyDescent="0.2">
      <c r="A204" s="2">
        <v>45663</v>
      </c>
      <c r="B204" s="1">
        <f t="shared" si="6"/>
        <v>45658</v>
      </c>
      <c r="C204" s="4" t="str">
        <f t="shared" si="7"/>
        <v>2025-01</v>
      </c>
      <c r="D204" s="3">
        <v>245</v>
      </c>
      <c r="E204" s="3">
        <v>149.43</v>
      </c>
      <c r="F204" s="3">
        <v>630.20000000000005</v>
      </c>
      <c r="G204" s="3">
        <v>36.450000000000003</v>
      </c>
    </row>
    <row r="205" spans="1:7" x14ac:dyDescent="0.2">
      <c r="A205" s="2">
        <v>45660</v>
      </c>
      <c r="B205" s="1">
        <f t="shared" si="6"/>
        <v>45658</v>
      </c>
      <c r="C205" s="4" t="str">
        <f t="shared" si="7"/>
        <v>2025-01</v>
      </c>
      <c r="D205" s="3">
        <v>243.36</v>
      </c>
      <c r="E205" s="3">
        <v>144.47</v>
      </c>
      <c r="F205" s="3">
        <v>604.63</v>
      </c>
      <c r="G205" s="3">
        <v>33.33</v>
      </c>
    </row>
    <row r="206" spans="1:7" x14ac:dyDescent="0.2">
      <c r="A206" s="2">
        <v>45659</v>
      </c>
      <c r="B206" s="1">
        <f t="shared" si="6"/>
        <v>45658</v>
      </c>
      <c r="C206" s="4" t="str">
        <f t="shared" si="7"/>
        <v>2025-01</v>
      </c>
      <c r="D206" s="3">
        <v>243.85</v>
      </c>
      <c r="E206" s="3">
        <v>138.31</v>
      </c>
      <c r="F206" s="3">
        <v>599.24</v>
      </c>
      <c r="G206" s="3">
        <v>30.05</v>
      </c>
    </row>
    <row r="207" spans="1:7" x14ac:dyDescent="0.2">
      <c r="A207" s="2">
        <v>45657</v>
      </c>
      <c r="B207" s="1">
        <f t="shared" si="6"/>
        <v>45627</v>
      </c>
      <c r="C207" s="4" t="str">
        <f t="shared" si="7"/>
        <v>2024-12</v>
      </c>
      <c r="D207" s="3">
        <v>250.42</v>
      </c>
      <c r="E207" s="3">
        <v>134.29</v>
      </c>
      <c r="F207" s="3">
        <v>585.51</v>
      </c>
      <c r="G207" s="3">
        <v>30.48</v>
      </c>
    </row>
    <row r="208" spans="1:7" x14ac:dyDescent="0.2">
      <c r="A208" s="2">
        <v>45656</v>
      </c>
      <c r="B208" s="1">
        <f t="shared" si="6"/>
        <v>45627</v>
      </c>
      <c r="C208" s="4" t="str">
        <f t="shared" si="7"/>
        <v>2024-12</v>
      </c>
      <c r="D208" s="3">
        <v>252.2</v>
      </c>
      <c r="E208" s="3">
        <v>137.49</v>
      </c>
      <c r="F208" s="3">
        <v>591.24</v>
      </c>
      <c r="G208" s="3">
        <v>30.68</v>
      </c>
    </row>
    <row r="209" spans="1:7" x14ac:dyDescent="0.2">
      <c r="A209" s="2">
        <v>45653</v>
      </c>
      <c r="B209" s="1">
        <f t="shared" si="6"/>
        <v>45627</v>
      </c>
      <c r="C209" s="4" t="str">
        <f t="shared" si="7"/>
        <v>2024-12</v>
      </c>
      <c r="D209" s="3">
        <v>255.59</v>
      </c>
      <c r="E209" s="3">
        <v>137.01</v>
      </c>
      <c r="F209" s="3">
        <v>599.80999999999995</v>
      </c>
      <c r="G209" s="3">
        <v>31.98</v>
      </c>
    </row>
    <row r="210" spans="1:7" x14ac:dyDescent="0.2">
      <c r="A210" s="2">
        <v>45652</v>
      </c>
      <c r="B210" s="1">
        <f t="shared" si="6"/>
        <v>45627</v>
      </c>
      <c r="C210" s="4" t="str">
        <f t="shared" si="7"/>
        <v>2024-12</v>
      </c>
      <c r="D210" s="3">
        <v>259.02</v>
      </c>
      <c r="E210" s="3">
        <v>139.93</v>
      </c>
      <c r="F210" s="3">
        <v>603.35</v>
      </c>
      <c r="G210" s="3">
        <v>33.74</v>
      </c>
    </row>
    <row r="211" spans="1:7" x14ac:dyDescent="0.2">
      <c r="A211" s="2">
        <v>45650</v>
      </c>
      <c r="B211" s="1">
        <f t="shared" si="6"/>
        <v>45627</v>
      </c>
      <c r="C211" s="4" t="str">
        <f t="shared" si="7"/>
        <v>2024-12</v>
      </c>
      <c r="D211" s="3">
        <v>258.2</v>
      </c>
      <c r="E211" s="3">
        <v>140.22</v>
      </c>
      <c r="F211" s="3">
        <v>607.75</v>
      </c>
      <c r="G211" s="3">
        <v>34.33</v>
      </c>
    </row>
    <row r="212" spans="1:7" x14ac:dyDescent="0.2">
      <c r="A212" s="2">
        <v>45649</v>
      </c>
      <c r="B212" s="1">
        <f t="shared" si="6"/>
        <v>45627</v>
      </c>
      <c r="C212" s="4" t="str">
        <f t="shared" si="7"/>
        <v>2024-12</v>
      </c>
      <c r="D212" s="3">
        <v>255.27</v>
      </c>
      <c r="E212" s="3">
        <v>139.66999999999999</v>
      </c>
      <c r="F212" s="3">
        <v>599.85</v>
      </c>
      <c r="G212" s="3">
        <v>32.4</v>
      </c>
    </row>
    <row r="213" spans="1:7" x14ac:dyDescent="0.2">
      <c r="A213" s="2">
        <v>45646</v>
      </c>
      <c r="B213" s="1">
        <f t="shared" si="6"/>
        <v>45627</v>
      </c>
      <c r="C213" s="4" t="str">
        <f t="shared" si="7"/>
        <v>2024-12</v>
      </c>
      <c r="D213" s="3">
        <v>254.49</v>
      </c>
      <c r="E213" s="3">
        <v>134.69999999999999</v>
      </c>
      <c r="F213" s="3">
        <v>585.25</v>
      </c>
      <c r="G213" s="3">
        <v>31.59</v>
      </c>
    </row>
    <row r="214" spans="1:7" x14ac:dyDescent="0.2">
      <c r="A214" s="2">
        <v>45645</v>
      </c>
      <c r="B214" s="1">
        <f t="shared" si="6"/>
        <v>45627</v>
      </c>
      <c r="C214" s="4" t="str">
        <f t="shared" si="7"/>
        <v>2024-12</v>
      </c>
      <c r="D214" s="3">
        <v>249.79</v>
      </c>
      <c r="E214" s="3">
        <v>130.68</v>
      </c>
      <c r="F214" s="3">
        <v>595.57000000000005</v>
      </c>
      <c r="G214" s="3">
        <v>31.24</v>
      </c>
    </row>
    <row r="215" spans="1:7" x14ac:dyDescent="0.2">
      <c r="A215" s="2">
        <v>45644</v>
      </c>
      <c r="B215" s="1">
        <f t="shared" si="6"/>
        <v>45627</v>
      </c>
      <c r="C215" s="4" t="str">
        <f t="shared" si="7"/>
        <v>2024-12</v>
      </c>
      <c r="D215" s="3">
        <v>248.05</v>
      </c>
      <c r="E215" s="3">
        <v>128.91</v>
      </c>
      <c r="F215" s="3">
        <v>597.19000000000005</v>
      </c>
      <c r="G215" s="3">
        <v>32.229999999999997</v>
      </c>
    </row>
    <row r="216" spans="1:7" x14ac:dyDescent="0.2">
      <c r="A216" s="2">
        <v>45643</v>
      </c>
      <c r="B216" s="1">
        <f t="shared" si="6"/>
        <v>45627</v>
      </c>
      <c r="C216" s="4" t="str">
        <f t="shared" si="7"/>
        <v>2024-12</v>
      </c>
      <c r="D216" s="3">
        <v>253.48</v>
      </c>
      <c r="E216" s="3">
        <v>130.38999999999999</v>
      </c>
      <c r="F216" s="3">
        <v>619.44000000000005</v>
      </c>
      <c r="G216" s="3">
        <v>33.799999999999997</v>
      </c>
    </row>
    <row r="217" spans="1:7" x14ac:dyDescent="0.2">
      <c r="A217" s="2">
        <v>45642</v>
      </c>
      <c r="B217" s="1">
        <f t="shared" si="6"/>
        <v>45627</v>
      </c>
      <c r="C217" s="4" t="str">
        <f t="shared" si="7"/>
        <v>2024-12</v>
      </c>
      <c r="D217" s="3">
        <v>251.04</v>
      </c>
      <c r="E217" s="3">
        <v>132</v>
      </c>
      <c r="F217" s="3">
        <v>624.24</v>
      </c>
      <c r="G217" s="3">
        <v>33.44</v>
      </c>
    </row>
    <row r="218" spans="1:7" x14ac:dyDescent="0.2">
      <c r="A218" s="2">
        <v>45639</v>
      </c>
      <c r="B218" s="1">
        <f t="shared" si="6"/>
        <v>45627</v>
      </c>
      <c r="C218" s="4" t="str">
        <f t="shared" si="7"/>
        <v>2024-12</v>
      </c>
      <c r="D218" s="3">
        <v>248.13</v>
      </c>
      <c r="E218" s="3">
        <v>134.25</v>
      </c>
      <c r="F218" s="3">
        <v>620.35</v>
      </c>
      <c r="G218" s="3">
        <v>36.450000000000003</v>
      </c>
    </row>
    <row r="219" spans="1:7" x14ac:dyDescent="0.2">
      <c r="A219" s="2">
        <v>45638</v>
      </c>
      <c r="B219" s="1">
        <f t="shared" si="6"/>
        <v>45627</v>
      </c>
      <c r="C219" s="4" t="str">
        <f t="shared" si="7"/>
        <v>2024-12</v>
      </c>
      <c r="D219" s="3">
        <v>247.96</v>
      </c>
      <c r="E219" s="3">
        <v>137.34</v>
      </c>
      <c r="F219" s="3">
        <v>630.79</v>
      </c>
      <c r="G219" s="3">
        <v>37.93</v>
      </c>
    </row>
    <row r="220" spans="1:7" x14ac:dyDescent="0.2">
      <c r="A220" s="2">
        <v>45637</v>
      </c>
      <c r="B220" s="1">
        <f t="shared" si="6"/>
        <v>45627</v>
      </c>
      <c r="C220" s="4" t="str">
        <f t="shared" si="7"/>
        <v>2024-12</v>
      </c>
      <c r="D220" s="3">
        <v>246.49</v>
      </c>
      <c r="E220" s="3">
        <v>139.31</v>
      </c>
      <c r="F220" s="3">
        <v>632.67999999999995</v>
      </c>
      <c r="G220" s="3">
        <v>38.29</v>
      </c>
    </row>
    <row r="221" spans="1:7" x14ac:dyDescent="0.2">
      <c r="A221" s="2">
        <v>45636</v>
      </c>
      <c r="B221" s="1">
        <f t="shared" si="6"/>
        <v>45627</v>
      </c>
      <c r="C221" s="4" t="str">
        <f t="shared" si="7"/>
        <v>2024-12</v>
      </c>
      <c r="D221" s="3">
        <v>247.77</v>
      </c>
      <c r="E221" s="3">
        <v>135.07</v>
      </c>
      <c r="F221" s="3">
        <v>619.32000000000005</v>
      </c>
      <c r="G221" s="3">
        <v>40.54</v>
      </c>
    </row>
    <row r="222" spans="1:7" x14ac:dyDescent="0.2">
      <c r="A222" s="2">
        <v>45635</v>
      </c>
      <c r="B222" s="1">
        <f t="shared" si="6"/>
        <v>45627</v>
      </c>
      <c r="C222" s="4" t="str">
        <f t="shared" si="7"/>
        <v>2024-12</v>
      </c>
      <c r="D222" s="3">
        <v>246.75</v>
      </c>
      <c r="E222" s="3">
        <v>138.81</v>
      </c>
      <c r="F222" s="3">
        <v>613.57000000000005</v>
      </c>
      <c r="G222" s="3">
        <v>44.16</v>
      </c>
    </row>
    <row r="223" spans="1:7" x14ac:dyDescent="0.2">
      <c r="A223" s="2">
        <v>45632</v>
      </c>
      <c r="B223" s="1">
        <f t="shared" si="6"/>
        <v>45627</v>
      </c>
      <c r="C223" s="4" t="str">
        <f t="shared" si="7"/>
        <v>2024-12</v>
      </c>
      <c r="D223" s="3">
        <v>242.84</v>
      </c>
      <c r="E223" s="3">
        <v>142.44</v>
      </c>
      <c r="F223" s="3">
        <v>623.77</v>
      </c>
      <c r="G223" s="3">
        <v>43.93</v>
      </c>
    </row>
    <row r="224" spans="1:7" x14ac:dyDescent="0.2">
      <c r="A224" s="2">
        <v>45631</v>
      </c>
      <c r="B224" s="1">
        <f t="shared" si="6"/>
        <v>45627</v>
      </c>
      <c r="C224" s="4" t="str">
        <f t="shared" si="7"/>
        <v>2024-12</v>
      </c>
      <c r="D224" s="3">
        <v>243.04</v>
      </c>
      <c r="E224" s="3">
        <v>145.06</v>
      </c>
      <c r="F224" s="3">
        <v>608.92999999999995</v>
      </c>
      <c r="G224" s="3">
        <v>41.14</v>
      </c>
    </row>
    <row r="225" spans="1:7" x14ac:dyDescent="0.2">
      <c r="A225" s="2">
        <v>45630</v>
      </c>
      <c r="B225" s="1">
        <f t="shared" si="6"/>
        <v>45627</v>
      </c>
      <c r="C225" s="4" t="str">
        <f t="shared" si="7"/>
        <v>2024-12</v>
      </c>
      <c r="D225" s="3">
        <v>243.01</v>
      </c>
      <c r="E225" s="3">
        <v>145.13999999999999</v>
      </c>
      <c r="F225" s="3">
        <v>613.78</v>
      </c>
      <c r="G225" s="3">
        <v>41.81</v>
      </c>
    </row>
    <row r="226" spans="1:7" x14ac:dyDescent="0.2">
      <c r="A226" s="2">
        <v>45629</v>
      </c>
      <c r="B226" s="1">
        <f t="shared" si="6"/>
        <v>45627</v>
      </c>
      <c r="C226" s="4" t="str">
        <f t="shared" si="7"/>
        <v>2024-12</v>
      </c>
      <c r="D226" s="3">
        <v>242.65</v>
      </c>
      <c r="E226" s="3">
        <v>140.26</v>
      </c>
      <c r="F226" s="3">
        <v>613.65</v>
      </c>
      <c r="G226" s="3">
        <v>40.21</v>
      </c>
    </row>
    <row r="227" spans="1:7" x14ac:dyDescent="0.2">
      <c r="A227" s="2">
        <v>45628</v>
      </c>
      <c r="B227" s="1">
        <f t="shared" si="6"/>
        <v>45627</v>
      </c>
      <c r="C227" s="4" t="str">
        <f t="shared" si="7"/>
        <v>2024-12</v>
      </c>
      <c r="D227" s="3">
        <v>239.59</v>
      </c>
      <c r="E227" s="3">
        <v>138.63</v>
      </c>
      <c r="F227" s="3">
        <v>592.83000000000004</v>
      </c>
      <c r="G227" s="3">
        <v>42</v>
      </c>
    </row>
    <row r="228" spans="1:7" x14ac:dyDescent="0.2">
      <c r="A228" s="2">
        <v>45625</v>
      </c>
      <c r="B228" s="1">
        <f t="shared" si="6"/>
        <v>45597</v>
      </c>
      <c r="C228" s="4" t="str">
        <f t="shared" si="7"/>
        <v>2024-11</v>
      </c>
      <c r="D228" s="3">
        <v>237.33</v>
      </c>
      <c r="E228" s="3">
        <v>138.25</v>
      </c>
      <c r="F228" s="3">
        <v>574.32000000000005</v>
      </c>
      <c r="G228" s="3">
        <v>32.64</v>
      </c>
    </row>
    <row r="229" spans="1:7" x14ac:dyDescent="0.2">
      <c r="A229" s="2">
        <v>45623</v>
      </c>
      <c r="B229" s="1">
        <f t="shared" si="6"/>
        <v>45597</v>
      </c>
      <c r="C229" s="4" t="str">
        <f t="shared" si="7"/>
        <v>2024-11</v>
      </c>
      <c r="D229" s="3">
        <v>234.93</v>
      </c>
      <c r="E229" s="3">
        <v>135.34</v>
      </c>
      <c r="F229" s="3">
        <v>569.20000000000005</v>
      </c>
      <c r="G229" s="3">
        <v>35.07</v>
      </c>
    </row>
    <row r="230" spans="1:7" x14ac:dyDescent="0.2">
      <c r="A230" s="2">
        <v>45622</v>
      </c>
      <c r="B230" s="1">
        <f t="shared" si="6"/>
        <v>45597</v>
      </c>
      <c r="C230" s="4" t="str">
        <f t="shared" si="7"/>
        <v>2024-11</v>
      </c>
      <c r="D230" s="3">
        <v>235.06</v>
      </c>
      <c r="E230" s="3">
        <v>136.91999999999999</v>
      </c>
      <c r="F230" s="3">
        <v>573.54</v>
      </c>
      <c r="G230" s="3">
        <v>34.43</v>
      </c>
    </row>
    <row r="231" spans="1:7" x14ac:dyDescent="0.2">
      <c r="A231" s="2">
        <v>45621</v>
      </c>
      <c r="B231" s="1">
        <f t="shared" si="6"/>
        <v>45597</v>
      </c>
      <c r="C231" s="4" t="str">
        <f t="shared" si="7"/>
        <v>2024-11</v>
      </c>
      <c r="D231" s="3">
        <v>232.87</v>
      </c>
      <c r="E231" s="3">
        <v>136.02000000000001</v>
      </c>
      <c r="F231" s="3">
        <v>565.11</v>
      </c>
      <c r="G231" s="3">
        <v>38.409999999999997</v>
      </c>
    </row>
    <row r="232" spans="1:7" x14ac:dyDescent="0.2">
      <c r="A232" s="2">
        <v>45618</v>
      </c>
      <c r="B232" s="1">
        <f t="shared" si="6"/>
        <v>45597</v>
      </c>
      <c r="C232" s="4" t="str">
        <f t="shared" si="7"/>
        <v>2024-11</v>
      </c>
      <c r="D232" s="3">
        <v>229.87</v>
      </c>
      <c r="E232" s="3">
        <v>141.94999999999999</v>
      </c>
      <c r="F232" s="3">
        <v>559.14</v>
      </c>
      <c r="G232" s="3">
        <v>33.15</v>
      </c>
    </row>
    <row r="233" spans="1:7" x14ac:dyDescent="0.2">
      <c r="A233" s="2">
        <v>45617</v>
      </c>
      <c r="B233" s="1">
        <f t="shared" si="6"/>
        <v>45597</v>
      </c>
      <c r="C233" s="4" t="str">
        <f t="shared" si="7"/>
        <v>2024-11</v>
      </c>
      <c r="D233" s="3">
        <v>228.52</v>
      </c>
      <c r="E233" s="3">
        <v>146.66999999999999</v>
      </c>
      <c r="F233" s="3">
        <v>563.09</v>
      </c>
      <c r="G233" s="3">
        <v>29.7</v>
      </c>
    </row>
    <row r="234" spans="1:7" x14ac:dyDescent="0.2">
      <c r="A234" s="2">
        <v>45616</v>
      </c>
      <c r="B234" s="1">
        <f t="shared" si="6"/>
        <v>45597</v>
      </c>
      <c r="C234" s="4" t="str">
        <f t="shared" si="7"/>
        <v>2024-11</v>
      </c>
      <c r="D234" s="3">
        <v>229</v>
      </c>
      <c r="E234" s="3">
        <v>145.88999999999999</v>
      </c>
      <c r="F234" s="3">
        <v>565.52</v>
      </c>
      <c r="G234" s="3">
        <v>25.8</v>
      </c>
    </row>
    <row r="235" spans="1:7" x14ac:dyDescent="0.2">
      <c r="A235" s="2">
        <v>45615</v>
      </c>
      <c r="B235" s="1">
        <f t="shared" si="6"/>
        <v>45597</v>
      </c>
      <c r="C235" s="4" t="str">
        <f t="shared" si="7"/>
        <v>2024-11</v>
      </c>
      <c r="D235" s="3">
        <v>228.28</v>
      </c>
      <c r="E235" s="3">
        <v>147.01</v>
      </c>
      <c r="F235" s="3">
        <v>561.09</v>
      </c>
      <c r="G235" s="3">
        <v>28.27</v>
      </c>
    </row>
    <row r="236" spans="1:7" x14ac:dyDescent="0.2">
      <c r="A236" s="2">
        <v>45614</v>
      </c>
      <c r="B236" s="1">
        <f t="shared" si="6"/>
        <v>45597</v>
      </c>
      <c r="C236" s="4" t="str">
        <f t="shared" si="7"/>
        <v>2024-11</v>
      </c>
      <c r="D236" s="3">
        <v>228.02</v>
      </c>
      <c r="E236" s="3">
        <v>140.15</v>
      </c>
      <c r="F236" s="3">
        <v>554.4</v>
      </c>
      <c r="G236" s="3">
        <v>21.54</v>
      </c>
    </row>
    <row r="237" spans="1:7" x14ac:dyDescent="0.2">
      <c r="A237" s="2">
        <v>45611</v>
      </c>
      <c r="B237" s="1">
        <f t="shared" si="6"/>
        <v>45597</v>
      </c>
      <c r="C237" s="4" t="str">
        <f t="shared" si="7"/>
        <v>2024-11</v>
      </c>
      <c r="D237" s="3">
        <v>225</v>
      </c>
      <c r="E237" s="3">
        <v>141.97999999999999</v>
      </c>
      <c r="F237" s="3">
        <v>554.08000000000004</v>
      </c>
      <c r="G237" s="3">
        <v>18.579999999999998</v>
      </c>
    </row>
    <row r="238" spans="1:7" x14ac:dyDescent="0.2">
      <c r="A238" s="2">
        <v>45610</v>
      </c>
      <c r="B238" s="1">
        <f t="shared" si="6"/>
        <v>45597</v>
      </c>
      <c r="C238" s="4" t="str">
        <f t="shared" si="7"/>
        <v>2024-11</v>
      </c>
      <c r="D238" s="3">
        <v>228.22</v>
      </c>
      <c r="E238" s="3">
        <v>146.76</v>
      </c>
      <c r="F238" s="3">
        <v>577.16</v>
      </c>
      <c r="G238" s="3">
        <v>18.010000000000002</v>
      </c>
    </row>
    <row r="239" spans="1:7" x14ac:dyDescent="0.2">
      <c r="A239" s="2">
        <v>45609</v>
      </c>
      <c r="B239" s="1">
        <f t="shared" si="6"/>
        <v>45597</v>
      </c>
      <c r="C239" s="4" t="str">
        <f t="shared" si="7"/>
        <v>2024-11</v>
      </c>
      <c r="D239" s="3">
        <v>225.12</v>
      </c>
      <c r="E239" s="3">
        <v>146.27000000000001</v>
      </c>
      <c r="F239" s="3">
        <v>580</v>
      </c>
      <c r="G239" s="3">
        <v>20.329999999999998</v>
      </c>
    </row>
    <row r="240" spans="1:7" x14ac:dyDescent="0.2">
      <c r="A240" s="2">
        <v>45608</v>
      </c>
      <c r="B240" s="1">
        <f t="shared" si="6"/>
        <v>45597</v>
      </c>
      <c r="C240" s="4" t="str">
        <f t="shared" si="7"/>
        <v>2024-11</v>
      </c>
      <c r="D240" s="3">
        <v>224.23</v>
      </c>
      <c r="E240" s="3">
        <v>148.29</v>
      </c>
      <c r="F240" s="3">
        <v>584.82000000000005</v>
      </c>
      <c r="G240" s="3">
        <v>21.7</v>
      </c>
    </row>
    <row r="241" spans="1:7" x14ac:dyDescent="0.2">
      <c r="A241" s="2">
        <v>45607</v>
      </c>
      <c r="B241" s="1">
        <f t="shared" si="6"/>
        <v>45597</v>
      </c>
      <c r="C241" s="4" t="str">
        <f t="shared" si="7"/>
        <v>2024-11</v>
      </c>
      <c r="D241" s="3">
        <v>224.23</v>
      </c>
      <c r="E241" s="3">
        <v>145.26</v>
      </c>
      <c r="F241" s="3">
        <v>583.16999999999996</v>
      </c>
      <c r="G241" s="3">
        <v>23.23</v>
      </c>
    </row>
    <row r="242" spans="1:7" x14ac:dyDescent="0.2">
      <c r="A242" s="2">
        <v>45604</v>
      </c>
      <c r="B242" s="1">
        <f t="shared" si="6"/>
        <v>45597</v>
      </c>
      <c r="C242" s="4" t="str">
        <f t="shared" si="7"/>
        <v>2024-11</v>
      </c>
      <c r="D242" s="3">
        <v>226.96</v>
      </c>
      <c r="E242" s="3">
        <v>147.63</v>
      </c>
      <c r="F242" s="3">
        <v>589.34</v>
      </c>
      <c r="G242" s="3">
        <v>24.52</v>
      </c>
    </row>
    <row r="243" spans="1:7" x14ac:dyDescent="0.2">
      <c r="A243" s="2">
        <v>45603</v>
      </c>
      <c r="B243" s="1">
        <f t="shared" si="6"/>
        <v>45597</v>
      </c>
      <c r="C243" s="4" t="str">
        <f t="shared" si="7"/>
        <v>2024-11</v>
      </c>
      <c r="D243" s="3">
        <v>227.48</v>
      </c>
      <c r="E243" s="3">
        <v>148.88</v>
      </c>
      <c r="F243" s="3">
        <v>591.70000000000005</v>
      </c>
      <c r="G243" s="3">
        <v>25.48</v>
      </c>
    </row>
    <row r="244" spans="1:7" x14ac:dyDescent="0.2">
      <c r="A244" s="2">
        <v>45602</v>
      </c>
      <c r="B244" s="1">
        <f t="shared" si="6"/>
        <v>45597</v>
      </c>
      <c r="C244" s="4" t="str">
        <f t="shared" si="7"/>
        <v>2024-11</v>
      </c>
      <c r="D244" s="3">
        <v>222.72</v>
      </c>
      <c r="E244" s="3">
        <v>145.61000000000001</v>
      </c>
      <c r="F244" s="3">
        <v>572.04999999999995</v>
      </c>
      <c r="G244" s="3">
        <v>22.7</v>
      </c>
    </row>
    <row r="245" spans="1:7" x14ac:dyDescent="0.2">
      <c r="A245" s="2">
        <v>45601</v>
      </c>
      <c r="B245" s="1">
        <f t="shared" si="6"/>
        <v>45597</v>
      </c>
      <c r="C245" s="4" t="str">
        <f t="shared" si="7"/>
        <v>2024-11</v>
      </c>
      <c r="D245" s="3">
        <v>223.45</v>
      </c>
      <c r="E245" s="3">
        <v>139.91</v>
      </c>
      <c r="F245" s="3">
        <v>572.42999999999995</v>
      </c>
      <c r="G245" s="3">
        <v>27.7</v>
      </c>
    </row>
    <row r="246" spans="1:7" x14ac:dyDescent="0.2">
      <c r="A246" s="2">
        <v>45600</v>
      </c>
      <c r="B246" s="1">
        <f t="shared" si="6"/>
        <v>45597</v>
      </c>
      <c r="C246" s="4" t="str">
        <f t="shared" si="7"/>
        <v>2024-11</v>
      </c>
      <c r="D246" s="3">
        <v>222.01</v>
      </c>
      <c r="E246" s="3">
        <v>136.05000000000001</v>
      </c>
      <c r="F246" s="3">
        <v>560.67999999999995</v>
      </c>
      <c r="G246" s="3">
        <v>26.03</v>
      </c>
    </row>
    <row r="247" spans="1:7" x14ac:dyDescent="0.2">
      <c r="A247" s="2">
        <v>45597</v>
      </c>
      <c r="B247" s="1">
        <f t="shared" si="6"/>
        <v>45597</v>
      </c>
      <c r="C247" s="4" t="str">
        <f t="shared" si="7"/>
        <v>2024-11</v>
      </c>
      <c r="D247" s="3">
        <v>222.91</v>
      </c>
      <c r="E247" s="3">
        <v>135.4</v>
      </c>
      <c r="F247" s="3">
        <v>567.16</v>
      </c>
      <c r="G247" s="3">
        <v>26.05</v>
      </c>
    </row>
    <row r="248" spans="1:7" x14ac:dyDescent="0.2">
      <c r="A248" s="2">
        <v>45596</v>
      </c>
      <c r="B248" s="1">
        <f t="shared" si="6"/>
        <v>45566</v>
      </c>
      <c r="C248" s="4" t="str">
        <f t="shared" si="7"/>
        <v>2024-10</v>
      </c>
      <c r="D248" s="3">
        <v>225.91</v>
      </c>
      <c r="E248" s="3">
        <v>132.76</v>
      </c>
      <c r="F248" s="3">
        <v>567.58000000000004</v>
      </c>
      <c r="G248" s="3">
        <v>29.11</v>
      </c>
    </row>
    <row r="249" spans="1:7" x14ac:dyDescent="0.2">
      <c r="A249" s="2">
        <v>45595</v>
      </c>
      <c r="B249" s="1">
        <f t="shared" si="6"/>
        <v>45566</v>
      </c>
      <c r="C249" s="4" t="str">
        <f t="shared" si="7"/>
        <v>2024-10</v>
      </c>
      <c r="D249" s="3">
        <v>230.1</v>
      </c>
      <c r="E249" s="3">
        <v>139.34</v>
      </c>
      <c r="F249" s="3">
        <v>591.79999999999995</v>
      </c>
      <c r="G249" s="3">
        <v>33.07</v>
      </c>
    </row>
    <row r="250" spans="1:7" x14ac:dyDescent="0.2">
      <c r="A250" s="2">
        <v>45594</v>
      </c>
      <c r="B250" s="1">
        <f t="shared" si="6"/>
        <v>45566</v>
      </c>
      <c r="C250" s="4" t="str">
        <f t="shared" si="7"/>
        <v>2024-10</v>
      </c>
      <c r="D250" s="3">
        <v>233.67</v>
      </c>
      <c r="E250" s="3">
        <v>141.25</v>
      </c>
      <c r="F250" s="3">
        <v>593.28</v>
      </c>
      <c r="G250" s="3">
        <v>49.12</v>
      </c>
    </row>
    <row r="251" spans="1:7" x14ac:dyDescent="0.2">
      <c r="A251" s="2">
        <v>45593</v>
      </c>
      <c r="B251" s="1">
        <f t="shared" si="6"/>
        <v>45566</v>
      </c>
      <c r="C251" s="4" t="str">
        <f t="shared" si="7"/>
        <v>2024-10</v>
      </c>
      <c r="D251" s="3">
        <v>233.4</v>
      </c>
      <c r="E251" s="3">
        <v>140.52000000000001</v>
      </c>
      <c r="F251" s="3">
        <v>578.16</v>
      </c>
      <c r="G251" s="3">
        <v>47.72</v>
      </c>
    </row>
    <row r="252" spans="1:7" x14ac:dyDescent="0.2">
      <c r="A252" s="2">
        <v>45590</v>
      </c>
      <c r="B252" s="1">
        <f t="shared" si="6"/>
        <v>45566</v>
      </c>
      <c r="C252" s="4" t="str">
        <f t="shared" si="7"/>
        <v>2024-10</v>
      </c>
      <c r="D252" s="3">
        <v>231.41</v>
      </c>
      <c r="E252" s="3">
        <v>141.54</v>
      </c>
      <c r="F252" s="3">
        <v>573.25</v>
      </c>
      <c r="G252" s="3">
        <v>47.27</v>
      </c>
    </row>
    <row r="253" spans="1:7" x14ac:dyDescent="0.2">
      <c r="A253" s="2">
        <v>45589</v>
      </c>
      <c r="B253" s="1">
        <f t="shared" si="6"/>
        <v>45566</v>
      </c>
      <c r="C253" s="4" t="str">
        <f t="shared" si="7"/>
        <v>2024-10</v>
      </c>
      <c r="D253" s="3">
        <v>230.57</v>
      </c>
      <c r="E253" s="3">
        <v>140.41</v>
      </c>
      <c r="F253" s="3">
        <v>567.78</v>
      </c>
      <c r="G253" s="3">
        <v>46.23</v>
      </c>
    </row>
    <row r="254" spans="1:7" x14ac:dyDescent="0.2">
      <c r="A254" s="2">
        <v>45588</v>
      </c>
      <c r="B254" s="1">
        <f t="shared" si="6"/>
        <v>45566</v>
      </c>
      <c r="C254" s="4" t="str">
        <f t="shared" si="7"/>
        <v>2024-10</v>
      </c>
      <c r="D254" s="3">
        <v>230.76</v>
      </c>
      <c r="E254" s="3">
        <v>139.56</v>
      </c>
      <c r="F254" s="3">
        <v>563.69000000000005</v>
      </c>
      <c r="G254" s="3">
        <v>45.36</v>
      </c>
    </row>
    <row r="255" spans="1:7" x14ac:dyDescent="0.2">
      <c r="A255" s="2">
        <v>45587</v>
      </c>
      <c r="B255" s="1">
        <f t="shared" si="6"/>
        <v>45566</v>
      </c>
      <c r="C255" s="4" t="str">
        <f t="shared" si="7"/>
        <v>2024-10</v>
      </c>
      <c r="D255" s="3">
        <v>235.86</v>
      </c>
      <c r="E255" s="3">
        <v>143.59</v>
      </c>
      <c r="F255" s="3">
        <v>582.01</v>
      </c>
      <c r="G255" s="3">
        <v>45.97</v>
      </c>
    </row>
    <row r="256" spans="1:7" x14ac:dyDescent="0.2">
      <c r="A256" s="2">
        <v>45586</v>
      </c>
      <c r="B256" s="1">
        <f t="shared" si="6"/>
        <v>45566</v>
      </c>
      <c r="C256" s="4" t="str">
        <f t="shared" si="7"/>
        <v>2024-10</v>
      </c>
      <c r="D256" s="3">
        <v>236.48</v>
      </c>
      <c r="E256" s="3">
        <v>143.71</v>
      </c>
      <c r="F256" s="3">
        <v>575.16</v>
      </c>
      <c r="G256" s="3">
        <v>47.8</v>
      </c>
    </row>
    <row r="257" spans="1:7" x14ac:dyDescent="0.2">
      <c r="A257" s="2">
        <v>45583</v>
      </c>
      <c r="B257" s="1">
        <f t="shared" si="6"/>
        <v>45566</v>
      </c>
      <c r="C257" s="4" t="str">
        <f t="shared" si="7"/>
        <v>2024-10</v>
      </c>
      <c r="D257" s="3">
        <v>235</v>
      </c>
      <c r="E257" s="3">
        <v>138</v>
      </c>
      <c r="F257" s="3">
        <v>576.47</v>
      </c>
      <c r="G257" s="3">
        <v>47.26</v>
      </c>
    </row>
    <row r="258" spans="1:7" x14ac:dyDescent="0.2">
      <c r="A258" s="2">
        <v>45582</v>
      </c>
      <c r="B258" s="1">
        <f t="shared" si="6"/>
        <v>45566</v>
      </c>
      <c r="C258" s="4" t="str">
        <f t="shared" si="7"/>
        <v>2024-10</v>
      </c>
      <c r="D258" s="3">
        <v>232.15</v>
      </c>
      <c r="E258" s="3">
        <v>136.93</v>
      </c>
      <c r="F258" s="3">
        <v>576.92999999999995</v>
      </c>
      <c r="G258" s="3">
        <v>47.59</v>
      </c>
    </row>
    <row r="259" spans="1:7" x14ac:dyDescent="0.2">
      <c r="A259" s="2">
        <v>45581</v>
      </c>
      <c r="B259" s="1">
        <f t="shared" ref="B259:B322" si="8">EOMONTH(A259, -1)+1</f>
        <v>45566</v>
      </c>
      <c r="C259" s="4" t="str">
        <f t="shared" ref="C259:C322" si="9">TEXT(A259, "yyyy-mm")</f>
        <v>2024-10</v>
      </c>
      <c r="D259" s="3">
        <v>231.78</v>
      </c>
      <c r="E259" s="3">
        <v>135.72</v>
      </c>
      <c r="F259" s="3">
        <v>576.79</v>
      </c>
      <c r="G259" s="3">
        <v>48.75</v>
      </c>
    </row>
    <row r="260" spans="1:7" x14ac:dyDescent="0.2">
      <c r="A260" s="2">
        <v>45580</v>
      </c>
      <c r="B260" s="1">
        <f t="shared" si="8"/>
        <v>45566</v>
      </c>
      <c r="C260" s="4" t="str">
        <f t="shared" si="9"/>
        <v>2024-10</v>
      </c>
      <c r="D260" s="3">
        <v>233.85</v>
      </c>
      <c r="E260" s="3">
        <v>131.6</v>
      </c>
      <c r="F260" s="3">
        <v>586.27</v>
      </c>
      <c r="G260" s="3">
        <v>47.76</v>
      </c>
    </row>
    <row r="261" spans="1:7" x14ac:dyDescent="0.2">
      <c r="A261" s="2">
        <v>45579</v>
      </c>
      <c r="B261" s="1">
        <f t="shared" si="8"/>
        <v>45566</v>
      </c>
      <c r="C261" s="4" t="str">
        <f t="shared" si="9"/>
        <v>2024-10</v>
      </c>
      <c r="D261" s="3">
        <v>231.3</v>
      </c>
      <c r="E261" s="3">
        <v>138.07</v>
      </c>
      <c r="F261" s="3">
        <v>590.41999999999996</v>
      </c>
      <c r="G261" s="3">
        <v>47.39</v>
      </c>
    </row>
    <row r="262" spans="1:7" x14ac:dyDescent="0.2">
      <c r="A262" s="2">
        <v>45576</v>
      </c>
      <c r="B262" s="1">
        <f t="shared" si="8"/>
        <v>45566</v>
      </c>
      <c r="C262" s="4" t="str">
        <f t="shared" si="9"/>
        <v>2024-10</v>
      </c>
      <c r="D262" s="3">
        <v>227.55</v>
      </c>
      <c r="E262" s="3">
        <v>134.80000000000001</v>
      </c>
      <c r="F262" s="3">
        <v>589.95000000000005</v>
      </c>
      <c r="G262" s="3">
        <v>47.8</v>
      </c>
    </row>
    <row r="263" spans="1:7" x14ac:dyDescent="0.2">
      <c r="A263" s="2">
        <v>45575</v>
      </c>
      <c r="B263" s="1">
        <f t="shared" si="8"/>
        <v>45566</v>
      </c>
      <c r="C263" s="4" t="str">
        <f t="shared" si="9"/>
        <v>2024-10</v>
      </c>
      <c r="D263" s="3">
        <v>229.04</v>
      </c>
      <c r="E263" s="3">
        <v>134.81</v>
      </c>
      <c r="F263" s="3">
        <v>583.83000000000004</v>
      </c>
      <c r="G263" s="3">
        <v>46.47</v>
      </c>
    </row>
    <row r="264" spans="1:7" x14ac:dyDescent="0.2">
      <c r="A264" s="2">
        <v>45574</v>
      </c>
      <c r="B264" s="1">
        <f t="shared" si="8"/>
        <v>45566</v>
      </c>
      <c r="C264" s="4" t="str">
        <f t="shared" si="9"/>
        <v>2024-10</v>
      </c>
      <c r="D264" s="3">
        <v>229.54</v>
      </c>
      <c r="E264" s="3">
        <v>132.65</v>
      </c>
      <c r="F264" s="3">
        <v>590.51</v>
      </c>
      <c r="G264" s="3">
        <v>47.29</v>
      </c>
    </row>
    <row r="265" spans="1:7" x14ac:dyDescent="0.2">
      <c r="A265" s="2">
        <v>45573</v>
      </c>
      <c r="B265" s="1">
        <f t="shared" si="8"/>
        <v>45566</v>
      </c>
      <c r="C265" s="4" t="str">
        <f t="shared" si="9"/>
        <v>2024-10</v>
      </c>
      <c r="D265" s="3">
        <v>225.77</v>
      </c>
      <c r="E265" s="3">
        <v>132.88999999999999</v>
      </c>
      <c r="F265" s="3">
        <v>592.89</v>
      </c>
      <c r="G265" s="3">
        <v>45.35</v>
      </c>
    </row>
    <row r="266" spans="1:7" x14ac:dyDescent="0.2">
      <c r="A266" s="2">
        <v>45572</v>
      </c>
      <c r="B266" s="1">
        <f t="shared" si="8"/>
        <v>45566</v>
      </c>
      <c r="C266" s="4" t="str">
        <f t="shared" si="9"/>
        <v>2024-10</v>
      </c>
      <c r="D266" s="3">
        <v>221.69</v>
      </c>
      <c r="E266" s="3">
        <v>127.72</v>
      </c>
      <c r="F266" s="3">
        <v>584.78</v>
      </c>
      <c r="G266" s="3">
        <v>47.74</v>
      </c>
    </row>
    <row r="267" spans="1:7" x14ac:dyDescent="0.2">
      <c r="A267" s="2">
        <v>45569</v>
      </c>
      <c r="B267" s="1">
        <f t="shared" si="8"/>
        <v>45566</v>
      </c>
      <c r="C267" s="4" t="str">
        <f t="shared" si="9"/>
        <v>2024-10</v>
      </c>
      <c r="D267" s="3">
        <v>226.8</v>
      </c>
      <c r="E267" s="3">
        <v>124.92</v>
      </c>
      <c r="F267" s="3">
        <v>595.94000000000005</v>
      </c>
      <c r="G267" s="3">
        <v>41.23</v>
      </c>
    </row>
    <row r="268" spans="1:7" x14ac:dyDescent="0.2">
      <c r="A268" s="2">
        <v>45568</v>
      </c>
      <c r="B268" s="1">
        <f t="shared" si="8"/>
        <v>45566</v>
      </c>
      <c r="C268" s="4" t="str">
        <f t="shared" si="9"/>
        <v>2024-10</v>
      </c>
      <c r="D268" s="3">
        <v>225.67</v>
      </c>
      <c r="E268" s="3">
        <v>122.85</v>
      </c>
      <c r="F268" s="3">
        <v>582.77</v>
      </c>
      <c r="G268" s="3">
        <v>41.55</v>
      </c>
    </row>
    <row r="269" spans="1:7" x14ac:dyDescent="0.2">
      <c r="A269" s="2">
        <v>45567</v>
      </c>
      <c r="B269" s="1">
        <f t="shared" si="8"/>
        <v>45566</v>
      </c>
      <c r="C269" s="4" t="str">
        <f t="shared" si="9"/>
        <v>2024-10</v>
      </c>
      <c r="D269" s="3">
        <v>226.78</v>
      </c>
      <c r="E269" s="3">
        <v>118.85</v>
      </c>
      <c r="F269" s="3">
        <v>572.80999999999995</v>
      </c>
      <c r="G269" s="3">
        <v>42</v>
      </c>
    </row>
    <row r="270" spans="1:7" x14ac:dyDescent="0.2">
      <c r="A270" s="2">
        <v>45566</v>
      </c>
      <c r="B270" s="1">
        <f t="shared" si="8"/>
        <v>45566</v>
      </c>
      <c r="C270" s="4" t="str">
        <f t="shared" si="9"/>
        <v>2024-10</v>
      </c>
      <c r="D270" s="3">
        <v>226.21</v>
      </c>
      <c r="E270" s="3">
        <v>117</v>
      </c>
      <c r="F270" s="3">
        <v>576.47</v>
      </c>
      <c r="G270" s="3">
        <v>40.549999999999997</v>
      </c>
    </row>
    <row r="271" spans="1:7" x14ac:dyDescent="0.2">
      <c r="A271" s="2">
        <v>45565</v>
      </c>
      <c r="B271" s="1">
        <f t="shared" si="8"/>
        <v>45536</v>
      </c>
      <c r="C271" s="4" t="str">
        <f t="shared" si="9"/>
        <v>2024-09</v>
      </c>
      <c r="D271" s="3">
        <v>233</v>
      </c>
      <c r="E271" s="3">
        <v>121.44</v>
      </c>
      <c r="F271" s="3">
        <v>572.44000000000005</v>
      </c>
      <c r="G271" s="3">
        <v>41.64</v>
      </c>
    </row>
    <row r="272" spans="1:7" x14ac:dyDescent="0.2">
      <c r="A272" s="2">
        <v>45562</v>
      </c>
      <c r="B272" s="1">
        <f t="shared" si="8"/>
        <v>45536</v>
      </c>
      <c r="C272" s="4" t="str">
        <f t="shared" si="9"/>
        <v>2024-09</v>
      </c>
      <c r="D272" s="3">
        <v>227.79</v>
      </c>
      <c r="E272" s="3">
        <v>121.4</v>
      </c>
      <c r="F272" s="3">
        <v>567.36</v>
      </c>
      <c r="G272" s="3">
        <v>41.97</v>
      </c>
    </row>
    <row r="273" spans="1:7" x14ac:dyDescent="0.2">
      <c r="A273" s="2">
        <v>45561</v>
      </c>
      <c r="B273" s="1">
        <f t="shared" si="8"/>
        <v>45536</v>
      </c>
      <c r="C273" s="4" t="str">
        <f t="shared" si="9"/>
        <v>2024-09</v>
      </c>
      <c r="D273" s="3">
        <v>227.52</v>
      </c>
      <c r="E273" s="3">
        <v>124.04</v>
      </c>
      <c r="F273" s="3">
        <v>567.84</v>
      </c>
      <c r="G273" s="3">
        <v>40.24</v>
      </c>
    </row>
    <row r="274" spans="1:7" x14ac:dyDescent="0.2">
      <c r="A274" s="2">
        <v>45560</v>
      </c>
      <c r="B274" s="1">
        <f t="shared" si="8"/>
        <v>45536</v>
      </c>
      <c r="C274" s="4" t="str">
        <f t="shared" si="9"/>
        <v>2024-09</v>
      </c>
      <c r="D274" s="3">
        <v>226.37</v>
      </c>
      <c r="E274" s="3">
        <v>123.51</v>
      </c>
      <c r="F274" s="3">
        <v>568.30999999999995</v>
      </c>
      <c r="G274" s="3">
        <v>45.82</v>
      </c>
    </row>
    <row r="275" spans="1:7" x14ac:dyDescent="0.2">
      <c r="A275" s="2">
        <v>45559</v>
      </c>
      <c r="B275" s="1">
        <f t="shared" si="8"/>
        <v>45536</v>
      </c>
      <c r="C275" s="4" t="str">
        <f t="shared" si="9"/>
        <v>2024-09</v>
      </c>
      <c r="D275" s="3">
        <v>227.37</v>
      </c>
      <c r="E275" s="3">
        <v>120.87</v>
      </c>
      <c r="F275" s="3">
        <v>563.33000000000004</v>
      </c>
      <c r="G275" s="3">
        <v>46.36</v>
      </c>
    </row>
    <row r="276" spans="1:7" x14ac:dyDescent="0.2">
      <c r="A276" s="2">
        <v>45558</v>
      </c>
      <c r="B276" s="1">
        <f t="shared" si="8"/>
        <v>45536</v>
      </c>
      <c r="C276" s="4" t="str">
        <f t="shared" si="9"/>
        <v>2024-09</v>
      </c>
      <c r="D276" s="3">
        <v>226.47</v>
      </c>
      <c r="E276" s="3">
        <v>116.26</v>
      </c>
      <c r="F276" s="3">
        <v>564.41</v>
      </c>
      <c r="G276" s="3">
        <v>46.59</v>
      </c>
    </row>
    <row r="277" spans="1:7" x14ac:dyDescent="0.2">
      <c r="A277" s="2">
        <v>45555</v>
      </c>
      <c r="B277" s="1">
        <f t="shared" si="8"/>
        <v>45536</v>
      </c>
      <c r="C277" s="4" t="str">
        <f t="shared" si="9"/>
        <v>2024-09</v>
      </c>
      <c r="D277" s="3">
        <v>228.2</v>
      </c>
      <c r="E277" s="3">
        <v>116</v>
      </c>
      <c r="F277" s="3">
        <v>561.35</v>
      </c>
      <c r="G277" s="3">
        <v>45.73</v>
      </c>
    </row>
    <row r="278" spans="1:7" x14ac:dyDescent="0.2">
      <c r="A278" s="2">
        <v>45554</v>
      </c>
      <c r="B278" s="1">
        <f t="shared" si="8"/>
        <v>45536</v>
      </c>
      <c r="C278" s="4" t="str">
        <f t="shared" si="9"/>
        <v>2024-09</v>
      </c>
      <c r="D278" s="3">
        <v>228.87</v>
      </c>
      <c r="E278" s="3">
        <v>117.87</v>
      </c>
      <c r="F278" s="3">
        <v>559.1</v>
      </c>
      <c r="G278" s="3">
        <v>43.72</v>
      </c>
    </row>
    <row r="279" spans="1:7" x14ac:dyDescent="0.2">
      <c r="A279" s="2">
        <v>45553</v>
      </c>
      <c r="B279" s="1">
        <f t="shared" si="8"/>
        <v>45536</v>
      </c>
      <c r="C279" s="4" t="str">
        <f t="shared" si="9"/>
        <v>2024-09</v>
      </c>
      <c r="D279" s="3">
        <v>220.69</v>
      </c>
      <c r="E279" s="3">
        <v>113.37</v>
      </c>
      <c r="F279" s="3">
        <v>537.95000000000005</v>
      </c>
      <c r="G279" s="3">
        <v>43.69</v>
      </c>
    </row>
    <row r="280" spans="1:7" x14ac:dyDescent="0.2">
      <c r="A280" s="2">
        <v>45552</v>
      </c>
      <c r="B280" s="1">
        <f t="shared" si="8"/>
        <v>45536</v>
      </c>
      <c r="C280" s="4" t="str">
        <f t="shared" si="9"/>
        <v>2024-09</v>
      </c>
      <c r="D280" s="3">
        <v>216.79</v>
      </c>
      <c r="E280" s="3">
        <v>115.59</v>
      </c>
      <c r="F280" s="3">
        <v>536.32000000000005</v>
      </c>
      <c r="G280" s="3">
        <v>43.94</v>
      </c>
    </row>
    <row r="281" spans="1:7" x14ac:dyDescent="0.2">
      <c r="A281" s="2">
        <v>45551</v>
      </c>
      <c r="B281" s="1">
        <f t="shared" si="8"/>
        <v>45536</v>
      </c>
      <c r="C281" s="4" t="str">
        <f t="shared" si="9"/>
        <v>2024-09</v>
      </c>
      <c r="D281" s="3">
        <v>216.32</v>
      </c>
      <c r="E281" s="3">
        <v>116.78</v>
      </c>
      <c r="F281" s="3">
        <v>533.28</v>
      </c>
      <c r="G281" s="3">
        <v>44.91</v>
      </c>
    </row>
    <row r="282" spans="1:7" x14ac:dyDescent="0.2">
      <c r="A282" s="2">
        <v>45548</v>
      </c>
      <c r="B282" s="1">
        <f t="shared" si="8"/>
        <v>45536</v>
      </c>
      <c r="C282" s="4" t="str">
        <f t="shared" si="9"/>
        <v>2024-09</v>
      </c>
      <c r="D282" s="3">
        <v>222.5</v>
      </c>
      <c r="E282" s="3">
        <v>119.1</v>
      </c>
      <c r="F282" s="3">
        <v>524.62</v>
      </c>
      <c r="G282" s="3">
        <v>45.72</v>
      </c>
    </row>
    <row r="283" spans="1:7" x14ac:dyDescent="0.2">
      <c r="A283" s="2">
        <v>45547</v>
      </c>
      <c r="B283" s="1">
        <f t="shared" si="8"/>
        <v>45536</v>
      </c>
      <c r="C283" s="4" t="str">
        <f t="shared" si="9"/>
        <v>2024-09</v>
      </c>
      <c r="D283" s="3">
        <v>222.77</v>
      </c>
      <c r="E283" s="3">
        <v>119.14</v>
      </c>
      <c r="F283" s="3">
        <v>525.6</v>
      </c>
      <c r="G283" s="3">
        <v>44.21</v>
      </c>
    </row>
    <row r="284" spans="1:7" x14ac:dyDescent="0.2">
      <c r="A284" s="2">
        <v>45546</v>
      </c>
      <c r="B284" s="1">
        <f t="shared" si="8"/>
        <v>45536</v>
      </c>
      <c r="C284" s="4" t="str">
        <f t="shared" si="9"/>
        <v>2024-09</v>
      </c>
      <c r="D284" s="3">
        <v>222.66</v>
      </c>
      <c r="E284" s="3">
        <v>116.91</v>
      </c>
      <c r="F284" s="3">
        <v>511.83</v>
      </c>
      <c r="G284" s="3">
        <v>44.54</v>
      </c>
    </row>
    <row r="285" spans="1:7" x14ac:dyDescent="0.2">
      <c r="A285" s="2">
        <v>45545</v>
      </c>
      <c r="B285" s="1">
        <f t="shared" si="8"/>
        <v>45536</v>
      </c>
      <c r="C285" s="4" t="str">
        <f t="shared" si="9"/>
        <v>2024-09</v>
      </c>
      <c r="D285" s="3">
        <v>220.11</v>
      </c>
      <c r="E285" s="3">
        <v>108.1</v>
      </c>
      <c r="F285" s="3">
        <v>504.79</v>
      </c>
      <c r="G285" s="3">
        <v>41.27</v>
      </c>
    </row>
    <row r="286" spans="1:7" x14ac:dyDescent="0.2">
      <c r="A286" s="2">
        <v>45544</v>
      </c>
      <c r="B286" s="1">
        <f t="shared" si="8"/>
        <v>45536</v>
      </c>
      <c r="C286" s="4" t="str">
        <f t="shared" si="9"/>
        <v>2024-09</v>
      </c>
      <c r="D286" s="3">
        <v>220.91</v>
      </c>
      <c r="E286" s="3">
        <v>106.47</v>
      </c>
      <c r="F286" s="3">
        <v>504.79</v>
      </c>
      <c r="G286" s="3">
        <v>40.99</v>
      </c>
    </row>
    <row r="287" spans="1:7" x14ac:dyDescent="0.2">
      <c r="A287" s="2">
        <v>45541</v>
      </c>
      <c r="B287" s="1">
        <f t="shared" si="8"/>
        <v>45536</v>
      </c>
      <c r="C287" s="4" t="str">
        <f t="shared" si="9"/>
        <v>2024-09</v>
      </c>
      <c r="D287" s="3">
        <v>220.82</v>
      </c>
      <c r="E287" s="3">
        <v>102.83</v>
      </c>
      <c r="F287" s="3">
        <v>500.27</v>
      </c>
      <c r="G287" s="3">
        <v>38.65</v>
      </c>
    </row>
    <row r="288" spans="1:7" x14ac:dyDescent="0.2">
      <c r="A288" s="2">
        <v>45540</v>
      </c>
      <c r="B288" s="1">
        <f t="shared" si="8"/>
        <v>45536</v>
      </c>
      <c r="C288" s="4" t="str">
        <f t="shared" si="9"/>
        <v>2024-09</v>
      </c>
      <c r="D288" s="3">
        <v>222.38</v>
      </c>
      <c r="E288" s="3">
        <v>107.21</v>
      </c>
      <c r="F288" s="3">
        <v>516.86</v>
      </c>
      <c r="G288" s="3">
        <v>41.46</v>
      </c>
    </row>
    <row r="289" spans="1:7" x14ac:dyDescent="0.2">
      <c r="A289" s="2">
        <v>45539</v>
      </c>
      <c r="B289" s="1">
        <f t="shared" si="8"/>
        <v>45536</v>
      </c>
      <c r="C289" s="4" t="str">
        <f t="shared" si="9"/>
        <v>2024-09</v>
      </c>
      <c r="D289" s="3">
        <v>220.85</v>
      </c>
      <c r="E289" s="3">
        <v>106.21</v>
      </c>
      <c r="F289" s="3">
        <v>512.74</v>
      </c>
      <c r="G289" s="3">
        <v>42.35</v>
      </c>
    </row>
    <row r="290" spans="1:7" x14ac:dyDescent="0.2">
      <c r="A290" s="2">
        <v>45538</v>
      </c>
      <c r="B290" s="1">
        <f t="shared" si="8"/>
        <v>45536</v>
      </c>
      <c r="C290" s="4" t="str">
        <f t="shared" si="9"/>
        <v>2024-09</v>
      </c>
      <c r="D290" s="3">
        <v>222.77</v>
      </c>
      <c r="E290" s="3">
        <v>108</v>
      </c>
      <c r="F290" s="3">
        <v>511.76</v>
      </c>
      <c r="G290" s="3">
        <v>44.18</v>
      </c>
    </row>
    <row r="291" spans="1:7" x14ac:dyDescent="0.2">
      <c r="A291" s="2">
        <v>45534</v>
      </c>
      <c r="B291" s="1">
        <f t="shared" si="8"/>
        <v>45505</v>
      </c>
      <c r="C291" s="4" t="str">
        <f t="shared" si="9"/>
        <v>2024-08</v>
      </c>
      <c r="D291" s="3">
        <v>229</v>
      </c>
      <c r="E291" s="3">
        <v>119.37</v>
      </c>
      <c r="F291" s="3">
        <v>521.30999999999995</v>
      </c>
      <c r="G291" s="3">
        <v>43.77</v>
      </c>
    </row>
    <row r="292" spans="1:7" x14ac:dyDescent="0.2">
      <c r="A292" s="2">
        <v>45533</v>
      </c>
      <c r="B292" s="1">
        <f t="shared" si="8"/>
        <v>45505</v>
      </c>
      <c r="C292" s="4" t="str">
        <f t="shared" si="9"/>
        <v>2024-08</v>
      </c>
      <c r="D292" s="3">
        <v>229.79</v>
      </c>
      <c r="E292" s="3">
        <v>117.59</v>
      </c>
      <c r="F292" s="3">
        <v>518.22</v>
      </c>
      <c r="G292" s="3">
        <v>44.88</v>
      </c>
    </row>
    <row r="293" spans="1:7" x14ac:dyDescent="0.2">
      <c r="A293" s="2">
        <v>45532</v>
      </c>
      <c r="B293" s="1">
        <f t="shared" si="8"/>
        <v>45505</v>
      </c>
      <c r="C293" s="4" t="str">
        <f t="shared" si="9"/>
        <v>2024-08</v>
      </c>
      <c r="D293" s="3">
        <v>226.49</v>
      </c>
      <c r="E293" s="3">
        <v>125.61</v>
      </c>
      <c r="F293" s="3">
        <v>516.78</v>
      </c>
      <c r="G293" s="3">
        <v>44.35</v>
      </c>
    </row>
    <row r="294" spans="1:7" x14ac:dyDescent="0.2">
      <c r="A294" s="2">
        <v>45531</v>
      </c>
      <c r="B294" s="1">
        <f t="shared" si="8"/>
        <v>45505</v>
      </c>
      <c r="C294" s="4" t="str">
        <f t="shared" si="9"/>
        <v>2024-08</v>
      </c>
      <c r="D294" s="3">
        <v>228.03</v>
      </c>
      <c r="E294" s="3">
        <v>128.30000000000001</v>
      </c>
      <c r="F294" s="3">
        <v>519.1</v>
      </c>
      <c r="G294" s="3">
        <v>54.76</v>
      </c>
    </row>
    <row r="295" spans="1:7" x14ac:dyDescent="0.2">
      <c r="A295" s="2">
        <v>45530</v>
      </c>
      <c r="B295" s="1">
        <f t="shared" si="8"/>
        <v>45505</v>
      </c>
      <c r="C295" s="4" t="str">
        <f t="shared" si="9"/>
        <v>2024-08</v>
      </c>
      <c r="D295" s="3">
        <v>227.18</v>
      </c>
      <c r="E295" s="3">
        <v>126.46</v>
      </c>
      <c r="F295" s="3">
        <v>521.12</v>
      </c>
      <c r="G295" s="3">
        <v>56.25</v>
      </c>
    </row>
    <row r="296" spans="1:7" x14ac:dyDescent="0.2">
      <c r="A296" s="2">
        <v>45527</v>
      </c>
      <c r="B296" s="1">
        <f t="shared" si="8"/>
        <v>45505</v>
      </c>
      <c r="C296" s="4" t="str">
        <f t="shared" si="9"/>
        <v>2024-08</v>
      </c>
      <c r="D296" s="3">
        <v>226.84</v>
      </c>
      <c r="E296" s="3">
        <v>129.37</v>
      </c>
      <c r="F296" s="3">
        <v>528</v>
      </c>
      <c r="G296" s="3">
        <v>61.32</v>
      </c>
    </row>
    <row r="297" spans="1:7" x14ac:dyDescent="0.2">
      <c r="A297" s="2">
        <v>45526</v>
      </c>
      <c r="B297" s="1">
        <f t="shared" si="8"/>
        <v>45505</v>
      </c>
      <c r="C297" s="4" t="str">
        <f t="shared" si="9"/>
        <v>2024-08</v>
      </c>
      <c r="D297" s="3">
        <v>224.53</v>
      </c>
      <c r="E297" s="3">
        <v>123.74</v>
      </c>
      <c r="F297" s="3">
        <v>531.92999999999995</v>
      </c>
      <c r="G297" s="3">
        <v>60.48</v>
      </c>
    </row>
    <row r="298" spans="1:7" x14ac:dyDescent="0.2">
      <c r="A298" s="2">
        <v>45525</v>
      </c>
      <c r="B298" s="1">
        <f t="shared" si="8"/>
        <v>45505</v>
      </c>
      <c r="C298" s="4" t="str">
        <f t="shared" si="9"/>
        <v>2024-08</v>
      </c>
      <c r="D298" s="3">
        <v>226.4</v>
      </c>
      <c r="E298" s="3">
        <v>128.5</v>
      </c>
      <c r="F298" s="3">
        <v>535.16</v>
      </c>
      <c r="G298" s="3">
        <v>62.38</v>
      </c>
    </row>
    <row r="299" spans="1:7" x14ac:dyDescent="0.2">
      <c r="A299" s="2">
        <v>45524</v>
      </c>
      <c r="B299" s="1">
        <f t="shared" si="8"/>
        <v>45505</v>
      </c>
      <c r="C299" s="4" t="str">
        <f t="shared" si="9"/>
        <v>2024-08</v>
      </c>
      <c r="D299" s="3">
        <v>226.51</v>
      </c>
      <c r="E299" s="3">
        <v>127.25</v>
      </c>
      <c r="F299" s="3">
        <v>526.73</v>
      </c>
      <c r="G299" s="3">
        <v>61.09</v>
      </c>
    </row>
    <row r="300" spans="1:7" x14ac:dyDescent="0.2">
      <c r="A300" s="2">
        <v>45523</v>
      </c>
      <c r="B300" s="1">
        <f t="shared" si="8"/>
        <v>45505</v>
      </c>
      <c r="C300" s="4" t="str">
        <f t="shared" si="9"/>
        <v>2024-08</v>
      </c>
      <c r="D300" s="3">
        <v>225.89</v>
      </c>
      <c r="E300" s="3">
        <v>130</v>
      </c>
      <c r="F300" s="3">
        <v>529.28</v>
      </c>
      <c r="G300" s="3">
        <v>62.36</v>
      </c>
    </row>
    <row r="301" spans="1:7" x14ac:dyDescent="0.2">
      <c r="A301" s="2">
        <v>45520</v>
      </c>
      <c r="B301" s="1">
        <f t="shared" si="8"/>
        <v>45505</v>
      </c>
      <c r="C301" s="4" t="str">
        <f t="shared" si="9"/>
        <v>2024-08</v>
      </c>
      <c r="D301" s="3">
        <v>226.05</v>
      </c>
      <c r="E301" s="3">
        <v>124.58</v>
      </c>
      <c r="F301" s="3">
        <v>527.41999999999996</v>
      </c>
      <c r="G301" s="3">
        <v>62.88</v>
      </c>
    </row>
    <row r="302" spans="1:7" x14ac:dyDescent="0.2">
      <c r="A302" s="2">
        <v>45519</v>
      </c>
      <c r="B302" s="1">
        <f t="shared" si="8"/>
        <v>45505</v>
      </c>
      <c r="C302" s="4" t="str">
        <f t="shared" si="9"/>
        <v>2024-08</v>
      </c>
      <c r="D302" s="3">
        <v>224.72</v>
      </c>
      <c r="E302" s="3">
        <v>122.86</v>
      </c>
      <c r="F302" s="3">
        <v>537.33000000000004</v>
      </c>
      <c r="G302" s="3">
        <v>62.67</v>
      </c>
    </row>
    <row r="303" spans="1:7" x14ac:dyDescent="0.2">
      <c r="A303" s="2">
        <v>45518</v>
      </c>
      <c r="B303" s="1">
        <f t="shared" si="8"/>
        <v>45505</v>
      </c>
      <c r="C303" s="4" t="str">
        <f t="shared" si="9"/>
        <v>2024-08</v>
      </c>
      <c r="D303" s="3">
        <v>221.72</v>
      </c>
      <c r="E303" s="3">
        <v>118.08</v>
      </c>
      <c r="F303" s="3">
        <v>526.76</v>
      </c>
      <c r="G303" s="3">
        <v>57.71</v>
      </c>
    </row>
    <row r="304" spans="1:7" x14ac:dyDescent="0.2">
      <c r="A304" s="2">
        <v>45517</v>
      </c>
      <c r="B304" s="1">
        <f t="shared" si="8"/>
        <v>45505</v>
      </c>
      <c r="C304" s="4" t="str">
        <f t="shared" si="9"/>
        <v>2024-08</v>
      </c>
      <c r="D304" s="3">
        <v>221.27</v>
      </c>
      <c r="E304" s="3">
        <v>116.14</v>
      </c>
      <c r="F304" s="3">
        <v>528.54</v>
      </c>
      <c r="G304" s="3">
        <v>56.74</v>
      </c>
    </row>
    <row r="305" spans="1:7" x14ac:dyDescent="0.2">
      <c r="A305" s="2">
        <v>45516</v>
      </c>
      <c r="B305" s="1">
        <f t="shared" si="8"/>
        <v>45505</v>
      </c>
      <c r="C305" s="4" t="str">
        <f t="shared" si="9"/>
        <v>2024-08</v>
      </c>
      <c r="D305" s="3">
        <v>217.53</v>
      </c>
      <c r="E305" s="3">
        <v>109.02</v>
      </c>
      <c r="F305" s="3">
        <v>515.95000000000005</v>
      </c>
      <c r="G305" s="3">
        <v>54.1</v>
      </c>
    </row>
    <row r="306" spans="1:7" x14ac:dyDescent="0.2">
      <c r="A306" s="2">
        <v>45513</v>
      </c>
      <c r="B306" s="1">
        <f t="shared" si="8"/>
        <v>45505</v>
      </c>
      <c r="C306" s="4" t="str">
        <f t="shared" si="9"/>
        <v>2024-08</v>
      </c>
      <c r="D306" s="3">
        <v>216.24</v>
      </c>
      <c r="E306" s="3">
        <v>104.75</v>
      </c>
      <c r="F306" s="3">
        <v>517.77</v>
      </c>
      <c r="G306" s="3">
        <v>50.88</v>
      </c>
    </row>
    <row r="307" spans="1:7" x14ac:dyDescent="0.2">
      <c r="A307" s="2">
        <v>45512</v>
      </c>
      <c r="B307" s="1">
        <f t="shared" si="8"/>
        <v>45505</v>
      </c>
      <c r="C307" s="4" t="str">
        <f t="shared" si="9"/>
        <v>2024-08</v>
      </c>
      <c r="D307" s="3">
        <v>213.31</v>
      </c>
      <c r="E307" s="3">
        <v>104.97</v>
      </c>
      <c r="F307" s="3">
        <v>509.63</v>
      </c>
      <c r="G307" s="3">
        <v>50.99</v>
      </c>
    </row>
    <row r="308" spans="1:7" x14ac:dyDescent="0.2">
      <c r="A308" s="2">
        <v>45511</v>
      </c>
      <c r="B308" s="1">
        <f t="shared" si="8"/>
        <v>45505</v>
      </c>
      <c r="C308" s="4" t="str">
        <f t="shared" si="9"/>
        <v>2024-08</v>
      </c>
      <c r="D308" s="3">
        <v>209.82</v>
      </c>
      <c r="E308" s="3">
        <v>98.91</v>
      </c>
      <c r="F308" s="3">
        <v>488.92</v>
      </c>
      <c r="G308" s="3">
        <v>49.27</v>
      </c>
    </row>
    <row r="309" spans="1:7" x14ac:dyDescent="0.2">
      <c r="A309" s="2">
        <v>45510</v>
      </c>
      <c r="B309" s="1">
        <f t="shared" si="8"/>
        <v>45505</v>
      </c>
      <c r="C309" s="4" t="str">
        <f t="shared" si="9"/>
        <v>2024-08</v>
      </c>
      <c r="D309" s="3">
        <v>207.23</v>
      </c>
      <c r="E309" s="3">
        <v>104.25</v>
      </c>
      <c r="F309" s="3">
        <v>494.09</v>
      </c>
      <c r="G309" s="3">
        <v>61.69</v>
      </c>
    </row>
    <row r="310" spans="1:7" x14ac:dyDescent="0.2">
      <c r="A310" s="2">
        <v>45509</v>
      </c>
      <c r="B310" s="1">
        <f t="shared" si="8"/>
        <v>45505</v>
      </c>
      <c r="C310" s="4" t="str">
        <f t="shared" si="9"/>
        <v>2024-08</v>
      </c>
      <c r="D310" s="3">
        <v>209.27</v>
      </c>
      <c r="E310" s="3">
        <v>100.45</v>
      </c>
      <c r="F310" s="3">
        <v>475.73</v>
      </c>
      <c r="G310" s="3">
        <v>60.88</v>
      </c>
    </row>
    <row r="311" spans="1:7" x14ac:dyDescent="0.2">
      <c r="A311" s="2">
        <v>45506</v>
      </c>
      <c r="B311" s="1">
        <f t="shared" si="8"/>
        <v>45505</v>
      </c>
      <c r="C311" s="4" t="str">
        <f t="shared" si="9"/>
        <v>2024-08</v>
      </c>
      <c r="D311" s="3">
        <v>219.86</v>
      </c>
      <c r="E311" s="3">
        <v>107.27</v>
      </c>
      <c r="F311" s="3">
        <v>488.14</v>
      </c>
      <c r="G311" s="3">
        <v>62.47</v>
      </c>
    </row>
    <row r="312" spans="1:7" x14ac:dyDescent="0.2">
      <c r="A312" s="2">
        <v>45505</v>
      </c>
      <c r="B312" s="1">
        <f t="shared" si="8"/>
        <v>45505</v>
      </c>
      <c r="C312" s="4" t="str">
        <f t="shared" si="9"/>
        <v>2024-08</v>
      </c>
      <c r="D312" s="3">
        <v>218.36</v>
      </c>
      <c r="E312" s="3">
        <v>109.21</v>
      </c>
      <c r="F312" s="3">
        <v>497.74</v>
      </c>
      <c r="G312" s="3">
        <v>67.22</v>
      </c>
    </row>
    <row r="313" spans="1:7" x14ac:dyDescent="0.2">
      <c r="A313" s="2">
        <v>45504</v>
      </c>
      <c r="B313" s="1">
        <f t="shared" si="8"/>
        <v>45474</v>
      </c>
      <c r="C313" s="4" t="str">
        <f t="shared" si="9"/>
        <v>2024-07</v>
      </c>
      <c r="D313" s="3">
        <v>222.08</v>
      </c>
      <c r="E313" s="3">
        <v>117.02</v>
      </c>
      <c r="F313" s="3">
        <v>474.83</v>
      </c>
      <c r="G313" s="3">
        <v>70.17</v>
      </c>
    </row>
    <row r="314" spans="1:7" x14ac:dyDescent="0.2">
      <c r="A314" s="2">
        <v>45503</v>
      </c>
      <c r="B314" s="1">
        <f t="shared" si="8"/>
        <v>45474</v>
      </c>
      <c r="C314" s="4" t="str">
        <f t="shared" si="9"/>
        <v>2024-07</v>
      </c>
      <c r="D314" s="3">
        <v>218.8</v>
      </c>
      <c r="E314" s="3">
        <v>103.73</v>
      </c>
      <c r="F314" s="3">
        <v>463.19</v>
      </c>
      <c r="G314" s="3">
        <v>66.63</v>
      </c>
    </row>
    <row r="315" spans="1:7" x14ac:dyDescent="0.2">
      <c r="A315" s="2">
        <v>45502</v>
      </c>
      <c r="B315" s="1">
        <f t="shared" si="8"/>
        <v>45474</v>
      </c>
      <c r="C315" s="4" t="str">
        <f t="shared" si="9"/>
        <v>2024-07</v>
      </c>
      <c r="D315" s="3">
        <v>218.24</v>
      </c>
      <c r="E315" s="3">
        <v>111.59</v>
      </c>
      <c r="F315" s="3">
        <v>465.71</v>
      </c>
      <c r="G315" s="3">
        <v>69.77</v>
      </c>
    </row>
    <row r="316" spans="1:7" x14ac:dyDescent="0.2">
      <c r="A316" s="2">
        <v>45499</v>
      </c>
      <c r="B316" s="1">
        <f t="shared" si="8"/>
        <v>45474</v>
      </c>
      <c r="C316" s="4" t="str">
        <f t="shared" si="9"/>
        <v>2024-07</v>
      </c>
      <c r="D316" s="3">
        <v>217.96</v>
      </c>
      <c r="E316" s="3">
        <v>113.06</v>
      </c>
      <c r="F316" s="3">
        <v>465.7</v>
      </c>
      <c r="G316" s="3">
        <v>71.22</v>
      </c>
    </row>
    <row r="317" spans="1:7" x14ac:dyDescent="0.2">
      <c r="A317" s="2">
        <v>45498</v>
      </c>
      <c r="B317" s="1">
        <f t="shared" si="8"/>
        <v>45474</v>
      </c>
      <c r="C317" s="4" t="str">
        <f t="shared" si="9"/>
        <v>2024-07</v>
      </c>
      <c r="D317" s="3">
        <v>217.49</v>
      </c>
      <c r="E317" s="3">
        <v>112.28</v>
      </c>
      <c r="F317" s="3">
        <v>453.41</v>
      </c>
      <c r="G317" s="3">
        <v>69.56</v>
      </c>
    </row>
    <row r="318" spans="1:7" x14ac:dyDescent="0.2">
      <c r="A318" s="2">
        <v>45497</v>
      </c>
      <c r="B318" s="1">
        <f t="shared" si="8"/>
        <v>45474</v>
      </c>
      <c r="C318" s="4" t="str">
        <f t="shared" si="9"/>
        <v>2024-07</v>
      </c>
      <c r="D318" s="3">
        <v>218.54</v>
      </c>
      <c r="E318" s="3">
        <v>114.25</v>
      </c>
      <c r="F318" s="3">
        <v>461.27</v>
      </c>
      <c r="G318" s="3">
        <v>71.16</v>
      </c>
    </row>
    <row r="319" spans="1:7" x14ac:dyDescent="0.2">
      <c r="A319" s="2">
        <v>45496</v>
      </c>
      <c r="B319" s="1">
        <f t="shared" si="8"/>
        <v>45474</v>
      </c>
      <c r="C319" s="4" t="str">
        <f t="shared" si="9"/>
        <v>2024-07</v>
      </c>
      <c r="D319" s="3">
        <v>225.01</v>
      </c>
      <c r="E319" s="3">
        <v>122.59</v>
      </c>
      <c r="F319" s="3">
        <v>488.69</v>
      </c>
      <c r="G319" s="3">
        <v>78.319999999999993</v>
      </c>
    </row>
    <row r="320" spans="1:7" x14ac:dyDescent="0.2">
      <c r="A320" s="2">
        <v>45495</v>
      </c>
      <c r="B320" s="1">
        <f t="shared" si="8"/>
        <v>45474</v>
      </c>
      <c r="C320" s="4" t="str">
        <f t="shared" si="9"/>
        <v>2024-07</v>
      </c>
      <c r="D320" s="3">
        <v>223.96</v>
      </c>
      <c r="E320" s="3">
        <v>123.54</v>
      </c>
      <c r="F320" s="3">
        <v>487.4</v>
      </c>
      <c r="G320" s="3">
        <v>78.63</v>
      </c>
    </row>
    <row r="321" spans="1:7" x14ac:dyDescent="0.2">
      <c r="A321" s="2">
        <v>45492</v>
      </c>
      <c r="B321" s="1">
        <f t="shared" si="8"/>
        <v>45474</v>
      </c>
      <c r="C321" s="4" t="str">
        <f t="shared" si="9"/>
        <v>2024-07</v>
      </c>
      <c r="D321" s="3">
        <v>224.31</v>
      </c>
      <c r="E321" s="3">
        <v>117.93</v>
      </c>
      <c r="F321" s="3">
        <v>476.79</v>
      </c>
      <c r="G321" s="3">
        <v>79.680000000000007</v>
      </c>
    </row>
    <row r="322" spans="1:7" x14ac:dyDescent="0.2">
      <c r="A322" s="2">
        <v>45491</v>
      </c>
      <c r="B322" s="1">
        <f t="shared" si="8"/>
        <v>45474</v>
      </c>
      <c r="C322" s="4" t="str">
        <f t="shared" si="9"/>
        <v>2024-07</v>
      </c>
      <c r="D322" s="3">
        <v>224.18</v>
      </c>
      <c r="E322" s="3">
        <v>121.09</v>
      </c>
      <c r="F322" s="3">
        <v>475.85</v>
      </c>
      <c r="G322" s="3">
        <v>80.16</v>
      </c>
    </row>
    <row r="323" spans="1:7" x14ac:dyDescent="0.2">
      <c r="A323" s="2">
        <v>45490</v>
      </c>
      <c r="B323" s="1">
        <f t="shared" ref="B323:B386" si="10">EOMONTH(A323, -1)+1</f>
        <v>45474</v>
      </c>
      <c r="C323" s="4" t="str">
        <f t="shared" ref="C323:C386" si="11">TEXT(A323, "yyyy-mm")</f>
        <v>2024-07</v>
      </c>
      <c r="D323" s="3">
        <v>228.88</v>
      </c>
      <c r="E323" s="3">
        <v>117.99</v>
      </c>
      <c r="F323" s="3">
        <v>461.99</v>
      </c>
      <c r="G323" s="3">
        <v>81.63</v>
      </c>
    </row>
    <row r="324" spans="1:7" x14ac:dyDescent="0.2">
      <c r="A324" s="2">
        <v>45489</v>
      </c>
      <c r="B324" s="1">
        <f t="shared" si="10"/>
        <v>45474</v>
      </c>
      <c r="C324" s="4" t="str">
        <f t="shared" si="11"/>
        <v>2024-07</v>
      </c>
      <c r="D324" s="3">
        <v>234.82</v>
      </c>
      <c r="E324" s="3">
        <v>126.36</v>
      </c>
      <c r="F324" s="3">
        <v>489.79</v>
      </c>
      <c r="G324" s="3">
        <v>87.7</v>
      </c>
    </row>
    <row r="325" spans="1:7" x14ac:dyDescent="0.2">
      <c r="A325" s="2">
        <v>45488</v>
      </c>
      <c r="B325" s="1">
        <f t="shared" si="10"/>
        <v>45474</v>
      </c>
      <c r="C325" s="4" t="str">
        <f t="shared" si="11"/>
        <v>2024-07</v>
      </c>
      <c r="D325" s="3">
        <v>234.4</v>
      </c>
      <c r="E325" s="3">
        <v>128.44</v>
      </c>
      <c r="F325" s="3">
        <v>496.16</v>
      </c>
      <c r="G325" s="3">
        <v>89.77</v>
      </c>
    </row>
    <row r="326" spans="1:7" x14ac:dyDescent="0.2">
      <c r="A326" s="2">
        <v>45485</v>
      </c>
      <c r="B326" s="1">
        <f t="shared" si="10"/>
        <v>45474</v>
      </c>
      <c r="C326" s="4" t="str">
        <f t="shared" si="11"/>
        <v>2024-07</v>
      </c>
      <c r="D326" s="3">
        <v>230.54</v>
      </c>
      <c r="E326" s="3">
        <v>129.24</v>
      </c>
      <c r="F326" s="3">
        <v>498.87</v>
      </c>
      <c r="G326" s="3">
        <v>91</v>
      </c>
    </row>
    <row r="327" spans="1:7" x14ac:dyDescent="0.2">
      <c r="A327" s="2">
        <v>45484</v>
      </c>
      <c r="B327" s="1">
        <f t="shared" si="10"/>
        <v>45474</v>
      </c>
      <c r="C327" s="4" t="str">
        <f t="shared" si="11"/>
        <v>2024-07</v>
      </c>
      <c r="D327" s="3">
        <v>227.57</v>
      </c>
      <c r="E327" s="3">
        <v>127.4</v>
      </c>
      <c r="F327" s="3">
        <v>512.70000000000005</v>
      </c>
      <c r="G327" s="3">
        <v>88.92</v>
      </c>
    </row>
    <row r="328" spans="1:7" x14ac:dyDescent="0.2">
      <c r="A328" s="2">
        <v>45483</v>
      </c>
      <c r="B328" s="1">
        <f t="shared" si="10"/>
        <v>45474</v>
      </c>
      <c r="C328" s="4" t="str">
        <f t="shared" si="11"/>
        <v>2024-07</v>
      </c>
      <c r="D328" s="3">
        <v>232.98</v>
      </c>
      <c r="E328" s="3">
        <v>134.91</v>
      </c>
      <c r="F328" s="3">
        <v>534.69000000000005</v>
      </c>
      <c r="G328" s="3">
        <v>90</v>
      </c>
    </row>
    <row r="329" spans="1:7" x14ac:dyDescent="0.2">
      <c r="A329" s="2">
        <v>45482</v>
      </c>
      <c r="B329" s="1">
        <f t="shared" si="10"/>
        <v>45474</v>
      </c>
      <c r="C329" s="4" t="str">
        <f t="shared" si="11"/>
        <v>2024-07</v>
      </c>
      <c r="D329" s="3">
        <v>228.68</v>
      </c>
      <c r="E329" s="3">
        <v>131.38</v>
      </c>
      <c r="F329" s="3">
        <v>530</v>
      </c>
      <c r="G329" s="3">
        <v>89.56</v>
      </c>
    </row>
    <row r="330" spans="1:7" x14ac:dyDescent="0.2">
      <c r="A330" s="2">
        <v>45481</v>
      </c>
      <c r="B330" s="1">
        <f t="shared" si="10"/>
        <v>45474</v>
      </c>
      <c r="C330" s="4" t="str">
        <f t="shared" si="11"/>
        <v>2024-07</v>
      </c>
      <c r="D330" s="3">
        <v>227.82</v>
      </c>
      <c r="E330" s="3">
        <v>128.19999999999999</v>
      </c>
      <c r="F330" s="3">
        <v>529.32000000000005</v>
      </c>
      <c r="G330" s="3">
        <v>89.93</v>
      </c>
    </row>
    <row r="331" spans="1:7" x14ac:dyDescent="0.2">
      <c r="A331" s="2">
        <v>45478</v>
      </c>
      <c r="B331" s="1">
        <f t="shared" si="10"/>
        <v>45474</v>
      </c>
      <c r="C331" s="4" t="str">
        <f t="shared" si="11"/>
        <v>2024-07</v>
      </c>
      <c r="D331" s="3">
        <v>226.34</v>
      </c>
      <c r="E331" s="3">
        <v>125.83</v>
      </c>
      <c r="F331" s="3">
        <v>539.91</v>
      </c>
      <c r="G331" s="3">
        <v>84.66</v>
      </c>
    </row>
    <row r="332" spans="1:7" x14ac:dyDescent="0.2">
      <c r="A332" s="2">
        <v>45476</v>
      </c>
      <c r="B332" s="1">
        <f t="shared" si="10"/>
        <v>45474</v>
      </c>
      <c r="C332" s="4" t="str">
        <f t="shared" si="11"/>
        <v>2024-07</v>
      </c>
      <c r="D332" s="3">
        <v>221.55</v>
      </c>
      <c r="E332" s="3">
        <v>128.28</v>
      </c>
      <c r="F332" s="3">
        <v>509.96</v>
      </c>
      <c r="G332" s="3">
        <v>84.7</v>
      </c>
    </row>
    <row r="333" spans="1:7" x14ac:dyDescent="0.2">
      <c r="A333" s="2">
        <v>45475</v>
      </c>
      <c r="B333" s="1">
        <f t="shared" si="10"/>
        <v>45474</v>
      </c>
      <c r="C333" s="4" t="str">
        <f t="shared" si="11"/>
        <v>2024-07</v>
      </c>
      <c r="D333" s="3">
        <v>220.27</v>
      </c>
      <c r="E333" s="3">
        <v>122.67</v>
      </c>
      <c r="F333" s="3">
        <v>509.5</v>
      </c>
      <c r="G333" s="3">
        <v>83.72</v>
      </c>
    </row>
    <row r="334" spans="1:7" x14ac:dyDescent="0.2">
      <c r="A334" s="2">
        <v>45474</v>
      </c>
      <c r="B334" s="1">
        <f t="shared" si="10"/>
        <v>45474</v>
      </c>
      <c r="C334" s="4" t="str">
        <f t="shared" si="11"/>
        <v>2024-07</v>
      </c>
      <c r="D334" s="3">
        <v>216.75</v>
      </c>
      <c r="E334" s="3">
        <v>124.3</v>
      </c>
      <c r="F334" s="3">
        <v>504.68</v>
      </c>
      <c r="G334" s="3">
        <v>81.23</v>
      </c>
    </row>
    <row r="335" spans="1:7" x14ac:dyDescent="0.2">
      <c r="A335" s="2">
        <v>45471</v>
      </c>
      <c r="B335" s="1">
        <f t="shared" si="10"/>
        <v>45444</v>
      </c>
      <c r="C335" s="4" t="str">
        <f t="shared" si="11"/>
        <v>2024-06</v>
      </c>
      <c r="D335" s="3">
        <v>210.62</v>
      </c>
      <c r="E335" s="3">
        <v>123.54</v>
      </c>
      <c r="F335" s="3">
        <v>504.22</v>
      </c>
      <c r="G335" s="3">
        <v>81.94</v>
      </c>
    </row>
    <row r="336" spans="1:7" x14ac:dyDescent="0.2">
      <c r="A336" s="2">
        <v>45470</v>
      </c>
      <c r="B336" s="1">
        <f t="shared" si="10"/>
        <v>45444</v>
      </c>
      <c r="C336" s="4" t="str">
        <f t="shared" si="11"/>
        <v>2024-06</v>
      </c>
      <c r="D336" s="3">
        <v>214.1</v>
      </c>
      <c r="E336" s="3">
        <v>123.99</v>
      </c>
      <c r="F336" s="3">
        <v>519.55999999999995</v>
      </c>
      <c r="G336" s="3">
        <v>89.04</v>
      </c>
    </row>
    <row r="337" spans="1:7" x14ac:dyDescent="0.2">
      <c r="A337" s="2">
        <v>45469</v>
      </c>
      <c r="B337" s="1">
        <f t="shared" si="10"/>
        <v>45444</v>
      </c>
      <c r="C337" s="4" t="str">
        <f t="shared" si="11"/>
        <v>2024-06</v>
      </c>
      <c r="D337" s="3">
        <v>213.25</v>
      </c>
      <c r="E337" s="3">
        <v>126.4</v>
      </c>
      <c r="F337" s="3">
        <v>513.12</v>
      </c>
      <c r="G337" s="3">
        <v>83.12</v>
      </c>
    </row>
    <row r="338" spans="1:7" x14ac:dyDescent="0.2">
      <c r="A338" s="2">
        <v>45468</v>
      </c>
      <c r="B338" s="1">
        <f t="shared" si="10"/>
        <v>45444</v>
      </c>
      <c r="C338" s="4" t="str">
        <f t="shared" si="11"/>
        <v>2024-06</v>
      </c>
      <c r="D338" s="3">
        <v>209.07</v>
      </c>
      <c r="E338" s="3">
        <v>126.09</v>
      </c>
      <c r="F338" s="3">
        <v>510.6</v>
      </c>
      <c r="G338" s="3">
        <v>84.31</v>
      </c>
    </row>
    <row r="339" spans="1:7" x14ac:dyDescent="0.2">
      <c r="A339" s="2">
        <v>45467</v>
      </c>
      <c r="B339" s="1">
        <f t="shared" si="10"/>
        <v>45444</v>
      </c>
      <c r="C339" s="4" t="str">
        <f t="shared" si="11"/>
        <v>2024-06</v>
      </c>
      <c r="D339" s="3">
        <v>208.14</v>
      </c>
      <c r="E339" s="3">
        <v>118.11</v>
      </c>
      <c r="F339" s="3">
        <v>498.91</v>
      </c>
      <c r="G339" s="3">
        <v>82.7</v>
      </c>
    </row>
    <row r="340" spans="1:7" x14ac:dyDescent="0.2">
      <c r="A340" s="2">
        <v>45464</v>
      </c>
      <c r="B340" s="1">
        <f t="shared" si="10"/>
        <v>45444</v>
      </c>
      <c r="C340" s="4" t="str">
        <f t="shared" si="11"/>
        <v>2024-06</v>
      </c>
      <c r="D340" s="3">
        <v>207.49</v>
      </c>
      <c r="E340" s="3">
        <v>126.57</v>
      </c>
      <c r="F340" s="3">
        <v>494.78</v>
      </c>
      <c r="G340" s="3">
        <v>90.53</v>
      </c>
    </row>
    <row r="341" spans="1:7" x14ac:dyDescent="0.2">
      <c r="A341" s="2">
        <v>45463</v>
      </c>
      <c r="B341" s="1">
        <f t="shared" si="10"/>
        <v>45444</v>
      </c>
      <c r="C341" s="4" t="str">
        <f t="shared" si="11"/>
        <v>2024-06</v>
      </c>
      <c r="D341" s="3">
        <v>209.68</v>
      </c>
      <c r="E341" s="3">
        <v>130.78</v>
      </c>
      <c r="F341" s="3">
        <v>501.7</v>
      </c>
      <c r="G341" s="3">
        <v>91.76</v>
      </c>
    </row>
    <row r="342" spans="1:7" x14ac:dyDescent="0.2">
      <c r="A342" s="2">
        <v>45461</v>
      </c>
      <c r="B342" s="1">
        <f t="shared" si="10"/>
        <v>45444</v>
      </c>
      <c r="C342" s="4" t="str">
        <f t="shared" si="11"/>
        <v>2024-06</v>
      </c>
      <c r="D342" s="3">
        <v>214.29</v>
      </c>
      <c r="E342" s="3">
        <v>135.58000000000001</v>
      </c>
      <c r="F342" s="3">
        <v>499.49</v>
      </c>
      <c r="G342" s="3">
        <v>92</v>
      </c>
    </row>
    <row r="343" spans="1:7" x14ac:dyDescent="0.2">
      <c r="A343" s="2">
        <v>45460</v>
      </c>
      <c r="B343" s="1">
        <f t="shared" si="10"/>
        <v>45444</v>
      </c>
      <c r="C343" s="4" t="str">
        <f t="shared" si="11"/>
        <v>2024-06</v>
      </c>
      <c r="D343" s="3">
        <v>216.67</v>
      </c>
      <c r="E343" s="3">
        <v>130.97999999999999</v>
      </c>
      <c r="F343" s="3">
        <v>506.63</v>
      </c>
      <c r="G343" s="3">
        <v>88.74</v>
      </c>
    </row>
    <row r="344" spans="1:7" x14ac:dyDescent="0.2">
      <c r="A344" s="2">
        <v>45457</v>
      </c>
      <c r="B344" s="1">
        <f t="shared" si="10"/>
        <v>45444</v>
      </c>
      <c r="C344" s="4" t="str">
        <f t="shared" si="11"/>
        <v>2024-06</v>
      </c>
      <c r="D344" s="3">
        <v>212.49</v>
      </c>
      <c r="E344" s="3">
        <v>131.88</v>
      </c>
      <c r="F344" s="3">
        <v>504.16</v>
      </c>
      <c r="G344" s="3">
        <v>84.45</v>
      </c>
    </row>
    <row r="345" spans="1:7" x14ac:dyDescent="0.2">
      <c r="A345" s="2">
        <v>45456</v>
      </c>
      <c r="B345" s="1">
        <f t="shared" si="10"/>
        <v>45444</v>
      </c>
      <c r="C345" s="4" t="str">
        <f t="shared" si="11"/>
        <v>2024-06</v>
      </c>
      <c r="D345" s="3">
        <v>214.24</v>
      </c>
      <c r="E345" s="3">
        <v>129.61000000000001</v>
      </c>
      <c r="F345" s="3">
        <v>504.1</v>
      </c>
      <c r="G345" s="3">
        <v>87.11</v>
      </c>
    </row>
    <row r="346" spans="1:7" x14ac:dyDescent="0.2">
      <c r="A346" s="2">
        <v>45455</v>
      </c>
      <c r="B346" s="1">
        <f t="shared" si="10"/>
        <v>45444</v>
      </c>
      <c r="C346" s="4" t="str">
        <f t="shared" si="11"/>
        <v>2024-06</v>
      </c>
      <c r="D346" s="3">
        <v>213.07</v>
      </c>
      <c r="E346" s="3">
        <v>125.2</v>
      </c>
      <c r="F346" s="3">
        <v>508.84</v>
      </c>
      <c r="G346" s="3">
        <v>77.47</v>
      </c>
    </row>
    <row r="347" spans="1:7" x14ac:dyDescent="0.2">
      <c r="A347" s="2">
        <v>45454</v>
      </c>
      <c r="B347" s="1">
        <f t="shared" si="10"/>
        <v>45444</v>
      </c>
      <c r="C347" s="4" t="str">
        <f t="shared" si="11"/>
        <v>2024-06</v>
      </c>
      <c r="D347" s="3">
        <v>207.15</v>
      </c>
      <c r="E347" s="3">
        <v>120.91</v>
      </c>
      <c r="F347" s="3">
        <v>507.47</v>
      </c>
      <c r="G347" s="3">
        <v>76.760000000000005</v>
      </c>
    </row>
    <row r="348" spans="1:7" x14ac:dyDescent="0.2">
      <c r="A348" s="2">
        <v>45453</v>
      </c>
      <c r="B348" s="1">
        <f t="shared" si="10"/>
        <v>45444</v>
      </c>
      <c r="C348" s="4" t="str">
        <f t="shared" si="11"/>
        <v>2024-06</v>
      </c>
      <c r="D348" s="3">
        <v>193.12</v>
      </c>
      <c r="E348" s="3">
        <v>121.79</v>
      </c>
      <c r="F348" s="3">
        <v>502.6</v>
      </c>
      <c r="G348" s="3">
        <v>78.69</v>
      </c>
    </row>
    <row r="349" spans="1:7" x14ac:dyDescent="0.2">
      <c r="A349" s="2">
        <v>45450</v>
      </c>
      <c r="B349" s="1">
        <f t="shared" si="10"/>
        <v>45444</v>
      </c>
      <c r="C349" s="4" t="str">
        <f t="shared" si="11"/>
        <v>2024-06</v>
      </c>
      <c r="D349" s="3">
        <v>196.89</v>
      </c>
      <c r="E349" s="3">
        <v>120.89</v>
      </c>
      <c r="F349" s="3">
        <v>492.96</v>
      </c>
      <c r="G349" s="3">
        <v>76.91</v>
      </c>
    </row>
    <row r="350" spans="1:7" x14ac:dyDescent="0.2">
      <c r="A350" s="2">
        <v>45449</v>
      </c>
      <c r="B350" s="1">
        <f t="shared" si="10"/>
        <v>45444</v>
      </c>
      <c r="C350" s="4" t="str">
        <f t="shared" si="11"/>
        <v>2024-06</v>
      </c>
      <c r="D350" s="3">
        <v>194.48</v>
      </c>
      <c r="E350" s="3">
        <v>121</v>
      </c>
      <c r="F350" s="3">
        <v>493.76</v>
      </c>
      <c r="G350" s="3">
        <v>77.790000000000006</v>
      </c>
    </row>
    <row r="351" spans="1:7" x14ac:dyDescent="0.2">
      <c r="A351" s="2">
        <v>45448</v>
      </c>
      <c r="B351" s="1">
        <f t="shared" si="10"/>
        <v>45444</v>
      </c>
      <c r="C351" s="4" t="str">
        <f t="shared" si="11"/>
        <v>2024-06</v>
      </c>
      <c r="D351" s="3">
        <v>195.87</v>
      </c>
      <c r="E351" s="3">
        <v>122.44</v>
      </c>
      <c r="F351" s="3">
        <v>495.06</v>
      </c>
      <c r="G351" s="3">
        <v>80.25</v>
      </c>
    </row>
    <row r="352" spans="1:7" x14ac:dyDescent="0.2">
      <c r="A352" s="2">
        <v>45447</v>
      </c>
      <c r="B352" s="1">
        <f t="shared" si="10"/>
        <v>45444</v>
      </c>
      <c r="C352" s="4" t="str">
        <f t="shared" si="11"/>
        <v>2024-06</v>
      </c>
      <c r="D352" s="3">
        <v>194.35</v>
      </c>
      <c r="E352" s="3">
        <v>116.44</v>
      </c>
      <c r="F352" s="3">
        <v>476.99</v>
      </c>
      <c r="G352" s="3">
        <v>77.16</v>
      </c>
    </row>
    <row r="353" spans="1:7" x14ac:dyDescent="0.2">
      <c r="A353" s="2">
        <v>45446</v>
      </c>
      <c r="B353" s="1">
        <f t="shared" si="10"/>
        <v>45444</v>
      </c>
      <c r="C353" s="4" t="str">
        <f t="shared" si="11"/>
        <v>2024-06</v>
      </c>
      <c r="D353" s="3">
        <v>194.03</v>
      </c>
      <c r="E353" s="3">
        <v>115</v>
      </c>
      <c r="F353" s="3">
        <v>477.49</v>
      </c>
      <c r="G353" s="3">
        <v>77.06</v>
      </c>
    </row>
    <row r="354" spans="1:7" x14ac:dyDescent="0.2">
      <c r="A354" s="2">
        <v>45443</v>
      </c>
      <c r="B354" s="1">
        <f t="shared" si="10"/>
        <v>45413</v>
      </c>
      <c r="C354" s="4" t="str">
        <f t="shared" si="11"/>
        <v>2024-05</v>
      </c>
      <c r="D354" s="3">
        <v>192.25</v>
      </c>
      <c r="E354" s="3">
        <v>109.63</v>
      </c>
      <c r="F354" s="3">
        <v>466.83</v>
      </c>
      <c r="G354" s="3">
        <v>78.45</v>
      </c>
    </row>
    <row r="355" spans="1:7" x14ac:dyDescent="0.2">
      <c r="A355" s="2">
        <v>45442</v>
      </c>
      <c r="B355" s="1">
        <f t="shared" si="10"/>
        <v>45413</v>
      </c>
      <c r="C355" s="4" t="str">
        <f t="shared" si="11"/>
        <v>2024-05</v>
      </c>
      <c r="D355" s="3">
        <v>191.29</v>
      </c>
      <c r="E355" s="3">
        <v>110.5</v>
      </c>
      <c r="F355" s="3">
        <v>467.05</v>
      </c>
      <c r="G355" s="3">
        <v>82.79</v>
      </c>
    </row>
    <row r="356" spans="1:7" x14ac:dyDescent="0.2">
      <c r="A356" s="2">
        <v>45441</v>
      </c>
      <c r="B356" s="1">
        <f t="shared" si="10"/>
        <v>45413</v>
      </c>
      <c r="C356" s="4" t="str">
        <f t="shared" si="11"/>
        <v>2024-05</v>
      </c>
      <c r="D356" s="3">
        <v>190.29</v>
      </c>
      <c r="E356" s="3">
        <v>114.83</v>
      </c>
      <c r="F356" s="3">
        <v>474.36</v>
      </c>
      <c r="G356" s="3">
        <v>83.97</v>
      </c>
    </row>
    <row r="357" spans="1:7" x14ac:dyDescent="0.2">
      <c r="A357" s="2">
        <v>45440</v>
      </c>
      <c r="B357" s="1">
        <f t="shared" si="10"/>
        <v>45413</v>
      </c>
      <c r="C357" s="4" t="str">
        <f t="shared" si="11"/>
        <v>2024-05</v>
      </c>
      <c r="D357" s="3">
        <v>189.99</v>
      </c>
      <c r="E357" s="3">
        <v>113.9</v>
      </c>
      <c r="F357" s="3">
        <v>479.92</v>
      </c>
      <c r="G357" s="3">
        <v>87.47</v>
      </c>
    </row>
    <row r="358" spans="1:7" x14ac:dyDescent="0.2">
      <c r="A358" s="2">
        <v>45436</v>
      </c>
      <c r="B358" s="1">
        <f t="shared" si="10"/>
        <v>45413</v>
      </c>
      <c r="C358" s="4" t="str">
        <f t="shared" si="11"/>
        <v>2024-05</v>
      </c>
      <c r="D358" s="3">
        <v>189.98</v>
      </c>
      <c r="E358" s="3">
        <v>106.47</v>
      </c>
      <c r="F358" s="3">
        <v>478.22</v>
      </c>
      <c r="G358" s="3">
        <v>88.39</v>
      </c>
    </row>
    <row r="359" spans="1:7" x14ac:dyDescent="0.2">
      <c r="A359" s="2">
        <v>45435</v>
      </c>
      <c r="B359" s="1">
        <f t="shared" si="10"/>
        <v>45413</v>
      </c>
      <c r="C359" s="4" t="str">
        <f t="shared" si="11"/>
        <v>2024-05</v>
      </c>
      <c r="D359" s="3">
        <v>186.88</v>
      </c>
      <c r="E359" s="3">
        <v>103.8</v>
      </c>
      <c r="F359" s="3">
        <v>465.78</v>
      </c>
      <c r="G359" s="3">
        <v>84.74</v>
      </c>
    </row>
    <row r="360" spans="1:7" x14ac:dyDescent="0.2">
      <c r="A360" s="2">
        <v>45434</v>
      </c>
      <c r="B360" s="1">
        <f t="shared" si="10"/>
        <v>45413</v>
      </c>
      <c r="C360" s="4" t="str">
        <f t="shared" si="11"/>
        <v>2024-05</v>
      </c>
      <c r="D360" s="3">
        <v>190.9</v>
      </c>
      <c r="E360" s="3">
        <v>94.95</v>
      </c>
      <c r="F360" s="3">
        <v>467.78</v>
      </c>
      <c r="G360" s="3">
        <v>87.33</v>
      </c>
    </row>
    <row r="361" spans="1:7" x14ac:dyDescent="0.2">
      <c r="A361" s="2">
        <v>45433</v>
      </c>
      <c r="B361" s="1">
        <f t="shared" si="10"/>
        <v>45413</v>
      </c>
      <c r="C361" s="4" t="str">
        <f t="shared" si="11"/>
        <v>2024-05</v>
      </c>
      <c r="D361" s="3">
        <v>192.35</v>
      </c>
      <c r="E361" s="3">
        <v>95.39</v>
      </c>
      <c r="F361" s="3">
        <v>464.63</v>
      </c>
      <c r="G361" s="3">
        <v>89.9</v>
      </c>
    </row>
    <row r="362" spans="1:7" x14ac:dyDescent="0.2">
      <c r="A362" s="2">
        <v>45432</v>
      </c>
      <c r="B362" s="1">
        <f t="shared" si="10"/>
        <v>45413</v>
      </c>
      <c r="C362" s="4" t="str">
        <f t="shared" si="11"/>
        <v>2024-05</v>
      </c>
      <c r="D362" s="3">
        <v>191.04</v>
      </c>
      <c r="E362" s="3">
        <v>94.78</v>
      </c>
      <c r="F362" s="3">
        <v>468.84</v>
      </c>
      <c r="G362" s="3">
        <v>90.39</v>
      </c>
    </row>
    <row r="363" spans="1:7" x14ac:dyDescent="0.2">
      <c r="A363" s="2">
        <v>45429</v>
      </c>
      <c r="B363" s="1">
        <f t="shared" si="10"/>
        <v>45413</v>
      </c>
      <c r="C363" s="4" t="str">
        <f t="shared" si="11"/>
        <v>2024-05</v>
      </c>
      <c r="D363" s="3">
        <v>189.87</v>
      </c>
      <c r="E363" s="3">
        <v>92.48</v>
      </c>
      <c r="F363" s="3">
        <v>471.91</v>
      </c>
      <c r="G363" s="3">
        <v>88.79</v>
      </c>
    </row>
    <row r="364" spans="1:7" x14ac:dyDescent="0.2">
      <c r="A364" s="2">
        <v>45428</v>
      </c>
      <c r="B364" s="1">
        <f t="shared" si="10"/>
        <v>45413</v>
      </c>
      <c r="C364" s="4" t="str">
        <f t="shared" si="11"/>
        <v>2024-05</v>
      </c>
      <c r="D364" s="3">
        <v>189.84</v>
      </c>
      <c r="E364" s="3">
        <v>94.36</v>
      </c>
      <c r="F364" s="3">
        <v>473.23</v>
      </c>
      <c r="G364" s="3">
        <v>90.44</v>
      </c>
    </row>
    <row r="365" spans="1:7" x14ac:dyDescent="0.2">
      <c r="A365" s="2">
        <v>45427</v>
      </c>
      <c r="B365" s="1">
        <f t="shared" si="10"/>
        <v>45413</v>
      </c>
      <c r="C365" s="4" t="str">
        <f t="shared" si="11"/>
        <v>2024-05</v>
      </c>
      <c r="D365" s="3">
        <v>189.72</v>
      </c>
      <c r="E365" s="3">
        <v>94.63</v>
      </c>
      <c r="F365" s="3">
        <v>481.54</v>
      </c>
      <c r="G365" s="3">
        <v>95.24</v>
      </c>
    </row>
    <row r="366" spans="1:7" x14ac:dyDescent="0.2">
      <c r="A366" s="2">
        <v>45426</v>
      </c>
      <c r="B366" s="1">
        <f t="shared" si="10"/>
        <v>45413</v>
      </c>
      <c r="C366" s="4" t="str">
        <f t="shared" si="11"/>
        <v>2024-05</v>
      </c>
      <c r="D366" s="3">
        <v>187.43</v>
      </c>
      <c r="E366" s="3">
        <v>91.36</v>
      </c>
      <c r="F366" s="3">
        <v>471.85</v>
      </c>
      <c r="G366" s="3">
        <v>82.24</v>
      </c>
    </row>
    <row r="367" spans="1:7" x14ac:dyDescent="0.2">
      <c r="A367" s="2">
        <v>45425</v>
      </c>
      <c r="B367" s="1">
        <f t="shared" si="10"/>
        <v>45413</v>
      </c>
      <c r="C367" s="4" t="str">
        <f t="shared" si="11"/>
        <v>2024-05</v>
      </c>
      <c r="D367" s="3">
        <v>186.28</v>
      </c>
      <c r="E367" s="3">
        <v>90.4</v>
      </c>
      <c r="F367" s="3">
        <v>468.01</v>
      </c>
      <c r="G367" s="3">
        <v>78.28</v>
      </c>
    </row>
    <row r="368" spans="1:7" x14ac:dyDescent="0.2">
      <c r="A368" s="2">
        <v>45422</v>
      </c>
      <c r="B368" s="1">
        <f t="shared" si="10"/>
        <v>45413</v>
      </c>
      <c r="C368" s="4" t="str">
        <f t="shared" si="11"/>
        <v>2024-05</v>
      </c>
      <c r="D368" s="3">
        <v>183.05</v>
      </c>
      <c r="E368" s="3">
        <v>89.88</v>
      </c>
      <c r="F368" s="3">
        <v>476.2</v>
      </c>
      <c r="G368" s="3">
        <v>79.849999999999994</v>
      </c>
    </row>
    <row r="369" spans="1:7" x14ac:dyDescent="0.2">
      <c r="A369" s="2">
        <v>45421</v>
      </c>
      <c r="B369" s="1">
        <f t="shared" si="10"/>
        <v>45413</v>
      </c>
      <c r="C369" s="4" t="str">
        <f t="shared" si="11"/>
        <v>2024-05</v>
      </c>
      <c r="D369" s="3">
        <v>184.57</v>
      </c>
      <c r="E369" s="3">
        <v>88.75</v>
      </c>
      <c r="F369" s="3">
        <v>475.42</v>
      </c>
      <c r="G369" s="3">
        <v>79.97</v>
      </c>
    </row>
    <row r="370" spans="1:7" x14ac:dyDescent="0.2">
      <c r="A370" s="2">
        <v>45420</v>
      </c>
      <c r="B370" s="1">
        <f t="shared" si="10"/>
        <v>45413</v>
      </c>
      <c r="C370" s="4" t="str">
        <f t="shared" si="11"/>
        <v>2024-05</v>
      </c>
      <c r="D370" s="3">
        <v>182.74</v>
      </c>
      <c r="E370" s="3">
        <v>90.41</v>
      </c>
      <c r="F370" s="3">
        <v>472.6</v>
      </c>
      <c r="G370" s="3">
        <v>82.26</v>
      </c>
    </row>
    <row r="371" spans="1:7" x14ac:dyDescent="0.2">
      <c r="A371" s="2">
        <v>45419</v>
      </c>
      <c r="B371" s="1">
        <f t="shared" si="10"/>
        <v>45413</v>
      </c>
      <c r="C371" s="4" t="str">
        <f t="shared" si="11"/>
        <v>2024-05</v>
      </c>
      <c r="D371" s="3">
        <v>182.4</v>
      </c>
      <c r="E371" s="3">
        <v>90.55</v>
      </c>
      <c r="F371" s="3">
        <v>468.24</v>
      </c>
      <c r="G371" s="3">
        <v>81.93</v>
      </c>
    </row>
    <row r="372" spans="1:7" x14ac:dyDescent="0.2">
      <c r="A372" s="2">
        <v>45418</v>
      </c>
      <c r="B372" s="1">
        <f t="shared" si="10"/>
        <v>45413</v>
      </c>
      <c r="C372" s="4" t="str">
        <f t="shared" si="11"/>
        <v>2024-05</v>
      </c>
      <c r="D372" s="3">
        <v>181.71</v>
      </c>
      <c r="E372" s="3">
        <v>92.14</v>
      </c>
      <c r="F372" s="3">
        <v>465.68</v>
      </c>
      <c r="G372" s="3">
        <v>83.04</v>
      </c>
    </row>
    <row r="373" spans="1:7" x14ac:dyDescent="0.2">
      <c r="A373" s="2">
        <v>45415</v>
      </c>
      <c r="B373" s="1">
        <f t="shared" si="10"/>
        <v>45413</v>
      </c>
      <c r="C373" s="4" t="str">
        <f t="shared" si="11"/>
        <v>2024-05</v>
      </c>
      <c r="D373" s="3">
        <v>183.38</v>
      </c>
      <c r="E373" s="3">
        <v>88.79</v>
      </c>
      <c r="F373" s="3">
        <v>451.96</v>
      </c>
      <c r="G373" s="3">
        <v>78.27</v>
      </c>
    </row>
    <row r="374" spans="1:7" x14ac:dyDescent="0.2">
      <c r="A374" s="2">
        <v>45414</v>
      </c>
      <c r="B374" s="1">
        <f t="shared" si="10"/>
        <v>45413</v>
      </c>
      <c r="C374" s="4" t="str">
        <f t="shared" si="11"/>
        <v>2024-05</v>
      </c>
      <c r="D374" s="3">
        <v>173.03</v>
      </c>
      <c r="E374" s="3">
        <v>85.82</v>
      </c>
      <c r="F374" s="3">
        <v>441.68</v>
      </c>
      <c r="G374" s="3">
        <v>76.25</v>
      </c>
    </row>
    <row r="375" spans="1:7" x14ac:dyDescent="0.2">
      <c r="A375" s="2">
        <v>45413</v>
      </c>
      <c r="B375" s="1">
        <f t="shared" si="10"/>
        <v>45413</v>
      </c>
      <c r="C375" s="4" t="str">
        <f t="shared" si="11"/>
        <v>2024-05</v>
      </c>
      <c r="D375" s="3">
        <v>169.3</v>
      </c>
      <c r="E375" s="3">
        <v>83.04</v>
      </c>
      <c r="F375" s="3">
        <v>439.19</v>
      </c>
      <c r="G375" s="3">
        <v>73.83</v>
      </c>
    </row>
    <row r="376" spans="1:7" x14ac:dyDescent="0.2">
      <c r="A376" s="2">
        <v>45412</v>
      </c>
      <c r="B376" s="1">
        <f t="shared" si="10"/>
        <v>45383</v>
      </c>
      <c r="C376" s="4" t="str">
        <f t="shared" si="11"/>
        <v>2024-04</v>
      </c>
      <c r="D376" s="3">
        <v>170.33</v>
      </c>
      <c r="E376" s="3">
        <v>86.4</v>
      </c>
      <c r="F376" s="3">
        <v>430.17</v>
      </c>
      <c r="G376" s="3">
        <v>85.88</v>
      </c>
    </row>
    <row r="377" spans="1:7" x14ac:dyDescent="0.2">
      <c r="A377" s="2">
        <v>45411</v>
      </c>
      <c r="B377" s="1">
        <f t="shared" si="10"/>
        <v>45383</v>
      </c>
      <c r="C377" s="4" t="str">
        <f t="shared" si="11"/>
        <v>2024-04</v>
      </c>
      <c r="D377" s="3">
        <v>173.5</v>
      </c>
      <c r="E377" s="3">
        <v>87.76</v>
      </c>
      <c r="F377" s="3">
        <v>432.62</v>
      </c>
      <c r="G377" s="3">
        <v>89.04</v>
      </c>
    </row>
    <row r="378" spans="1:7" x14ac:dyDescent="0.2">
      <c r="A378" s="2">
        <v>45408</v>
      </c>
      <c r="B378" s="1">
        <f t="shared" si="10"/>
        <v>45383</v>
      </c>
      <c r="C378" s="4" t="str">
        <f t="shared" si="11"/>
        <v>2024-04</v>
      </c>
      <c r="D378" s="3">
        <v>169.3</v>
      </c>
      <c r="E378" s="3">
        <v>87.74</v>
      </c>
      <c r="F378" s="3">
        <v>443.29</v>
      </c>
      <c r="G378" s="3">
        <v>85.74</v>
      </c>
    </row>
    <row r="379" spans="1:7" x14ac:dyDescent="0.2">
      <c r="A379" s="2">
        <v>45407</v>
      </c>
      <c r="B379" s="1">
        <f t="shared" si="10"/>
        <v>45383</v>
      </c>
      <c r="C379" s="4" t="str">
        <f t="shared" si="11"/>
        <v>2024-04</v>
      </c>
      <c r="D379" s="3">
        <v>169.89</v>
      </c>
      <c r="E379" s="3">
        <v>82.63</v>
      </c>
      <c r="F379" s="3">
        <v>441.38</v>
      </c>
      <c r="G379" s="3">
        <v>78.739999999999995</v>
      </c>
    </row>
    <row r="380" spans="1:7" x14ac:dyDescent="0.2">
      <c r="A380" s="2">
        <v>45406</v>
      </c>
      <c r="B380" s="1">
        <f t="shared" si="10"/>
        <v>45383</v>
      </c>
      <c r="C380" s="4" t="str">
        <f t="shared" si="11"/>
        <v>2024-04</v>
      </c>
      <c r="D380" s="3">
        <v>169.02</v>
      </c>
      <c r="E380" s="3">
        <v>79.680000000000007</v>
      </c>
      <c r="F380" s="3">
        <v>493.5</v>
      </c>
      <c r="G380" s="3">
        <v>75.47</v>
      </c>
    </row>
    <row r="381" spans="1:7" x14ac:dyDescent="0.2">
      <c r="A381" s="2">
        <v>45405</v>
      </c>
      <c r="B381" s="1">
        <f t="shared" si="10"/>
        <v>45383</v>
      </c>
      <c r="C381" s="4" t="str">
        <f t="shared" si="11"/>
        <v>2024-04</v>
      </c>
      <c r="D381" s="3">
        <v>166.9</v>
      </c>
      <c r="E381" s="3">
        <v>82.42</v>
      </c>
      <c r="F381" s="3">
        <v>496.1</v>
      </c>
      <c r="G381" s="3">
        <v>76.19</v>
      </c>
    </row>
    <row r="382" spans="1:7" x14ac:dyDescent="0.2">
      <c r="A382" s="2">
        <v>45404</v>
      </c>
      <c r="B382" s="1">
        <f t="shared" si="10"/>
        <v>45383</v>
      </c>
      <c r="C382" s="4" t="str">
        <f t="shared" si="11"/>
        <v>2024-04</v>
      </c>
      <c r="D382" s="3">
        <v>165.84</v>
      </c>
      <c r="E382" s="3">
        <v>79.52</v>
      </c>
      <c r="F382" s="3">
        <v>481.73</v>
      </c>
      <c r="G382" s="3">
        <v>71.7</v>
      </c>
    </row>
    <row r="383" spans="1:7" x14ac:dyDescent="0.2">
      <c r="A383" s="2">
        <v>45401</v>
      </c>
      <c r="B383" s="1">
        <f t="shared" si="10"/>
        <v>45383</v>
      </c>
      <c r="C383" s="4" t="str">
        <f t="shared" si="11"/>
        <v>2024-04</v>
      </c>
      <c r="D383" s="3">
        <v>165</v>
      </c>
      <c r="E383" s="3">
        <v>76.2</v>
      </c>
      <c r="F383" s="3">
        <v>481.07</v>
      </c>
      <c r="G383" s="3">
        <v>71.37</v>
      </c>
    </row>
    <row r="384" spans="1:7" x14ac:dyDescent="0.2">
      <c r="A384" s="2">
        <v>45400</v>
      </c>
      <c r="B384" s="1">
        <f t="shared" si="10"/>
        <v>45383</v>
      </c>
      <c r="C384" s="4" t="str">
        <f t="shared" si="11"/>
        <v>2024-04</v>
      </c>
      <c r="D384" s="3">
        <v>167.04</v>
      </c>
      <c r="E384" s="3">
        <v>84.67</v>
      </c>
      <c r="F384" s="3">
        <v>501.8</v>
      </c>
      <c r="G384" s="3">
        <v>92.85</v>
      </c>
    </row>
    <row r="385" spans="1:7" x14ac:dyDescent="0.2">
      <c r="A385" s="2">
        <v>45399</v>
      </c>
      <c r="B385" s="1">
        <f t="shared" si="10"/>
        <v>45383</v>
      </c>
      <c r="C385" s="4" t="str">
        <f t="shared" si="11"/>
        <v>2024-04</v>
      </c>
      <c r="D385" s="3">
        <v>168</v>
      </c>
      <c r="E385" s="3">
        <v>84.04</v>
      </c>
      <c r="F385" s="3">
        <v>494.17</v>
      </c>
      <c r="G385" s="3">
        <v>96.01</v>
      </c>
    </row>
    <row r="386" spans="1:7" x14ac:dyDescent="0.2">
      <c r="A386" s="2">
        <v>45398</v>
      </c>
      <c r="B386" s="1">
        <f t="shared" si="10"/>
        <v>45383</v>
      </c>
      <c r="C386" s="4" t="str">
        <f t="shared" si="11"/>
        <v>2024-04</v>
      </c>
      <c r="D386" s="3">
        <v>169.38</v>
      </c>
      <c r="E386" s="3">
        <v>87.42</v>
      </c>
      <c r="F386" s="3">
        <v>499.76</v>
      </c>
      <c r="G386" s="3">
        <v>97.63</v>
      </c>
    </row>
    <row r="387" spans="1:7" x14ac:dyDescent="0.2">
      <c r="A387" s="2">
        <v>45397</v>
      </c>
      <c r="B387" s="1">
        <f t="shared" ref="B387:B450" si="12">EOMONTH(A387, -1)+1</f>
        <v>45383</v>
      </c>
      <c r="C387" s="4" t="str">
        <f t="shared" ref="C387:C450" si="13">TEXT(A387, "yyyy-mm")</f>
        <v>2024-04</v>
      </c>
      <c r="D387" s="3">
        <v>172.69</v>
      </c>
      <c r="E387" s="3">
        <v>86</v>
      </c>
      <c r="F387" s="3">
        <v>500.23</v>
      </c>
      <c r="G387" s="3">
        <v>88.28</v>
      </c>
    </row>
    <row r="388" spans="1:7" x14ac:dyDescent="0.2">
      <c r="A388" s="2">
        <v>45394</v>
      </c>
      <c r="B388" s="1">
        <f t="shared" si="12"/>
        <v>45383</v>
      </c>
      <c r="C388" s="4" t="str">
        <f t="shared" si="13"/>
        <v>2024-04</v>
      </c>
      <c r="D388" s="3">
        <v>176.55</v>
      </c>
      <c r="E388" s="3">
        <v>88.19</v>
      </c>
      <c r="F388" s="3">
        <v>511.9</v>
      </c>
      <c r="G388" s="3">
        <v>89.85</v>
      </c>
    </row>
    <row r="389" spans="1:7" x14ac:dyDescent="0.2">
      <c r="A389" s="2">
        <v>45393</v>
      </c>
      <c r="B389" s="1">
        <f t="shared" si="12"/>
        <v>45383</v>
      </c>
      <c r="C389" s="4" t="str">
        <f t="shared" si="13"/>
        <v>2024-04</v>
      </c>
      <c r="D389" s="3">
        <v>175.04</v>
      </c>
      <c r="E389" s="3">
        <v>90.62</v>
      </c>
      <c r="F389" s="3">
        <v>523.16</v>
      </c>
      <c r="G389" s="3">
        <v>93.73</v>
      </c>
    </row>
    <row r="390" spans="1:7" x14ac:dyDescent="0.2">
      <c r="A390" s="2">
        <v>45392</v>
      </c>
      <c r="B390" s="1">
        <f t="shared" si="12"/>
        <v>45383</v>
      </c>
      <c r="C390" s="4" t="str">
        <f t="shared" si="13"/>
        <v>2024-04</v>
      </c>
      <c r="D390" s="3">
        <v>167.78</v>
      </c>
      <c r="E390" s="3">
        <v>87.04</v>
      </c>
      <c r="F390" s="3">
        <v>519.83000000000004</v>
      </c>
      <c r="G390" s="3">
        <v>90.85</v>
      </c>
    </row>
    <row r="391" spans="1:7" x14ac:dyDescent="0.2">
      <c r="A391" s="2">
        <v>45391</v>
      </c>
      <c r="B391" s="1">
        <f t="shared" si="12"/>
        <v>45383</v>
      </c>
      <c r="C391" s="4" t="str">
        <f t="shared" si="13"/>
        <v>2024-04</v>
      </c>
      <c r="D391" s="3">
        <v>169.67</v>
      </c>
      <c r="E391" s="3">
        <v>85.35</v>
      </c>
      <c r="F391" s="3">
        <v>516.9</v>
      </c>
      <c r="G391" s="3">
        <v>90.42</v>
      </c>
    </row>
    <row r="392" spans="1:7" x14ac:dyDescent="0.2">
      <c r="A392" s="2">
        <v>45390</v>
      </c>
      <c r="B392" s="1">
        <f t="shared" si="12"/>
        <v>45383</v>
      </c>
      <c r="C392" s="4" t="str">
        <f t="shared" si="13"/>
        <v>2024-04</v>
      </c>
      <c r="D392" s="3">
        <v>168.45</v>
      </c>
      <c r="E392" s="3">
        <v>87.13</v>
      </c>
      <c r="F392" s="3">
        <v>519.25</v>
      </c>
      <c r="G392" s="3">
        <v>92.85</v>
      </c>
    </row>
    <row r="393" spans="1:7" x14ac:dyDescent="0.2">
      <c r="A393" s="2">
        <v>45387</v>
      </c>
      <c r="B393" s="1">
        <f t="shared" si="12"/>
        <v>45383</v>
      </c>
      <c r="C393" s="4" t="str">
        <f t="shared" si="13"/>
        <v>2024-04</v>
      </c>
      <c r="D393" s="3">
        <v>169.58</v>
      </c>
      <c r="E393" s="3">
        <v>88.01</v>
      </c>
      <c r="F393" s="3">
        <v>527.34</v>
      </c>
      <c r="G393" s="3">
        <v>94.8</v>
      </c>
    </row>
    <row r="394" spans="1:7" x14ac:dyDescent="0.2">
      <c r="A394" s="2">
        <v>45386</v>
      </c>
      <c r="B394" s="1">
        <f t="shared" si="12"/>
        <v>45383</v>
      </c>
      <c r="C394" s="4" t="str">
        <f t="shared" si="13"/>
        <v>2024-04</v>
      </c>
      <c r="D394" s="3">
        <v>168.82</v>
      </c>
      <c r="E394" s="3">
        <v>85.91</v>
      </c>
      <c r="F394" s="3">
        <v>510.92</v>
      </c>
      <c r="G394" s="3">
        <v>95.8</v>
      </c>
    </row>
    <row r="395" spans="1:7" x14ac:dyDescent="0.2">
      <c r="A395" s="2">
        <v>45385</v>
      </c>
      <c r="B395" s="1">
        <f t="shared" si="12"/>
        <v>45383</v>
      </c>
      <c r="C395" s="4" t="str">
        <f t="shared" si="13"/>
        <v>2024-04</v>
      </c>
      <c r="D395" s="3">
        <v>169.65</v>
      </c>
      <c r="E395" s="3">
        <v>88.96</v>
      </c>
      <c r="F395" s="3">
        <v>506.74</v>
      </c>
      <c r="G395" s="3">
        <v>101.56</v>
      </c>
    </row>
    <row r="396" spans="1:7" x14ac:dyDescent="0.2">
      <c r="A396" s="2">
        <v>45384</v>
      </c>
      <c r="B396" s="1">
        <f t="shared" si="12"/>
        <v>45383</v>
      </c>
      <c r="C396" s="4" t="str">
        <f t="shared" si="13"/>
        <v>2024-04</v>
      </c>
      <c r="D396" s="3">
        <v>168.84</v>
      </c>
      <c r="E396" s="3">
        <v>89.45</v>
      </c>
      <c r="F396" s="3">
        <v>497.37</v>
      </c>
      <c r="G396" s="3">
        <v>100.99</v>
      </c>
    </row>
    <row r="397" spans="1:7" x14ac:dyDescent="0.2">
      <c r="A397" s="2">
        <v>45383</v>
      </c>
      <c r="B397" s="1">
        <f t="shared" si="12"/>
        <v>45383</v>
      </c>
      <c r="C397" s="4" t="str">
        <f t="shared" si="13"/>
        <v>2024-04</v>
      </c>
      <c r="D397" s="3">
        <v>170.03</v>
      </c>
      <c r="E397" s="3">
        <v>90.36</v>
      </c>
      <c r="F397" s="3">
        <v>491.35</v>
      </c>
      <c r="G397" s="3">
        <v>103.72</v>
      </c>
    </row>
    <row r="398" spans="1:7" x14ac:dyDescent="0.2">
      <c r="A398" s="2">
        <v>45379</v>
      </c>
      <c r="B398" s="1">
        <f t="shared" si="12"/>
        <v>45352</v>
      </c>
      <c r="C398" s="4" t="str">
        <f t="shared" si="13"/>
        <v>2024-03</v>
      </c>
      <c r="D398" s="3">
        <v>171.48</v>
      </c>
      <c r="E398" s="3">
        <v>90.36</v>
      </c>
      <c r="F398" s="3">
        <v>485.58</v>
      </c>
      <c r="G398" s="3">
        <v>101</v>
      </c>
    </row>
    <row r="399" spans="1:7" x14ac:dyDescent="0.2">
      <c r="A399" s="2">
        <v>45378</v>
      </c>
      <c r="B399" s="1">
        <f t="shared" si="12"/>
        <v>45352</v>
      </c>
      <c r="C399" s="4" t="str">
        <f t="shared" si="13"/>
        <v>2024-03</v>
      </c>
      <c r="D399" s="3">
        <v>173.31</v>
      </c>
      <c r="E399" s="3">
        <v>90.25</v>
      </c>
      <c r="F399" s="3">
        <v>493.86</v>
      </c>
      <c r="G399" s="3">
        <v>102.33</v>
      </c>
    </row>
    <row r="400" spans="1:7" x14ac:dyDescent="0.2">
      <c r="A400" s="2">
        <v>45377</v>
      </c>
      <c r="B400" s="1">
        <f t="shared" si="12"/>
        <v>45352</v>
      </c>
      <c r="C400" s="4" t="str">
        <f t="shared" si="13"/>
        <v>2024-03</v>
      </c>
      <c r="D400" s="3">
        <v>169.71</v>
      </c>
      <c r="E400" s="3">
        <v>92.56</v>
      </c>
      <c r="F400" s="3">
        <v>495.89</v>
      </c>
      <c r="G400" s="3">
        <v>102.51</v>
      </c>
    </row>
    <row r="401" spans="1:7" x14ac:dyDescent="0.2">
      <c r="A401" s="2">
        <v>45376</v>
      </c>
      <c r="B401" s="1">
        <f t="shared" si="12"/>
        <v>45352</v>
      </c>
      <c r="C401" s="4" t="str">
        <f t="shared" si="13"/>
        <v>2024-03</v>
      </c>
      <c r="D401" s="3">
        <v>170.85</v>
      </c>
      <c r="E401" s="3">
        <v>95</v>
      </c>
      <c r="F401" s="3">
        <v>503.02</v>
      </c>
      <c r="G401" s="3">
        <v>104.28</v>
      </c>
    </row>
    <row r="402" spans="1:7" x14ac:dyDescent="0.2">
      <c r="A402" s="2">
        <v>45373</v>
      </c>
      <c r="B402" s="1">
        <f t="shared" si="12"/>
        <v>45352</v>
      </c>
      <c r="C402" s="4" t="str">
        <f t="shared" si="13"/>
        <v>2024-03</v>
      </c>
      <c r="D402" s="3">
        <v>172.28</v>
      </c>
      <c r="E402" s="3">
        <v>94.29</v>
      </c>
      <c r="F402" s="3">
        <v>509.58</v>
      </c>
      <c r="G402" s="3">
        <v>97.27</v>
      </c>
    </row>
    <row r="403" spans="1:7" x14ac:dyDescent="0.2">
      <c r="A403" s="2">
        <v>45372</v>
      </c>
      <c r="B403" s="1">
        <f t="shared" si="12"/>
        <v>45352</v>
      </c>
      <c r="C403" s="4" t="str">
        <f t="shared" si="13"/>
        <v>2024-03</v>
      </c>
      <c r="D403" s="3">
        <v>171.37</v>
      </c>
      <c r="E403" s="3">
        <v>91.44</v>
      </c>
      <c r="F403" s="3">
        <v>507.76</v>
      </c>
      <c r="G403" s="3">
        <v>97.16</v>
      </c>
    </row>
    <row r="404" spans="1:7" x14ac:dyDescent="0.2">
      <c r="A404" s="2">
        <v>45371</v>
      </c>
      <c r="B404" s="1">
        <f t="shared" si="12"/>
        <v>45352</v>
      </c>
      <c r="C404" s="4" t="str">
        <f t="shared" si="13"/>
        <v>2024-03</v>
      </c>
      <c r="D404" s="3">
        <v>178.67</v>
      </c>
      <c r="E404" s="3">
        <v>90.37</v>
      </c>
      <c r="F404" s="3">
        <v>505.52</v>
      </c>
      <c r="G404" s="3">
        <v>89.65</v>
      </c>
    </row>
    <row r="405" spans="1:7" x14ac:dyDescent="0.2">
      <c r="A405" s="2">
        <v>45370</v>
      </c>
      <c r="B405" s="1">
        <f t="shared" si="12"/>
        <v>45352</v>
      </c>
      <c r="C405" s="4" t="str">
        <f t="shared" si="13"/>
        <v>2024-03</v>
      </c>
      <c r="D405" s="3">
        <v>176.08</v>
      </c>
      <c r="E405" s="3">
        <v>89.4</v>
      </c>
      <c r="F405" s="3">
        <v>496.24</v>
      </c>
      <c r="G405" s="3">
        <v>91.1</v>
      </c>
    </row>
    <row r="406" spans="1:7" x14ac:dyDescent="0.2">
      <c r="A406" s="2">
        <v>45369</v>
      </c>
      <c r="B406" s="1">
        <f t="shared" si="12"/>
        <v>45352</v>
      </c>
      <c r="C406" s="4" t="str">
        <f t="shared" si="13"/>
        <v>2024-03</v>
      </c>
      <c r="D406" s="3">
        <v>173.72</v>
      </c>
      <c r="E406" s="3">
        <v>88.46</v>
      </c>
      <c r="F406" s="3">
        <v>496.98</v>
      </c>
      <c r="G406" s="3">
        <v>100.07</v>
      </c>
    </row>
    <row r="407" spans="1:7" x14ac:dyDescent="0.2">
      <c r="A407" s="2">
        <v>45366</v>
      </c>
      <c r="B407" s="1">
        <f t="shared" si="12"/>
        <v>45352</v>
      </c>
      <c r="C407" s="4" t="str">
        <f t="shared" si="13"/>
        <v>2024-03</v>
      </c>
      <c r="D407" s="3">
        <v>172.62</v>
      </c>
      <c r="E407" s="3">
        <v>87.84</v>
      </c>
      <c r="F407" s="3">
        <v>484.1</v>
      </c>
      <c r="G407" s="3">
        <v>106.88</v>
      </c>
    </row>
    <row r="408" spans="1:7" x14ac:dyDescent="0.2">
      <c r="A408" s="2">
        <v>45365</v>
      </c>
      <c r="B408" s="1">
        <f t="shared" si="12"/>
        <v>45352</v>
      </c>
      <c r="C408" s="4" t="str">
        <f t="shared" si="13"/>
        <v>2024-03</v>
      </c>
      <c r="D408" s="3">
        <v>173</v>
      </c>
      <c r="E408" s="3">
        <v>87.94</v>
      </c>
      <c r="F408" s="3">
        <v>491.83</v>
      </c>
      <c r="G408" s="3">
        <v>113.01</v>
      </c>
    </row>
    <row r="409" spans="1:7" x14ac:dyDescent="0.2">
      <c r="A409" s="2">
        <v>45364</v>
      </c>
      <c r="B409" s="1">
        <f t="shared" si="12"/>
        <v>45352</v>
      </c>
      <c r="C409" s="4" t="str">
        <f t="shared" si="13"/>
        <v>2024-03</v>
      </c>
      <c r="D409" s="3">
        <v>171.13</v>
      </c>
      <c r="E409" s="3">
        <v>90.89</v>
      </c>
      <c r="F409" s="3">
        <v>495.57</v>
      </c>
      <c r="G409" s="3">
        <v>118.81</v>
      </c>
    </row>
    <row r="410" spans="1:7" x14ac:dyDescent="0.2">
      <c r="A410" s="2">
        <v>45363</v>
      </c>
      <c r="B410" s="1">
        <f t="shared" si="12"/>
        <v>45352</v>
      </c>
      <c r="C410" s="4" t="str">
        <f t="shared" si="13"/>
        <v>2024-03</v>
      </c>
      <c r="D410" s="3">
        <v>173.23</v>
      </c>
      <c r="E410" s="3">
        <v>91.91</v>
      </c>
      <c r="F410" s="3">
        <v>499.75</v>
      </c>
      <c r="G410" s="3">
        <v>116.3</v>
      </c>
    </row>
    <row r="411" spans="1:7" x14ac:dyDescent="0.2">
      <c r="A411" s="2">
        <v>45362</v>
      </c>
      <c r="B411" s="1">
        <f t="shared" si="12"/>
        <v>45352</v>
      </c>
      <c r="C411" s="4" t="str">
        <f t="shared" si="13"/>
        <v>2024-03</v>
      </c>
      <c r="D411" s="3">
        <v>172.75</v>
      </c>
      <c r="E411" s="3">
        <v>85.77</v>
      </c>
      <c r="F411" s="3">
        <v>483.59</v>
      </c>
      <c r="G411" s="3">
        <v>108.02</v>
      </c>
    </row>
    <row r="412" spans="1:7" x14ac:dyDescent="0.2">
      <c r="A412" s="2">
        <v>45359</v>
      </c>
      <c r="B412" s="1">
        <f t="shared" si="12"/>
        <v>45352</v>
      </c>
      <c r="C412" s="4" t="str">
        <f t="shared" si="13"/>
        <v>2024-03</v>
      </c>
      <c r="D412" s="3">
        <v>170.73</v>
      </c>
      <c r="E412" s="3">
        <v>87.53</v>
      </c>
      <c r="F412" s="3">
        <v>505.95</v>
      </c>
      <c r="G412" s="3">
        <v>114</v>
      </c>
    </row>
    <row r="413" spans="1:7" x14ac:dyDescent="0.2">
      <c r="A413" s="2">
        <v>45358</v>
      </c>
      <c r="B413" s="1">
        <f t="shared" si="12"/>
        <v>45352</v>
      </c>
      <c r="C413" s="4" t="str">
        <f t="shared" si="13"/>
        <v>2024-03</v>
      </c>
      <c r="D413" s="3">
        <v>169</v>
      </c>
      <c r="E413" s="3">
        <v>92.67</v>
      </c>
      <c r="F413" s="3">
        <v>512.19000000000005</v>
      </c>
      <c r="G413" s="3">
        <v>115.98</v>
      </c>
    </row>
    <row r="414" spans="1:7" x14ac:dyDescent="0.2">
      <c r="A414" s="2">
        <v>45357</v>
      </c>
      <c r="B414" s="1">
        <f t="shared" si="12"/>
        <v>45352</v>
      </c>
      <c r="C414" s="4" t="str">
        <f t="shared" si="13"/>
        <v>2024-03</v>
      </c>
      <c r="D414" s="3">
        <v>169.12</v>
      </c>
      <c r="E414" s="3">
        <v>88.7</v>
      </c>
      <c r="F414" s="3">
        <v>496.09</v>
      </c>
      <c r="G414" s="3">
        <v>112.47</v>
      </c>
    </row>
    <row r="415" spans="1:7" x14ac:dyDescent="0.2">
      <c r="A415" s="2">
        <v>45356</v>
      </c>
      <c r="B415" s="1">
        <f t="shared" si="12"/>
        <v>45352</v>
      </c>
      <c r="C415" s="4" t="str">
        <f t="shared" si="13"/>
        <v>2024-03</v>
      </c>
      <c r="D415" s="3">
        <v>170.12</v>
      </c>
      <c r="E415" s="3">
        <v>85.96</v>
      </c>
      <c r="F415" s="3">
        <v>490.22</v>
      </c>
      <c r="G415" s="3">
        <v>109.08</v>
      </c>
    </row>
    <row r="416" spans="1:7" x14ac:dyDescent="0.2">
      <c r="A416" s="2">
        <v>45355</v>
      </c>
      <c r="B416" s="1">
        <f t="shared" si="12"/>
        <v>45352</v>
      </c>
      <c r="C416" s="4" t="str">
        <f t="shared" si="13"/>
        <v>2024-03</v>
      </c>
      <c r="D416" s="3">
        <v>175.1</v>
      </c>
      <c r="E416" s="3">
        <v>85.24</v>
      </c>
      <c r="F416" s="3">
        <v>498.19</v>
      </c>
      <c r="G416" s="3">
        <v>107.43</v>
      </c>
    </row>
    <row r="417" spans="1:7" x14ac:dyDescent="0.2">
      <c r="A417" s="2">
        <v>45352</v>
      </c>
      <c r="B417" s="1">
        <f t="shared" si="12"/>
        <v>45352</v>
      </c>
      <c r="C417" s="4" t="str">
        <f t="shared" si="13"/>
        <v>2024-03</v>
      </c>
      <c r="D417" s="3">
        <v>179.66</v>
      </c>
      <c r="E417" s="3">
        <v>82.28</v>
      </c>
      <c r="F417" s="3">
        <v>502.3</v>
      </c>
      <c r="G417" s="3">
        <v>90.55</v>
      </c>
    </row>
    <row r="418" spans="1:7" x14ac:dyDescent="0.2">
      <c r="A418" s="2">
        <v>45351</v>
      </c>
      <c r="B418" s="1">
        <f t="shared" si="12"/>
        <v>45323</v>
      </c>
      <c r="C418" s="4" t="str">
        <f t="shared" si="13"/>
        <v>2024-02</v>
      </c>
      <c r="D418" s="3">
        <v>180.75</v>
      </c>
      <c r="E418" s="3">
        <v>79.11</v>
      </c>
      <c r="F418" s="3">
        <v>490.13</v>
      </c>
      <c r="G418" s="3">
        <v>86.61</v>
      </c>
    </row>
    <row r="419" spans="1:7" x14ac:dyDescent="0.2">
      <c r="A419" s="2">
        <v>45350</v>
      </c>
      <c r="B419" s="1">
        <f t="shared" si="12"/>
        <v>45323</v>
      </c>
      <c r="C419" s="4" t="str">
        <f t="shared" si="13"/>
        <v>2024-02</v>
      </c>
      <c r="D419" s="3">
        <v>181.42</v>
      </c>
      <c r="E419" s="3">
        <v>77.66</v>
      </c>
      <c r="F419" s="3">
        <v>484.02</v>
      </c>
      <c r="G419" s="3">
        <v>81.650000000000006</v>
      </c>
    </row>
    <row r="420" spans="1:7" x14ac:dyDescent="0.2">
      <c r="A420" s="2">
        <v>45349</v>
      </c>
      <c r="B420" s="1">
        <f t="shared" si="12"/>
        <v>45323</v>
      </c>
      <c r="C420" s="4" t="str">
        <f t="shared" si="13"/>
        <v>2024-02</v>
      </c>
      <c r="D420" s="3">
        <v>182.63</v>
      </c>
      <c r="E420" s="3">
        <v>78.7</v>
      </c>
      <c r="F420" s="3">
        <v>487.05</v>
      </c>
      <c r="G420" s="3">
        <v>85.11</v>
      </c>
    </row>
    <row r="421" spans="1:7" x14ac:dyDescent="0.2">
      <c r="A421" s="2">
        <v>45348</v>
      </c>
      <c r="B421" s="1">
        <f t="shared" si="12"/>
        <v>45323</v>
      </c>
      <c r="C421" s="4" t="str">
        <f t="shared" si="13"/>
        <v>2024-02</v>
      </c>
      <c r="D421" s="3">
        <v>181.16</v>
      </c>
      <c r="E421" s="3">
        <v>79.09</v>
      </c>
      <c r="F421" s="3">
        <v>481.74</v>
      </c>
      <c r="G421" s="3">
        <v>87.63</v>
      </c>
    </row>
    <row r="422" spans="1:7" x14ac:dyDescent="0.2">
      <c r="A422" s="2">
        <v>45345</v>
      </c>
      <c r="B422" s="1">
        <f t="shared" si="12"/>
        <v>45323</v>
      </c>
      <c r="C422" s="4" t="str">
        <f t="shared" si="13"/>
        <v>2024-02</v>
      </c>
      <c r="D422" s="3">
        <v>182.52</v>
      </c>
      <c r="E422" s="3">
        <v>78.819999999999993</v>
      </c>
      <c r="F422" s="3">
        <v>484.03</v>
      </c>
      <c r="G422" s="3">
        <v>86</v>
      </c>
    </row>
    <row r="423" spans="1:7" x14ac:dyDescent="0.2">
      <c r="A423" s="2">
        <v>45344</v>
      </c>
      <c r="B423" s="1">
        <f t="shared" si="12"/>
        <v>45323</v>
      </c>
      <c r="C423" s="4" t="str">
        <f t="shared" si="13"/>
        <v>2024-02</v>
      </c>
      <c r="D423" s="3">
        <v>184.37</v>
      </c>
      <c r="E423" s="3">
        <v>78.540000000000006</v>
      </c>
      <c r="F423" s="3">
        <v>486.13</v>
      </c>
      <c r="G423" s="3">
        <v>97.55</v>
      </c>
    </row>
    <row r="424" spans="1:7" x14ac:dyDescent="0.2">
      <c r="A424" s="2">
        <v>45343</v>
      </c>
      <c r="B424" s="1">
        <f t="shared" si="12"/>
        <v>45323</v>
      </c>
      <c r="C424" s="4" t="str">
        <f t="shared" si="13"/>
        <v>2024-02</v>
      </c>
      <c r="D424" s="3">
        <v>182.32</v>
      </c>
      <c r="E424" s="3">
        <v>67.47</v>
      </c>
      <c r="F424" s="3">
        <v>468.03</v>
      </c>
      <c r="G424" s="3">
        <v>73.42</v>
      </c>
    </row>
    <row r="425" spans="1:7" x14ac:dyDescent="0.2">
      <c r="A425" s="2">
        <v>45342</v>
      </c>
      <c r="B425" s="1">
        <f t="shared" si="12"/>
        <v>45323</v>
      </c>
      <c r="C425" s="4" t="str">
        <f t="shared" si="13"/>
        <v>2024-02</v>
      </c>
      <c r="D425" s="3">
        <v>181.56</v>
      </c>
      <c r="E425" s="3">
        <v>69.45</v>
      </c>
      <c r="F425" s="3">
        <v>471.75</v>
      </c>
      <c r="G425" s="3">
        <v>78.760000000000005</v>
      </c>
    </row>
    <row r="426" spans="1:7" x14ac:dyDescent="0.2">
      <c r="A426" s="2">
        <v>45338</v>
      </c>
      <c r="B426" s="1">
        <f t="shared" si="12"/>
        <v>45323</v>
      </c>
      <c r="C426" s="4" t="str">
        <f t="shared" si="13"/>
        <v>2024-02</v>
      </c>
      <c r="D426" s="3">
        <v>182.31</v>
      </c>
      <c r="E426" s="3">
        <v>72.61</v>
      </c>
      <c r="F426" s="3">
        <v>473.32</v>
      </c>
      <c r="G426" s="3">
        <v>80.33</v>
      </c>
    </row>
    <row r="427" spans="1:7" x14ac:dyDescent="0.2">
      <c r="A427" s="2">
        <v>45337</v>
      </c>
      <c r="B427" s="1">
        <f t="shared" si="12"/>
        <v>45323</v>
      </c>
      <c r="C427" s="4" t="str">
        <f t="shared" si="13"/>
        <v>2024-02</v>
      </c>
      <c r="D427" s="3">
        <v>183.86</v>
      </c>
      <c r="E427" s="3">
        <v>72.66</v>
      </c>
      <c r="F427" s="3">
        <v>484.03</v>
      </c>
      <c r="G427" s="3">
        <v>100.4</v>
      </c>
    </row>
    <row r="428" spans="1:7" x14ac:dyDescent="0.2">
      <c r="A428" s="2">
        <v>45336</v>
      </c>
      <c r="B428" s="1">
        <f t="shared" si="12"/>
        <v>45323</v>
      </c>
      <c r="C428" s="4" t="str">
        <f t="shared" si="13"/>
        <v>2024-02</v>
      </c>
      <c r="D428" s="3">
        <v>184.15</v>
      </c>
      <c r="E428" s="3">
        <v>73.900000000000006</v>
      </c>
      <c r="F428" s="3">
        <v>473.28</v>
      </c>
      <c r="G428" s="3">
        <v>88.06</v>
      </c>
    </row>
    <row r="429" spans="1:7" x14ac:dyDescent="0.2">
      <c r="A429" s="2">
        <v>45335</v>
      </c>
      <c r="B429" s="1">
        <f t="shared" si="12"/>
        <v>45323</v>
      </c>
      <c r="C429" s="4" t="str">
        <f t="shared" si="13"/>
        <v>2024-02</v>
      </c>
      <c r="D429" s="3">
        <v>185.04</v>
      </c>
      <c r="E429" s="3">
        <v>72.13</v>
      </c>
      <c r="F429" s="3">
        <v>460.12</v>
      </c>
      <c r="G429" s="3">
        <v>79.150000000000006</v>
      </c>
    </row>
    <row r="430" spans="1:7" x14ac:dyDescent="0.2">
      <c r="A430" s="2">
        <v>45334</v>
      </c>
      <c r="B430" s="1">
        <f t="shared" si="12"/>
        <v>45323</v>
      </c>
      <c r="C430" s="4" t="str">
        <f t="shared" si="13"/>
        <v>2024-02</v>
      </c>
      <c r="D430" s="3">
        <v>187.15</v>
      </c>
      <c r="E430" s="3">
        <v>72.25</v>
      </c>
      <c r="F430" s="3">
        <v>468.9</v>
      </c>
      <c r="G430" s="3">
        <v>77.3</v>
      </c>
    </row>
    <row r="431" spans="1:7" x14ac:dyDescent="0.2">
      <c r="A431" s="2">
        <v>45331</v>
      </c>
      <c r="B431" s="1">
        <f t="shared" si="12"/>
        <v>45323</v>
      </c>
      <c r="C431" s="4" t="str">
        <f t="shared" si="13"/>
        <v>2024-02</v>
      </c>
      <c r="D431" s="3">
        <v>188.85</v>
      </c>
      <c r="E431" s="3">
        <v>72.13</v>
      </c>
      <c r="F431" s="3">
        <v>468.11</v>
      </c>
      <c r="G431" s="3">
        <v>74.03</v>
      </c>
    </row>
    <row r="432" spans="1:7" x14ac:dyDescent="0.2">
      <c r="A432" s="2">
        <v>45330</v>
      </c>
      <c r="B432" s="1">
        <f t="shared" si="12"/>
        <v>45323</v>
      </c>
      <c r="C432" s="4" t="str">
        <f t="shared" si="13"/>
        <v>2024-02</v>
      </c>
      <c r="D432" s="3">
        <v>188.32</v>
      </c>
      <c r="E432" s="3">
        <v>69.64</v>
      </c>
      <c r="F432" s="3">
        <v>470</v>
      </c>
      <c r="G432" s="3">
        <v>69.8</v>
      </c>
    </row>
    <row r="433" spans="1:7" x14ac:dyDescent="0.2">
      <c r="A433" s="2">
        <v>45329</v>
      </c>
      <c r="B433" s="1">
        <f t="shared" si="12"/>
        <v>45323</v>
      </c>
      <c r="C433" s="4" t="str">
        <f t="shared" si="13"/>
        <v>2024-02</v>
      </c>
      <c r="D433" s="3">
        <v>189.41</v>
      </c>
      <c r="E433" s="3">
        <v>70.099999999999994</v>
      </c>
      <c r="F433" s="3">
        <v>469.59</v>
      </c>
      <c r="G433" s="3">
        <v>68.36</v>
      </c>
    </row>
    <row r="434" spans="1:7" x14ac:dyDescent="0.2">
      <c r="A434" s="2">
        <v>45328</v>
      </c>
      <c r="B434" s="1">
        <f t="shared" si="12"/>
        <v>45323</v>
      </c>
      <c r="C434" s="4" t="str">
        <f t="shared" si="13"/>
        <v>2024-02</v>
      </c>
      <c r="D434" s="3">
        <v>189.3</v>
      </c>
      <c r="E434" s="3">
        <v>68.22</v>
      </c>
      <c r="F434" s="3">
        <v>454.72</v>
      </c>
      <c r="G434" s="3">
        <v>68.16</v>
      </c>
    </row>
    <row r="435" spans="1:7" x14ac:dyDescent="0.2">
      <c r="A435" s="2">
        <v>45327</v>
      </c>
      <c r="B435" s="1">
        <f t="shared" si="12"/>
        <v>45323</v>
      </c>
      <c r="C435" s="4" t="str">
        <f t="shared" si="13"/>
        <v>2024-02</v>
      </c>
      <c r="D435" s="3">
        <v>187.68</v>
      </c>
      <c r="E435" s="3">
        <v>69.33</v>
      </c>
      <c r="F435" s="3">
        <v>459.41</v>
      </c>
      <c r="G435" s="3">
        <v>66.34</v>
      </c>
    </row>
    <row r="436" spans="1:7" x14ac:dyDescent="0.2">
      <c r="A436" s="2">
        <v>45324</v>
      </c>
      <c r="B436" s="1">
        <f t="shared" si="12"/>
        <v>45323</v>
      </c>
      <c r="C436" s="4" t="str">
        <f t="shared" si="13"/>
        <v>2024-02</v>
      </c>
      <c r="D436" s="3">
        <v>185.85</v>
      </c>
      <c r="E436" s="3">
        <v>66.16</v>
      </c>
      <c r="F436" s="3">
        <v>474.99</v>
      </c>
      <c r="G436" s="3">
        <v>57.96</v>
      </c>
    </row>
    <row r="437" spans="1:7" x14ac:dyDescent="0.2">
      <c r="A437" s="2">
        <v>45323</v>
      </c>
      <c r="B437" s="1">
        <f t="shared" si="12"/>
        <v>45323</v>
      </c>
      <c r="C437" s="4" t="str">
        <f t="shared" si="13"/>
        <v>2024-02</v>
      </c>
      <c r="D437" s="3">
        <v>186.86</v>
      </c>
      <c r="E437" s="3">
        <v>63.03</v>
      </c>
      <c r="F437" s="3">
        <v>394.78</v>
      </c>
      <c r="G437" s="3">
        <v>58.35</v>
      </c>
    </row>
    <row r="438" spans="1:7" x14ac:dyDescent="0.2">
      <c r="A438" s="2">
        <v>45322</v>
      </c>
      <c r="B438" s="1">
        <f t="shared" si="12"/>
        <v>45292</v>
      </c>
      <c r="C438" s="4" t="str">
        <f t="shared" si="13"/>
        <v>2024-01</v>
      </c>
      <c r="D438" s="3">
        <v>184.4</v>
      </c>
      <c r="E438" s="3">
        <v>61.53</v>
      </c>
      <c r="F438" s="3">
        <v>390.14</v>
      </c>
      <c r="G438" s="3">
        <v>52.96</v>
      </c>
    </row>
    <row r="439" spans="1:7" x14ac:dyDescent="0.2">
      <c r="A439" s="2">
        <v>45321</v>
      </c>
      <c r="B439" s="1">
        <f t="shared" si="12"/>
        <v>45292</v>
      </c>
      <c r="C439" s="4" t="str">
        <f t="shared" si="13"/>
        <v>2024-01</v>
      </c>
      <c r="D439" s="3">
        <v>188.04</v>
      </c>
      <c r="E439" s="3">
        <v>62.77</v>
      </c>
      <c r="F439" s="3">
        <v>400.06</v>
      </c>
      <c r="G439" s="3">
        <v>51.3</v>
      </c>
    </row>
    <row r="440" spans="1:7" x14ac:dyDescent="0.2">
      <c r="A440" s="2">
        <v>45320</v>
      </c>
      <c r="B440" s="1">
        <f t="shared" si="12"/>
        <v>45292</v>
      </c>
      <c r="C440" s="4" t="str">
        <f t="shared" si="13"/>
        <v>2024-01</v>
      </c>
      <c r="D440" s="3">
        <v>191.73</v>
      </c>
      <c r="E440" s="3">
        <v>62.47</v>
      </c>
      <c r="F440" s="3">
        <v>401.02</v>
      </c>
      <c r="G440" s="3">
        <v>49.57</v>
      </c>
    </row>
    <row r="441" spans="1:7" x14ac:dyDescent="0.2">
      <c r="A441" s="2">
        <v>45317</v>
      </c>
      <c r="B441" s="1">
        <f t="shared" si="12"/>
        <v>45292</v>
      </c>
      <c r="C441" s="4" t="str">
        <f t="shared" si="13"/>
        <v>2024-01</v>
      </c>
      <c r="D441" s="3">
        <v>192.42</v>
      </c>
      <c r="E441" s="3">
        <v>61.03</v>
      </c>
      <c r="F441" s="3">
        <v>394.14</v>
      </c>
      <c r="G441" s="3">
        <v>47.42</v>
      </c>
    </row>
    <row r="442" spans="1:7" x14ac:dyDescent="0.2">
      <c r="A442" s="2">
        <v>45316</v>
      </c>
      <c r="B442" s="1">
        <f t="shared" si="12"/>
        <v>45292</v>
      </c>
      <c r="C442" s="4" t="str">
        <f t="shared" si="13"/>
        <v>2024-01</v>
      </c>
      <c r="D442" s="3">
        <v>194.17</v>
      </c>
      <c r="E442" s="3">
        <v>61.62</v>
      </c>
      <c r="F442" s="3">
        <v>393.18</v>
      </c>
      <c r="G442" s="3">
        <v>47.56</v>
      </c>
    </row>
    <row r="443" spans="1:7" x14ac:dyDescent="0.2">
      <c r="A443" s="2">
        <v>45315</v>
      </c>
      <c r="B443" s="1">
        <f t="shared" si="12"/>
        <v>45292</v>
      </c>
      <c r="C443" s="4" t="str">
        <f t="shared" si="13"/>
        <v>2024-01</v>
      </c>
      <c r="D443" s="3">
        <v>194.5</v>
      </c>
      <c r="E443" s="3">
        <v>61.36</v>
      </c>
      <c r="F443" s="3">
        <v>390.7</v>
      </c>
      <c r="G443" s="3">
        <v>47.02</v>
      </c>
    </row>
    <row r="444" spans="1:7" x14ac:dyDescent="0.2">
      <c r="A444" s="2">
        <v>45314</v>
      </c>
      <c r="B444" s="1">
        <f t="shared" si="12"/>
        <v>45292</v>
      </c>
      <c r="C444" s="4" t="str">
        <f t="shared" si="13"/>
        <v>2024-01</v>
      </c>
      <c r="D444" s="3">
        <v>195.18</v>
      </c>
      <c r="E444" s="3">
        <v>59.87</v>
      </c>
      <c r="F444" s="3">
        <v>385.2</v>
      </c>
      <c r="G444" s="3">
        <v>45.74</v>
      </c>
    </row>
    <row r="445" spans="1:7" x14ac:dyDescent="0.2">
      <c r="A445" s="2">
        <v>45313</v>
      </c>
      <c r="B445" s="1">
        <f t="shared" si="12"/>
        <v>45292</v>
      </c>
      <c r="C445" s="4" t="str">
        <f t="shared" si="13"/>
        <v>2024-01</v>
      </c>
      <c r="D445" s="3">
        <v>193.89</v>
      </c>
      <c r="E445" s="3">
        <v>59.65</v>
      </c>
      <c r="F445" s="3">
        <v>381.78</v>
      </c>
      <c r="G445" s="3">
        <v>43.62</v>
      </c>
    </row>
    <row r="446" spans="1:7" x14ac:dyDescent="0.2">
      <c r="A446" s="2">
        <v>45310</v>
      </c>
      <c r="B446" s="1">
        <f t="shared" si="12"/>
        <v>45292</v>
      </c>
      <c r="C446" s="4" t="str">
        <f t="shared" si="13"/>
        <v>2024-01</v>
      </c>
      <c r="D446" s="3">
        <v>191.56</v>
      </c>
      <c r="E446" s="3">
        <v>59.49</v>
      </c>
      <c r="F446" s="3">
        <v>383.45</v>
      </c>
      <c r="G446" s="3">
        <v>42.34</v>
      </c>
    </row>
    <row r="447" spans="1:7" x14ac:dyDescent="0.2">
      <c r="A447" s="2">
        <v>45309</v>
      </c>
      <c r="B447" s="1">
        <f t="shared" si="12"/>
        <v>45292</v>
      </c>
      <c r="C447" s="4" t="str">
        <f t="shared" si="13"/>
        <v>2024-01</v>
      </c>
      <c r="D447" s="3">
        <v>188.63</v>
      </c>
      <c r="E447" s="3">
        <v>57.11</v>
      </c>
      <c r="F447" s="3">
        <v>376.13</v>
      </c>
      <c r="G447" s="3">
        <v>31.14</v>
      </c>
    </row>
    <row r="448" spans="1:7" x14ac:dyDescent="0.2">
      <c r="A448" s="2">
        <v>45308</v>
      </c>
      <c r="B448" s="1">
        <f t="shared" si="12"/>
        <v>45292</v>
      </c>
      <c r="C448" s="4" t="str">
        <f t="shared" si="13"/>
        <v>2024-01</v>
      </c>
      <c r="D448" s="3">
        <v>182.68</v>
      </c>
      <c r="E448" s="3">
        <v>56.05</v>
      </c>
      <c r="F448" s="3">
        <v>368.37</v>
      </c>
      <c r="G448" s="3">
        <v>31.82</v>
      </c>
    </row>
    <row r="449" spans="1:7" x14ac:dyDescent="0.2">
      <c r="A449" s="2">
        <v>45307</v>
      </c>
      <c r="B449" s="1">
        <f t="shared" si="12"/>
        <v>45292</v>
      </c>
      <c r="C449" s="4" t="str">
        <f t="shared" si="13"/>
        <v>2024-01</v>
      </c>
      <c r="D449" s="3">
        <v>183.63</v>
      </c>
      <c r="E449" s="3">
        <v>56.38</v>
      </c>
      <c r="F449" s="3">
        <v>367.46</v>
      </c>
      <c r="G449" s="3">
        <v>32.630000000000003</v>
      </c>
    </row>
    <row r="450" spans="1:7" x14ac:dyDescent="0.2">
      <c r="A450" s="2">
        <v>45303</v>
      </c>
      <c r="B450" s="1">
        <f t="shared" si="12"/>
        <v>45292</v>
      </c>
      <c r="C450" s="4" t="str">
        <f t="shared" si="13"/>
        <v>2024-01</v>
      </c>
      <c r="D450" s="3">
        <v>185.92</v>
      </c>
      <c r="E450" s="3">
        <v>54.71</v>
      </c>
      <c r="F450" s="3">
        <v>374.49</v>
      </c>
      <c r="G450" s="3">
        <v>33.96</v>
      </c>
    </row>
    <row r="451" spans="1:7" x14ac:dyDescent="0.2">
      <c r="A451" s="2">
        <v>45302</v>
      </c>
      <c r="B451" s="1">
        <f t="shared" ref="B451:B514" si="14">EOMONTH(A451, -1)+1</f>
        <v>45292</v>
      </c>
      <c r="C451" s="4" t="str">
        <f t="shared" ref="C451:C514" si="15">TEXT(A451, "yyyy-mm")</f>
        <v>2024-01</v>
      </c>
      <c r="D451" s="3">
        <v>185.59</v>
      </c>
      <c r="E451" s="3">
        <v>54.82</v>
      </c>
      <c r="F451" s="3">
        <v>369.67</v>
      </c>
      <c r="G451" s="3">
        <v>34.33</v>
      </c>
    </row>
    <row r="452" spans="1:7" x14ac:dyDescent="0.2">
      <c r="A452" s="2">
        <v>45301</v>
      </c>
      <c r="B452" s="1">
        <f t="shared" si="14"/>
        <v>45292</v>
      </c>
      <c r="C452" s="4" t="str">
        <f t="shared" si="15"/>
        <v>2024-01</v>
      </c>
      <c r="D452" s="3">
        <v>186.19</v>
      </c>
      <c r="E452" s="3">
        <v>54.35</v>
      </c>
      <c r="F452" s="3">
        <v>370.47</v>
      </c>
      <c r="G452" s="3">
        <v>34.24</v>
      </c>
    </row>
    <row r="453" spans="1:7" x14ac:dyDescent="0.2">
      <c r="A453" s="2">
        <v>45300</v>
      </c>
      <c r="B453" s="1">
        <f t="shared" si="14"/>
        <v>45292</v>
      </c>
      <c r="C453" s="4" t="str">
        <f t="shared" si="15"/>
        <v>2024-01</v>
      </c>
      <c r="D453" s="3">
        <v>185.14</v>
      </c>
      <c r="E453" s="3">
        <v>53.14</v>
      </c>
      <c r="F453" s="3">
        <v>357.43</v>
      </c>
      <c r="G453" s="3">
        <v>34.369999999999997</v>
      </c>
    </row>
    <row r="454" spans="1:7" x14ac:dyDescent="0.2">
      <c r="A454" s="2">
        <v>45299</v>
      </c>
      <c r="B454" s="1">
        <f t="shared" si="14"/>
        <v>45292</v>
      </c>
      <c r="C454" s="4" t="str">
        <f t="shared" si="15"/>
        <v>2024-01</v>
      </c>
      <c r="D454" s="3">
        <v>185.56</v>
      </c>
      <c r="E454" s="3">
        <v>52.25</v>
      </c>
      <c r="F454" s="3">
        <v>358.66</v>
      </c>
      <c r="G454" s="3">
        <v>32.03</v>
      </c>
    </row>
    <row r="455" spans="1:7" x14ac:dyDescent="0.2">
      <c r="A455" s="2">
        <v>45296</v>
      </c>
      <c r="B455" s="1">
        <f t="shared" si="14"/>
        <v>45292</v>
      </c>
      <c r="C455" s="4" t="str">
        <f t="shared" si="15"/>
        <v>2024-01</v>
      </c>
      <c r="D455" s="3">
        <v>181.18</v>
      </c>
      <c r="E455" s="3">
        <v>49.1</v>
      </c>
      <c r="F455" s="3">
        <v>351.95</v>
      </c>
      <c r="G455" s="3">
        <v>29.21</v>
      </c>
    </row>
    <row r="456" spans="1:7" x14ac:dyDescent="0.2">
      <c r="A456" s="2">
        <v>45295</v>
      </c>
      <c r="B456" s="1">
        <f t="shared" si="14"/>
        <v>45292</v>
      </c>
      <c r="C456" s="4" t="str">
        <f t="shared" si="15"/>
        <v>2024-01</v>
      </c>
      <c r="D456" s="3">
        <v>181.91</v>
      </c>
      <c r="E456" s="3">
        <v>48</v>
      </c>
      <c r="F456" s="3">
        <v>347.12</v>
      </c>
      <c r="G456" s="3">
        <v>28.88</v>
      </c>
    </row>
    <row r="457" spans="1:7" x14ac:dyDescent="0.2">
      <c r="A457" s="2">
        <v>45294</v>
      </c>
      <c r="B457" s="1">
        <f t="shared" si="14"/>
        <v>45292</v>
      </c>
      <c r="C457" s="4" t="str">
        <f t="shared" si="15"/>
        <v>2024-01</v>
      </c>
      <c r="D457" s="3">
        <v>184.25</v>
      </c>
      <c r="E457" s="3">
        <v>47.57</v>
      </c>
      <c r="F457" s="3">
        <v>344.47</v>
      </c>
      <c r="G457" s="3">
        <v>28.06</v>
      </c>
    </row>
    <row r="458" spans="1:7" x14ac:dyDescent="0.2">
      <c r="A458" s="2">
        <v>45293</v>
      </c>
      <c r="B458" s="1">
        <f t="shared" si="14"/>
        <v>45292</v>
      </c>
      <c r="C458" s="4" t="str">
        <f t="shared" si="15"/>
        <v>2024-01</v>
      </c>
      <c r="D458" s="3">
        <v>185.64</v>
      </c>
      <c r="E458" s="3">
        <v>48.17</v>
      </c>
      <c r="F458" s="3">
        <v>346.29</v>
      </c>
      <c r="G458" s="3">
        <v>28.55</v>
      </c>
    </row>
    <row r="459" spans="1:7" x14ac:dyDescent="0.2">
      <c r="A459" s="2">
        <v>45289</v>
      </c>
      <c r="B459" s="1">
        <f t="shared" si="14"/>
        <v>45261</v>
      </c>
      <c r="C459" s="4" t="str">
        <f t="shared" si="15"/>
        <v>2023-12</v>
      </c>
      <c r="D459" s="3">
        <v>192.53</v>
      </c>
      <c r="E459" s="3">
        <v>49.52</v>
      </c>
      <c r="F459" s="3">
        <v>353.96</v>
      </c>
      <c r="G459" s="3">
        <v>28.43</v>
      </c>
    </row>
    <row r="460" spans="1:7" x14ac:dyDescent="0.2">
      <c r="A460" s="2">
        <v>45288</v>
      </c>
      <c r="B460" s="1">
        <f t="shared" si="14"/>
        <v>45261</v>
      </c>
      <c r="C460" s="4" t="str">
        <f t="shared" si="15"/>
        <v>2023-12</v>
      </c>
      <c r="D460" s="3">
        <v>193.58</v>
      </c>
      <c r="E460" s="3">
        <v>49.52</v>
      </c>
      <c r="F460" s="3">
        <v>358.32</v>
      </c>
      <c r="G460" s="3">
        <v>29.15</v>
      </c>
    </row>
    <row r="461" spans="1:7" x14ac:dyDescent="0.2">
      <c r="A461" s="2">
        <v>45287</v>
      </c>
      <c r="B461" s="1">
        <f t="shared" si="14"/>
        <v>45261</v>
      </c>
      <c r="C461" s="4" t="str">
        <f t="shared" si="15"/>
        <v>2023-12</v>
      </c>
      <c r="D461" s="3">
        <v>193.15</v>
      </c>
      <c r="E461" s="3">
        <v>49.42</v>
      </c>
      <c r="F461" s="3">
        <v>357.83</v>
      </c>
      <c r="G461" s="3">
        <v>29.5</v>
      </c>
    </row>
    <row r="462" spans="1:7" x14ac:dyDescent="0.2">
      <c r="A462" s="2">
        <v>45286</v>
      </c>
      <c r="B462" s="1">
        <f t="shared" si="14"/>
        <v>45261</v>
      </c>
      <c r="C462" s="4" t="str">
        <f t="shared" si="15"/>
        <v>2023-12</v>
      </c>
      <c r="D462" s="3">
        <v>193.05</v>
      </c>
      <c r="E462" s="3">
        <v>49.28</v>
      </c>
      <c r="F462" s="3">
        <v>354.83</v>
      </c>
      <c r="G462" s="3">
        <v>29.43</v>
      </c>
    </row>
    <row r="463" spans="1:7" x14ac:dyDescent="0.2">
      <c r="A463" s="2">
        <v>45282</v>
      </c>
      <c r="B463" s="1">
        <f t="shared" si="14"/>
        <v>45261</v>
      </c>
      <c r="C463" s="4" t="str">
        <f t="shared" si="15"/>
        <v>2023-12</v>
      </c>
      <c r="D463" s="3">
        <v>193.6</v>
      </c>
      <c r="E463" s="3">
        <v>48.83</v>
      </c>
      <c r="F463" s="3">
        <v>353.39</v>
      </c>
      <c r="G463" s="3">
        <v>28.97</v>
      </c>
    </row>
    <row r="464" spans="1:7" x14ac:dyDescent="0.2">
      <c r="A464" s="2">
        <v>45281</v>
      </c>
      <c r="B464" s="1">
        <f t="shared" si="14"/>
        <v>45261</v>
      </c>
      <c r="C464" s="4" t="str">
        <f t="shared" si="15"/>
        <v>2023-12</v>
      </c>
      <c r="D464" s="3">
        <v>194.68</v>
      </c>
      <c r="E464" s="3">
        <v>48.99</v>
      </c>
      <c r="F464" s="3">
        <v>354.09</v>
      </c>
      <c r="G464" s="3">
        <v>30.42</v>
      </c>
    </row>
    <row r="465" spans="1:7" x14ac:dyDescent="0.2">
      <c r="A465" s="2">
        <v>45280</v>
      </c>
      <c r="B465" s="1">
        <f t="shared" si="14"/>
        <v>45261</v>
      </c>
      <c r="C465" s="4" t="str">
        <f t="shared" si="15"/>
        <v>2023-12</v>
      </c>
      <c r="D465" s="3">
        <v>194.83</v>
      </c>
      <c r="E465" s="3">
        <v>48.11</v>
      </c>
      <c r="F465" s="3">
        <v>349.28</v>
      </c>
      <c r="G465" s="3">
        <v>30.21</v>
      </c>
    </row>
    <row r="466" spans="1:7" x14ac:dyDescent="0.2">
      <c r="A466" s="2">
        <v>45279</v>
      </c>
      <c r="B466" s="1">
        <f t="shared" si="14"/>
        <v>45261</v>
      </c>
      <c r="C466" s="4" t="str">
        <f t="shared" si="15"/>
        <v>2023-12</v>
      </c>
      <c r="D466" s="3">
        <v>196.94</v>
      </c>
      <c r="E466" s="3">
        <v>49.6</v>
      </c>
      <c r="F466" s="3">
        <v>350.36</v>
      </c>
      <c r="G466" s="3">
        <v>31.59</v>
      </c>
    </row>
    <row r="467" spans="1:7" x14ac:dyDescent="0.2">
      <c r="A467" s="2">
        <v>45278</v>
      </c>
      <c r="B467" s="1">
        <f t="shared" si="14"/>
        <v>45261</v>
      </c>
      <c r="C467" s="4" t="str">
        <f t="shared" si="15"/>
        <v>2023-12</v>
      </c>
      <c r="D467" s="3">
        <v>195.89</v>
      </c>
      <c r="E467" s="3">
        <v>50.08</v>
      </c>
      <c r="F467" s="3">
        <v>344.62</v>
      </c>
      <c r="G467" s="3">
        <v>32.22</v>
      </c>
    </row>
    <row r="468" spans="1:7" x14ac:dyDescent="0.2">
      <c r="A468" s="2">
        <v>45275</v>
      </c>
      <c r="B468" s="1">
        <f t="shared" si="14"/>
        <v>45261</v>
      </c>
      <c r="C468" s="4" t="str">
        <f t="shared" si="15"/>
        <v>2023-12</v>
      </c>
      <c r="D468" s="3">
        <v>197.57</v>
      </c>
      <c r="E468" s="3">
        <v>48.89</v>
      </c>
      <c r="F468" s="3">
        <v>334.92</v>
      </c>
      <c r="G468" s="3">
        <v>30.01</v>
      </c>
    </row>
    <row r="469" spans="1:7" x14ac:dyDescent="0.2">
      <c r="A469" s="2">
        <v>45274</v>
      </c>
      <c r="B469" s="1">
        <f t="shared" si="14"/>
        <v>45261</v>
      </c>
      <c r="C469" s="4" t="str">
        <f t="shared" si="15"/>
        <v>2023-12</v>
      </c>
      <c r="D469" s="3">
        <v>198.11</v>
      </c>
      <c r="E469" s="3">
        <v>48.35</v>
      </c>
      <c r="F469" s="3">
        <v>333.17</v>
      </c>
      <c r="G469" s="3">
        <v>29.44</v>
      </c>
    </row>
    <row r="470" spans="1:7" x14ac:dyDescent="0.2">
      <c r="A470" s="2">
        <v>45273</v>
      </c>
      <c r="B470" s="1">
        <f t="shared" si="14"/>
        <v>45261</v>
      </c>
      <c r="C470" s="4" t="str">
        <f t="shared" si="15"/>
        <v>2023-12</v>
      </c>
      <c r="D470" s="3">
        <v>197.96</v>
      </c>
      <c r="E470" s="3">
        <v>48.09</v>
      </c>
      <c r="F470" s="3">
        <v>334.74</v>
      </c>
      <c r="G470" s="3">
        <v>27.33</v>
      </c>
    </row>
    <row r="471" spans="1:7" x14ac:dyDescent="0.2">
      <c r="A471" s="2">
        <v>45272</v>
      </c>
      <c r="B471" s="1">
        <f t="shared" si="14"/>
        <v>45261</v>
      </c>
      <c r="C471" s="4" t="str">
        <f t="shared" si="15"/>
        <v>2023-12</v>
      </c>
      <c r="D471" s="3">
        <v>194.71</v>
      </c>
      <c r="E471" s="3">
        <v>47.66</v>
      </c>
      <c r="F471" s="3">
        <v>334.22</v>
      </c>
      <c r="G471" s="3">
        <v>26.54</v>
      </c>
    </row>
    <row r="472" spans="1:7" x14ac:dyDescent="0.2">
      <c r="A472" s="2">
        <v>45271</v>
      </c>
      <c r="B472" s="1">
        <f t="shared" si="14"/>
        <v>45261</v>
      </c>
      <c r="C472" s="4" t="str">
        <f t="shared" si="15"/>
        <v>2023-12</v>
      </c>
      <c r="D472" s="3">
        <v>193.18</v>
      </c>
      <c r="E472" s="3">
        <v>46.63</v>
      </c>
      <c r="F472" s="3">
        <v>325.27999999999997</v>
      </c>
      <c r="G472" s="3">
        <v>26.23</v>
      </c>
    </row>
    <row r="473" spans="1:7" x14ac:dyDescent="0.2">
      <c r="A473" s="2">
        <v>45268</v>
      </c>
      <c r="B473" s="1">
        <f t="shared" si="14"/>
        <v>45261</v>
      </c>
      <c r="C473" s="4" t="str">
        <f t="shared" si="15"/>
        <v>2023-12</v>
      </c>
      <c r="D473" s="3">
        <v>195.71</v>
      </c>
      <c r="E473" s="3">
        <v>47.51</v>
      </c>
      <c r="F473" s="3">
        <v>332.75</v>
      </c>
      <c r="G473" s="3">
        <v>27.27</v>
      </c>
    </row>
    <row r="474" spans="1:7" x14ac:dyDescent="0.2">
      <c r="A474" s="2">
        <v>45267</v>
      </c>
      <c r="B474" s="1">
        <f t="shared" si="14"/>
        <v>45261</v>
      </c>
      <c r="C474" s="4" t="str">
        <f t="shared" si="15"/>
        <v>2023-12</v>
      </c>
      <c r="D474" s="3">
        <v>194.27</v>
      </c>
      <c r="E474" s="3">
        <v>46.6</v>
      </c>
      <c r="F474" s="3">
        <v>326.58999999999997</v>
      </c>
      <c r="G474" s="3">
        <v>25.62</v>
      </c>
    </row>
    <row r="475" spans="1:7" x14ac:dyDescent="0.2">
      <c r="A475" s="2">
        <v>45266</v>
      </c>
      <c r="B475" s="1">
        <f t="shared" si="14"/>
        <v>45261</v>
      </c>
      <c r="C475" s="4" t="str">
        <f t="shared" si="15"/>
        <v>2023-12</v>
      </c>
      <c r="D475" s="3">
        <v>192.32</v>
      </c>
      <c r="E475" s="3">
        <v>45.5</v>
      </c>
      <c r="F475" s="3">
        <v>317.45</v>
      </c>
      <c r="G475" s="3">
        <v>25.34</v>
      </c>
    </row>
    <row r="476" spans="1:7" x14ac:dyDescent="0.2">
      <c r="A476" s="2">
        <v>45265</v>
      </c>
      <c r="B476" s="1">
        <f t="shared" si="14"/>
        <v>45261</v>
      </c>
      <c r="C476" s="4" t="str">
        <f t="shared" si="15"/>
        <v>2023-12</v>
      </c>
      <c r="D476" s="3">
        <v>193.42</v>
      </c>
      <c r="E476" s="3">
        <v>46.57</v>
      </c>
      <c r="F476" s="3">
        <v>318.29000000000002</v>
      </c>
      <c r="G476" s="3">
        <v>26.3</v>
      </c>
    </row>
    <row r="477" spans="1:7" x14ac:dyDescent="0.2">
      <c r="A477" s="2">
        <v>45264</v>
      </c>
      <c r="B477" s="1">
        <f t="shared" si="14"/>
        <v>45261</v>
      </c>
      <c r="C477" s="4" t="str">
        <f t="shared" si="15"/>
        <v>2023-12</v>
      </c>
      <c r="D477" s="3">
        <v>189.43</v>
      </c>
      <c r="E477" s="3">
        <v>45.51</v>
      </c>
      <c r="F477" s="3">
        <v>320.02</v>
      </c>
      <c r="G477" s="3">
        <v>26.64</v>
      </c>
    </row>
    <row r="478" spans="1:7" x14ac:dyDescent="0.2">
      <c r="A478" s="2">
        <v>45261</v>
      </c>
      <c r="B478" s="1">
        <f t="shared" si="14"/>
        <v>45261</v>
      </c>
      <c r="C478" s="4" t="str">
        <f t="shared" si="15"/>
        <v>2023-12</v>
      </c>
      <c r="D478" s="3">
        <v>191.24</v>
      </c>
      <c r="E478" s="3">
        <v>46.77</v>
      </c>
      <c r="F478" s="3">
        <v>324.82</v>
      </c>
      <c r="G478" s="3">
        <v>26.96</v>
      </c>
    </row>
    <row r="479" spans="1:7" x14ac:dyDescent="0.2">
      <c r="A479" s="2">
        <v>45260</v>
      </c>
      <c r="B479" s="1">
        <f t="shared" si="14"/>
        <v>45231</v>
      </c>
      <c r="C479" s="4" t="str">
        <f t="shared" si="15"/>
        <v>2023-11</v>
      </c>
      <c r="D479" s="3">
        <v>189.95</v>
      </c>
      <c r="E479" s="3">
        <v>46.77</v>
      </c>
      <c r="F479" s="3">
        <v>327.14999999999998</v>
      </c>
      <c r="G479" s="3">
        <v>27.35</v>
      </c>
    </row>
    <row r="480" spans="1:7" x14ac:dyDescent="0.2">
      <c r="A480" s="2">
        <v>45259</v>
      </c>
      <c r="B480" s="1">
        <f t="shared" si="14"/>
        <v>45231</v>
      </c>
      <c r="C480" s="4" t="str">
        <f t="shared" si="15"/>
        <v>2023-11</v>
      </c>
      <c r="D480" s="3">
        <v>189.37</v>
      </c>
      <c r="E480" s="3">
        <v>48.14</v>
      </c>
      <c r="F480" s="3">
        <v>332.2</v>
      </c>
      <c r="G480" s="3">
        <v>28.76</v>
      </c>
    </row>
    <row r="481" spans="1:7" x14ac:dyDescent="0.2">
      <c r="A481" s="2">
        <v>45258</v>
      </c>
      <c r="B481" s="1">
        <f t="shared" si="14"/>
        <v>45231</v>
      </c>
      <c r="C481" s="4" t="str">
        <f t="shared" si="15"/>
        <v>2023-11</v>
      </c>
      <c r="D481" s="3">
        <v>190.4</v>
      </c>
      <c r="E481" s="3">
        <v>47.82</v>
      </c>
      <c r="F481" s="3">
        <v>338.99</v>
      </c>
      <c r="G481" s="3">
        <v>28.56</v>
      </c>
    </row>
    <row r="482" spans="1:7" x14ac:dyDescent="0.2">
      <c r="A482" s="2">
        <v>45257</v>
      </c>
      <c r="B482" s="1">
        <f t="shared" si="14"/>
        <v>45231</v>
      </c>
      <c r="C482" s="4" t="str">
        <f t="shared" si="15"/>
        <v>2023-11</v>
      </c>
      <c r="D482" s="3">
        <v>189.79</v>
      </c>
      <c r="E482" s="3">
        <v>48.24</v>
      </c>
      <c r="F482" s="3">
        <v>334.7</v>
      </c>
      <c r="G482" s="3">
        <v>29.04</v>
      </c>
    </row>
    <row r="483" spans="1:7" x14ac:dyDescent="0.2">
      <c r="A483" s="2">
        <v>45254</v>
      </c>
      <c r="B483" s="1">
        <f t="shared" si="14"/>
        <v>45231</v>
      </c>
      <c r="C483" s="4" t="str">
        <f t="shared" si="15"/>
        <v>2023-11</v>
      </c>
      <c r="D483" s="3">
        <v>189.97</v>
      </c>
      <c r="E483" s="3">
        <v>47.78</v>
      </c>
      <c r="F483" s="3">
        <v>338.23</v>
      </c>
      <c r="G483" s="3">
        <v>28.57</v>
      </c>
    </row>
    <row r="484" spans="1:7" x14ac:dyDescent="0.2">
      <c r="A484" s="2">
        <v>45252</v>
      </c>
      <c r="B484" s="1">
        <f t="shared" si="14"/>
        <v>45231</v>
      </c>
      <c r="C484" s="4" t="str">
        <f t="shared" si="15"/>
        <v>2023-11</v>
      </c>
      <c r="D484" s="3">
        <v>191.31</v>
      </c>
      <c r="E484" s="3">
        <v>48.72</v>
      </c>
      <c r="F484" s="3">
        <v>341.49</v>
      </c>
      <c r="G484" s="3">
        <v>28.67</v>
      </c>
    </row>
    <row r="485" spans="1:7" x14ac:dyDescent="0.2">
      <c r="A485" s="2">
        <v>45251</v>
      </c>
      <c r="B485" s="1">
        <f t="shared" si="14"/>
        <v>45231</v>
      </c>
      <c r="C485" s="4" t="str">
        <f t="shared" si="15"/>
        <v>2023-11</v>
      </c>
      <c r="D485" s="3">
        <v>190.64</v>
      </c>
      <c r="E485" s="3">
        <v>49.94</v>
      </c>
      <c r="F485" s="3">
        <v>336.98</v>
      </c>
      <c r="G485" s="3">
        <v>28.99</v>
      </c>
    </row>
    <row r="486" spans="1:7" x14ac:dyDescent="0.2">
      <c r="A486" s="2">
        <v>45250</v>
      </c>
      <c r="B486" s="1">
        <f t="shared" si="14"/>
        <v>45231</v>
      </c>
      <c r="C486" s="4" t="str">
        <f t="shared" si="15"/>
        <v>2023-11</v>
      </c>
      <c r="D486" s="3">
        <v>191.45</v>
      </c>
      <c r="E486" s="3">
        <v>50.41</v>
      </c>
      <c r="F486" s="3">
        <v>339.97</v>
      </c>
      <c r="G486" s="3">
        <v>30.46</v>
      </c>
    </row>
    <row r="487" spans="1:7" x14ac:dyDescent="0.2">
      <c r="A487" s="2">
        <v>45247</v>
      </c>
      <c r="B487" s="1">
        <f t="shared" si="14"/>
        <v>45231</v>
      </c>
      <c r="C487" s="4" t="str">
        <f t="shared" si="15"/>
        <v>2023-11</v>
      </c>
      <c r="D487" s="3">
        <v>189.69</v>
      </c>
      <c r="E487" s="3">
        <v>49.3</v>
      </c>
      <c r="F487" s="3">
        <v>335.04</v>
      </c>
      <c r="G487" s="3">
        <v>28.86</v>
      </c>
    </row>
    <row r="488" spans="1:7" x14ac:dyDescent="0.2">
      <c r="A488" s="2">
        <v>45246</v>
      </c>
      <c r="B488" s="1">
        <f t="shared" si="14"/>
        <v>45231</v>
      </c>
      <c r="C488" s="4" t="str">
        <f t="shared" si="15"/>
        <v>2023-11</v>
      </c>
      <c r="D488" s="3">
        <v>189.71</v>
      </c>
      <c r="E488" s="3">
        <v>49.48</v>
      </c>
      <c r="F488" s="3">
        <v>334.19</v>
      </c>
      <c r="G488" s="3">
        <v>28.37</v>
      </c>
    </row>
    <row r="489" spans="1:7" x14ac:dyDescent="0.2">
      <c r="A489" s="2">
        <v>45245</v>
      </c>
      <c r="B489" s="1">
        <f t="shared" si="14"/>
        <v>45231</v>
      </c>
      <c r="C489" s="4" t="str">
        <f t="shared" si="15"/>
        <v>2023-11</v>
      </c>
      <c r="D489" s="3">
        <v>188.01</v>
      </c>
      <c r="E489" s="3">
        <v>48.89</v>
      </c>
      <c r="F489" s="3">
        <v>332.71</v>
      </c>
      <c r="G489" s="3">
        <v>28.78</v>
      </c>
    </row>
    <row r="490" spans="1:7" x14ac:dyDescent="0.2">
      <c r="A490" s="2">
        <v>45244</v>
      </c>
      <c r="B490" s="1">
        <f t="shared" si="14"/>
        <v>45231</v>
      </c>
      <c r="C490" s="4" t="str">
        <f t="shared" si="15"/>
        <v>2023-11</v>
      </c>
      <c r="D490" s="3">
        <v>187.44</v>
      </c>
      <c r="E490" s="3">
        <v>49.66</v>
      </c>
      <c r="F490" s="3">
        <v>336.31</v>
      </c>
      <c r="G490" s="3">
        <v>29.39</v>
      </c>
    </row>
    <row r="491" spans="1:7" x14ac:dyDescent="0.2">
      <c r="A491" s="2">
        <v>45243</v>
      </c>
      <c r="B491" s="1">
        <f t="shared" si="14"/>
        <v>45231</v>
      </c>
      <c r="C491" s="4" t="str">
        <f t="shared" si="15"/>
        <v>2023-11</v>
      </c>
      <c r="D491" s="3">
        <v>184.8</v>
      </c>
      <c r="E491" s="3">
        <v>48.62</v>
      </c>
      <c r="F491" s="3">
        <v>329.19</v>
      </c>
      <c r="G491" s="3">
        <v>25.58</v>
      </c>
    </row>
    <row r="492" spans="1:7" x14ac:dyDescent="0.2">
      <c r="A492" s="2">
        <v>45240</v>
      </c>
      <c r="B492" s="1">
        <f t="shared" si="14"/>
        <v>45231</v>
      </c>
      <c r="C492" s="4" t="str">
        <f t="shared" si="15"/>
        <v>2023-11</v>
      </c>
      <c r="D492" s="3">
        <v>186.4</v>
      </c>
      <c r="E492" s="3">
        <v>48.34</v>
      </c>
      <c r="F492" s="3">
        <v>328.77</v>
      </c>
      <c r="G492" s="3">
        <v>26.6</v>
      </c>
    </row>
    <row r="493" spans="1:7" x14ac:dyDescent="0.2">
      <c r="A493" s="2">
        <v>45239</v>
      </c>
      <c r="B493" s="1">
        <f t="shared" si="14"/>
        <v>45231</v>
      </c>
      <c r="C493" s="4" t="str">
        <f t="shared" si="15"/>
        <v>2023-11</v>
      </c>
      <c r="D493" s="3">
        <v>182.41</v>
      </c>
      <c r="E493" s="3">
        <v>46.95</v>
      </c>
      <c r="F493" s="3">
        <v>320.55</v>
      </c>
      <c r="G493" s="3">
        <v>26.49</v>
      </c>
    </row>
    <row r="494" spans="1:7" x14ac:dyDescent="0.2">
      <c r="A494" s="2">
        <v>45238</v>
      </c>
      <c r="B494" s="1">
        <f t="shared" si="14"/>
        <v>45231</v>
      </c>
      <c r="C494" s="4" t="str">
        <f t="shared" si="15"/>
        <v>2023-11</v>
      </c>
      <c r="D494" s="3">
        <v>182.89</v>
      </c>
      <c r="E494" s="3">
        <v>46.57</v>
      </c>
      <c r="F494" s="3">
        <v>319.77999999999997</v>
      </c>
      <c r="G494" s="3">
        <v>26.03</v>
      </c>
    </row>
    <row r="495" spans="1:7" x14ac:dyDescent="0.2">
      <c r="A495" s="2">
        <v>45237</v>
      </c>
      <c r="B495" s="1">
        <f t="shared" si="14"/>
        <v>45231</v>
      </c>
      <c r="C495" s="4" t="str">
        <f t="shared" si="15"/>
        <v>2023-11</v>
      </c>
      <c r="D495" s="3">
        <v>181.82</v>
      </c>
      <c r="E495" s="3">
        <v>45.96</v>
      </c>
      <c r="F495" s="3">
        <v>318.82</v>
      </c>
      <c r="G495" s="3">
        <v>25.44</v>
      </c>
    </row>
    <row r="496" spans="1:7" x14ac:dyDescent="0.2">
      <c r="A496" s="2">
        <v>45236</v>
      </c>
      <c r="B496" s="1">
        <f t="shared" si="14"/>
        <v>45231</v>
      </c>
      <c r="C496" s="4" t="str">
        <f t="shared" si="15"/>
        <v>2023-11</v>
      </c>
      <c r="D496" s="3">
        <v>179.23</v>
      </c>
      <c r="E496" s="3">
        <v>45.75</v>
      </c>
      <c r="F496" s="3">
        <v>315.8</v>
      </c>
      <c r="G496" s="3">
        <v>25.26</v>
      </c>
    </row>
    <row r="497" spans="1:7" x14ac:dyDescent="0.2">
      <c r="A497" s="2">
        <v>45233</v>
      </c>
      <c r="B497" s="1">
        <f t="shared" si="14"/>
        <v>45231</v>
      </c>
      <c r="C497" s="4" t="str">
        <f t="shared" si="15"/>
        <v>2023-11</v>
      </c>
      <c r="D497" s="3">
        <v>176.65</v>
      </c>
      <c r="E497" s="3">
        <v>45.01</v>
      </c>
      <c r="F497" s="3">
        <v>314.60000000000002</v>
      </c>
      <c r="G497" s="3">
        <v>25.5</v>
      </c>
    </row>
    <row r="498" spans="1:7" x14ac:dyDescent="0.2">
      <c r="A498" s="2">
        <v>45232</v>
      </c>
      <c r="B498" s="1">
        <f t="shared" si="14"/>
        <v>45231</v>
      </c>
      <c r="C498" s="4" t="str">
        <f t="shared" si="15"/>
        <v>2023-11</v>
      </c>
      <c r="D498" s="3">
        <v>177.57</v>
      </c>
      <c r="E498" s="3">
        <v>43.51</v>
      </c>
      <c r="F498" s="3">
        <v>310.87</v>
      </c>
      <c r="G498" s="3">
        <v>24.59</v>
      </c>
    </row>
    <row r="499" spans="1:7" x14ac:dyDescent="0.2">
      <c r="A499" s="2">
        <v>45231</v>
      </c>
      <c r="B499" s="1">
        <f t="shared" si="14"/>
        <v>45231</v>
      </c>
      <c r="C499" s="4" t="str">
        <f t="shared" si="15"/>
        <v>2023-11</v>
      </c>
      <c r="D499" s="3">
        <v>173.97</v>
      </c>
      <c r="E499" s="3">
        <v>42.33</v>
      </c>
      <c r="F499" s="3">
        <v>311.85000000000002</v>
      </c>
      <c r="G499" s="3">
        <v>25.23</v>
      </c>
    </row>
    <row r="500" spans="1:7" x14ac:dyDescent="0.2">
      <c r="A500" s="2">
        <v>45230</v>
      </c>
      <c r="B500" s="1">
        <f t="shared" si="14"/>
        <v>45200</v>
      </c>
      <c r="C500" s="4" t="str">
        <f t="shared" si="15"/>
        <v>2023-10</v>
      </c>
      <c r="D500" s="3">
        <v>170.77</v>
      </c>
      <c r="E500" s="3">
        <v>40.78</v>
      </c>
      <c r="F500" s="3">
        <v>301.27</v>
      </c>
      <c r="G500" s="3">
        <v>23.95</v>
      </c>
    </row>
    <row r="501" spans="1:7" x14ac:dyDescent="0.2">
      <c r="A501" s="2">
        <v>45229</v>
      </c>
      <c r="B501" s="1">
        <f t="shared" si="14"/>
        <v>45200</v>
      </c>
      <c r="C501" s="4" t="str">
        <f t="shared" si="15"/>
        <v>2023-10</v>
      </c>
      <c r="D501" s="3">
        <v>170.29</v>
      </c>
      <c r="E501" s="3">
        <v>41.16</v>
      </c>
      <c r="F501" s="3">
        <v>302.66000000000003</v>
      </c>
      <c r="G501" s="3">
        <v>23.66</v>
      </c>
    </row>
    <row r="502" spans="1:7" x14ac:dyDescent="0.2">
      <c r="A502" s="2">
        <v>45226</v>
      </c>
      <c r="B502" s="1">
        <f t="shared" si="14"/>
        <v>45200</v>
      </c>
      <c r="C502" s="4" t="str">
        <f t="shared" si="15"/>
        <v>2023-10</v>
      </c>
      <c r="D502" s="3">
        <v>168.22</v>
      </c>
      <c r="E502" s="3">
        <v>40.5</v>
      </c>
      <c r="F502" s="3">
        <v>296.73</v>
      </c>
      <c r="G502" s="3">
        <v>24.14</v>
      </c>
    </row>
    <row r="503" spans="1:7" x14ac:dyDescent="0.2">
      <c r="A503" s="2">
        <v>45225</v>
      </c>
      <c r="B503" s="1">
        <f t="shared" si="14"/>
        <v>45200</v>
      </c>
      <c r="C503" s="4" t="str">
        <f t="shared" si="15"/>
        <v>2023-10</v>
      </c>
      <c r="D503" s="3">
        <v>166.89</v>
      </c>
      <c r="E503" s="3">
        <v>40.33</v>
      </c>
      <c r="F503" s="3">
        <v>288.35000000000002</v>
      </c>
      <c r="G503" s="3">
        <v>23.95</v>
      </c>
    </row>
    <row r="504" spans="1:7" x14ac:dyDescent="0.2">
      <c r="A504" s="2">
        <v>45224</v>
      </c>
      <c r="B504" s="1">
        <f t="shared" si="14"/>
        <v>45200</v>
      </c>
      <c r="C504" s="4" t="str">
        <f t="shared" si="15"/>
        <v>2023-10</v>
      </c>
      <c r="D504" s="3">
        <v>171.1</v>
      </c>
      <c r="E504" s="3">
        <v>41.78</v>
      </c>
      <c r="F504" s="3">
        <v>299.52999999999997</v>
      </c>
      <c r="G504" s="3">
        <v>25.4</v>
      </c>
    </row>
    <row r="505" spans="1:7" x14ac:dyDescent="0.2">
      <c r="A505" s="2">
        <v>45223</v>
      </c>
      <c r="B505" s="1">
        <f t="shared" si="14"/>
        <v>45200</v>
      </c>
      <c r="C505" s="4" t="str">
        <f t="shared" si="15"/>
        <v>2023-10</v>
      </c>
      <c r="D505" s="3">
        <v>173.44</v>
      </c>
      <c r="E505" s="3">
        <v>43.66</v>
      </c>
      <c r="F505" s="3">
        <v>312.55</v>
      </c>
      <c r="G505" s="3">
        <v>26.26</v>
      </c>
    </row>
    <row r="506" spans="1:7" x14ac:dyDescent="0.2">
      <c r="A506" s="2">
        <v>45222</v>
      </c>
      <c r="B506" s="1">
        <f t="shared" si="14"/>
        <v>45200</v>
      </c>
      <c r="C506" s="4" t="str">
        <f t="shared" si="15"/>
        <v>2023-10</v>
      </c>
      <c r="D506" s="3">
        <v>173</v>
      </c>
      <c r="E506" s="3">
        <v>42.98</v>
      </c>
      <c r="F506" s="3">
        <v>314.01</v>
      </c>
      <c r="G506" s="3">
        <v>25.49</v>
      </c>
    </row>
    <row r="507" spans="1:7" x14ac:dyDescent="0.2">
      <c r="A507" s="2">
        <v>45219</v>
      </c>
      <c r="B507" s="1">
        <f t="shared" si="14"/>
        <v>45200</v>
      </c>
      <c r="C507" s="4" t="str">
        <f t="shared" si="15"/>
        <v>2023-10</v>
      </c>
      <c r="D507" s="3">
        <v>172.88</v>
      </c>
      <c r="E507" s="3">
        <v>41.39</v>
      </c>
      <c r="F507" s="3">
        <v>308.64999999999998</v>
      </c>
      <c r="G507" s="3">
        <v>24.86</v>
      </c>
    </row>
    <row r="508" spans="1:7" x14ac:dyDescent="0.2">
      <c r="A508" s="2">
        <v>45218</v>
      </c>
      <c r="B508" s="1">
        <f t="shared" si="14"/>
        <v>45200</v>
      </c>
      <c r="C508" s="4" t="str">
        <f t="shared" si="15"/>
        <v>2023-10</v>
      </c>
      <c r="D508" s="3">
        <v>175.46</v>
      </c>
      <c r="E508" s="3">
        <v>42.1</v>
      </c>
      <c r="F508" s="3">
        <v>312.81</v>
      </c>
      <c r="G508" s="3">
        <v>26.51</v>
      </c>
    </row>
    <row r="509" spans="1:7" x14ac:dyDescent="0.2">
      <c r="A509" s="2">
        <v>45217</v>
      </c>
      <c r="B509" s="1">
        <f t="shared" si="14"/>
        <v>45200</v>
      </c>
      <c r="C509" s="4" t="str">
        <f t="shared" si="15"/>
        <v>2023-10</v>
      </c>
      <c r="D509" s="3">
        <v>175.84</v>
      </c>
      <c r="E509" s="3">
        <v>42.2</v>
      </c>
      <c r="F509" s="3">
        <v>316.97000000000003</v>
      </c>
      <c r="G509" s="3">
        <v>28.5</v>
      </c>
    </row>
    <row r="510" spans="1:7" x14ac:dyDescent="0.2">
      <c r="A510" s="2">
        <v>45216</v>
      </c>
      <c r="B510" s="1">
        <f t="shared" si="14"/>
        <v>45200</v>
      </c>
      <c r="C510" s="4" t="str">
        <f t="shared" si="15"/>
        <v>2023-10</v>
      </c>
      <c r="D510" s="3">
        <v>177.15</v>
      </c>
      <c r="E510" s="3">
        <v>43.94</v>
      </c>
      <c r="F510" s="3">
        <v>324</v>
      </c>
      <c r="G510" s="3">
        <v>29.85</v>
      </c>
    </row>
    <row r="511" spans="1:7" x14ac:dyDescent="0.2">
      <c r="A511" s="2">
        <v>45215</v>
      </c>
      <c r="B511" s="1">
        <f t="shared" si="14"/>
        <v>45200</v>
      </c>
      <c r="C511" s="4" t="str">
        <f t="shared" si="15"/>
        <v>2023-10</v>
      </c>
      <c r="D511" s="3">
        <v>178.72</v>
      </c>
      <c r="E511" s="3">
        <v>46.1</v>
      </c>
      <c r="F511" s="3">
        <v>321.14999999999998</v>
      </c>
      <c r="G511" s="3">
        <v>29.17</v>
      </c>
    </row>
    <row r="512" spans="1:7" x14ac:dyDescent="0.2">
      <c r="A512" s="2">
        <v>45212</v>
      </c>
      <c r="B512" s="1">
        <f t="shared" si="14"/>
        <v>45200</v>
      </c>
      <c r="C512" s="4" t="str">
        <f t="shared" si="15"/>
        <v>2023-10</v>
      </c>
      <c r="D512" s="3">
        <v>178.85</v>
      </c>
      <c r="E512" s="3">
        <v>45.46</v>
      </c>
      <c r="F512" s="3">
        <v>314.69</v>
      </c>
      <c r="G512" s="3">
        <v>28.52</v>
      </c>
    </row>
    <row r="513" spans="1:7" x14ac:dyDescent="0.2">
      <c r="A513" s="2">
        <v>45211</v>
      </c>
      <c r="B513" s="1">
        <f t="shared" si="14"/>
        <v>45200</v>
      </c>
      <c r="C513" s="4" t="str">
        <f t="shared" si="15"/>
        <v>2023-10</v>
      </c>
      <c r="D513" s="3">
        <v>180.71</v>
      </c>
      <c r="E513" s="3">
        <v>46.95</v>
      </c>
      <c r="F513" s="3">
        <v>324.16000000000003</v>
      </c>
      <c r="G513" s="3">
        <v>29.32</v>
      </c>
    </row>
    <row r="514" spans="1:7" x14ac:dyDescent="0.2">
      <c r="A514" s="2">
        <v>45210</v>
      </c>
      <c r="B514" s="1">
        <f t="shared" si="14"/>
        <v>45200</v>
      </c>
      <c r="C514" s="4" t="str">
        <f t="shared" si="15"/>
        <v>2023-10</v>
      </c>
      <c r="D514" s="3">
        <v>179.8</v>
      </c>
      <c r="E514" s="3">
        <v>46.81</v>
      </c>
      <c r="F514" s="3">
        <v>327.82</v>
      </c>
      <c r="G514" s="3">
        <v>30.89</v>
      </c>
    </row>
    <row r="515" spans="1:7" x14ac:dyDescent="0.2">
      <c r="A515" s="2">
        <v>45209</v>
      </c>
      <c r="B515" s="1">
        <f t="shared" ref="B515:B578" si="16">EOMONTH(A515, -1)+1</f>
        <v>45200</v>
      </c>
      <c r="C515" s="4" t="str">
        <f t="shared" ref="C515:C578" si="17">TEXT(A515, "yyyy-mm")</f>
        <v>2023-10</v>
      </c>
      <c r="D515" s="3">
        <v>178.39</v>
      </c>
      <c r="E515" s="3">
        <v>45.8</v>
      </c>
      <c r="F515" s="3">
        <v>321.83999999999997</v>
      </c>
      <c r="G515" s="3">
        <v>31.03</v>
      </c>
    </row>
    <row r="516" spans="1:7" x14ac:dyDescent="0.2">
      <c r="A516" s="2">
        <v>45208</v>
      </c>
      <c r="B516" s="1">
        <f t="shared" si="16"/>
        <v>45200</v>
      </c>
      <c r="C516" s="4" t="str">
        <f t="shared" si="17"/>
        <v>2023-10</v>
      </c>
      <c r="D516" s="3">
        <v>178.99</v>
      </c>
      <c r="E516" s="3">
        <v>45.27</v>
      </c>
      <c r="F516" s="3">
        <v>318.36</v>
      </c>
      <c r="G516" s="3">
        <v>29</v>
      </c>
    </row>
    <row r="517" spans="1:7" x14ac:dyDescent="0.2">
      <c r="A517" s="2">
        <v>45205</v>
      </c>
      <c r="B517" s="1">
        <f t="shared" si="16"/>
        <v>45200</v>
      </c>
      <c r="C517" s="4" t="str">
        <f t="shared" si="17"/>
        <v>2023-10</v>
      </c>
      <c r="D517" s="3">
        <v>177.49</v>
      </c>
      <c r="E517" s="3">
        <v>45.76</v>
      </c>
      <c r="F517" s="3">
        <v>315.43</v>
      </c>
      <c r="G517" s="3">
        <v>28.97</v>
      </c>
    </row>
    <row r="518" spans="1:7" x14ac:dyDescent="0.2">
      <c r="A518" s="2">
        <v>45204</v>
      </c>
      <c r="B518" s="1">
        <f t="shared" si="16"/>
        <v>45200</v>
      </c>
      <c r="C518" s="4" t="str">
        <f t="shared" si="17"/>
        <v>2023-10</v>
      </c>
      <c r="D518" s="3">
        <v>174.91</v>
      </c>
      <c r="E518" s="3">
        <v>44.69</v>
      </c>
      <c r="F518" s="3">
        <v>304.79000000000002</v>
      </c>
      <c r="G518" s="3">
        <v>28.76</v>
      </c>
    </row>
    <row r="519" spans="1:7" x14ac:dyDescent="0.2">
      <c r="A519" s="2">
        <v>45203</v>
      </c>
      <c r="B519" s="1">
        <f t="shared" si="16"/>
        <v>45200</v>
      </c>
      <c r="C519" s="4" t="str">
        <f t="shared" si="17"/>
        <v>2023-10</v>
      </c>
      <c r="D519" s="3">
        <v>173.66</v>
      </c>
      <c r="E519" s="3">
        <v>44.04</v>
      </c>
      <c r="F519" s="3">
        <v>305.58</v>
      </c>
      <c r="G519" s="3">
        <v>28.04</v>
      </c>
    </row>
    <row r="520" spans="1:7" x14ac:dyDescent="0.2">
      <c r="A520" s="2">
        <v>45202</v>
      </c>
      <c r="B520" s="1">
        <f t="shared" si="16"/>
        <v>45200</v>
      </c>
      <c r="C520" s="4" t="str">
        <f t="shared" si="17"/>
        <v>2023-10</v>
      </c>
      <c r="D520" s="3">
        <v>172.4</v>
      </c>
      <c r="E520" s="3">
        <v>43.52</v>
      </c>
      <c r="F520" s="3">
        <v>300.94</v>
      </c>
      <c r="G520" s="3">
        <v>27</v>
      </c>
    </row>
    <row r="521" spans="1:7" x14ac:dyDescent="0.2">
      <c r="A521" s="2">
        <v>45201</v>
      </c>
      <c r="B521" s="1">
        <f t="shared" si="16"/>
        <v>45200</v>
      </c>
      <c r="C521" s="4" t="str">
        <f t="shared" si="17"/>
        <v>2023-10</v>
      </c>
      <c r="D521" s="3">
        <v>173.75</v>
      </c>
      <c r="E521" s="3">
        <v>44.78</v>
      </c>
      <c r="F521" s="3">
        <v>306.82</v>
      </c>
      <c r="G521" s="3">
        <v>28.89</v>
      </c>
    </row>
    <row r="522" spans="1:7" x14ac:dyDescent="0.2">
      <c r="A522" s="2">
        <v>45198</v>
      </c>
      <c r="B522" s="1">
        <f t="shared" si="16"/>
        <v>45170</v>
      </c>
      <c r="C522" s="4" t="str">
        <f t="shared" si="17"/>
        <v>2023-09</v>
      </c>
      <c r="D522" s="3">
        <v>171.21</v>
      </c>
      <c r="E522" s="3">
        <v>43.5</v>
      </c>
      <c r="F522" s="3">
        <v>300.20999999999998</v>
      </c>
      <c r="G522" s="3">
        <v>27.42</v>
      </c>
    </row>
    <row r="523" spans="1:7" x14ac:dyDescent="0.2">
      <c r="A523" s="2">
        <v>45197</v>
      </c>
      <c r="B523" s="1">
        <f t="shared" si="16"/>
        <v>45170</v>
      </c>
      <c r="C523" s="4" t="str">
        <f t="shared" si="17"/>
        <v>2023-09</v>
      </c>
      <c r="D523" s="3">
        <v>170.69</v>
      </c>
      <c r="E523" s="3">
        <v>43.09</v>
      </c>
      <c r="F523" s="3">
        <v>303.95999999999998</v>
      </c>
      <c r="G523" s="3">
        <v>26.94</v>
      </c>
    </row>
    <row r="524" spans="1:7" x14ac:dyDescent="0.2">
      <c r="A524" s="2">
        <v>45196</v>
      </c>
      <c r="B524" s="1">
        <f t="shared" si="16"/>
        <v>45170</v>
      </c>
      <c r="C524" s="4" t="str">
        <f t="shared" si="17"/>
        <v>2023-09</v>
      </c>
      <c r="D524" s="3">
        <v>170.43</v>
      </c>
      <c r="E524" s="3">
        <v>42.47</v>
      </c>
      <c r="F524" s="3">
        <v>297.74</v>
      </c>
      <c r="G524" s="3">
        <v>25.75</v>
      </c>
    </row>
    <row r="525" spans="1:7" x14ac:dyDescent="0.2">
      <c r="A525" s="2">
        <v>45195</v>
      </c>
      <c r="B525" s="1">
        <f t="shared" si="16"/>
        <v>45170</v>
      </c>
      <c r="C525" s="4" t="str">
        <f t="shared" si="17"/>
        <v>2023-09</v>
      </c>
      <c r="D525" s="3">
        <v>171.96</v>
      </c>
      <c r="E525" s="3">
        <v>41.91</v>
      </c>
      <c r="F525" s="3">
        <v>298.95999999999998</v>
      </c>
      <c r="G525" s="3">
        <v>24.92</v>
      </c>
    </row>
    <row r="526" spans="1:7" x14ac:dyDescent="0.2">
      <c r="A526" s="2">
        <v>45194</v>
      </c>
      <c r="B526" s="1">
        <f t="shared" si="16"/>
        <v>45170</v>
      </c>
      <c r="C526" s="4" t="str">
        <f t="shared" si="17"/>
        <v>2023-09</v>
      </c>
      <c r="D526" s="3">
        <v>176.08</v>
      </c>
      <c r="E526" s="3">
        <v>42.22</v>
      </c>
      <c r="F526" s="3">
        <v>300.83</v>
      </c>
      <c r="G526" s="3">
        <v>24.89</v>
      </c>
    </row>
    <row r="527" spans="1:7" x14ac:dyDescent="0.2">
      <c r="A527" s="2">
        <v>45191</v>
      </c>
      <c r="B527" s="1">
        <f t="shared" si="16"/>
        <v>45170</v>
      </c>
      <c r="C527" s="4" t="str">
        <f t="shared" si="17"/>
        <v>2023-09</v>
      </c>
      <c r="D527" s="3">
        <v>174.79</v>
      </c>
      <c r="E527" s="3">
        <v>41.61</v>
      </c>
      <c r="F527" s="3">
        <v>299.08</v>
      </c>
      <c r="G527" s="3">
        <v>23.58</v>
      </c>
    </row>
    <row r="528" spans="1:7" x14ac:dyDescent="0.2">
      <c r="A528" s="2">
        <v>45190</v>
      </c>
      <c r="B528" s="1">
        <f t="shared" si="16"/>
        <v>45170</v>
      </c>
      <c r="C528" s="4" t="str">
        <f t="shared" si="17"/>
        <v>2023-09</v>
      </c>
      <c r="D528" s="3">
        <v>173.93</v>
      </c>
      <c r="E528" s="3">
        <v>41.02</v>
      </c>
      <c r="F528" s="3">
        <v>295.73</v>
      </c>
      <c r="G528" s="3">
        <v>23.15</v>
      </c>
    </row>
    <row r="529" spans="1:7" x14ac:dyDescent="0.2">
      <c r="A529" s="2">
        <v>45189</v>
      </c>
      <c r="B529" s="1">
        <f t="shared" si="16"/>
        <v>45170</v>
      </c>
      <c r="C529" s="4" t="str">
        <f t="shared" si="17"/>
        <v>2023-09</v>
      </c>
      <c r="D529" s="3">
        <v>175.49</v>
      </c>
      <c r="E529" s="3">
        <v>42.24</v>
      </c>
      <c r="F529" s="3">
        <v>299.67</v>
      </c>
      <c r="G529" s="3">
        <v>24.31</v>
      </c>
    </row>
    <row r="530" spans="1:7" x14ac:dyDescent="0.2">
      <c r="A530" s="2">
        <v>45188</v>
      </c>
      <c r="B530" s="1">
        <f t="shared" si="16"/>
        <v>45170</v>
      </c>
      <c r="C530" s="4" t="str">
        <f t="shared" si="17"/>
        <v>2023-09</v>
      </c>
      <c r="D530" s="3">
        <v>179.07</v>
      </c>
      <c r="E530" s="3">
        <v>43.52</v>
      </c>
      <c r="F530" s="3">
        <v>305.07</v>
      </c>
      <c r="G530" s="3">
        <v>24.77</v>
      </c>
    </row>
    <row r="531" spans="1:7" x14ac:dyDescent="0.2">
      <c r="A531" s="2">
        <v>45187</v>
      </c>
      <c r="B531" s="1">
        <f t="shared" si="16"/>
        <v>45170</v>
      </c>
      <c r="C531" s="4" t="str">
        <f t="shared" si="17"/>
        <v>2023-09</v>
      </c>
      <c r="D531" s="3">
        <v>177.97</v>
      </c>
      <c r="E531" s="3">
        <v>43.97</v>
      </c>
      <c r="F531" s="3">
        <v>302.55</v>
      </c>
      <c r="G531" s="3">
        <v>24.43</v>
      </c>
    </row>
    <row r="532" spans="1:7" x14ac:dyDescent="0.2">
      <c r="A532" s="2">
        <v>45184</v>
      </c>
      <c r="B532" s="1">
        <f t="shared" si="16"/>
        <v>45170</v>
      </c>
      <c r="C532" s="4" t="str">
        <f t="shared" si="17"/>
        <v>2023-09</v>
      </c>
      <c r="D532" s="3">
        <v>175.01</v>
      </c>
      <c r="E532" s="3">
        <v>43.9</v>
      </c>
      <c r="F532" s="3">
        <v>300.31</v>
      </c>
      <c r="G532" s="3">
        <v>24.93</v>
      </c>
    </row>
    <row r="533" spans="1:7" x14ac:dyDescent="0.2">
      <c r="A533" s="2">
        <v>45183</v>
      </c>
      <c r="B533" s="1">
        <f t="shared" si="16"/>
        <v>45170</v>
      </c>
      <c r="C533" s="4" t="str">
        <f t="shared" si="17"/>
        <v>2023-09</v>
      </c>
      <c r="D533" s="3">
        <v>175.74</v>
      </c>
      <c r="E533" s="3">
        <v>45.58</v>
      </c>
      <c r="F533" s="3">
        <v>311.72000000000003</v>
      </c>
      <c r="G533" s="3">
        <v>27.08</v>
      </c>
    </row>
    <row r="534" spans="1:7" x14ac:dyDescent="0.2">
      <c r="A534" s="2">
        <v>45182</v>
      </c>
      <c r="B534" s="1">
        <f t="shared" si="16"/>
        <v>45170</v>
      </c>
      <c r="C534" s="4" t="str">
        <f t="shared" si="17"/>
        <v>2023-09</v>
      </c>
      <c r="D534" s="3">
        <v>174.21</v>
      </c>
      <c r="E534" s="3">
        <v>45.49</v>
      </c>
      <c r="F534" s="3">
        <v>305.06</v>
      </c>
      <c r="G534" s="3">
        <v>27.1</v>
      </c>
    </row>
    <row r="535" spans="1:7" x14ac:dyDescent="0.2">
      <c r="A535" s="2">
        <v>45181</v>
      </c>
      <c r="B535" s="1">
        <f t="shared" si="16"/>
        <v>45170</v>
      </c>
      <c r="C535" s="4" t="str">
        <f t="shared" si="17"/>
        <v>2023-09</v>
      </c>
      <c r="D535" s="3">
        <v>176.3</v>
      </c>
      <c r="E535" s="3">
        <v>44.87</v>
      </c>
      <c r="F535" s="3">
        <v>301.66000000000003</v>
      </c>
      <c r="G535" s="3">
        <v>26.77</v>
      </c>
    </row>
    <row r="536" spans="1:7" x14ac:dyDescent="0.2">
      <c r="A536" s="2">
        <v>45180</v>
      </c>
      <c r="B536" s="1">
        <f t="shared" si="16"/>
        <v>45170</v>
      </c>
      <c r="C536" s="4" t="str">
        <f t="shared" si="17"/>
        <v>2023-09</v>
      </c>
      <c r="D536" s="3">
        <v>179.36</v>
      </c>
      <c r="E536" s="3">
        <v>45.18</v>
      </c>
      <c r="F536" s="3">
        <v>307.56</v>
      </c>
      <c r="G536" s="3">
        <v>27.73</v>
      </c>
    </row>
    <row r="537" spans="1:7" x14ac:dyDescent="0.2">
      <c r="A537" s="2">
        <v>45177</v>
      </c>
      <c r="B537" s="1">
        <f t="shared" si="16"/>
        <v>45170</v>
      </c>
      <c r="C537" s="4" t="str">
        <f t="shared" si="17"/>
        <v>2023-09</v>
      </c>
      <c r="D537" s="3">
        <v>178.18</v>
      </c>
      <c r="E537" s="3">
        <v>45.57</v>
      </c>
      <c r="F537" s="3">
        <v>297.89</v>
      </c>
      <c r="G537" s="3">
        <v>28.07</v>
      </c>
    </row>
    <row r="538" spans="1:7" x14ac:dyDescent="0.2">
      <c r="A538" s="2">
        <v>45176</v>
      </c>
      <c r="B538" s="1">
        <f t="shared" si="16"/>
        <v>45170</v>
      </c>
      <c r="C538" s="4" t="str">
        <f t="shared" si="17"/>
        <v>2023-09</v>
      </c>
      <c r="D538" s="3">
        <v>177.56</v>
      </c>
      <c r="E538" s="3">
        <v>46.24</v>
      </c>
      <c r="F538" s="3">
        <v>298.67</v>
      </c>
      <c r="G538" s="3">
        <v>26.75</v>
      </c>
    </row>
    <row r="539" spans="1:7" x14ac:dyDescent="0.2">
      <c r="A539" s="2">
        <v>45175</v>
      </c>
      <c r="B539" s="1">
        <f t="shared" si="16"/>
        <v>45170</v>
      </c>
      <c r="C539" s="4" t="str">
        <f t="shared" si="17"/>
        <v>2023-09</v>
      </c>
      <c r="D539" s="3">
        <v>182.91</v>
      </c>
      <c r="E539" s="3">
        <v>47.06</v>
      </c>
      <c r="F539" s="3">
        <v>299.17</v>
      </c>
      <c r="G539" s="3">
        <v>27.4</v>
      </c>
    </row>
    <row r="540" spans="1:7" x14ac:dyDescent="0.2">
      <c r="A540" s="2">
        <v>45174</v>
      </c>
      <c r="B540" s="1">
        <f t="shared" si="16"/>
        <v>45170</v>
      </c>
      <c r="C540" s="4" t="str">
        <f t="shared" si="17"/>
        <v>2023-09</v>
      </c>
      <c r="D540" s="3">
        <v>189.7</v>
      </c>
      <c r="E540" s="3">
        <v>48.55</v>
      </c>
      <c r="F540" s="3">
        <v>300.14999999999998</v>
      </c>
      <c r="G540" s="3">
        <v>28.03</v>
      </c>
    </row>
    <row r="541" spans="1:7" x14ac:dyDescent="0.2">
      <c r="A541" s="2">
        <v>45170</v>
      </c>
      <c r="B541" s="1">
        <f t="shared" si="16"/>
        <v>45170</v>
      </c>
      <c r="C541" s="4" t="str">
        <f t="shared" si="17"/>
        <v>2023-09</v>
      </c>
      <c r="D541" s="3">
        <v>189.46</v>
      </c>
      <c r="E541" s="3">
        <v>48.51</v>
      </c>
      <c r="F541" s="3">
        <v>296.38</v>
      </c>
      <c r="G541" s="3">
        <v>28.22</v>
      </c>
    </row>
    <row r="542" spans="1:7" x14ac:dyDescent="0.2">
      <c r="A542" s="2">
        <v>45169</v>
      </c>
      <c r="B542" s="1">
        <f t="shared" si="16"/>
        <v>45139</v>
      </c>
      <c r="C542" s="4" t="str">
        <f t="shared" si="17"/>
        <v>2023-08</v>
      </c>
      <c r="D542" s="3">
        <v>187.87</v>
      </c>
      <c r="E542" s="3">
        <v>49.36</v>
      </c>
      <c r="F542" s="3">
        <v>295.89</v>
      </c>
      <c r="G542" s="3">
        <v>27.51</v>
      </c>
    </row>
    <row r="543" spans="1:7" x14ac:dyDescent="0.2">
      <c r="A543" s="2">
        <v>45168</v>
      </c>
      <c r="B543" s="1">
        <f t="shared" si="16"/>
        <v>45139</v>
      </c>
      <c r="C543" s="4" t="str">
        <f t="shared" si="17"/>
        <v>2023-08</v>
      </c>
      <c r="D543" s="3">
        <v>187.65</v>
      </c>
      <c r="E543" s="3">
        <v>49.26</v>
      </c>
      <c r="F543" s="3">
        <v>295.10000000000002</v>
      </c>
      <c r="G543" s="3">
        <v>26.79</v>
      </c>
    </row>
    <row r="544" spans="1:7" x14ac:dyDescent="0.2">
      <c r="A544" s="2">
        <v>45167</v>
      </c>
      <c r="B544" s="1">
        <f t="shared" si="16"/>
        <v>45139</v>
      </c>
      <c r="C544" s="4" t="str">
        <f t="shared" si="17"/>
        <v>2023-08</v>
      </c>
      <c r="D544" s="3">
        <v>184.12</v>
      </c>
      <c r="E544" s="3">
        <v>48.78</v>
      </c>
      <c r="F544" s="3">
        <v>297.99</v>
      </c>
      <c r="G544" s="3">
        <v>26.16</v>
      </c>
    </row>
    <row r="545" spans="1:7" x14ac:dyDescent="0.2">
      <c r="A545" s="2">
        <v>45166</v>
      </c>
      <c r="B545" s="1">
        <f t="shared" si="16"/>
        <v>45139</v>
      </c>
      <c r="C545" s="4" t="str">
        <f t="shared" si="17"/>
        <v>2023-08</v>
      </c>
      <c r="D545" s="3">
        <v>180.19</v>
      </c>
      <c r="E545" s="3">
        <v>46.84</v>
      </c>
      <c r="F545" s="3">
        <v>290.26</v>
      </c>
      <c r="G545" s="3">
        <v>25.52</v>
      </c>
    </row>
    <row r="546" spans="1:7" x14ac:dyDescent="0.2">
      <c r="A546" s="2">
        <v>45163</v>
      </c>
      <c r="B546" s="1">
        <f t="shared" si="16"/>
        <v>45139</v>
      </c>
      <c r="C546" s="4" t="str">
        <f t="shared" si="17"/>
        <v>2023-08</v>
      </c>
      <c r="D546" s="3">
        <v>178.61</v>
      </c>
      <c r="E546" s="3">
        <v>46.02</v>
      </c>
      <c r="F546" s="3">
        <v>285.5</v>
      </c>
      <c r="G546" s="3">
        <v>25.4</v>
      </c>
    </row>
    <row r="547" spans="1:7" x14ac:dyDescent="0.2">
      <c r="A547" s="2">
        <v>45162</v>
      </c>
      <c r="B547" s="1">
        <f t="shared" si="16"/>
        <v>45139</v>
      </c>
      <c r="C547" s="4" t="str">
        <f t="shared" si="17"/>
        <v>2023-08</v>
      </c>
      <c r="D547" s="3">
        <v>176.38</v>
      </c>
      <c r="E547" s="3">
        <v>47.16</v>
      </c>
      <c r="F547" s="3">
        <v>286.75</v>
      </c>
      <c r="G547" s="3">
        <v>26.25</v>
      </c>
    </row>
    <row r="548" spans="1:7" x14ac:dyDescent="0.2">
      <c r="A548" s="2">
        <v>45161</v>
      </c>
      <c r="B548" s="1">
        <f t="shared" si="16"/>
        <v>45139</v>
      </c>
      <c r="C548" s="4" t="str">
        <f t="shared" si="17"/>
        <v>2023-08</v>
      </c>
      <c r="D548" s="3">
        <v>181.12</v>
      </c>
      <c r="E548" s="3">
        <v>47.12</v>
      </c>
      <c r="F548" s="3">
        <v>294.24</v>
      </c>
      <c r="G548" s="3">
        <v>27.76</v>
      </c>
    </row>
    <row r="549" spans="1:7" x14ac:dyDescent="0.2">
      <c r="A549" s="2">
        <v>45160</v>
      </c>
      <c r="B549" s="1">
        <f t="shared" si="16"/>
        <v>45139</v>
      </c>
      <c r="C549" s="4" t="str">
        <f t="shared" si="17"/>
        <v>2023-08</v>
      </c>
      <c r="D549" s="3">
        <v>177.23</v>
      </c>
      <c r="E549" s="3">
        <v>45.67</v>
      </c>
      <c r="F549" s="3">
        <v>287.60000000000002</v>
      </c>
      <c r="G549" s="3">
        <v>25.81</v>
      </c>
    </row>
    <row r="550" spans="1:7" x14ac:dyDescent="0.2">
      <c r="A550" s="2">
        <v>45159</v>
      </c>
      <c r="B550" s="1">
        <f t="shared" si="16"/>
        <v>45139</v>
      </c>
      <c r="C550" s="4" t="str">
        <f t="shared" si="17"/>
        <v>2023-08</v>
      </c>
      <c r="D550" s="3">
        <v>175.84</v>
      </c>
      <c r="E550" s="3">
        <v>46.97</v>
      </c>
      <c r="F550" s="3">
        <v>289.89999999999998</v>
      </c>
      <c r="G550" s="3">
        <v>25.26</v>
      </c>
    </row>
    <row r="551" spans="1:7" x14ac:dyDescent="0.2">
      <c r="A551" s="2">
        <v>45156</v>
      </c>
      <c r="B551" s="1">
        <f t="shared" si="16"/>
        <v>45139</v>
      </c>
      <c r="C551" s="4" t="str">
        <f t="shared" si="17"/>
        <v>2023-08</v>
      </c>
      <c r="D551" s="3">
        <v>174.49</v>
      </c>
      <c r="E551" s="3">
        <v>43.3</v>
      </c>
      <c r="F551" s="3">
        <v>283.25</v>
      </c>
      <c r="G551" s="3">
        <v>24.36</v>
      </c>
    </row>
    <row r="552" spans="1:7" x14ac:dyDescent="0.2">
      <c r="A552" s="2">
        <v>45155</v>
      </c>
      <c r="B552" s="1">
        <f t="shared" si="16"/>
        <v>45139</v>
      </c>
      <c r="C552" s="4" t="str">
        <f t="shared" si="17"/>
        <v>2023-08</v>
      </c>
      <c r="D552" s="3">
        <v>174</v>
      </c>
      <c r="E552" s="3">
        <v>43.34</v>
      </c>
      <c r="F552" s="3">
        <v>285.08999999999997</v>
      </c>
      <c r="G552" s="3">
        <v>24.41</v>
      </c>
    </row>
    <row r="553" spans="1:7" x14ac:dyDescent="0.2">
      <c r="A553" s="2">
        <v>45154</v>
      </c>
      <c r="B553" s="1">
        <f t="shared" si="16"/>
        <v>45139</v>
      </c>
      <c r="C553" s="4" t="str">
        <f t="shared" si="17"/>
        <v>2023-08</v>
      </c>
      <c r="D553" s="3">
        <v>176.57</v>
      </c>
      <c r="E553" s="3">
        <v>43.49</v>
      </c>
      <c r="F553" s="3">
        <v>294.29000000000002</v>
      </c>
      <c r="G553" s="3">
        <v>25.37</v>
      </c>
    </row>
    <row r="554" spans="1:7" x14ac:dyDescent="0.2">
      <c r="A554" s="2">
        <v>45153</v>
      </c>
      <c r="B554" s="1">
        <f t="shared" si="16"/>
        <v>45139</v>
      </c>
      <c r="C554" s="4" t="str">
        <f t="shared" si="17"/>
        <v>2023-08</v>
      </c>
      <c r="D554" s="3">
        <v>177.45</v>
      </c>
      <c r="E554" s="3">
        <v>43.94</v>
      </c>
      <c r="F554" s="3">
        <v>301.95</v>
      </c>
      <c r="G554" s="3">
        <v>26.42</v>
      </c>
    </row>
    <row r="555" spans="1:7" x14ac:dyDescent="0.2">
      <c r="A555" s="2">
        <v>45152</v>
      </c>
      <c r="B555" s="1">
        <f t="shared" si="16"/>
        <v>45139</v>
      </c>
      <c r="C555" s="4" t="str">
        <f t="shared" si="17"/>
        <v>2023-08</v>
      </c>
      <c r="D555" s="3">
        <v>179.46</v>
      </c>
      <c r="E555" s="3">
        <v>43.75</v>
      </c>
      <c r="F555" s="3">
        <v>306.19</v>
      </c>
      <c r="G555" s="3">
        <v>26.95</v>
      </c>
    </row>
    <row r="556" spans="1:7" x14ac:dyDescent="0.2">
      <c r="A556" s="2">
        <v>45149</v>
      </c>
      <c r="B556" s="1">
        <f t="shared" si="16"/>
        <v>45139</v>
      </c>
      <c r="C556" s="4" t="str">
        <f t="shared" si="17"/>
        <v>2023-08</v>
      </c>
      <c r="D556" s="3">
        <v>177.79</v>
      </c>
      <c r="E556" s="3">
        <v>40.86</v>
      </c>
      <c r="F556" s="3">
        <v>301.64</v>
      </c>
      <c r="G556" s="3">
        <v>25.44</v>
      </c>
    </row>
    <row r="557" spans="1:7" x14ac:dyDescent="0.2">
      <c r="A557" s="2">
        <v>45148</v>
      </c>
      <c r="B557" s="1">
        <f t="shared" si="16"/>
        <v>45139</v>
      </c>
      <c r="C557" s="4" t="str">
        <f t="shared" si="17"/>
        <v>2023-08</v>
      </c>
      <c r="D557" s="3">
        <v>177.97</v>
      </c>
      <c r="E557" s="3">
        <v>42.39</v>
      </c>
      <c r="F557" s="3">
        <v>305.74</v>
      </c>
      <c r="G557" s="3">
        <v>27.71</v>
      </c>
    </row>
    <row r="558" spans="1:7" x14ac:dyDescent="0.2">
      <c r="A558" s="2">
        <v>45147</v>
      </c>
      <c r="B558" s="1">
        <f t="shared" si="16"/>
        <v>45139</v>
      </c>
      <c r="C558" s="4" t="str">
        <f t="shared" si="17"/>
        <v>2023-08</v>
      </c>
      <c r="D558" s="3">
        <v>178.19</v>
      </c>
      <c r="E558" s="3">
        <v>42.55</v>
      </c>
      <c r="F558" s="3">
        <v>305.20999999999998</v>
      </c>
      <c r="G558" s="3">
        <v>26.61</v>
      </c>
    </row>
    <row r="559" spans="1:7" x14ac:dyDescent="0.2">
      <c r="A559" s="2">
        <v>45146</v>
      </c>
      <c r="B559" s="1">
        <f t="shared" si="16"/>
        <v>45139</v>
      </c>
      <c r="C559" s="4" t="str">
        <f t="shared" si="17"/>
        <v>2023-08</v>
      </c>
      <c r="D559" s="3">
        <v>179.8</v>
      </c>
      <c r="E559" s="3">
        <v>44.66</v>
      </c>
      <c r="F559" s="3">
        <v>312.64</v>
      </c>
      <c r="G559" s="3">
        <v>34.74</v>
      </c>
    </row>
    <row r="560" spans="1:7" x14ac:dyDescent="0.2">
      <c r="A560" s="2">
        <v>45145</v>
      </c>
      <c r="B560" s="1">
        <f t="shared" si="16"/>
        <v>45139</v>
      </c>
      <c r="C560" s="4" t="str">
        <f t="shared" si="17"/>
        <v>2023-08</v>
      </c>
      <c r="D560" s="3">
        <v>178.85</v>
      </c>
      <c r="E560" s="3">
        <v>45.42</v>
      </c>
      <c r="F560" s="3">
        <v>316.56</v>
      </c>
      <c r="G560" s="3">
        <v>35.33</v>
      </c>
    </row>
    <row r="561" spans="1:7" x14ac:dyDescent="0.2">
      <c r="A561" s="2">
        <v>45142</v>
      </c>
      <c r="B561" s="1">
        <f t="shared" si="16"/>
        <v>45139</v>
      </c>
      <c r="C561" s="4" t="str">
        <f t="shared" si="17"/>
        <v>2023-08</v>
      </c>
      <c r="D561" s="3">
        <v>181.99</v>
      </c>
      <c r="E561" s="3">
        <v>44.68</v>
      </c>
      <c r="F561" s="3">
        <v>310.73</v>
      </c>
      <c r="G561" s="3">
        <v>33.81</v>
      </c>
    </row>
    <row r="562" spans="1:7" x14ac:dyDescent="0.2">
      <c r="A562" s="2">
        <v>45141</v>
      </c>
      <c r="B562" s="1">
        <f t="shared" si="16"/>
        <v>45139</v>
      </c>
      <c r="C562" s="4" t="str">
        <f t="shared" si="17"/>
        <v>2023-08</v>
      </c>
      <c r="D562" s="3">
        <v>191.17</v>
      </c>
      <c r="E562" s="3">
        <v>44.52</v>
      </c>
      <c r="F562" s="3">
        <v>313.19</v>
      </c>
      <c r="G562" s="3">
        <v>32.119999999999997</v>
      </c>
    </row>
    <row r="563" spans="1:7" x14ac:dyDescent="0.2">
      <c r="A563" s="2">
        <v>45140</v>
      </c>
      <c r="B563" s="1">
        <f t="shared" si="16"/>
        <v>45139</v>
      </c>
      <c r="C563" s="4" t="str">
        <f t="shared" si="17"/>
        <v>2023-08</v>
      </c>
      <c r="D563" s="3">
        <v>192.58</v>
      </c>
      <c r="E563" s="3">
        <v>44.27</v>
      </c>
      <c r="F563" s="3">
        <v>314.31</v>
      </c>
      <c r="G563" s="3">
        <v>31.96</v>
      </c>
    </row>
    <row r="564" spans="1:7" x14ac:dyDescent="0.2">
      <c r="A564" s="2">
        <v>45139</v>
      </c>
      <c r="B564" s="1">
        <f t="shared" si="16"/>
        <v>45139</v>
      </c>
      <c r="C564" s="4" t="str">
        <f t="shared" si="17"/>
        <v>2023-08</v>
      </c>
      <c r="D564" s="3">
        <v>195.61</v>
      </c>
      <c r="E564" s="3">
        <v>46.51</v>
      </c>
      <c r="F564" s="3">
        <v>322.70999999999998</v>
      </c>
      <c r="G564" s="3">
        <v>33.76</v>
      </c>
    </row>
    <row r="565" spans="1:7" x14ac:dyDescent="0.2">
      <c r="A565" s="2">
        <v>45138</v>
      </c>
      <c r="B565" s="1">
        <f t="shared" si="16"/>
        <v>45108</v>
      </c>
      <c r="C565" s="4" t="str">
        <f t="shared" si="17"/>
        <v>2023-07</v>
      </c>
      <c r="D565" s="3">
        <v>196.45</v>
      </c>
      <c r="E565" s="3">
        <v>46.73</v>
      </c>
      <c r="F565" s="3">
        <v>318.60000000000002</v>
      </c>
      <c r="G565" s="3">
        <v>33.03</v>
      </c>
    </row>
    <row r="566" spans="1:7" x14ac:dyDescent="0.2">
      <c r="A566" s="2">
        <v>45135</v>
      </c>
      <c r="B566" s="1">
        <f t="shared" si="16"/>
        <v>45108</v>
      </c>
      <c r="C566" s="4" t="str">
        <f t="shared" si="17"/>
        <v>2023-07</v>
      </c>
      <c r="D566" s="3">
        <v>195.83</v>
      </c>
      <c r="E566" s="3">
        <v>46.75</v>
      </c>
      <c r="F566" s="3">
        <v>325.48</v>
      </c>
      <c r="G566" s="3">
        <v>33.450000000000003</v>
      </c>
    </row>
    <row r="567" spans="1:7" x14ac:dyDescent="0.2">
      <c r="A567" s="2">
        <v>45134</v>
      </c>
      <c r="B567" s="1">
        <f t="shared" si="16"/>
        <v>45108</v>
      </c>
      <c r="C567" s="4" t="str">
        <f t="shared" si="17"/>
        <v>2023-07</v>
      </c>
      <c r="D567" s="3">
        <v>193.22</v>
      </c>
      <c r="E567" s="3">
        <v>45.9</v>
      </c>
      <c r="F567" s="3">
        <v>311.70999999999998</v>
      </c>
      <c r="G567" s="3">
        <v>32.729999999999997</v>
      </c>
    </row>
    <row r="568" spans="1:7" x14ac:dyDescent="0.2">
      <c r="A568" s="2">
        <v>45133</v>
      </c>
      <c r="B568" s="1">
        <f t="shared" si="16"/>
        <v>45108</v>
      </c>
      <c r="C568" s="4" t="str">
        <f t="shared" si="17"/>
        <v>2023-07</v>
      </c>
      <c r="D568" s="3">
        <v>194.5</v>
      </c>
      <c r="E568" s="3">
        <v>45.45</v>
      </c>
      <c r="F568" s="3">
        <v>298.57</v>
      </c>
      <c r="G568" s="3">
        <v>31.74</v>
      </c>
    </row>
    <row r="569" spans="1:7" x14ac:dyDescent="0.2">
      <c r="A569" s="2">
        <v>45132</v>
      </c>
      <c r="B569" s="1">
        <f t="shared" si="16"/>
        <v>45108</v>
      </c>
      <c r="C569" s="4" t="str">
        <f t="shared" si="17"/>
        <v>2023-07</v>
      </c>
      <c r="D569" s="3">
        <v>193.62</v>
      </c>
      <c r="E569" s="3">
        <v>45.68</v>
      </c>
      <c r="F569" s="3">
        <v>294.47000000000003</v>
      </c>
      <c r="G569" s="3">
        <v>32.14</v>
      </c>
    </row>
    <row r="570" spans="1:7" x14ac:dyDescent="0.2">
      <c r="A570" s="2">
        <v>45131</v>
      </c>
      <c r="B570" s="1">
        <f t="shared" si="16"/>
        <v>45108</v>
      </c>
      <c r="C570" s="4" t="str">
        <f t="shared" si="17"/>
        <v>2023-07</v>
      </c>
      <c r="D570" s="3">
        <v>192.75</v>
      </c>
      <c r="E570" s="3">
        <v>44.61</v>
      </c>
      <c r="F570" s="3">
        <v>291.61</v>
      </c>
      <c r="G570" s="3">
        <v>30.94</v>
      </c>
    </row>
    <row r="571" spans="1:7" x14ac:dyDescent="0.2">
      <c r="A571" s="2">
        <v>45128</v>
      </c>
      <c r="B571" s="1">
        <f t="shared" si="16"/>
        <v>45108</v>
      </c>
      <c r="C571" s="4" t="str">
        <f t="shared" si="17"/>
        <v>2023-07</v>
      </c>
      <c r="D571" s="3">
        <v>191.94</v>
      </c>
      <c r="E571" s="3">
        <v>44.31</v>
      </c>
      <c r="F571" s="3">
        <v>294.26</v>
      </c>
      <c r="G571" s="3">
        <v>30.32</v>
      </c>
    </row>
    <row r="572" spans="1:7" x14ac:dyDescent="0.2">
      <c r="A572" s="2">
        <v>45127</v>
      </c>
      <c r="B572" s="1">
        <f t="shared" si="16"/>
        <v>45108</v>
      </c>
      <c r="C572" s="4" t="str">
        <f t="shared" si="17"/>
        <v>2023-07</v>
      </c>
      <c r="D572" s="3">
        <v>193.13</v>
      </c>
      <c r="E572" s="3">
        <v>45.52</v>
      </c>
      <c r="F572" s="3">
        <v>302.52</v>
      </c>
      <c r="G572" s="3">
        <v>30.3</v>
      </c>
    </row>
    <row r="573" spans="1:7" x14ac:dyDescent="0.2">
      <c r="A573" s="2">
        <v>45126</v>
      </c>
      <c r="B573" s="1">
        <f t="shared" si="16"/>
        <v>45108</v>
      </c>
      <c r="C573" s="4" t="str">
        <f t="shared" si="17"/>
        <v>2023-07</v>
      </c>
      <c r="D573" s="3">
        <v>195.1</v>
      </c>
      <c r="E573" s="3">
        <v>47.08</v>
      </c>
      <c r="F573" s="3">
        <v>316.01</v>
      </c>
      <c r="G573" s="3">
        <v>30.37</v>
      </c>
    </row>
    <row r="574" spans="1:7" x14ac:dyDescent="0.2">
      <c r="A574" s="2">
        <v>45125</v>
      </c>
      <c r="B574" s="1">
        <f t="shared" si="16"/>
        <v>45108</v>
      </c>
      <c r="C574" s="4" t="str">
        <f t="shared" si="17"/>
        <v>2023-07</v>
      </c>
      <c r="D574" s="3">
        <v>193.73</v>
      </c>
      <c r="E574" s="3">
        <v>47.49</v>
      </c>
      <c r="F574" s="3">
        <v>312.05</v>
      </c>
      <c r="G574" s="3">
        <v>31.84</v>
      </c>
    </row>
    <row r="575" spans="1:7" x14ac:dyDescent="0.2">
      <c r="A575" s="2">
        <v>45124</v>
      </c>
      <c r="B575" s="1">
        <f t="shared" si="16"/>
        <v>45108</v>
      </c>
      <c r="C575" s="4" t="str">
        <f t="shared" si="17"/>
        <v>2023-07</v>
      </c>
      <c r="D575" s="3">
        <v>193.99</v>
      </c>
      <c r="E575" s="3">
        <v>46.46</v>
      </c>
      <c r="F575" s="3">
        <v>310.62</v>
      </c>
      <c r="G575" s="3">
        <v>30.21</v>
      </c>
    </row>
    <row r="576" spans="1:7" x14ac:dyDescent="0.2">
      <c r="A576" s="2">
        <v>45121</v>
      </c>
      <c r="B576" s="1">
        <f t="shared" si="16"/>
        <v>45108</v>
      </c>
      <c r="C576" s="4" t="str">
        <f t="shared" si="17"/>
        <v>2023-07</v>
      </c>
      <c r="D576" s="3">
        <v>190.69</v>
      </c>
      <c r="E576" s="3">
        <v>45.47</v>
      </c>
      <c r="F576" s="3">
        <v>308.87</v>
      </c>
      <c r="G576" s="3">
        <v>29.54</v>
      </c>
    </row>
    <row r="577" spans="1:7" x14ac:dyDescent="0.2">
      <c r="A577" s="2">
        <v>45120</v>
      </c>
      <c r="B577" s="1">
        <f t="shared" si="16"/>
        <v>45108</v>
      </c>
      <c r="C577" s="4" t="str">
        <f t="shared" si="17"/>
        <v>2023-07</v>
      </c>
      <c r="D577" s="3">
        <v>190.54</v>
      </c>
      <c r="E577" s="3">
        <v>45.98</v>
      </c>
      <c r="F577" s="3">
        <v>313.41000000000003</v>
      </c>
      <c r="G577" s="3">
        <v>29.41</v>
      </c>
    </row>
    <row r="578" spans="1:7" x14ac:dyDescent="0.2">
      <c r="A578" s="2">
        <v>45119</v>
      </c>
      <c r="B578" s="1">
        <f t="shared" si="16"/>
        <v>45108</v>
      </c>
      <c r="C578" s="4" t="str">
        <f t="shared" si="17"/>
        <v>2023-07</v>
      </c>
      <c r="D578" s="3">
        <v>189.77</v>
      </c>
      <c r="E578" s="3">
        <v>43.9</v>
      </c>
      <c r="F578" s="3">
        <v>309.33999999999997</v>
      </c>
      <c r="G578" s="3">
        <v>27.66</v>
      </c>
    </row>
    <row r="579" spans="1:7" x14ac:dyDescent="0.2">
      <c r="A579" s="2">
        <v>45118</v>
      </c>
      <c r="B579" s="1">
        <f t="shared" ref="B579:B642" si="18">EOMONTH(A579, -1)+1</f>
        <v>45108</v>
      </c>
      <c r="C579" s="4" t="str">
        <f t="shared" ref="C579:C642" si="19">TEXT(A579, "yyyy-mm")</f>
        <v>2023-07</v>
      </c>
      <c r="D579" s="3">
        <v>188.08</v>
      </c>
      <c r="E579" s="3">
        <v>42.41</v>
      </c>
      <c r="F579" s="3">
        <v>298.29000000000002</v>
      </c>
      <c r="G579" s="3">
        <v>27.1</v>
      </c>
    </row>
    <row r="580" spans="1:7" x14ac:dyDescent="0.2">
      <c r="A580" s="2">
        <v>45117</v>
      </c>
      <c r="B580" s="1">
        <f t="shared" si="18"/>
        <v>45108</v>
      </c>
      <c r="C580" s="4" t="str">
        <f t="shared" si="19"/>
        <v>2023-07</v>
      </c>
      <c r="D580" s="3">
        <v>188.61</v>
      </c>
      <c r="E580" s="3">
        <v>42.18</v>
      </c>
      <c r="F580" s="3">
        <v>294.10000000000002</v>
      </c>
      <c r="G580" s="3">
        <v>26.99</v>
      </c>
    </row>
    <row r="581" spans="1:7" x14ac:dyDescent="0.2">
      <c r="A581" s="2">
        <v>45114</v>
      </c>
      <c r="B581" s="1">
        <f t="shared" si="18"/>
        <v>45108</v>
      </c>
      <c r="C581" s="4" t="str">
        <f t="shared" si="19"/>
        <v>2023-07</v>
      </c>
      <c r="D581" s="3">
        <v>190.68</v>
      </c>
      <c r="E581" s="3">
        <v>42.5</v>
      </c>
      <c r="F581" s="3">
        <v>290.52999999999997</v>
      </c>
      <c r="G581" s="3">
        <v>26</v>
      </c>
    </row>
    <row r="582" spans="1:7" x14ac:dyDescent="0.2">
      <c r="A582" s="2">
        <v>45113</v>
      </c>
      <c r="B582" s="1">
        <f t="shared" si="18"/>
        <v>45108</v>
      </c>
      <c r="C582" s="4" t="str">
        <f t="shared" si="19"/>
        <v>2023-07</v>
      </c>
      <c r="D582" s="3">
        <v>191.81</v>
      </c>
      <c r="E582" s="3">
        <v>42.1</v>
      </c>
      <c r="F582" s="3">
        <v>291.99</v>
      </c>
      <c r="G582" s="3">
        <v>25.05</v>
      </c>
    </row>
    <row r="583" spans="1:7" x14ac:dyDescent="0.2">
      <c r="A583" s="2">
        <v>45112</v>
      </c>
      <c r="B583" s="1">
        <f t="shared" si="18"/>
        <v>45108</v>
      </c>
      <c r="C583" s="4" t="str">
        <f t="shared" si="19"/>
        <v>2023-07</v>
      </c>
      <c r="D583" s="3">
        <v>191.33</v>
      </c>
      <c r="E583" s="3">
        <v>42.32</v>
      </c>
      <c r="F583" s="3">
        <v>294.37</v>
      </c>
      <c r="G583" s="3">
        <v>25.5</v>
      </c>
    </row>
    <row r="584" spans="1:7" x14ac:dyDescent="0.2">
      <c r="A584" s="2">
        <v>45110</v>
      </c>
      <c r="B584" s="1">
        <f t="shared" si="18"/>
        <v>45108</v>
      </c>
      <c r="C584" s="4" t="str">
        <f t="shared" si="19"/>
        <v>2023-07</v>
      </c>
      <c r="D584" s="3">
        <v>192.46</v>
      </c>
      <c r="E584" s="3">
        <v>42.41</v>
      </c>
      <c r="F584" s="3">
        <v>286.02</v>
      </c>
      <c r="G584" s="3">
        <v>24.92</v>
      </c>
    </row>
    <row r="585" spans="1:7" x14ac:dyDescent="0.2">
      <c r="A585" s="2">
        <v>45107</v>
      </c>
      <c r="B585" s="1">
        <f t="shared" si="18"/>
        <v>45078</v>
      </c>
      <c r="C585" s="4" t="str">
        <f t="shared" si="19"/>
        <v>2023-06</v>
      </c>
      <c r="D585" s="3">
        <v>193.97</v>
      </c>
      <c r="E585" s="3">
        <v>42.3</v>
      </c>
      <c r="F585" s="3">
        <v>286.98</v>
      </c>
      <c r="G585" s="3">
        <v>24.93</v>
      </c>
    </row>
    <row r="586" spans="1:7" x14ac:dyDescent="0.2">
      <c r="A586" s="2">
        <v>45106</v>
      </c>
      <c r="B586" s="1">
        <f t="shared" si="18"/>
        <v>45078</v>
      </c>
      <c r="C586" s="4" t="str">
        <f t="shared" si="19"/>
        <v>2023-06</v>
      </c>
      <c r="D586" s="3">
        <v>189.59</v>
      </c>
      <c r="E586" s="3">
        <v>40.82</v>
      </c>
      <c r="F586" s="3">
        <v>281.52999999999997</v>
      </c>
      <c r="G586" s="3">
        <v>23.59</v>
      </c>
    </row>
    <row r="587" spans="1:7" x14ac:dyDescent="0.2">
      <c r="A587" s="2">
        <v>45105</v>
      </c>
      <c r="B587" s="1">
        <f t="shared" si="18"/>
        <v>45078</v>
      </c>
      <c r="C587" s="4" t="str">
        <f t="shared" si="19"/>
        <v>2023-06</v>
      </c>
      <c r="D587" s="3">
        <v>189.25</v>
      </c>
      <c r="E587" s="3">
        <v>41.12</v>
      </c>
      <c r="F587" s="3">
        <v>285.29000000000002</v>
      </c>
      <c r="G587" s="3">
        <v>23.59</v>
      </c>
    </row>
    <row r="588" spans="1:7" x14ac:dyDescent="0.2">
      <c r="A588" s="2">
        <v>45104</v>
      </c>
      <c r="B588" s="1">
        <f t="shared" si="18"/>
        <v>45078</v>
      </c>
      <c r="C588" s="4" t="str">
        <f t="shared" si="19"/>
        <v>2023-06</v>
      </c>
      <c r="D588" s="3">
        <v>188.06</v>
      </c>
      <c r="E588" s="3">
        <v>41.88</v>
      </c>
      <c r="F588" s="3">
        <v>287.05</v>
      </c>
      <c r="G588" s="3">
        <v>22.62</v>
      </c>
    </row>
    <row r="589" spans="1:7" x14ac:dyDescent="0.2">
      <c r="A589" s="2">
        <v>45103</v>
      </c>
      <c r="B589" s="1">
        <f t="shared" si="18"/>
        <v>45078</v>
      </c>
      <c r="C589" s="4" t="str">
        <f t="shared" si="19"/>
        <v>2023-06</v>
      </c>
      <c r="D589" s="3">
        <v>185.27</v>
      </c>
      <c r="E589" s="3">
        <v>40.630000000000003</v>
      </c>
      <c r="F589" s="3">
        <v>278.47000000000003</v>
      </c>
      <c r="G589" s="3">
        <v>21.65</v>
      </c>
    </row>
    <row r="590" spans="1:7" x14ac:dyDescent="0.2">
      <c r="A590" s="2">
        <v>45100</v>
      </c>
      <c r="B590" s="1">
        <f t="shared" si="18"/>
        <v>45078</v>
      </c>
      <c r="C590" s="4" t="str">
        <f t="shared" si="19"/>
        <v>2023-06</v>
      </c>
      <c r="D590" s="3">
        <v>186.68</v>
      </c>
      <c r="E590" s="3">
        <v>42.21</v>
      </c>
      <c r="F590" s="3">
        <v>288.73</v>
      </c>
      <c r="G590" s="3">
        <v>21.61</v>
      </c>
    </row>
    <row r="591" spans="1:7" x14ac:dyDescent="0.2">
      <c r="A591" s="2">
        <v>45099</v>
      </c>
      <c r="B591" s="1">
        <f t="shared" si="18"/>
        <v>45078</v>
      </c>
      <c r="C591" s="4" t="str">
        <f t="shared" si="19"/>
        <v>2023-06</v>
      </c>
      <c r="D591" s="3">
        <v>187</v>
      </c>
      <c r="E591" s="3">
        <v>43.03</v>
      </c>
      <c r="F591" s="3">
        <v>284.88</v>
      </c>
      <c r="G591" s="3">
        <v>22.65</v>
      </c>
    </row>
    <row r="592" spans="1:7" x14ac:dyDescent="0.2">
      <c r="A592" s="2">
        <v>45098</v>
      </c>
      <c r="B592" s="1">
        <f t="shared" si="18"/>
        <v>45078</v>
      </c>
      <c r="C592" s="4" t="str">
        <f t="shared" si="19"/>
        <v>2023-06</v>
      </c>
      <c r="D592" s="3">
        <v>183.96</v>
      </c>
      <c r="E592" s="3">
        <v>43.05</v>
      </c>
      <c r="F592" s="3">
        <v>281.64</v>
      </c>
      <c r="G592" s="3">
        <v>21.99</v>
      </c>
    </row>
    <row r="593" spans="1:7" x14ac:dyDescent="0.2">
      <c r="A593" s="2">
        <v>45097</v>
      </c>
      <c r="B593" s="1">
        <f t="shared" si="18"/>
        <v>45078</v>
      </c>
      <c r="C593" s="4" t="str">
        <f t="shared" si="19"/>
        <v>2023-06</v>
      </c>
      <c r="D593" s="3">
        <v>185.01</v>
      </c>
      <c r="E593" s="3">
        <v>43.81</v>
      </c>
      <c r="F593" s="3">
        <v>284.33</v>
      </c>
      <c r="G593" s="3">
        <v>22.24</v>
      </c>
    </row>
    <row r="594" spans="1:7" x14ac:dyDescent="0.2">
      <c r="A594" s="2">
        <v>45093</v>
      </c>
      <c r="B594" s="1">
        <f t="shared" si="18"/>
        <v>45078</v>
      </c>
      <c r="C594" s="4" t="str">
        <f t="shared" si="19"/>
        <v>2023-06</v>
      </c>
      <c r="D594" s="3">
        <v>184.92</v>
      </c>
      <c r="E594" s="3">
        <v>42.69</v>
      </c>
      <c r="F594" s="3">
        <v>281</v>
      </c>
      <c r="G594" s="3">
        <v>23.08</v>
      </c>
    </row>
    <row r="595" spans="1:7" x14ac:dyDescent="0.2">
      <c r="A595" s="2">
        <v>45092</v>
      </c>
      <c r="B595" s="1">
        <f t="shared" si="18"/>
        <v>45078</v>
      </c>
      <c r="C595" s="4" t="str">
        <f t="shared" si="19"/>
        <v>2023-06</v>
      </c>
      <c r="D595" s="3">
        <v>186.01</v>
      </c>
      <c r="E595" s="3">
        <v>42.65</v>
      </c>
      <c r="F595" s="3">
        <v>281.83</v>
      </c>
      <c r="G595" s="3">
        <v>24.39</v>
      </c>
    </row>
    <row r="596" spans="1:7" x14ac:dyDescent="0.2">
      <c r="A596" s="2">
        <v>45091</v>
      </c>
      <c r="B596" s="1">
        <f t="shared" si="18"/>
        <v>45078</v>
      </c>
      <c r="C596" s="4" t="str">
        <f t="shared" si="19"/>
        <v>2023-06</v>
      </c>
      <c r="D596" s="3">
        <v>183.95</v>
      </c>
      <c r="E596" s="3">
        <v>43</v>
      </c>
      <c r="F596" s="3">
        <v>273.35000000000002</v>
      </c>
      <c r="G596" s="3">
        <v>24.78</v>
      </c>
    </row>
    <row r="597" spans="1:7" x14ac:dyDescent="0.2">
      <c r="A597" s="2">
        <v>45090</v>
      </c>
      <c r="B597" s="1">
        <f t="shared" si="18"/>
        <v>45078</v>
      </c>
      <c r="C597" s="4" t="str">
        <f t="shared" si="19"/>
        <v>2023-06</v>
      </c>
      <c r="D597" s="3">
        <v>183.31</v>
      </c>
      <c r="E597" s="3">
        <v>41.02</v>
      </c>
      <c r="F597" s="3">
        <v>271.32</v>
      </c>
      <c r="G597" s="3">
        <v>24.42</v>
      </c>
    </row>
    <row r="598" spans="1:7" x14ac:dyDescent="0.2">
      <c r="A598" s="2">
        <v>45089</v>
      </c>
      <c r="B598" s="1">
        <f t="shared" si="18"/>
        <v>45078</v>
      </c>
      <c r="C598" s="4" t="str">
        <f t="shared" si="19"/>
        <v>2023-06</v>
      </c>
      <c r="D598" s="3">
        <v>183.79</v>
      </c>
      <c r="E598" s="3">
        <v>39.479999999999997</v>
      </c>
      <c r="F598" s="3">
        <v>271.05</v>
      </c>
      <c r="G598" s="3">
        <v>25.87</v>
      </c>
    </row>
    <row r="599" spans="1:7" x14ac:dyDescent="0.2">
      <c r="A599" s="2">
        <v>45086</v>
      </c>
      <c r="B599" s="1">
        <f t="shared" si="18"/>
        <v>45078</v>
      </c>
      <c r="C599" s="4" t="str">
        <f t="shared" si="19"/>
        <v>2023-06</v>
      </c>
      <c r="D599" s="3">
        <v>180.96</v>
      </c>
      <c r="E599" s="3">
        <v>38.770000000000003</v>
      </c>
      <c r="F599" s="3">
        <v>264.95</v>
      </c>
      <c r="G599" s="3">
        <v>26.17</v>
      </c>
    </row>
    <row r="600" spans="1:7" x14ac:dyDescent="0.2">
      <c r="A600" s="2">
        <v>45085</v>
      </c>
      <c r="B600" s="1">
        <f t="shared" si="18"/>
        <v>45078</v>
      </c>
      <c r="C600" s="4" t="str">
        <f t="shared" si="19"/>
        <v>2023-06</v>
      </c>
      <c r="D600" s="3">
        <v>180.57</v>
      </c>
      <c r="E600" s="3">
        <v>38.51</v>
      </c>
      <c r="F600" s="3">
        <v>264.58</v>
      </c>
      <c r="G600" s="3">
        <v>25.44</v>
      </c>
    </row>
    <row r="601" spans="1:7" x14ac:dyDescent="0.2">
      <c r="A601" s="2">
        <v>45084</v>
      </c>
      <c r="B601" s="1">
        <f t="shared" si="18"/>
        <v>45078</v>
      </c>
      <c r="C601" s="4" t="str">
        <f t="shared" si="19"/>
        <v>2023-06</v>
      </c>
      <c r="D601" s="3">
        <v>177.82</v>
      </c>
      <c r="E601" s="3">
        <v>37.479999999999997</v>
      </c>
      <c r="F601" s="3">
        <v>263.60000000000002</v>
      </c>
      <c r="G601" s="3">
        <v>23.98</v>
      </c>
    </row>
    <row r="602" spans="1:7" x14ac:dyDescent="0.2">
      <c r="A602" s="2">
        <v>45083</v>
      </c>
      <c r="B602" s="1">
        <f t="shared" si="18"/>
        <v>45078</v>
      </c>
      <c r="C602" s="4" t="str">
        <f t="shared" si="19"/>
        <v>2023-06</v>
      </c>
      <c r="D602" s="3">
        <v>179.21</v>
      </c>
      <c r="E602" s="3">
        <v>38.65</v>
      </c>
      <c r="F602" s="3">
        <v>271.12</v>
      </c>
      <c r="G602" s="3">
        <v>23.32</v>
      </c>
    </row>
    <row r="603" spans="1:7" x14ac:dyDescent="0.2">
      <c r="A603" s="2">
        <v>45082</v>
      </c>
      <c r="B603" s="1">
        <f t="shared" si="18"/>
        <v>45078</v>
      </c>
      <c r="C603" s="4" t="str">
        <f t="shared" si="19"/>
        <v>2023-06</v>
      </c>
      <c r="D603" s="3">
        <v>179.58</v>
      </c>
      <c r="E603" s="3">
        <v>39.17</v>
      </c>
      <c r="F603" s="3">
        <v>271.39</v>
      </c>
      <c r="G603" s="3">
        <v>22.37</v>
      </c>
    </row>
    <row r="604" spans="1:7" x14ac:dyDescent="0.2">
      <c r="A604" s="2">
        <v>45079</v>
      </c>
      <c r="B604" s="1">
        <f t="shared" si="18"/>
        <v>45078</v>
      </c>
      <c r="C604" s="4" t="str">
        <f t="shared" si="19"/>
        <v>2023-06</v>
      </c>
      <c r="D604" s="3">
        <v>180.95</v>
      </c>
      <c r="E604" s="3">
        <v>39.33</v>
      </c>
      <c r="F604" s="3">
        <v>272.61</v>
      </c>
      <c r="G604" s="3">
        <v>22.19</v>
      </c>
    </row>
    <row r="605" spans="1:7" x14ac:dyDescent="0.2">
      <c r="A605" s="2">
        <v>45078</v>
      </c>
      <c r="B605" s="1">
        <f t="shared" si="18"/>
        <v>45078</v>
      </c>
      <c r="C605" s="4" t="str">
        <f t="shared" si="19"/>
        <v>2023-06</v>
      </c>
      <c r="D605" s="3">
        <v>180.09</v>
      </c>
      <c r="E605" s="3">
        <v>39.770000000000003</v>
      </c>
      <c r="F605" s="3">
        <v>272.61</v>
      </c>
      <c r="G605" s="3">
        <v>23.1</v>
      </c>
    </row>
    <row r="606" spans="1:7" x14ac:dyDescent="0.2">
      <c r="A606" s="2">
        <v>45077</v>
      </c>
      <c r="B606" s="1">
        <f t="shared" si="18"/>
        <v>45047</v>
      </c>
      <c r="C606" s="4" t="str">
        <f t="shared" si="19"/>
        <v>2023-05</v>
      </c>
      <c r="D606" s="3">
        <v>177.25</v>
      </c>
      <c r="E606" s="3">
        <v>37.83</v>
      </c>
      <c r="F606" s="3">
        <v>264.72000000000003</v>
      </c>
      <c r="G606" s="3">
        <v>22.4</v>
      </c>
    </row>
    <row r="607" spans="1:7" x14ac:dyDescent="0.2">
      <c r="A607" s="2">
        <v>45076</v>
      </c>
      <c r="B607" s="1">
        <f t="shared" si="18"/>
        <v>45047</v>
      </c>
      <c r="C607" s="4" t="str">
        <f t="shared" si="19"/>
        <v>2023-05</v>
      </c>
      <c r="D607" s="3">
        <v>177.3</v>
      </c>
      <c r="E607" s="3">
        <v>40.11</v>
      </c>
      <c r="F607" s="3">
        <v>262.52</v>
      </c>
      <c r="G607" s="3">
        <v>23.41</v>
      </c>
    </row>
    <row r="608" spans="1:7" x14ac:dyDescent="0.2">
      <c r="A608" s="2">
        <v>45072</v>
      </c>
      <c r="B608" s="1">
        <f t="shared" si="18"/>
        <v>45047</v>
      </c>
      <c r="C608" s="4" t="str">
        <f t="shared" si="19"/>
        <v>2023-05</v>
      </c>
      <c r="D608" s="3">
        <v>175.43</v>
      </c>
      <c r="E608" s="3">
        <v>38.950000000000003</v>
      </c>
      <c r="F608" s="3">
        <v>262.04000000000002</v>
      </c>
      <c r="G608" s="3">
        <v>21.92</v>
      </c>
    </row>
    <row r="609" spans="1:7" x14ac:dyDescent="0.2">
      <c r="A609" s="2">
        <v>45071</v>
      </c>
      <c r="B609" s="1">
        <f t="shared" si="18"/>
        <v>45047</v>
      </c>
      <c r="C609" s="4" t="str">
        <f t="shared" si="19"/>
        <v>2023-05</v>
      </c>
      <c r="D609" s="3">
        <v>172.99</v>
      </c>
      <c r="E609" s="3">
        <v>37.979999999999997</v>
      </c>
      <c r="F609" s="3">
        <v>252.69</v>
      </c>
      <c r="G609" s="3">
        <v>20.69</v>
      </c>
    </row>
    <row r="610" spans="1:7" x14ac:dyDescent="0.2">
      <c r="A610" s="2">
        <v>45070</v>
      </c>
      <c r="B610" s="1">
        <f t="shared" si="18"/>
        <v>45047</v>
      </c>
      <c r="C610" s="4" t="str">
        <f t="shared" si="19"/>
        <v>2023-05</v>
      </c>
      <c r="D610" s="3">
        <v>171.84</v>
      </c>
      <c r="E610" s="3">
        <v>30.54</v>
      </c>
      <c r="F610" s="3">
        <v>249.21</v>
      </c>
      <c r="G610" s="3">
        <v>16.760000000000002</v>
      </c>
    </row>
    <row r="611" spans="1:7" x14ac:dyDescent="0.2">
      <c r="A611" s="2">
        <v>45069</v>
      </c>
      <c r="B611" s="1">
        <f t="shared" si="18"/>
        <v>45047</v>
      </c>
      <c r="C611" s="4" t="str">
        <f t="shared" si="19"/>
        <v>2023-05</v>
      </c>
      <c r="D611" s="3">
        <v>171.56</v>
      </c>
      <c r="E611" s="3">
        <v>30.69</v>
      </c>
      <c r="F611" s="3">
        <v>246.74</v>
      </c>
      <c r="G611" s="3">
        <v>16.190000000000001</v>
      </c>
    </row>
    <row r="612" spans="1:7" x14ac:dyDescent="0.2">
      <c r="A612" s="2">
        <v>45068</v>
      </c>
      <c r="B612" s="1">
        <f t="shared" si="18"/>
        <v>45047</v>
      </c>
      <c r="C612" s="4" t="str">
        <f t="shared" si="19"/>
        <v>2023-05</v>
      </c>
      <c r="D612" s="3">
        <v>174.2</v>
      </c>
      <c r="E612" s="3">
        <v>31.18</v>
      </c>
      <c r="F612" s="3">
        <v>248.32</v>
      </c>
      <c r="G612" s="3">
        <v>16.48</v>
      </c>
    </row>
    <row r="613" spans="1:7" x14ac:dyDescent="0.2">
      <c r="A613" s="2">
        <v>45065</v>
      </c>
      <c r="B613" s="1">
        <f t="shared" si="18"/>
        <v>45047</v>
      </c>
      <c r="C613" s="4" t="str">
        <f t="shared" si="19"/>
        <v>2023-05</v>
      </c>
      <c r="D613" s="3">
        <v>175.16</v>
      </c>
      <c r="E613" s="3">
        <v>31.26</v>
      </c>
      <c r="F613" s="3">
        <v>245.64</v>
      </c>
      <c r="G613" s="3">
        <v>16.420000000000002</v>
      </c>
    </row>
    <row r="614" spans="1:7" x14ac:dyDescent="0.2">
      <c r="A614" s="2">
        <v>45064</v>
      </c>
      <c r="B614" s="1">
        <f t="shared" si="18"/>
        <v>45047</v>
      </c>
      <c r="C614" s="4" t="str">
        <f t="shared" si="19"/>
        <v>2023-05</v>
      </c>
      <c r="D614" s="3">
        <v>175.05</v>
      </c>
      <c r="E614" s="3">
        <v>31.68</v>
      </c>
      <c r="F614" s="3">
        <v>246.85</v>
      </c>
      <c r="G614" s="3">
        <v>16.46</v>
      </c>
    </row>
    <row r="615" spans="1:7" x14ac:dyDescent="0.2">
      <c r="A615" s="2">
        <v>45063</v>
      </c>
      <c r="B615" s="1">
        <f t="shared" si="18"/>
        <v>45047</v>
      </c>
      <c r="C615" s="4" t="str">
        <f t="shared" si="19"/>
        <v>2023-05</v>
      </c>
      <c r="D615" s="3">
        <v>172.69</v>
      </c>
      <c r="E615" s="3">
        <v>30.18</v>
      </c>
      <c r="F615" s="3">
        <v>242.49</v>
      </c>
      <c r="G615" s="3">
        <v>15.43</v>
      </c>
    </row>
    <row r="616" spans="1:7" x14ac:dyDescent="0.2">
      <c r="A616" s="2">
        <v>45062</v>
      </c>
      <c r="B616" s="1">
        <f t="shared" si="18"/>
        <v>45047</v>
      </c>
      <c r="C616" s="4" t="str">
        <f t="shared" si="19"/>
        <v>2023-05</v>
      </c>
      <c r="D616" s="3">
        <v>172.07</v>
      </c>
      <c r="E616" s="3">
        <v>29.21</v>
      </c>
      <c r="F616" s="3">
        <v>238.82</v>
      </c>
      <c r="G616" s="3">
        <v>14.58</v>
      </c>
    </row>
    <row r="617" spans="1:7" x14ac:dyDescent="0.2">
      <c r="A617" s="2">
        <v>45061</v>
      </c>
      <c r="B617" s="1">
        <f t="shared" si="18"/>
        <v>45047</v>
      </c>
      <c r="C617" s="4" t="str">
        <f t="shared" si="19"/>
        <v>2023-05</v>
      </c>
      <c r="D617" s="3">
        <v>172.07</v>
      </c>
      <c r="E617" s="3">
        <v>28.95</v>
      </c>
      <c r="F617" s="3">
        <v>238.86</v>
      </c>
      <c r="G617" s="3">
        <v>13.78</v>
      </c>
    </row>
    <row r="618" spans="1:7" x14ac:dyDescent="0.2">
      <c r="A618" s="2">
        <v>45058</v>
      </c>
      <c r="B618" s="1">
        <f t="shared" si="18"/>
        <v>45047</v>
      </c>
      <c r="C618" s="4" t="str">
        <f t="shared" si="19"/>
        <v>2023-05</v>
      </c>
      <c r="D618" s="3">
        <v>172.57</v>
      </c>
      <c r="E618" s="3">
        <v>28.34</v>
      </c>
      <c r="F618" s="3">
        <v>233.81</v>
      </c>
      <c r="G618" s="3">
        <v>13.45</v>
      </c>
    </row>
    <row r="619" spans="1:7" x14ac:dyDescent="0.2">
      <c r="A619" s="2">
        <v>45057</v>
      </c>
      <c r="B619" s="1">
        <f t="shared" si="18"/>
        <v>45047</v>
      </c>
      <c r="C619" s="4" t="str">
        <f t="shared" si="19"/>
        <v>2023-05</v>
      </c>
      <c r="D619" s="3">
        <v>173.75</v>
      </c>
      <c r="E619" s="3">
        <v>28.58</v>
      </c>
      <c r="F619" s="3">
        <v>235.79</v>
      </c>
      <c r="G619" s="3">
        <v>13.64</v>
      </c>
    </row>
    <row r="620" spans="1:7" x14ac:dyDescent="0.2">
      <c r="A620" s="2">
        <v>45056</v>
      </c>
      <c r="B620" s="1">
        <f t="shared" si="18"/>
        <v>45047</v>
      </c>
      <c r="C620" s="4" t="str">
        <f t="shared" si="19"/>
        <v>2023-05</v>
      </c>
      <c r="D620" s="3">
        <v>173.56</v>
      </c>
      <c r="E620" s="3">
        <v>28.89</v>
      </c>
      <c r="F620" s="3">
        <v>233.08</v>
      </c>
      <c r="G620" s="3">
        <v>13.43</v>
      </c>
    </row>
    <row r="621" spans="1:7" x14ac:dyDescent="0.2">
      <c r="A621" s="2">
        <v>45055</v>
      </c>
      <c r="B621" s="1">
        <f t="shared" si="18"/>
        <v>45047</v>
      </c>
      <c r="C621" s="4" t="str">
        <f t="shared" si="19"/>
        <v>2023-05</v>
      </c>
      <c r="D621" s="3">
        <v>171.77</v>
      </c>
      <c r="E621" s="3">
        <v>28.57</v>
      </c>
      <c r="F621" s="3">
        <v>233.37</v>
      </c>
      <c r="G621" s="3">
        <v>13.23</v>
      </c>
    </row>
    <row r="622" spans="1:7" x14ac:dyDescent="0.2">
      <c r="A622" s="2">
        <v>45054</v>
      </c>
      <c r="B622" s="1">
        <f t="shared" si="18"/>
        <v>45047</v>
      </c>
      <c r="C622" s="4" t="str">
        <f t="shared" si="19"/>
        <v>2023-05</v>
      </c>
      <c r="D622" s="3">
        <v>173.5</v>
      </c>
      <c r="E622" s="3">
        <v>29.15</v>
      </c>
      <c r="F622" s="3">
        <v>233.27</v>
      </c>
      <c r="G622" s="3">
        <v>13.66</v>
      </c>
    </row>
    <row r="623" spans="1:7" x14ac:dyDescent="0.2">
      <c r="A623" s="2">
        <v>45051</v>
      </c>
      <c r="B623" s="1">
        <f t="shared" si="18"/>
        <v>45047</v>
      </c>
      <c r="C623" s="4" t="str">
        <f t="shared" si="19"/>
        <v>2023-05</v>
      </c>
      <c r="D623" s="3">
        <v>173.57</v>
      </c>
      <c r="E623" s="3">
        <v>28.68</v>
      </c>
      <c r="F623" s="3">
        <v>232.78</v>
      </c>
      <c r="G623" s="3">
        <v>13.72</v>
      </c>
    </row>
    <row r="624" spans="1:7" x14ac:dyDescent="0.2">
      <c r="A624" s="2">
        <v>45050</v>
      </c>
      <c r="B624" s="1">
        <f t="shared" si="18"/>
        <v>45047</v>
      </c>
      <c r="C624" s="4" t="str">
        <f t="shared" si="19"/>
        <v>2023-05</v>
      </c>
      <c r="D624" s="3">
        <v>165.79</v>
      </c>
      <c r="E624" s="3">
        <v>27.56</v>
      </c>
      <c r="F624" s="3">
        <v>233.52</v>
      </c>
      <c r="G624" s="3">
        <v>13.64</v>
      </c>
    </row>
    <row r="625" spans="1:7" x14ac:dyDescent="0.2">
      <c r="A625" s="2">
        <v>45049</v>
      </c>
      <c r="B625" s="1">
        <f t="shared" si="18"/>
        <v>45047</v>
      </c>
      <c r="C625" s="4" t="str">
        <f t="shared" si="19"/>
        <v>2023-05</v>
      </c>
      <c r="D625" s="3">
        <v>167.45</v>
      </c>
      <c r="E625" s="3">
        <v>27.8</v>
      </c>
      <c r="F625" s="3">
        <v>237.03</v>
      </c>
      <c r="G625" s="3">
        <v>13.4</v>
      </c>
    </row>
    <row r="626" spans="1:7" x14ac:dyDescent="0.2">
      <c r="A626" s="2">
        <v>45048</v>
      </c>
      <c r="B626" s="1">
        <f t="shared" si="18"/>
        <v>45047</v>
      </c>
      <c r="C626" s="4" t="str">
        <f t="shared" si="19"/>
        <v>2023-05</v>
      </c>
      <c r="D626" s="3">
        <v>168.54</v>
      </c>
      <c r="E626" s="3">
        <v>28.21</v>
      </c>
      <c r="F626" s="3">
        <v>239.24</v>
      </c>
      <c r="G626" s="3">
        <v>10.44</v>
      </c>
    </row>
    <row r="627" spans="1:7" x14ac:dyDescent="0.2">
      <c r="A627" s="2">
        <v>45047</v>
      </c>
      <c r="B627" s="1">
        <f t="shared" si="18"/>
        <v>45047</v>
      </c>
      <c r="C627" s="4" t="str">
        <f t="shared" si="19"/>
        <v>2023-05</v>
      </c>
      <c r="D627" s="3">
        <v>169.59</v>
      </c>
      <c r="E627" s="3">
        <v>28.91</v>
      </c>
      <c r="F627" s="3">
        <v>243.18</v>
      </c>
      <c r="G627" s="3">
        <v>10.51</v>
      </c>
    </row>
    <row r="628" spans="1:7" x14ac:dyDescent="0.2">
      <c r="A628" s="2">
        <v>45044</v>
      </c>
      <c r="B628" s="1">
        <f t="shared" si="18"/>
        <v>45017</v>
      </c>
      <c r="C628" s="4" t="str">
        <f t="shared" si="19"/>
        <v>2023-04</v>
      </c>
      <c r="D628" s="3">
        <v>169.68</v>
      </c>
      <c r="E628" s="3">
        <v>27.75</v>
      </c>
      <c r="F628" s="3">
        <v>240.32</v>
      </c>
      <c r="G628" s="3">
        <v>10.54</v>
      </c>
    </row>
    <row r="629" spans="1:7" x14ac:dyDescent="0.2">
      <c r="A629" s="2">
        <v>45043</v>
      </c>
      <c r="B629" s="1">
        <f t="shared" si="18"/>
        <v>45017</v>
      </c>
      <c r="C629" s="4" t="str">
        <f t="shared" si="19"/>
        <v>2023-04</v>
      </c>
      <c r="D629" s="3">
        <v>168.41</v>
      </c>
      <c r="E629" s="3">
        <v>27.23</v>
      </c>
      <c r="F629" s="3">
        <v>238.56</v>
      </c>
      <c r="G629" s="3">
        <v>9.86</v>
      </c>
    </row>
    <row r="630" spans="1:7" x14ac:dyDescent="0.2">
      <c r="A630" s="2">
        <v>45042</v>
      </c>
      <c r="B630" s="1">
        <f t="shared" si="18"/>
        <v>45017</v>
      </c>
      <c r="C630" s="4" t="str">
        <f t="shared" si="19"/>
        <v>2023-04</v>
      </c>
      <c r="D630" s="3">
        <v>163.76</v>
      </c>
      <c r="E630" s="3">
        <v>26.96</v>
      </c>
      <c r="F630" s="3">
        <v>209.4</v>
      </c>
      <c r="G630" s="3">
        <v>9.49</v>
      </c>
    </row>
    <row r="631" spans="1:7" x14ac:dyDescent="0.2">
      <c r="A631" s="2">
        <v>45041</v>
      </c>
      <c r="B631" s="1">
        <f t="shared" si="18"/>
        <v>45017</v>
      </c>
      <c r="C631" s="4" t="str">
        <f t="shared" si="19"/>
        <v>2023-04</v>
      </c>
      <c r="D631" s="3">
        <v>163.77000000000001</v>
      </c>
      <c r="E631" s="3">
        <v>26.24</v>
      </c>
      <c r="F631" s="3">
        <v>207.55</v>
      </c>
      <c r="G631" s="3">
        <v>9.33</v>
      </c>
    </row>
    <row r="632" spans="1:7" x14ac:dyDescent="0.2">
      <c r="A632" s="2">
        <v>45040</v>
      </c>
      <c r="B632" s="1">
        <f t="shared" si="18"/>
        <v>45017</v>
      </c>
      <c r="C632" s="4" t="str">
        <f t="shared" si="19"/>
        <v>2023-04</v>
      </c>
      <c r="D632" s="3">
        <v>165.33</v>
      </c>
      <c r="E632" s="3">
        <v>27.04</v>
      </c>
      <c r="F632" s="3">
        <v>212.79</v>
      </c>
      <c r="G632" s="3">
        <v>9.86</v>
      </c>
    </row>
    <row r="633" spans="1:7" x14ac:dyDescent="0.2">
      <c r="A633" s="2">
        <v>45037</v>
      </c>
      <c r="B633" s="1">
        <f t="shared" si="18"/>
        <v>45017</v>
      </c>
      <c r="C633" s="4" t="str">
        <f t="shared" si="19"/>
        <v>2023-04</v>
      </c>
      <c r="D633" s="3">
        <v>165.02</v>
      </c>
      <c r="E633" s="3">
        <v>27.12</v>
      </c>
      <c r="F633" s="3">
        <v>212.89</v>
      </c>
      <c r="G633" s="3">
        <v>10.73</v>
      </c>
    </row>
    <row r="634" spans="1:7" x14ac:dyDescent="0.2">
      <c r="A634" s="2">
        <v>45036</v>
      </c>
      <c r="B634" s="1">
        <f t="shared" si="18"/>
        <v>45017</v>
      </c>
      <c r="C634" s="4" t="str">
        <f t="shared" si="19"/>
        <v>2023-04</v>
      </c>
      <c r="D634" s="3">
        <v>166.65</v>
      </c>
      <c r="E634" s="3">
        <v>27.1</v>
      </c>
      <c r="F634" s="3">
        <v>213.07</v>
      </c>
      <c r="G634" s="3">
        <v>10.8</v>
      </c>
    </row>
    <row r="635" spans="1:7" x14ac:dyDescent="0.2">
      <c r="A635" s="2">
        <v>45035</v>
      </c>
      <c r="B635" s="1">
        <f t="shared" si="18"/>
        <v>45017</v>
      </c>
      <c r="C635" s="4" t="str">
        <f t="shared" si="19"/>
        <v>2023-04</v>
      </c>
      <c r="D635" s="3">
        <v>167.63</v>
      </c>
      <c r="E635" s="3">
        <v>27.93</v>
      </c>
      <c r="F635" s="3">
        <v>215.7</v>
      </c>
      <c r="G635" s="3">
        <v>10.98</v>
      </c>
    </row>
    <row r="636" spans="1:7" x14ac:dyDescent="0.2">
      <c r="A636" s="2">
        <v>45034</v>
      </c>
      <c r="B636" s="1">
        <f t="shared" si="18"/>
        <v>45017</v>
      </c>
      <c r="C636" s="4" t="str">
        <f t="shared" si="19"/>
        <v>2023-04</v>
      </c>
      <c r="D636" s="3">
        <v>166.47</v>
      </c>
      <c r="E636" s="3">
        <v>27.67</v>
      </c>
      <c r="F636" s="3">
        <v>217.89</v>
      </c>
      <c r="G636" s="3">
        <v>11.59</v>
      </c>
    </row>
    <row r="637" spans="1:7" x14ac:dyDescent="0.2">
      <c r="A637" s="2">
        <v>45033</v>
      </c>
      <c r="B637" s="1">
        <f t="shared" si="18"/>
        <v>45017</v>
      </c>
      <c r="C637" s="4" t="str">
        <f t="shared" si="19"/>
        <v>2023-04</v>
      </c>
      <c r="D637" s="3">
        <v>165.23</v>
      </c>
      <c r="E637" s="3">
        <v>27</v>
      </c>
      <c r="F637" s="3">
        <v>218.86</v>
      </c>
      <c r="G637" s="3">
        <v>11.04</v>
      </c>
    </row>
    <row r="638" spans="1:7" x14ac:dyDescent="0.2">
      <c r="A638" s="2">
        <v>45030</v>
      </c>
      <c r="B638" s="1">
        <f t="shared" si="18"/>
        <v>45017</v>
      </c>
      <c r="C638" s="4" t="str">
        <f t="shared" si="19"/>
        <v>2023-04</v>
      </c>
      <c r="D638" s="3">
        <v>165.21</v>
      </c>
      <c r="E638" s="3">
        <v>26.76</v>
      </c>
      <c r="F638" s="3">
        <v>221.49</v>
      </c>
      <c r="G638" s="3">
        <v>10.92</v>
      </c>
    </row>
    <row r="639" spans="1:7" x14ac:dyDescent="0.2">
      <c r="A639" s="2">
        <v>45029</v>
      </c>
      <c r="B639" s="1">
        <f t="shared" si="18"/>
        <v>45017</v>
      </c>
      <c r="C639" s="4" t="str">
        <f t="shared" si="19"/>
        <v>2023-04</v>
      </c>
      <c r="D639" s="3">
        <v>165.56</v>
      </c>
      <c r="E639" s="3">
        <v>26.46</v>
      </c>
      <c r="F639" s="3">
        <v>220.35</v>
      </c>
      <c r="G639" s="3">
        <v>10.82</v>
      </c>
    </row>
    <row r="640" spans="1:7" x14ac:dyDescent="0.2">
      <c r="A640" s="2">
        <v>45028</v>
      </c>
      <c r="B640" s="1">
        <f t="shared" si="18"/>
        <v>45017</v>
      </c>
      <c r="C640" s="4" t="str">
        <f t="shared" si="19"/>
        <v>2023-04</v>
      </c>
      <c r="D640" s="3">
        <v>160.1</v>
      </c>
      <c r="E640" s="3">
        <v>26.5</v>
      </c>
      <c r="F640" s="3">
        <v>214</v>
      </c>
      <c r="G640" s="3">
        <v>10.81</v>
      </c>
    </row>
    <row r="641" spans="1:7" x14ac:dyDescent="0.2">
      <c r="A641" s="2">
        <v>45027</v>
      </c>
      <c r="B641" s="1">
        <f t="shared" si="18"/>
        <v>45017</v>
      </c>
      <c r="C641" s="4" t="str">
        <f t="shared" si="19"/>
        <v>2023-04</v>
      </c>
      <c r="D641" s="3">
        <v>160.80000000000001</v>
      </c>
      <c r="E641" s="3">
        <v>27.17</v>
      </c>
      <c r="F641" s="3">
        <v>213.85</v>
      </c>
      <c r="G641" s="3">
        <v>10.47</v>
      </c>
    </row>
    <row r="642" spans="1:7" x14ac:dyDescent="0.2">
      <c r="A642" s="2">
        <v>45026</v>
      </c>
      <c r="B642" s="1">
        <f t="shared" si="18"/>
        <v>45017</v>
      </c>
      <c r="C642" s="4" t="str">
        <f t="shared" si="19"/>
        <v>2023-04</v>
      </c>
      <c r="D642" s="3">
        <v>162.03</v>
      </c>
      <c r="E642" s="3">
        <v>27.58</v>
      </c>
      <c r="F642" s="3">
        <v>214.75</v>
      </c>
      <c r="G642" s="3">
        <v>10.66</v>
      </c>
    </row>
    <row r="643" spans="1:7" x14ac:dyDescent="0.2">
      <c r="A643" s="2">
        <v>45022</v>
      </c>
      <c r="B643" s="1">
        <f t="shared" ref="B643:B706" si="20">EOMONTH(A643, -1)+1</f>
        <v>45017</v>
      </c>
      <c r="C643" s="4" t="str">
        <f t="shared" ref="C643:C706" si="21">TEXT(A643, "yyyy-mm")</f>
        <v>2023-04</v>
      </c>
      <c r="D643" s="3">
        <v>164.66</v>
      </c>
      <c r="E643" s="3">
        <v>27.04</v>
      </c>
      <c r="F643" s="3">
        <v>216.1</v>
      </c>
      <c r="G643" s="3">
        <v>10.07</v>
      </c>
    </row>
    <row r="644" spans="1:7" x14ac:dyDescent="0.2">
      <c r="A644" s="2">
        <v>45021</v>
      </c>
      <c r="B644" s="1">
        <f t="shared" si="20"/>
        <v>45017</v>
      </c>
      <c r="C644" s="4" t="str">
        <f t="shared" si="21"/>
        <v>2023-04</v>
      </c>
      <c r="D644" s="3">
        <v>163.76</v>
      </c>
      <c r="E644" s="3">
        <v>26.88</v>
      </c>
      <c r="F644" s="3">
        <v>211.48</v>
      </c>
      <c r="G644" s="3">
        <v>10.8</v>
      </c>
    </row>
    <row r="645" spans="1:7" x14ac:dyDescent="0.2">
      <c r="A645" s="2">
        <v>45020</v>
      </c>
      <c r="B645" s="1">
        <f t="shared" si="20"/>
        <v>45017</v>
      </c>
      <c r="C645" s="4" t="str">
        <f t="shared" si="21"/>
        <v>2023-04</v>
      </c>
      <c r="D645" s="3">
        <v>165.63</v>
      </c>
      <c r="E645" s="3">
        <v>27.45</v>
      </c>
      <c r="F645" s="3">
        <v>214.72</v>
      </c>
      <c r="G645" s="3">
        <v>10.95</v>
      </c>
    </row>
    <row r="646" spans="1:7" x14ac:dyDescent="0.2">
      <c r="A646" s="2">
        <v>45019</v>
      </c>
      <c r="B646" s="1">
        <f t="shared" si="20"/>
        <v>45017</v>
      </c>
      <c r="C646" s="4" t="str">
        <f t="shared" si="21"/>
        <v>2023-04</v>
      </c>
      <c r="D646" s="3">
        <v>166.17</v>
      </c>
      <c r="E646" s="3">
        <v>27.97</v>
      </c>
      <c r="F646" s="3">
        <v>213.07</v>
      </c>
      <c r="G646" s="3">
        <v>11.27</v>
      </c>
    </row>
    <row r="647" spans="1:7" x14ac:dyDescent="0.2">
      <c r="A647" s="2">
        <v>45016</v>
      </c>
      <c r="B647" s="1">
        <f t="shared" si="20"/>
        <v>44986</v>
      </c>
      <c r="C647" s="4" t="str">
        <f t="shared" si="21"/>
        <v>2023-03</v>
      </c>
      <c r="D647" s="3">
        <v>164.9</v>
      </c>
      <c r="E647" s="3">
        <v>27.78</v>
      </c>
      <c r="F647" s="3">
        <v>211.94</v>
      </c>
      <c r="G647" s="3">
        <v>10.66</v>
      </c>
    </row>
    <row r="648" spans="1:7" x14ac:dyDescent="0.2">
      <c r="A648" s="2">
        <v>45015</v>
      </c>
      <c r="B648" s="1">
        <f t="shared" si="20"/>
        <v>44986</v>
      </c>
      <c r="C648" s="4" t="str">
        <f t="shared" si="21"/>
        <v>2023-03</v>
      </c>
      <c r="D648" s="3">
        <v>162.36000000000001</v>
      </c>
      <c r="E648" s="3">
        <v>27.38</v>
      </c>
      <c r="F648" s="3">
        <v>207.84</v>
      </c>
      <c r="G648" s="3">
        <v>10.33</v>
      </c>
    </row>
    <row r="649" spans="1:7" x14ac:dyDescent="0.2">
      <c r="A649" s="2">
        <v>45014</v>
      </c>
      <c r="B649" s="1">
        <f t="shared" si="20"/>
        <v>44986</v>
      </c>
      <c r="C649" s="4" t="str">
        <f t="shared" si="21"/>
        <v>2023-03</v>
      </c>
      <c r="D649" s="3">
        <v>160.77000000000001</v>
      </c>
      <c r="E649" s="3">
        <v>26.98</v>
      </c>
      <c r="F649" s="3">
        <v>205.35</v>
      </c>
      <c r="G649" s="3">
        <v>10.57</v>
      </c>
    </row>
    <row r="650" spans="1:7" x14ac:dyDescent="0.2">
      <c r="A650" s="2">
        <v>45013</v>
      </c>
      <c r="B650" s="1">
        <f t="shared" si="20"/>
        <v>44986</v>
      </c>
      <c r="C650" s="4" t="str">
        <f t="shared" si="21"/>
        <v>2023-03</v>
      </c>
      <c r="D650" s="3">
        <v>157.65</v>
      </c>
      <c r="E650" s="3">
        <v>26.41</v>
      </c>
      <c r="F650" s="3">
        <v>200.68</v>
      </c>
      <c r="G650" s="3">
        <v>10.28</v>
      </c>
    </row>
    <row r="651" spans="1:7" x14ac:dyDescent="0.2">
      <c r="A651" s="2">
        <v>45012</v>
      </c>
      <c r="B651" s="1">
        <f t="shared" si="20"/>
        <v>44986</v>
      </c>
      <c r="C651" s="4" t="str">
        <f t="shared" si="21"/>
        <v>2023-03</v>
      </c>
      <c r="D651" s="3">
        <v>158.28</v>
      </c>
      <c r="E651" s="3">
        <v>26.53</v>
      </c>
      <c r="F651" s="3">
        <v>202.84</v>
      </c>
      <c r="G651" s="3">
        <v>11.09</v>
      </c>
    </row>
    <row r="652" spans="1:7" x14ac:dyDescent="0.2">
      <c r="A652" s="2">
        <v>45009</v>
      </c>
      <c r="B652" s="1">
        <f t="shared" si="20"/>
        <v>44986</v>
      </c>
      <c r="C652" s="4" t="str">
        <f t="shared" si="21"/>
        <v>2023-03</v>
      </c>
      <c r="D652" s="3">
        <v>160.25</v>
      </c>
      <c r="E652" s="3">
        <v>26.78</v>
      </c>
      <c r="F652" s="3">
        <v>206.01</v>
      </c>
      <c r="G652" s="3">
        <v>11.08</v>
      </c>
    </row>
    <row r="653" spans="1:7" x14ac:dyDescent="0.2">
      <c r="A653" s="2">
        <v>45008</v>
      </c>
      <c r="B653" s="1">
        <f t="shared" si="20"/>
        <v>44986</v>
      </c>
      <c r="C653" s="4" t="str">
        <f t="shared" si="21"/>
        <v>2023-03</v>
      </c>
      <c r="D653" s="3">
        <v>158.93</v>
      </c>
      <c r="E653" s="3">
        <v>27.19</v>
      </c>
      <c r="F653" s="3">
        <v>204.28</v>
      </c>
      <c r="G653" s="3">
        <v>11.4</v>
      </c>
    </row>
    <row r="654" spans="1:7" x14ac:dyDescent="0.2">
      <c r="A654" s="2">
        <v>45007</v>
      </c>
      <c r="B654" s="1">
        <f t="shared" si="20"/>
        <v>44986</v>
      </c>
      <c r="C654" s="4" t="str">
        <f t="shared" si="21"/>
        <v>2023-03</v>
      </c>
      <c r="D654" s="3">
        <v>157.83000000000001</v>
      </c>
      <c r="E654" s="3">
        <v>26.47</v>
      </c>
      <c r="F654" s="3">
        <v>199.81</v>
      </c>
      <c r="G654" s="3">
        <v>11.25</v>
      </c>
    </row>
    <row r="655" spans="1:7" x14ac:dyDescent="0.2">
      <c r="A655" s="2">
        <v>45006</v>
      </c>
      <c r="B655" s="1">
        <f t="shared" si="20"/>
        <v>44986</v>
      </c>
      <c r="C655" s="4" t="str">
        <f t="shared" si="21"/>
        <v>2023-03</v>
      </c>
      <c r="D655" s="3">
        <v>159.28</v>
      </c>
      <c r="E655" s="3">
        <v>26.2</v>
      </c>
      <c r="F655" s="3">
        <v>202.16</v>
      </c>
      <c r="G655" s="3">
        <v>10.83</v>
      </c>
    </row>
    <row r="656" spans="1:7" x14ac:dyDescent="0.2">
      <c r="A656" s="2">
        <v>45005</v>
      </c>
      <c r="B656" s="1">
        <f t="shared" si="20"/>
        <v>44986</v>
      </c>
      <c r="C656" s="4" t="str">
        <f t="shared" si="21"/>
        <v>2023-03</v>
      </c>
      <c r="D656" s="3">
        <v>157.4</v>
      </c>
      <c r="E656" s="3">
        <v>25.9</v>
      </c>
      <c r="F656" s="3">
        <v>197.81</v>
      </c>
      <c r="G656" s="3">
        <v>9.85</v>
      </c>
    </row>
    <row r="657" spans="1:7" x14ac:dyDescent="0.2">
      <c r="A657" s="2">
        <v>45002</v>
      </c>
      <c r="B657" s="1">
        <f t="shared" si="20"/>
        <v>44986</v>
      </c>
      <c r="C657" s="4" t="str">
        <f t="shared" si="21"/>
        <v>2023-03</v>
      </c>
      <c r="D657" s="3">
        <v>155</v>
      </c>
      <c r="E657" s="3">
        <v>25.73</v>
      </c>
      <c r="F657" s="3">
        <v>195.61</v>
      </c>
      <c r="G657" s="3">
        <v>9.5500000000000007</v>
      </c>
    </row>
    <row r="658" spans="1:7" x14ac:dyDescent="0.2">
      <c r="A658" s="2">
        <v>45001</v>
      </c>
      <c r="B658" s="1">
        <f t="shared" si="20"/>
        <v>44986</v>
      </c>
      <c r="C658" s="4" t="str">
        <f t="shared" si="21"/>
        <v>2023-03</v>
      </c>
      <c r="D658" s="3">
        <v>155.85</v>
      </c>
      <c r="E658" s="3">
        <v>25.54</v>
      </c>
      <c r="F658" s="3">
        <v>204.93</v>
      </c>
      <c r="G658" s="3">
        <v>9.7200000000000006</v>
      </c>
    </row>
    <row r="659" spans="1:7" x14ac:dyDescent="0.2">
      <c r="A659" s="2">
        <v>45000</v>
      </c>
      <c r="B659" s="1">
        <f t="shared" si="20"/>
        <v>44986</v>
      </c>
      <c r="C659" s="4" t="str">
        <f t="shared" si="21"/>
        <v>2023-03</v>
      </c>
      <c r="D659" s="3">
        <v>152.99</v>
      </c>
      <c r="E659" s="3">
        <v>24.23</v>
      </c>
      <c r="F659" s="3">
        <v>197.75</v>
      </c>
      <c r="G659" s="3">
        <v>9.18</v>
      </c>
    </row>
    <row r="660" spans="1:7" x14ac:dyDescent="0.2">
      <c r="A660" s="2">
        <v>44999</v>
      </c>
      <c r="B660" s="1">
        <f t="shared" si="20"/>
        <v>44986</v>
      </c>
      <c r="C660" s="4" t="str">
        <f t="shared" si="21"/>
        <v>2023-03</v>
      </c>
      <c r="D660" s="3">
        <v>152.59</v>
      </c>
      <c r="E660" s="3">
        <v>24.06</v>
      </c>
      <c r="F660" s="3">
        <v>194.02</v>
      </c>
      <c r="G660" s="3">
        <v>9.25</v>
      </c>
    </row>
    <row r="661" spans="1:7" x14ac:dyDescent="0.2">
      <c r="A661" s="2">
        <v>44998</v>
      </c>
      <c r="B661" s="1">
        <f t="shared" si="20"/>
        <v>44986</v>
      </c>
      <c r="C661" s="4" t="str">
        <f t="shared" si="21"/>
        <v>2023-03</v>
      </c>
      <c r="D661" s="3">
        <v>150.47</v>
      </c>
      <c r="E661" s="3">
        <v>22.97</v>
      </c>
      <c r="F661" s="3">
        <v>180.9</v>
      </c>
      <c r="G661" s="3">
        <v>8.93</v>
      </c>
    </row>
    <row r="662" spans="1:7" x14ac:dyDescent="0.2">
      <c r="A662" s="2">
        <v>44995</v>
      </c>
      <c r="B662" s="1">
        <f t="shared" si="20"/>
        <v>44986</v>
      </c>
      <c r="C662" s="4" t="str">
        <f t="shared" si="21"/>
        <v>2023-03</v>
      </c>
      <c r="D662" s="3">
        <v>148.5</v>
      </c>
      <c r="E662" s="3">
        <v>22.97</v>
      </c>
      <c r="F662" s="3">
        <v>179.51</v>
      </c>
      <c r="G662" s="3">
        <v>9.2799999999999994</v>
      </c>
    </row>
    <row r="663" spans="1:7" x14ac:dyDescent="0.2">
      <c r="A663" s="2">
        <v>44994</v>
      </c>
      <c r="B663" s="1">
        <f t="shared" si="20"/>
        <v>44986</v>
      </c>
      <c r="C663" s="4" t="str">
        <f t="shared" si="21"/>
        <v>2023-03</v>
      </c>
      <c r="D663" s="3">
        <v>150.59</v>
      </c>
      <c r="E663" s="3">
        <v>23.44</v>
      </c>
      <c r="F663" s="3">
        <v>181.69</v>
      </c>
      <c r="G663" s="3">
        <v>9.86</v>
      </c>
    </row>
    <row r="664" spans="1:7" x14ac:dyDescent="0.2">
      <c r="A664" s="2">
        <v>44993</v>
      </c>
      <c r="B664" s="1">
        <f t="shared" si="20"/>
        <v>44986</v>
      </c>
      <c r="C664" s="4" t="str">
        <f t="shared" si="21"/>
        <v>2023-03</v>
      </c>
      <c r="D664" s="3">
        <v>152.87</v>
      </c>
      <c r="E664" s="3">
        <v>24.18</v>
      </c>
      <c r="F664" s="3">
        <v>184.97</v>
      </c>
      <c r="G664" s="3">
        <v>10.24</v>
      </c>
    </row>
    <row r="665" spans="1:7" x14ac:dyDescent="0.2">
      <c r="A665" s="2">
        <v>44992</v>
      </c>
      <c r="B665" s="1">
        <f t="shared" si="20"/>
        <v>44986</v>
      </c>
      <c r="C665" s="4" t="str">
        <f t="shared" si="21"/>
        <v>2023-03</v>
      </c>
      <c r="D665" s="3">
        <v>151.6</v>
      </c>
      <c r="E665" s="3">
        <v>23.29</v>
      </c>
      <c r="F665" s="3">
        <v>184.51</v>
      </c>
      <c r="G665" s="3">
        <v>9.85</v>
      </c>
    </row>
    <row r="666" spans="1:7" x14ac:dyDescent="0.2">
      <c r="A666" s="2">
        <v>44991</v>
      </c>
      <c r="B666" s="1">
        <f t="shared" si="20"/>
        <v>44986</v>
      </c>
      <c r="C666" s="4" t="str">
        <f t="shared" si="21"/>
        <v>2023-03</v>
      </c>
      <c r="D666" s="3">
        <v>153.83000000000001</v>
      </c>
      <c r="E666" s="3">
        <v>23.55</v>
      </c>
      <c r="F666" s="3">
        <v>184.9</v>
      </c>
      <c r="G666" s="3">
        <v>9.83</v>
      </c>
    </row>
    <row r="667" spans="1:7" x14ac:dyDescent="0.2">
      <c r="A667" s="2">
        <v>44988</v>
      </c>
      <c r="B667" s="1">
        <f t="shared" si="20"/>
        <v>44986</v>
      </c>
      <c r="C667" s="4" t="str">
        <f t="shared" si="21"/>
        <v>2023-03</v>
      </c>
      <c r="D667" s="3">
        <v>151.03</v>
      </c>
      <c r="E667" s="3">
        <v>23.89</v>
      </c>
      <c r="F667" s="3">
        <v>185.25</v>
      </c>
      <c r="G667" s="3">
        <v>9.7799999999999994</v>
      </c>
    </row>
    <row r="668" spans="1:7" x14ac:dyDescent="0.2">
      <c r="A668" s="2">
        <v>44987</v>
      </c>
      <c r="B668" s="1">
        <f t="shared" si="20"/>
        <v>44986</v>
      </c>
      <c r="C668" s="4" t="str">
        <f t="shared" si="21"/>
        <v>2023-03</v>
      </c>
      <c r="D668" s="3">
        <v>145.91</v>
      </c>
      <c r="E668" s="3">
        <v>23.31</v>
      </c>
      <c r="F668" s="3">
        <v>174.53</v>
      </c>
      <c r="G668" s="3">
        <v>9.84</v>
      </c>
    </row>
    <row r="669" spans="1:7" x14ac:dyDescent="0.2">
      <c r="A669" s="2">
        <v>44986</v>
      </c>
      <c r="B669" s="1">
        <f t="shared" si="20"/>
        <v>44986</v>
      </c>
      <c r="C669" s="4" t="str">
        <f t="shared" si="21"/>
        <v>2023-03</v>
      </c>
      <c r="D669" s="3">
        <v>145.31</v>
      </c>
      <c r="E669" s="3">
        <v>22.7</v>
      </c>
      <c r="F669" s="3">
        <v>173.42</v>
      </c>
      <c r="G669" s="3">
        <v>10.199999999999999</v>
      </c>
    </row>
    <row r="670" spans="1:7" x14ac:dyDescent="0.2">
      <c r="A670" s="2">
        <v>44985</v>
      </c>
      <c r="B670" s="1">
        <f t="shared" si="20"/>
        <v>44958</v>
      </c>
      <c r="C670" s="4" t="str">
        <f t="shared" si="21"/>
        <v>2023-02</v>
      </c>
      <c r="D670" s="3">
        <v>147.41</v>
      </c>
      <c r="E670" s="3">
        <v>23.22</v>
      </c>
      <c r="F670" s="3">
        <v>174.94</v>
      </c>
      <c r="G670" s="3">
        <v>9.8000000000000007</v>
      </c>
    </row>
    <row r="671" spans="1:7" x14ac:dyDescent="0.2">
      <c r="A671" s="2">
        <v>44984</v>
      </c>
      <c r="B671" s="1">
        <f t="shared" si="20"/>
        <v>44958</v>
      </c>
      <c r="C671" s="4" t="str">
        <f t="shared" si="21"/>
        <v>2023-02</v>
      </c>
      <c r="D671" s="3">
        <v>147.91999999999999</v>
      </c>
      <c r="E671" s="3">
        <v>23.5</v>
      </c>
      <c r="F671" s="3">
        <v>169.54</v>
      </c>
      <c r="G671" s="3">
        <v>10.11</v>
      </c>
    </row>
    <row r="672" spans="1:7" x14ac:dyDescent="0.2">
      <c r="A672" s="2">
        <v>44981</v>
      </c>
      <c r="B672" s="1">
        <f t="shared" si="20"/>
        <v>44958</v>
      </c>
      <c r="C672" s="4" t="str">
        <f t="shared" si="21"/>
        <v>2023-02</v>
      </c>
      <c r="D672" s="3">
        <v>146.71</v>
      </c>
      <c r="E672" s="3">
        <v>23.29</v>
      </c>
      <c r="F672" s="3">
        <v>170.39</v>
      </c>
      <c r="G672" s="3">
        <v>9.82</v>
      </c>
    </row>
    <row r="673" spans="1:7" x14ac:dyDescent="0.2">
      <c r="A673" s="2">
        <v>44980</v>
      </c>
      <c r="B673" s="1">
        <f t="shared" si="20"/>
        <v>44958</v>
      </c>
      <c r="C673" s="4" t="str">
        <f t="shared" si="21"/>
        <v>2023-02</v>
      </c>
      <c r="D673" s="3">
        <v>149.4</v>
      </c>
      <c r="E673" s="3">
        <v>23.66</v>
      </c>
      <c r="F673" s="3">
        <v>172.04</v>
      </c>
      <c r="G673" s="3">
        <v>9.43</v>
      </c>
    </row>
    <row r="674" spans="1:7" x14ac:dyDescent="0.2">
      <c r="A674" s="2">
        <v>44979</v>
      </c>
      <c r="B674" s="1">
        <f t="shared" si="20"/>
        <v>44958</v>
      </c>
      <c r="C674" s="4" t="str">
        <f t="shared" si="21"/>
        <v>2023-02</v>
      </c>
      <c r="D674" s="3">
        <v>148.91</v>
      </c>
      <c r="E674" s="3">
        <v>20.75</v>
      </c>
      <c r="F674" s="3">
        <v>171.12</v>
      </c>
      <c r="G674" s="3">
        <v>8.67</v>
      </c>
    </row>
    <row r="675" spans="1:7" x14ac:dyDescent="0.2">
      <c r="A675" s="2">
        <v>44978</v>
      </c>
      <c r="B675" s="1">
        <f t="shared" si="20"/>
        <v>44958</v>
      </c>
      <c r="C675" s="4" t="str">
        <f t="shared" si="21"/>
        <v>2023-02</v>
      </c>
      <c r="D675" s="3">
        <v>148.47999999999999</v>
      </c>
      <c r="E675" s="3">
        <v>20.66</v>
      </c>
      <c r="F675" s="3">
        <v>172.08</v>
      </c>
      <c r="G675" s="3">
        <v>8.81</v>
      </c>
    </row>
    <row r="676" spans="1:7" x14ac:dyDescent="0.2">
      <c r="A676" s="2">
        <v>44974</v>
      </c>
      <c r="B676" s="1">
        <f t="shared" si="20"/>
        <v>44958</v>
      </c>
      <c r="C676" s="4" t="str">
        <f t="shared" si="21"/>
        <v>2023-02</v>
      </c>
      <c r="D676" s="3">
        <v>152.55000000000001</v>
      </c>
      <c r="E676" s="3">
        <v>21.39</v>
      </c>
      <c r="F676" s="3">
        <v>172.88</v>
      </c>
      <c r="G676" s="3">
        <v>9.1999999999999993</v>
      </c>
    </row>
    <row r="677" spans="1:7" x14ac:dyDescent="0.2">
      <c r="A677" s="2">
        <v>44973</v>
      </c>
      <c r="B677" s="1">
        <f t="shared" si="20"/>
        <v>44958</v>
      </c>
      <c r="C677" s="4" t="str">
        <f t="shared" si="21"/>
        <v>2023-02</v>
      </c>
      <c r="D677" s="3">
        <v>153.71</v>
      </c>
      <c r="E677" s="3">
        <v>22</v>
      </c>
      <c r="F677" s="3">
        <v>172.44</v>
      </c>
      <c r="G677" s="3">
        <v>9.59</v>
      </c>
    </row>
    <row r="678" spans="1:7" x14ac:dyDescent="0.2">
      <c r="A678" s="2">
        <v>44972</v>
      </c>
      <c r="B678" s="1">
        <f t="shared" si="20"/>
        <v>44958</v>
      </c>
      <c r="C678" s="4" t="str">
        <f t="shared" si="21"/>
        <v>2023-02</v>
      </c>
      <c r="D678" s="3">
        <v>155.33000000000001</v>
      </c>
      <c r="E678" s="3">
        <v>22.76</v>
      </c>
      <c r="F678" s="3">
        <v>177.16</v>
      </c>
      <c r="G678" s="3">
        <v>9.3000000000000007</v>
      </c>
    </row>
    <row r="679" spans="1:7" x14ac:dyDescent="0.2">
      <c r="A679" s="2">
        <v>44971</v>
      </c>
      <c r="B679" s="1">
        <f t="shared" si="20"/>
        <v>44958</v>
      </c>
      <c r="C679" s="4" t="str">
        <f t="shared" si="21"/>
        <v>2023-02</v>
      </c>
      <c r="D679" s="3">
        <v>153.19999999999999</v>
      </c>
      <c r="E679" s="3">
        <v>22.97</v>
      </c>
      <c r="F679" s="3">
        <v>179.48</v>
      </c>
      <c r="G679" s="3">
        <v>9.2899999999999991</v>
      </c>
    </row>
    <row r="680" spans="1:7" x14ac:dyDescent="0.2">
      <c r="A680" s="2">
        <v>44970</v>
      </c>
      <c r="B680" s="1">
        <f t="shared" si="20"/>
        <v>44958</v>
      </c>
      <c r="C680" s="4" t="str">
        <f t="shared" si="21"/>
        <v>2023-02</v>
      </c>
      <c r="D680" s="3">
        <v>153.85</v>
      </c>
      <c r="E680" s="3">
        <v>21.79</v>
      </c>
      <c r="F680" s="3">
        <v>179.43</v>
      </c>
      <c r="G680" s="3">
        <v>9.0500000000000007</v>
      </c>
    </row>
    <row r="681" spans="1:7" x14ac:dyDescent="0.2">
      <c r="A681" s="2">
        <v>44967</v>
      </c>
      <c r="B681" s="1">
        <f t="shared" si="20"/>
        <v>44958</v>
      </c>
      <c r="C681" s="4" t="str">
        <f t="shared" si="21"/>
        <v>2023-02</v>
      </c>
      <c r="D681" s="3">
        <v>151.01</v>
      </c>
      <c r="E681" s="3">
        <v>21.27</v>
      </c>
      <c r="F681" s="3">
        <v>174.15</v>
      </c>
      <c r="G681" s="3">
        <v>9</v>
      </c>
    </row>
    <row r="682" spans="1:7" x14ac:dyDescent="0.2">
      <c r="A682" s="2">
        <v>44966</v>
      </c>
      <c r="B682" s="1">
        <f t="shared" si="20"/>
        <v>44958</v>
      </c>
      <c r="C682" s="4" t="str">
        <f t="shared" si="21"/>
        <v>2023-02</v>
      </c>
      <c r="D682" s="3">
        <v>150.87</v>
      </c>
      <c r="E682" s="3">
        <v>22.34</v>
      </c>
      <c r="F682" s="3">
        <v>177.92</v>
      </c>
      <c r="G682" s="3">
        <v>8.6999999999999993</v>
      </c>
    </row>
    <row r="683" spans="1:7" x14ac:dyDescent="0.2">
      <c r="A683" s="2">
        <v>44965</v>
      </c>
      <c r="B683" s="1">
        <f t="shared" si="20"/>
        <v>44958</v>
      </c>
      <c r="C683" s="4" t="str">
        <f t="shared" si="21"/>
        <v>2023-02</v>
      </c>
      <c r="D683" s="3">
        <v>151.91999999999999</v>
      </c>
      <c r="E683" s="3">
        <v>22.21</v>
      </c>
      <c r="F683" s="3">
        <v>183.43</v>
      </c>
      <c r="G683" s="3">
        <v>8.52</v>
      </c>
    </row>
    <row r="684" spans="1:7" x14ac:dyDescent="0.2">
      <c r="A684" s="2">
        <v>44964</v>
      </c>
      <c r="B684" s="1">
        <f t="shared" si="20"/>
        <v>44958</v>
      </c>
      <c r="C684" s="4" t="str">
        <f t="shared" si="21"/>
        <v>2023-02</v>
      </c>
      <c r="D684" s="3">
        <v>154.65</v>
      </c>
      <c r="E684" s="3">
        <v>22.17</v>
      </c>
      <c r="F684" s="3">
        <v>191.62</v>
      </c>
      <c r="G684" s="3">
        <v>8.1999999999999993</v>
      </c>
    </row>
    <row r="685" spans="1:7" x14ac:dyDescent="0.2">
      <c r="A685" s="2">
        <v>44963</v>
      </c>
      <c r="B685" s="1">
        <f t="shared" si="20"/>
        <v>44958</v>
      </c>
      <c r="C685" s="4" t="str">
        <f t="shared" si="21"/>
        <v>2023-02</v>
      </c>
      <c r="D685" s="3">
        <v>151.72999999999999</v>
      </c>
      <c r="E685" s="3">
        <v>21.09</v>
      </c>
      <c r="F685" s="3">
        <v>186.06</v>
      </c>
      <c r="G685" s="3">
        <v>8.32</v>
      </c>
    </row>
    <row r="686" spans="1:7" x14ac:dyDescent="0.2">
      <c r="A686" s="2">
        <v>44960</v>
      </c>
      <c r="B686" s="1">
        <f t="shared" si="20"/>
        <v>44958</v>
      </c>
      <c r="C686" s="4" t="str">
        <f t="shared" si="21"/>
        <v>2023-02</v>
      </c>
      <c r="D686" s="3">
        <v>154.5</v>
      </c>
      <c r="E686" s="3">
        <v>21.1</v>
      </c>
      <c r="F686" s="3">
        <v>186.53</v>
      </c>
      <c r="G686" s="3">
        <v>8.43</v>
      </c>
    </row>
    <row r="687" spans="1:7" x14ac:dyDescent="0.2">
      <c r="A687" s="2">
        <v>44959</v>
      </c>
      <c r="B687" s="1">
        <f t="shared" si="20"/>
        <v>44958</v>
      </c>
      <c r="C687" s="4" t="str">
        <f t="shared" si="21"/>
        <v>2023-02</v>
      </c>
      <c r="D687" s="3">
        <v>150.82</v>
      </c>
      <c r="E687" s="3">
        <v>21.71</v>
      </c>
      <c r="F687" s="3">
        <v>188.77</v>
      </c>
      <c r="G687" s="3">
        <v>8.19</v>
      </c>
    </row>
    <row r="688" spans="1:7" x14ac:dyDescent="0.2">
      <c r="A688" s="2">
        <v>44958</v>
      </c>
      <c r="B688" s="1">
        <f t="shared" si="20"/>
        <v>44958</v>
      </c>
      <c r="C688" s="4" t="str">
        <f t="shared" si="21"/>
        <v>2023-02</v>
      </c>
      <c r="D688" s="3">
        <v>145.43</v>
      </c>
      <c r="E688" s="3">
        <v>20.94</v>
      </c>
      <c r="F688" s="3">
        <v>153.12</v>
      </c>
      <c r="G688" s="3">
        <v>7.97</v>
      </c>
    </row>
    <row r="689" spans="1:7" x14ac:dyDescent="0.2">
      <c r="A689" s="2">
        <v>44957</v>
      </c>
      <c r="B689" s="1">
        <f t="shared" si="20"/>
        <v>44927</v>
      </c>
      <c r="C689" s="4" t="str">
        <f t="shared" si="21"/>
        <v>2023-01</v>
      </c>
      <c r="D689" s="3">
        <v>144.29</v>
      </c>
      <c r="E689" s="3">
        <v>19.54</v>
      </c>
      <c r="F689" s="3">
        <v>148.97</v>
      </c>
      <c r="G689" s="3">
        <v>7.23</v>
      </c>
    </row>
    <row r="690" spans="1:7" x14ac:dyDescent="0.2">
      <c r="A690" s="2">
        <v>44956</v>
      </c>
      <c r="B690" s="1">
        <f t="shared" si="20"/>
        <v>44927</v>
      </c>
      <c r="C690" s="4" t="str">
        <f t="shared" si="21"/>
        <v>2023-01</v>
      </c>
      <c r="D690" s="3">
        <v>143</v>
      </c>
      <c r="E690" s="3">
        <v>19.16</v>
      </c>
      <c r="F690" s="3">
        <v>147.06</v>
      </c>
      <c r="G690" s="3">
        <v>7.21</v>
      </c>
    </row>
    <row r="691" spans="1:7" x14ac:dyDescent="0.2">
      <c r="A691" s="2">
        <v>44953</v>
      </c>
      <c r="B691" s="1">
        <f t="shared" si="20"/>
        <v>44927</v>
      </c>
      <c r="C691" s="4" t="str">
        <f t="shared" si="21"/>
        <v>2023-01</v>
      </c>
      <c r="D691" s="3">
        <v>145.93</v>
      </c>
      <c r="E691" s="3">
        <v>20.37</v>
      </c>
      <c r="F691" s="3">
        <v>151.74</v>
      </c>
      <c r="G691" s="3">
        <v>7.43</v>
      </c>
    </row>
    <row r="692" spans="1:7" x14ac:dyDescent="0.2">
      <c r="A692" s="2">
        <v>44952</v>
      </c>
      <c r="B692" s="1">
        <f t="shared" si="20"/>
        <v>44927</v>
      </c>
      <c r="C692" s="4" t="str">
        <f t="shared" si="21"/>
        <v>2023-01</v>
      </c>
      <c r="D692" s="3">
        <v>143.96</v>
      </c>
      <c r="E692" s="3">
        <v>19.8</v>
      </c>
      <c r="F692" s="3">
        <v>147.30000000000001</v>
      </c>
      <c r="G692" s="3">
        <v>7.63</v>
      </c>
    </row>
    <row r="693" spans="1:7" x14ac:dyDescent="0.2">
      <c r="A693" s="2">
        <v>44951</v>
      </c>
      <c r="B693" s="1">
        <f t="shared" si="20"/>
        <v>44927</v>
      </c>
      <c r="C693" s="4" t="str">
        <f t="shared" si="21"/>
        <v>2023-01</v>
      </c>
      <c r="D693" s="3">
        <v>141.86000000000001</v>
      </c>
      <c r="E693" s="3">
        <v>19.32</v>
      </c>
      <c r="F693" s="3">
        <v>141.5</v>
      </c>
      <c r="G693" s="3">
        <v>7.73</v>
      </c>
    </row>
    <row r="694" spans="1:7" x14ac:dyDescent="0.2">
      <c r="A694" s="2">
        <v>44950</v>
      </c>
      <c r="B694" s="1">
        <f t="shared" si="20"/>
        <v>44927</v>
      </c>
      <c r="C694" s="4" t="str">
        <f t="shared" si="21"/>
        <v>2023-01</v>
      </c>
      <c r="D694" s="3">
        <v>142.53</v>
      </c>
      <c r="E694" s="3">
        <v>19.27</v>
      </c>
      <c r="F694" s="3">
        <v>143.13999999999999</v>
      </c>
      <c r="G694" s="3">
        <v>7.83</v>
      </c>
    </row>
    <row r="695" spans="1:7" x14ac:dyDescent="0.2">
      <c r="A695" s="2">
        <v>44949</v>
      </c>
      <c r="B695" s="1">
        <f t="shared" si="20"/>
        <v>44927</v>
      </c>
      <c r="C695" s="4" t="str">
        <f t="shared" si="21"/>
        <v>2023-01</v>
      </c>
      <c r="D695" s="3">
        <v>141.11000000000001</v>
      </c>
      <c r="E695" s="3">
        <v>19.190000000000001</v>
      </c>
      <c r="F695" s="3">
        <v>143.27000000000001</v>
      </c>
      <c r="G695" s="3">
        <v>7.38</v>
      </c>
    </row>
    <row r="696" spans="1:7" x14ac:dyDescent="0.2">
      <c r="A696" s="2">
        <v>44946</v>
      </c>
      <c r="B696" s="1">
        <f t="shared" si="20"/>
        <v>44927</v>
      </c>
      <c r="C696" s="4" t="str">
        <f t="shared" si="21"/>
        <v>2023-01</v>
      </c>
      <c r="D696" s="3">
        <v>137.87</v>
      </c>
      <c r="E696" s="3">
        <v>17.84</v>
      </c>
      <c r="F696" s="3">
        <v>139.37</v>
      </c>
      <c r="G696" s="3">
        <v>7.2</v>
      </c>
    </row>
    <row r="697" spans="1:7" x14ac:dyDescent="0.2">
      <c r="A697" s="2">
        <v>44945</v>
      </c>
      <c r="B697" s="1">
        <f t="shared" si="20"/>
        <v>44927</v>
      </c>
      <c r="C697" s="4" t="str">
        <f t="shared" si="21"/>
        <v>2023-01</v>
      </c>
      <c r="D697" s="3">
        <v>135.27000000000001</v>
      </c>
      <c r="E697" s="3">
        <v>16.77</v>
      </c>
      <c r="F697" s="3">
        <v>136.15</v>
      </c>
      <c r="G697" s="3">
        <v>7.09</v>
      </c>
    </row>
    <row r="698" spans="1:7" x14ac:dyDescent="0.2">
      <c r="A698" s="2">
        <v>44944</v>
      </c>
      <c r="B698" s="1">
        <f t="shared" si="20"/>
        <v>44927</v>
      </c>
      <c r="C698" s="4" t="str">
        <f t="shared" si="21"/>
        <v>2023-01</v>
      </c>
      <c r="D698" s="3">
        <v>135.21</v>
      </c>
      <c r="E698" s="3">
        <v>17.38</v>
      </c>
      <c r="F698" s="3">
        <v>133.02000000000001</v>
      </c>
      <c r="G698" s="3">
        <v>7.89</v>
      </c>
    </row>
    <row r="699" spans="1:7" x14ac:dyDescent="0.2">
      <c r="A699" s="2">
        <v>44943</v>
      </c>
      <c r="B699" s="1">
        <f t="shared" si="20"/>
        <v>44927</v>
      </c>
      <c r="C699" s="4" t="str">
        <f t="shared" si="21"/>
        <v>2023-01</v>
      </c>
      <c r="D699" s="3">
        <v>135.94</v>
      </c>
      <c r="E699" s="3">
        <v>17.7</v>
      </c>
      <c r="F699" s="3">
        <v>135.36000000000001</v>
      </c>
      <c r="G699" s="3">
        <v>8.48</v>
      </c>
    </row>
    <row r="700" spans="1:7" x14ac:dyDescent="0.2">
      <c r="A700" s="2">
        <v>44939</v>
      </c>
      <c r="B700" s="1">
        <f t="shared" si="20"/>
        <v>44927</v>
      </c>
      <c r="C700" s="4" t="str">
        <f t="shared" si="21"/>
        <v>2023-01</v>
      </c>
      <c r="D700" s="3">
        <v>134.76</v>
      </c>
      <c r="E700" s="3">
        <v>16.899999999999999</v>
      </c>
      <c r="F700" s="3">
        <v>136.97999999999999</v>
      </c>
      <c r="G700" s="3">
        <v>8.06</v>
      </c>
    </row>
    <row r="701" spans="1:7" x14ac:dyDescent="0.2">
      <c r="A701" s="2">
        <v>44938</v>
      </c>
      <c r="B701" s="1">
        <f t="shared" si="20"/>
        <v>44927</v>
      </c>
      <c r="C701" s="4" t="str">
        <f t="shared" si="21"/>
        <v>2023-01</v>
      </c>
      <c r="D701" s="3">
        <v>133.41</v>
      </c>
      <c r="E701" s="3">
        <v>16.510000000000002</v>
      </c>
      <c r="F701" s="3">
        <v>136.71</v>
      </c>
      <c r="G701" s="3">
        <v>8.0500000000000007</v>
      </c>
    </row>
    <row r="702" spans="1:7" x14ac:dyDescent="0.2">
      <c r="A702" s="2">
        <v>44937</v>
      </c>
      <c r="B702" s="1">
        <f t="shared" si="20"/>
        <v>44927</v>
      </c>
      <c r="C702" s="4" t="str">
        <f t="shared" si="21"/>
        <v>2023-01</v>
      </c>
      <c r="D702" s="3">
        <v>133.49</v>
      </c>
      <c r="E702" s="3">
        <v>16</v>
      </c>
      <c r="F702" s="3">
        <v>132.88999999999999</v>
      </c>
      <c r="G702" s="3">
        <v>7.56</v>
      </c>
    </row>
    <row r="703" spans="1:7" x14ac:dyDescent="0.2">
      <c r="A703" s="2">
        <v>44936</v>
      </c>
      <c r="B703" s="1">
        <f t="shared" si="20"/>
        <v>44927</v>
      </c>
      <c r="C703" s="4" t="str">
        <f t="shared" si="21"/>
        <v>2023-01</v>
      </c>
      <c r="D703" s="3">
        <v>130.72999999999999</v>
      </c>
      <c r="E703" s="3">
        <v>15.91</v>
      </c>
      <c r="F703" s="3">
        <v>132.99</v>
      </c>
      <c r="G703" s="3">
        <v>7.84</v>
      </c>
    </row>
    <row r="704" spans="1:7" x14ac:dyDescent="0.2">
      <c r="A704" s="2">
        <v>44935</v>
      </c>
      <c r="B704" s="1">
        <f t="shared" si="20"/>
        <v>44927</v>
      </c>
      <c r="C704" s="4" t="str">
        <f t="shared" si="21"/>
        <v>2023-01</v>
      </c>
      <c r="D704" s="3">
        <v>130.15</v>
      </c>
      <c r="E704" s="3">
        <v>15.63</v>
      </c>
      <c r="F704" s="3">
        <v>129.47</v>
      </c>
      <c r="G704" s="3">
        <v>8.48</v>
      </c>
    </row>
    <row r="705" spans="1:7" x14ac:dyDescent="0.2">
      <c r="A705" s="2">
        <v>44932</v>
      </c>
      <c r="B705" s="1">
        <f t="shared" si="20"/>
        <v>44927</v>
      </c>
      <c r="C705" s="4" t="str">
        <f t="shared" si="21"/>
        <v>2023-01</v>
      </c>
      <c r="D705" s="3">
        <v>129.62</v>
      </c>
      <c r="E705" s="3">
        <v>14.86</v>
      </c>
      <c r="F705" s="3">
        <v>130.02000000000001</v>
      </c>
      <c r="G705" s="3">
        <v>8.44</v>
      </c>
    </row>
    <row r="706" spans="1:7" x14ac:dyDescent="0.2">
      <c r="A706" s="2">
        <v>44931</v>
      </c>
      <c r="B706" s="1">
        <f t="shared" si="20"/>
        <v>44927</v>
      </c>
      <c r="C706" s="4" t="str">
        <f t="shared" si="21"/>
        <v>2023-01</v>
      </c>
      <c r="D706" s="3">
        <v>125.02</v>
      </c>
      <c r="E706" s="3">
        <v>14.27</v>
      </c>
      <c r="F706" s="3">
        <v>126.94</v>
      </c>
      <c r="G706" s="3">
        <v>8.0299999999999994</v>
      </c>
    </row>
    <row r="707" spans="1:7" x14ac:dyDescent="0.2">
      <c r="A707" s="2">
        <v>44930</v>
      </c>
      <c r="B707" s="1">
        <f t="shared" ref="B707:B770" si="22">EOMONTH(A707, -1)+1</f>
        <v>44927</v>
      </c>
      <c r="C707" s="4" t="str">
        <f t="shared" ref="C707:C770" si="23">TEXT(A707, "yyyy-mm")</f>
        <v>2023-01</v>
      </c>
      <c r="D707" s="3">
        <v>126.36</v>
      </c>
      <c r="E707" s="3">
        <v>14.75</v>
      </c>
      <c r="F707" s="3">
        <v>127.37</v>
      </c>
      <c r="G707" s="3">
        <v>8.23</v>
      </c>
    </row>
    <row r="708" spans="1:7" x14ac:dyDescent="0.2">
      <c r="A708" s="2">
        <v>44929</v>
      </c>
      <c r="B708" s="1">
        <f t="shared" si="22"/>
        <v>44927</v>
      </c>
      <c r="C708" s="4" t="str">
        <f t="shared" si="23"/>
        <v>2023-01</v>
      </c>
      <c r="D708" s="3">
        <v>125.07</v>
      </c>
      <c r="E708" s="3">
        <v>14.32</v>
      </c>
      <c r="F708" s="3">
        <v>124.74</v>
      </c>
      <c r="G708" s="3">
        <v>8.39</v>
      </c>
    </row>
    <row r="709" spans="1:7" x14ac:dyDescent="0.2">
      <c r="A709" s="2">
        <v>44925</v>
      </c>
      <c r="B709" s="1">
        <f t="shared" si="22"/>
        <v>44896</v>
      </c>
      <c r="C709" s="4" t="str">
        <f t="shared" si="23"/>
        <v>2022-12</v>
      </c>
      <c r="D709" s="3">
        <v>129.93</v>
      </c>
      <c r="E709" s="3">
        <v>14.61</v>
      </c>
      <c r="F709" s="3">
        <v>120.34</v>
      </c>
      <c r="G709" s="3">
        <v>8.2100000000000009</v>
      </c>
    </row>
    <row r="710" spans="1:7" x14ac:dyDescent="0.2">
      <c r="A710" s="2">
        <v>44924</v>
      </c>
      <c r="B710" s="1">
        <f t="shared" si="22"/>
        <v>44896</v>
      </c>
      <c r="C710" s="4" t="str">
        <f t="shared" si="23"/>
        <v>2022-12</v>
      </c>
      <c r="D710" s="3">
        <v>129.61000000000001</v>
      </c>
      <c r="E710" s="3">
        <v>14.6</v>
      </c>
      <c r="F710" s="3">
        <v>120.26</v>
      </c>
      <c r="G710" s="3">
        <v>8.19</v>
      </c>
    </row>
    <row r="711" spans="1:7" x14ac:dyDescent="0.2">
      <c r="A711" s="2">
        <v>44923</v>
      </c>
      <c r="B711" s="1">
        <f t="shared" si="22"/>
        <v>44896</v>
      </c>
      <c r="C711" s="4" t="str">
        <f t="shared" si="23"/>
        <v>2022-12</v>
      </c>
      <c r="D711" s="3">
        <v>126.04</v>
      </c>
      <c r="E711" s="3">
        <v>14.04</v>
      </c>
      <c r="F711" s="3">
        <v>115.62</v>
      </c>
      <c r="G711" s="3">
        <v>8.06</v>
      </c>
    </row>
    <row r="712" spans="1:7" x14ac:dyDescent="0.2">
      <c r="A712" s="2">
        <v>44922</v>
      </c>
      <c r="B712" s="1">
        <f t="shared" si="22"/>
        <v>44896</v>
      </c>
      <c r="C712" s="4" t="str">
        <f t="shared" si="23"/>
        <v>2022-12</v>
      </c>
      <c r="D712" s="3">
        <v>130.03</v>
      </c>
      <c r="E712" s="3">
        <v>14.12</v>
      </c>
      <c r="F712" s="3">
        <v>116.88</v>
      </c>
      <c r="G712" s="3">
        <v>8.2899999999999991</v>
      </c>
    </row>
    <row r="713" spans="1:7" x14ac:dyDescent="0.2">
      <c r="A713" s="2">
        <v>44918</v>
      </c>
      <c r="B713" s="1">
        <f t="shared" si="22"/>
        <v>44896</v>
      </c>
      <c r="C713" s="4" t="str">
        <f t="shared" si="23"/>
        <v>2022-12</v>
      </c>
      <c r="D713" s="3">
        <v>131.86000000000001</v>
      </c>
      <c r="E713" s="3">
        <v>15.21</v>
      </c>
      <c r="F713" s="3">
        <v>118.04</v>
      </c>
      <c r="G713" s="3">
        <v>8.2200000000000006</v>
      </c>
    </row>
    <row r="714" spans="1:7" x14ac:dyDescent="0.2">
      <c r="A714" s="2">
        <v>44917</v>
      </c>
      <c r="B714" s="1">
        <f t="shared" si="22"/>
        <v>44896</v>
      </c>
      <c r="C714" s="4" t="str">
        <f t="shared" si="23"/>
        <v>2022-12</v>
      </c>
      <c r="D714" s="3">
        <v>132.22999999999999</v>
      </c>
      <c r="E714" s="3">
        <v>15.34</v>
      </c>
      <c r="F714" s="3">
        <v>117.12</v>
      </c>
      <c r="G714" s="3">
        <v>8.1999999999999993</v>
      </c>
    </row>
    <row r="715" spans="1:7" x14ac:dyDescent="0.2">
      <c r="A715" s="2">
        <v>44916</v>
      </c>
      <c r="B715" s="1">
        <f t="shared" si="22"/>
        <v>44896</v>
      </c>
      <c r="C715" s="4" t="str">
        <f t="shared" si="23"/>
        <v>2022-12</v>
      </c>
      <c r="D715" s="3">
        <v>135.44999999999999</v>
      </c>
      <c r="E715" s="3">
        <v>16.5</v>
      </c>
      <c r="F715" s="3">
        <v>119.76</v>
      </c>
      <c r="G715" s="3">
        <v>8.39</v>
      </c>
    </row>
    <row r="716" spans="1:7" x14ac:dyDescent="0.2">
      <c r="A716" s="2">
        <v>44915</v>
      </c>
      <c r="B716" s="1">
        <f t="shared" si="22"/>
        <v>44896</v>
      </c>
      <c r="C716" s="4" t="str">
        <f t="shared" si="23"/>
        <v>2022-12</v>
      </c>
      <c r="D716" s="3">
        <v>132.30000000000001</v>
      </c>
      <c r="E716" s="3">
        <v>16.09</v>
      </c>
      <c r="F716" s="3">
        <v>117.09</v>
      </c>
      <c r="G716" s="3">
        <v>8.33</v>
      </c>
    </row>
    <row r="717" spans="1:7" x14ac:dyDescent="0.2">
      <c r="A717" s="2">
        <v>44914</v>
      </c>
      <c r="B717" s="1">
        <f t="shared" si="22"/>
        <v>44896</v>
      </c>
      <c r="C717" s="4" t="str">
        <f t="shared" si="23"/>
        <v>2022-12</v>
      </c>
      <c r="D717" s="3">
        <v>132.37</v>
      </c>
      <c r="E717" s="3">
        <v>16.25</v>
      </c>
      <c r="F717" s="3">
        <v>114.48</v>
      </c>
      <c r="G717" s="3">
        <v>7.83</v>
      </c>
    </row>
    <row r="718" spans="1:7" x14ac:dyDescent="0.2">
      <c r="A718" s="2">
        <v>44911</v>
      </c>
      <c r="B718" s="1">
        <f t="shared" si="22"/>
        <v>44896</v>
      </c>
      <c r="C718" s="4" t="str">
        <f t="shared" si="23"/>
        <v>2022-12</v>
      </c>
      <c r="D718" s="3">
        <v>134.51</v>
      </c>
      <c r="E718" s="3">
        <v>16.57</v>
      </c>
      <c r="F718" s="3">
        <v>119.43</v>
      </c>
      <c r="G718" s="3">
        <v>8.07</v>
      </c>
    </row>
    <row r="719" spans="1:7" x14ac:dyDescent="0.2">
      <c r="A719" s="2">
        <v>44910</v>
      </c>
      <c r="B719" s="1">
        <f t="shared" si="22"/>
        <v>44896</v>
      </c>
      <c r="C719" s="4" t="str">
        <f t="shared" si="23"/>
        <v>2022-12</v>
      </c>
      <c r="D719" s="3">
        <v>136.5</v>
      </c>
      <c r="E719" s="3">
        <v>16.95</v>
      </c>
      <c r="F719" s="3">
        <v>116.15</v>
      </c>
      <c r="G719" s="3">
        <v>8.06</v>
      </c>
    </row>
    <row r="720" spans="1:7" x14ac:dyDescent="0.2">
      <c r="A720" s="2">
        <v>44909</v>
      </c>
      <c r="B720" s="1">
        <f t="shared" si="22"/>
        <v>44896</v>
      </c>
      <c r="C720" s="4" t="str">
        <f t="shared" si="23"/>
        <v>2022-12</v>
      </c>
      <c r="D720" s="3">
        <v>143.21</v>
      </c>
      <c r="E720" s="3">
        <v>17.670000000000002</v>
      </c>
      <c r="F720" s="3">
        <v>121.59</v>
      </c>
      <c r="G720" s="3">
        <v>9</v>
      </c>
    </row>
    <row r="721" spans="1:7" x14ac:dyDescent="0.2">
      <c r="A721" s="2">
        <v>44908</v>
      </c>
      <c r="B721" s="1">
        <f t="shared" si="22"/>
        <v>44896</v>
      </c>
      <c r="C721" s="4" t="str">
        <f t="shared" si="23"/>
        <v>2022-12</v>
      </c>
      <c r="D721" s="3">
        <v>145.47</v>
      </c>
      <c r="E721" s="3">
        <v>18.07</v>
      </c>
      <c r="F721" s="3">
        <v>120.15</v>
      </c>
      <c r="G721" s="3">
        <v>9</v>
      </c>
    </row>
    <row r="722" spans="1:7" x14ac:dyDescent="0.2">
      <c r="A722" s="2">
        <v>44907</v>
      </c>
      <c r="B722" s="1">
        <f t="shared" si="22"/>
        <v>44896</v>
      </c>
      <c r="C722" s="4" t="str">
        <f t="shared" si="23"/>
        <v>2022-12</v>
      </c>
      <c r="D722" s="3">
        <v>144.49</v>
      </c>
      <c r="E722" s="3">
        <v>17.54</v>
      </c>
      <c r="F722" s="3">
        <v>114.71</v>
      </c>
      <c r="G722" s="3">
        <v>8.92</v>
      </c>
    </row>
    <row r="723" spans="1:7" x14ac:dyDescent="0.2">
      <c r="A723" s="2">
        <v>44904</v>
      </c>
      <c r="B723" s="1">
        <f t="shared" si="22"/>
        <v>44896</v>
      </c>
      <c r="C723" s="4" t="str">
        <f t="shared" si="23"/>
        <v>2022-12</v>
      </c>
      <c r="D723" s="3">
        <v>142.16</v>
      </c>
      <c r="E723" s="3">
        <v>17</v>
      </c>
      <c r="F723" s="3">
        <v>115.9</v>
      </c>
      <c r="G723" s="3">
        <v>8.4</v>
      </c>
    </row>
    <row r="724" spans="1:7" x14ac:dyDescent="0.2">
      <c r="A724" s="2">
        <v>44903</v>
      </c>
      <c r="B724" s="1">
        <f t="shared" si="22"/>
        <v>44896</v>
      </c>
      <c r="C724" s="4" t="str">
        <f t="shared" si="23"/>
        <v>2022-12</v>
      </c>
      <c r="D724" s="3">
        <v>142.65</v>
      </c>
      <c r="E724" s="3">
        <v>17.170000000000002</v>
      </c>
      <c r="F724" s="3">
        <v>115.33</v>
      </c>
      <c r="G724" s="3">
        <v>8.56</v>
      </c>
    </row>
    <row r="725" spans="1:7" x14ac:dyDescent="0.2">
      <c r="A725" s="2">
        <v>44902</v>
      </c>
      <c r="B725" s="1">
        <f t="shared" si="22"/>
        <v>44896</v>
      </c>
      <c r="C725" s="4" t="str">
        <f t="shared" si="23"/>
        <v>2022-12</v>
      </c>
      <c r="D725" s="3">
        <v>140.94</v>
      </c>
      <c r="E725" s="3">
        <v>16.12</v>
      </c>
      <c r="F725" s="3">
        <v>113.93</v>
      </c>
      <c r="G725" s="3">
        <v>8.61</v>
      </c>
    </row>
    <row r="726" spans="1:7" x14ac:dyDescent="0.2">
      <c r="A726" s="2">
        <v>44901</v>
      </c>
      <c r="B726" s="1">
        <f t="shared" si="22"/>
        <v>44896</v>
      </c>
      <c r="C726" s="4" t="str">
        <f t="shared" si="23"/>
        <v>2022-12</v>
      </c>
      <c r="D726" s="3">
        <v>142.91</v>
      </c>
      <c r="E726" s="3">
        <v>15.99</v>
      </c>
      <c r="F726" s="3">
        <v>114.12</v>
      </c>
      <c r="G726" s="3">
        <v>8.6300000000000008</v>
      </c>
    </row>
    <row r="727" spans="1:7" x14ac:dyDescent="0.2">
      <c r="A727" s="2">
        <v>44900</v>
      </c>
      <c r="B727" s="1">
        <f t="shared" si="22"/>
        <v>44896</v>
      </c>
      <c r="C727" s="4" t="str">
        <f t="shared" si="23"/>
        <v>2022-12</v>
      </c>
      <c r="D727" s="3">
        <v>146.63</v>
      </c>
      <c r="E727" s="3">
        <v>16.61</v>
      </c>
      <c r="F727" s="3">
        <v>122.43</v>
      </c>
      <c r="G727" s="3">
        <v>8.33</v>
      </c>
    </row>
    <row r="728" spans="1:7" x14ac:dyDescent="0.2">
      <c r="A728" s="2">
        <v>44897</v>
      </c>
      <c r="B728" s="1">
        <f t="shared" si="22"/>
        <v>44896</v>
      </c>
      <c r="C728" s="4" t="str">
        <f t="shared" si="23"/>
        <v>2022-12</v>
      </c>
      <c r="D728" s="3">
        <v>147.81</v>
      </c>
      <c r="E728" s="3">
        <v>16.88</v>
      </c>
      <c r="F728" s="3">
        <v>123.49</v>
      </c>
      <c r="G728" s="3">
        <v>8.67</v>
      </c>
    </row>
    <row r="729" spans="1:7" x14ac:dyDescent="0.2">
      <c r="A729" s="2">
        <v>44896</v>
      </c>
      <c r="B729" s="1">
        <f t="shared" si="22"/>
        <v>44896</v>
      </c>
      <c r="C729" s="4" t="str">
        <f t="shared" si="23"/>
        <v>2022-12</v>
      </c>
      <c r="D729" s="3">
        <v>148.31</v>
      </c>
      <c r="E729" s="3">
        <v>17.14</v>
      </c>
      <c r="F729" s="3">
        <v>120.44</v>
      </c>
      <c r="G729" s="3">
        <v>9.0500000000000007</v>
      </c>
    </row>
    <row r="730" spans="1:7" x14ac:dyDescent="0.2">
      <c r="A730" s="2">
        <v>44895</v>
      </c>
      <c r="B730" s="1">
        <f t="shared" si="22"/>
        <v>44866</v>
      </c>
      <c r="C730" s="4" t="str">
        <f t="shared" si="23"/>
        <v>2022-11</v>
      </c>
      <c r="D730" s="3">
        <v>148.03</v>
      </c>
      <c r="E730" s="3">
        <v>16.920000000000002</v>
      </c>
      <c r="F730" s="3">
        <v>118.1</v>
      </c>
      <c r="G730" s="3">
        <v>9.02</v>
      </c>
    </row>
    <row r="731" spans="1:7" x14ac:dyDescent="0.2">
      <c r="A731" s="2">
        <v>44894</v>
      </c>
      <c r="B731" s="1">
        <f t="shared" si="22"/>
        <v>44866</v>
      </c>
      <c r="C731" s="4" t="str">
        <f t="shared" si="23"/>
        <v>2022-11</v>
      </c>
      <c r="D731" s="3">
        <v>141.16999999999999</v>
      </c>
      <c r="E731" s="3">
        <v>15.64</v>
      </c>
      <c r="F731" s="3">
        <v>109.46</v>
      </c>
      <c r="G731" s="3">
        <v>9.15</v>
      </c>
    </row>
    <row r="732" spans="1:7" x14ac:dyDescent="0.2">
      <c r="A732" s="2">
        <v>44893</v>
      </c>
      <c r="B732" s="1">
        <f t="shared" si="22"/>
        <v>44866</v>
      </c>
      <c r="C732" s="4" t="str">
        <f t="shared" si="23"/>
        <v>2022-11</v>
      </c>
      <c r="D732" s="3">
        <v>144.22</v>
      </c>
      <c r="E732" s="3">
        <v>15.83</v>
      </c>
      <c r="F732" s="3">
        <v>108.78</v>
      </c>
      <c r="G732" s="3">
        <v>9.25</v>
      </c>
    </row>
    <row r="733" spans="1:7" x14ac:dyDescent="0.2">
      <c r="A733" s="2">
        <v>44890</v>
      </c>
      <c r="B733" s="1">
        <f t="shared" si="22"/>
        <v>44866</v>
      </c>
      <c r="C733" s="4" t="str">
        <f t="shared" si="23"/>
        <v>2022-11</v>
      </c>
      <c r="D733" s="3">
        <v>148.11000000000001</v>
      </c>
      <c r="E733" s="3">
        <v>16.27</v>
      </c>
      <c r="F733" s="3">
        <v>111.41</v>
      </c>
      <c r="G733" s="3">
        <v>9.39</v>
      </c>
    </row>
    <row r="734" spans="1:7" x14ac:dyDescent="0.2">
      <c r="A734" s="2">
        <v>44888</v>
      </c>
      <c r="B734" s="1">
        <f t="shared" si="22"/>
        <v>44866</v>
      </c>
      <c r="C734" s="4" t="str">
        <f t="shared" si="23"/>
        <v>2022-11</v>
      </c>
      <c r="D734" s="3">
        <v>151.07</v>
      </c>
      <c r="E734" s="3">
        <v>16.52</v>
      </c>
      <c r="F734" s="3">
        <v>112.24</v>
      </c>
      <c r="G734" s="3">
        <v>9.1199999999999992</v>
      </c>
    </row>
    <row r="735" spans="1:7" x14ac:dyDescent="0.2">
      <c r="A735" s="2">
        <v>44887</v>
      </c>
      <c r="B735" s="1">
        <f t="shared" si="22"/>
        <v>44866</v>
      </c>
      <c r="C735" s="4" t="str">
        <f t="shared" si="23"/>
        <v>2022-11</v>
      </c>
      <c r="D735" s="3">
        <v>150.18</v>
      </c>
      <c r="E735" s="3">
        <v>16.04</v>
      </c>
      <c r="F735" s="3">
        <v>111.44</v>
      </c>
      <c r="G735" s="3">
        <v>8.77</v>
      </c>
    </row>
    <row r="736" spans="1:7" x14ac:dyDescent="0.2">
      <c r="A736" s="2">
        <v>44886</v>
      </c>
      <c r="B736" s="1">
        <f t="shared" si="22"/>
        <v>44866</v>
      </c>
      <c r="C736" s="4" t="str">
        <f t="shared" si="23"/>
        <v>2022-11</v>
      </c>
      <c r="D736" s="3">
        <v>148.01</v>
      </c>
      <c r="E736" s="3">
        <v>15.32</v>
      </c>
      <c r="F736" s="3">
        <v>109.86</v>
      </c>
      <c r="G736" s="3">
        <v>8.39</v>
      </c>
    </row>
    <row r="737" spans="1:7" x14ac:dyDescent="0.2">
      <c r="A737" s="2">
        <v>44883</v>
      </c>
      <c r="B737" s="1">
        <f t="shared" si="22"/>
        <v>44866</v>
      </c>
      <c r="C737" s="4" t="str">
        <f t="shared" si="23"/>
        <v>2022-11</v>
      </c>
      <c r="D737" s="3">
        <v>151.29</v>
      </c>
      <c r="E737" s="3">
        <v>15.41</v>
      </c>
      <c r="F737" s="3">
        <v>112.05</v>
      </c>
      <c r="G737" s="3">
        <v>8.65</v>
      </c>
    </row>
    <row r="738" spans="1:7" x14ac:dyDescent="0.2">
      <c r="A738" s="2">
        <v>44882</v>
      </c>
      <c r="B738" s="1">
        <f t="shared" si="22"/>
        <v>44866</v>
      </c>
      <c r="C738" s="4" t="str">
        <f t="shared" si="23"/>
        <v>2022-11</v>
      </c>
      <c r="D738" s="3">
        <v>150.72</v>
      </c>
      <c r="E738" s="3">
        <v>15.68</v>
      </c>
      <c r="F738" s="3">
        <v>111.45</v>
      </c>
      <c r="G738" s="3">
        <v>8.6999999999999993</v>
      </c>
    </row>
    <row r="739" spans="1:7" x14ac:dyDescent="0.2">
      <c r="A739" s="2">
        <v>44881</v>
      </c>
      <c r="B739" s="1">
        <f t="shared" si="22"/>
        <v>44866</v>
      </c>
      <c r="C739" s="4" t="str">
        <f t="shared" si="23"/>
        <v>2022-11</v>
      </c>
      <c r="D739" s="3">
        <v>148.79</v>
      </c>
      <c r="E739" s="3">
        <v>15.91</v>
      </c>
      <c r="F739" s="3">
        <v>113.23</v>
      </c>
      <c r="G739" s="3">
        <v>8.2200000000000006</v>
      </c>
    </row>
    <row r="740" spans="1:7" x14ac:dyDescent="0.2">
      <c r="A740" s="2">
        <v>44880</v>
      </c>
      <c r="B740" s="1">
        <f t="shared" si="22"/>
        <v>44866</v>
      </c>
      <c r="C740" s="4" t="str">
        <f t="shared" si="23"/>
        <v>2022-11</v>
      </c>
      <c r="D740" s="3">
        <v>150.04</v>
      </c>
      <c r="E740" s="3">
        <v>16.670000000000002</v>
      </c>
      <c r="F740" s="3">
        <v>117.08</v>
      </c>
      <c r="G740" s="3">
        <v>8.69</v>
      </c>
    </row>
    <row r="741" spans="1:7" x14ac:dyDescent="0.2">
      <c r="A741" s="2">
        <v>44879</v>
      </c>
      <c r="B741" s="1">
        <f t="shared" si="22"/>
        <v>44866</v>
      </c>
      <c r="C741" s="4" t="str">
        <f t="shared" si="23"/>
        <v>2022-11</v>
      </c>
      <c r="D741" s="3">
        <v>148.28</v>
      </c>
      <c r="E741" s="3">
        <v>16.3</v>
      </c>
      <c r="F741" s="3">
        <v>114.22</v>
      </c>
      <c r="G741" s="3">
        <v>8.19</v>
      </c>
    </row>
    <row r="742" spans="1:7" x14ac:dyDescent="0.2">
      <c r="A742" s="2">
        <v>44876</v>
      </c>
      <c r="B742" s="1">
        <f t="shared" si="22"/>
        <v>44866</v>
      </c>
      <c r="C742" s="4" t="str">
        <f t="shared" si="23"/>
        <v>2022-11</v>
      </c>
      <c r="D742" s="3">
        <v>149.69999999999999</v>
      </c>
      <c r="E742" s="3">
        <v>16.329999999999998</v>
      </c>
      <c r="F742" s="3">
        <v>113.02</v>
      </c>
      <c r="G742" s="3">
        <v>8.35</v>
      </c>
    </row>
    <row r="743" spans="1:7" x14ac:dyDescent="0.2">
      <c r="A743" s="2">
        <v>44875</v>
      </c>
      <c r="B743" s="1">
        <f t="shared" si="22"/>
        <v>44866</v>
      </c>
      <c r="C743" s="4" t="str">
        <f t="shared" si="23"/>
        <v>2022-11</v>
      </c>
      <c r="D743" s="3">
        <v>146.87</v>
      </c>
      <c r="E743" s="3">
        <v>15.75</v>
      </c>
      <c r="F743" s="3">
        <v>111.87</v>
      </c>
      <c r="G743" s="3">
        <v>8.07</v>
      </c>
    </row>
    <row r="744" spans="1:7" x14ac:dyDescent="0.2">
      <c r="A744" s="2">
        <v>44874</v>
      </c>
      <c r="B744" s="1">
        <f t="shared" si="22"/>
        <v>44866</v>
      </c>
      <c r="C744" s="4" t="str">
        <f t="shared" si="23"/>
        <v>2022-11</v>
      </c>
      <c r="D744" s="3">
        <v>134.87</v>
      </c>
      <c r="E744" s="3">
        <v>13.78</v>
      </c>
      <c r="F744" s="3">
        <v>101.47</v>
      </c>
      <c r="G744" s="3">
        <v>7.65</v>
      </c>
    </row>
    <row r="745" spans="1:7" x14ac:dyDescent="0.2">
      <c r="A745" s="2">
        <v>44873</v>
      </c>
      <c r="B745" s="1">
        <f t="shared" si="22"/>
        <v>44866</v>
      </c>
      <c r="C745" s="4" t="str">
        <f t="shared" si="23"/>
        <v>2022-11</v>
      </c>
      <c r="D745" s="3">
        <v>139.5</v>
      </c>
      <c r="E745" s="3">
        <v>14.6</v>
      </c>
      <c r="F745" s="3">
        <v>96.47</v>
      </c>
      <c r="G745" s="3">
        <v>7.83</v>
      </c>
    </row>
    <row r="746" spans="1:7" x14ac:dyDescent="0.2">
      <c r="A746" s="2">
        <v>44872</v>
      </c>
      <c r="B746" s="1">
        <f t="shared" si="22"/>
        <v>44866</v>
      </c>
      <c r="C746" s="4" t="str">
        <f t="shared" si="23"/>
        <v>2022-11</v>
      </c>
      <c r="D746" s="3">
        <v>138.91999999999999</v>
      </c>
      <c r="E746" s="3">
        <v>14.3</v>
      </c>
      <c r="F746" s="3">
        <v>96.72</v>
      </c>
      <c r="G746" s="3">
        <v>7.72</v>
      </c>
    </row>
    <row r="747" spans="1:7" x14ac:dyDescent="0.2">
      <c r="A747" s="2">
        <v>44869</v>
      </c>
      <c r="B747" s="1">
        <f t="shared" si="22"/>
        <v>44866</v>
      </c>
      <c r="C747" s="4" t="str">
        <f t="shared" si="23"/>
        <v>2022-11</v>
      </c>
      <c r="D747" s="3">
        <v>138.38</v>
      </c>
      <c r="E747" s="3">
        <v>14.16</v>
      </c>
      <c r="F747" s="3">
        <v>90.79</v>
      </c>
      <c r="G747" s="3">
        <v>7.66</v>
      </c>
    </row>
    <row r="748" spans="1:7" x14ac:dyDescent="0.2">
      <c r="A748" s="2">
        <v>44868</v>
      </c>
      <c r="B748" s="1">
        <f t="shared" si="22"/>
        <v>44866</v>
      </c>
      <c r="C748" s="4" t="str">
        <f t="shared" si="23"/>
        <v>2022-11</v>
      </c>
      <c r="D748" s="3">
        <v>138.88</v>
      </c>
      <c r="E748" s="3">
        <v>13.42</v>
      </c>
      <c r="F748" s="3">
        <v>88.91</v>
      </c>
      <c r="G748" s="3">
        <v>7.97</v>
      </c>
    </row>
    <row r="749" spans="1:7" x14ac:dyDescent="0.2">
      <c r="A749" s="2">
        <v>44867</v>
      </c>
      <c r="B749" s="1">
        <f t="shared" si="22"/>
        <v>44866</v>
      </c>
      <c r="C749" s="4" t="str">
        <f t="shared" si="23"/>
        <v>2022-11</v>
      </c>
      <c r="D749" s="3">
        <v>145.03</v>
      </c>
      <c r="E749" s="3">
        <v>13.22</v>
      </c>
      <c r="F749" s="3">
        <v>90.54</v>
      </c>
      <c r="G749" s="3">
        <v>8.08</v>
      </c>
    </row>
    <row r="750" spans="1:7" x14ac:dyDescent="0.2">
      <c r="A750" s="2">
        <v>44866</v>
      </c>
      <c r="B750" s="1">
        <f t="shared" si="22"/>
        <v>44866</v>
      </c>
      <c r="C750" s="4" t="str">
        <f t="shared" si="23"/>
        <v>2022-11</v>
      </c>
      <c r="D750" s="3">
        <v>150.65</v>
      </c>
      <c r="E750" s="3">
        <v>13.54</v>
      </c>
      <c r="F750" s="3">
        <v>95.2</v>
      </c>
      <c r="G750" s="3">
        <v>7.19</v>
      </c>
    </row>
    <row r="751" spans="1:7" x14ac:dyDescent="0.2">
      <c r="A751" s="2">
        <v>44865</v>
      </c>
      <c r="B751" s="1">
        <f t="shared" si="22"/>
        <v>44835</v>
      </c>
      <c r="C751" s="4" t="str">
        <f t="shared" si="23"/>
        <v>2022-10</v>
      </c>
      <c r="D751" s="3">
        <v>153.34</v>
      </c>
      <c r="E751" s="3">
        <v>13.5</v>
      </c>
      <c r="F751" s="3">
        <v>93.16</v>
      </c>
      <c r="G751" s="3">
        <v>6.96</v>
      </c>
    </row>
    <row r="752" spans="1:7" x14ac:dyDescent="0.2">
      <c r="A752" s="2">
        <v>44862</v>
      </c>
      <c r="B752" s="1">
        <f t="shared" si="22"/>
        <v>44835</v>
      </c>
      <c r="C752" s="4" t="str">
        <f t="shared" si="23"/>
        <v>2022-10</v>
      </c>
      <c r="D752" s="3">
        <v>155.74</v>
      </c>
      <c r="E752" s="3">
        <v>13.83</v>
      </c>
      <c r="F752" s="3">
        <v>99.2</v>
      </c>
      <c r="G752" s="3">
        <v>6.87</v>
      </c>
    </row>
    <row r="753" spans="1:7" x14ac:dyDescent="0.2">
      <c r="A753" s="2">
        <v>44861</v>
      </c>
      <c r="B753" s="1">
        <f t="shared" si="22"/>
        <v>44835</v>
      </c>
      <c r="C753" s="4" t="str">
        <f t="shared" si="23"/>
        <v>2022-10</v>
      </c>
      <c r="D753" s="3">
        <v>144.80000000000001</v>
      </c>
      <c r="E753" s="3">
        <v>13.18</v>
      </c>
      <c r="F753" s="3">
        <v>97.94</v>
      </c>
      <c r="G753" s="3">
        <v>6.68</v>
      </c>
    </row>
    <row r="754" spans="1:7" x14ac:dyDescent="0.2">
      <c r="A754" s="2">
        <v>44860</v>
      </c>
      <c r="B754" s="1">
        <f t="shared" si="22"/>
        <v>44835</v>
      </c>
      <c r="C754" s="4" t="str">
        <f t="shared" si="23"/>
        <v>2022-10</v>
      </c>
      <c r="D754" s="3">
        <v>149.35</v>
      </c>
      <c r="E754" s="3">
        <v>12.9</v>
      </c>
      <c r="F754" s="3">
        <v>129.82</v>
      </c>
      <c r="G754" s="3">
        <v>6.57</v>
      </c>
    </row>
    <row r="755" spans="1:7" x14ac:dyDescent="0.2">
      <c r="A755" s="2">
        <v>44859</v>
      </c>
      <c r="B755" s="1">
        <f t="shared" si="22"/>
        <v>44835</v>
      </c>
      <c r="C755" s="4" t="str">
        <f t="shared" si="23"/>
        <v>2022-10</v>
      </c>
      <c r="D755" s="3">
        <v>152.34</v>
      </c>
      <c r="E755" s="3">
        <v>13.26</v>
      </c>
      <c r="F755" s="3">
        <v>137.51</v>
      </c>
      <c r="G755" s="3">
        <v>6.7</v>
      </c>
    </row>
    <row r="756" spans="1:7" x14ac:dyDescent="0.2">
      <c r="A756" s="2">
        <v>44858</v>
      </c>
      <c r="B756" s="1">
        <f t="shared" si="22"/>
        <v>44835</v>
      </c>
      <c r="C756" s="4" t="str">
        <f t="shared" si="23"/>
        <v>2022-10</v>
      </c>
      <c r="D756" s="3">
        <v>149.44999999999999</v>
      </c>
      <c r="E756" s="3">
        <v>12.6</v>
      </c>
      <c r="F756" s="3">
        <v>129.72</v>
      </c>
      <c r="G756" s="3">
        <v>6.3</v>
      </c>
    </row>
    <row r="757" spans="1:7" x14ac:dyDescent="0.2">
      <c r="A757" s="2">
        <v>44855</v>
      </c>
      <c r="B757" s="1">
        <f t="shared" si="22"/>
        <v>44835</v>
      </c>
      <c r="C757" s="4" t="str">
        <f t="shared" si="23"/>
        <v>2022-10</v>
      </c>
      <c r="D757" s="3">
        <v>147.27000000000001</v>
      </c>
      <c r="E757" s="3">
        <v>12.47</v>
      </c>
      <c r="F757" s="3">
        <v>130.01</v>
      </c>
      <c r="G757" s="3">
        <v>6.45</v>
      </c>
    </row>
    <row r="758" spans="1:7" x14ac:dyDescent="0.2">
      <c r="A758" s="2">
        <v>44854</v>
      </c>
      <c r="B758" s="1">
        <f t="shared" si="22"/>
        <v>44835</v>
      </c>
      <c r="C758" s="4" t="str">
        <f t="shared" si="23"/>
        <v>2022-10</v>
      </c>
      <c r="D758" s="3">
        <v>143.38999999999999</v>
      </c>
      <c r="E758" s="3">
        <v>12.19</v>
      </c>
      <c r="F758" s="3">
        <v>131.53</v>
      </c>
      <c r="G758" s="3">
        <v>6.13</v>
      </c>
    </row>
    <row r="759" spans="1:7" x14ac:dyDescent="0.2">
      <c r="A759" s="2">
        <v>44853</v>
      </c>
      <c r="B759" s="1">
        <f t="shared" si="22"/>
        <v>44835</v>
      </c>
      <c r="C759" s="4" t="str">
        <f t="shared" si="23"/>
        <v>2022-10</v>
      </c>
      <c r="D759" s="3">
        <v>143.86000000000001</v>
      </c>
      <c r="E759" s="3">
        <v>12.05</v>
      </c>
      <c r="F759" s="3">
        <v>133.22999999999999</v>
      </c>
      <c r="G759" s="3">
        <v>5.56</v>
      </c>
    </row>
    <row r="760" spans="1:7" x14ac:dyDescent="0.2">
      <c r="A760" s="2">
        <v>44852</v>
      </c>
      <c r="B760" s="1">
        <f t="shared" si="22"/>
        <v>44835</v>
      </c>
      <c r="C760" s="4" t="str">
        <f t="shared" si="23"/>
        <v>2022-10</v>
      </c>
      <c r="D760" s="3">
        <v>143.75</v>
      </c>
      <c r="E760" s="3">
        <v>11.97</v>
      </c>
      <c r="F760" s="3">
        <v>132.80000000000001</v>
      </c>
      <c r="G760" s="3">
        <v>5.54</v>
      </c>
    </row>
    <row r="761" spans="1:7" x14ac:dyDescent="0.2">
      <c r="A761" s="2">
        <v>44851</v>
      </c>
      <c r="B761" s="1">
        <f t="shared" si="22"/>
        <v>44835</v>
      </c>
      <c r="C761" s="4" t="str">
        <f t="shared" si="23"/>
        <v>2022-10</v>
      </c>
      <c r="D761" s="3">
        <v>142.41</v>
      </c>
      <c r="E761" s="3">
        <v>11.89</v>
      </c>
      <c r="F761" s="3">
        <v>134.04</v>
      </c>
      <c r="G761" s="3">
        <v>5.61</v>
      </c>
    </row>
    <row r="762" spans="1:7" x14ac:dyDescent="0.2">
      <c r="A762" s="2">
        <v>44848</v>
      </c>
      <c r="B762" s="1">
        <f t="shared" si="22"/>
        <v>44835</v>
      </c>
      <c r="C762" s="4" t="str">
        <f t="shared" si="23"/>
        <v>2022-10</v>
      </c>
      <c r="D762" s="3">
        <v>138.38</v>
      </c>
      <c r="E762" s="3">
        <v>11.23</v>
      </c>
      <c r="F762" s="3">
        <v>126.76</v>
      </c>
      <c r="G762" s="3">
        <v>5.4</v>
      </c>
    </row>
    <row r="763" spans="1:7" x14ac:dyDescent="0.2">
      <c r="A763" s="2">
        <v>44847</v>
      </c>
      <c r="B763" s="1">
        <f t="shared" si="22"/>
        <v>44835</v>
      </c>
      <c r="C763" s="4" t="str">
        <f t="shared" si="23"/>
        <v>2022-10</v>
      </c>
      <c r="D763" s="3">
        <v>142.99</v>
      </c>
      <c r="E763" s="3">
        <v>11.96</v>
      </c>
      <c r="F763" s="3">
        <v>130.29</v>
      </c>
      <c r="G763" s="3">
        <v>5.52</v>
      </c>
    </row>
    <row r="764" spans="1:7" x14ac:dyDescent="0.2">
      <c r="A764" s="2">
        <v>44846</v>
      </c>
      <c r="B764" s="1">
        <f t="shared" si="22"/>
        <v>44835</v>
      </c>
      <c r="C764" s="4" t="str">
        <f t="shared" si="23"/>
        <v>2022-10</v>
      </c>
      <c r="D764" s="3">
        <v>138.34</v>
      </c>
      <c r="E764" s="3">
        <v>11.5</v>
      </c>
      <c r="F764" s="3">
        <v>127.5</v>
      </c>
      <c r="G764" s="3">
        <v>5.24</v>
      </c>
    </row>
    <row r="765" spans="1:7" x14ac:dyDescent="0.2">
      <c r="A765" s="2">
        <v>44845</v>
      </c>
      <c r="B765" s="1">
        <f t="shared" si="22"/>
        <v>44835</v>
      </c>
      <c r="C765" s="4" t="str">
        <f t="shared" si="23"/>
        <v>2022-10</v>
      </c>
      <c r="D765" s="3">
        <v>138.97999999999999</v>
      </c>
      <c r="E765" s="3">
        <v>11.59</v>
      </c>
      <c r="F765" s="3">
        <v>128.54</v>
      </c>
      <c r="G765" s="3">
        <v>5.57</v>
      </c>
    </row>
    <row r="766" spans="1:7" x14ac:dyDescent="0.2">
      <c r="A766" s="2">
        <v>44844</v>
      </c>
      <c r="B766" s="1">
        <f t="shared" si="22"/>
        <v>44835</v>
      </c>
      <c r="C766" s="4" t="str">
        <f t="shared" si="23"/>
        <v>2022-10</v>
      </c>
      <c r="D766" s="3">
        <v>140.41999999999999</v>
      </c>
      <c r="E766" s="3">
        <v>11.67</v>
      </c>
      <c r="F766" s="3">
        <v>133.79</v>
      </c>
      <c r="G766" s="3">
        <v>5.63</v>
      </c>
    </row>
    <row r="767" spans="1:7" x14ac:dyDescent="0.2">
      <c r="A767" s="2">
        <v>44841</v>
      </c>
      <c r="B767" s="1">
        <f t="shared" si="22"/>
        <v>44835</v>
      </c>
      <c r="C767" s="4" t="str">
        <f t="shared" si="23"/>
        <v>2022-10</v>
      </c>
      <c r="D767" s="3">
        <v>140.09</v>
      </c>
      <c r="E767" s="3">
        <v>12.08</v>
      </c>
      <c r="F767" s="3">
        <v>133.44999999999999</v>
      </c>
      <c r="G767" s="3">
        <v>5.89</v>
      </c>
    </row>
    <row r="768" spans="1:7" x14ac:dyDescent="0.2">
      <c r="A768" s="2">
        <v>44840</v>
      </c>
      <c r="B768" s="1">
        <f t="shared" si="22"/>
        <v>44835</v>
      </c>
      <c r="C768" s="4" t="str">
        <f t="shared" si="23"/>
        <v>2022-10</v>
      </c>
      <c r="D768" s="3">
        <v>145.43</v>
      </c>
      <c r="E768" s="3">
        <v>13.13</v>
      </c>
      <c r="F768" s="3">
        <v>139.07</v>
      </c>
      <c r="G768" s="3">
        <v>6.15</v>
      </c>
    </row>
    <row r="769" spans="1:7" x14ac:dyDescent="0.2">
      <c r="A769" s="2">
        <v>44839</v>
      </c>
      <c r="B769" s="1">
        <f t="shared" si="22"/>
        <v>44835</v>
      </c>
      <c r="C769" s="4" t="str">
        <f t="shared" si="23"/>
        <v>2022-10</v>
      </c>
      <c r="D769" s="3">
        <v>146.4</v>
      </c>
      <c r="E769" s="3">
        <v>13.21</v>
      </c>
      <c r="F769" s="3">
        <v>138.97999999999999</v>
      </c>
      <c r="G769" s="3">
        <v>6.05</v>
      </c>
    </row>
    <row r="770" spans="1:7" x14ac:dyDescent="0.2">
      <c r="A770" s="2">
        <v>44838</v>
      </c>
      <c r="B770" s="1">
        <f t="shared" si="22"/>
        <v>44835</v>
      </c>
      <c r="C770" s="4" t="str">
        <f t="shared" si="23"/>
        <v>2022-10</v>
      </c>
      <c r="D770" s="3">
        <v>146.1</v>
      </c>
      <c r="E770" s="3">
        <v>13.17</v>
      </c>
      <c r="F770" s="3">
        <v>140.28</v>
      </c>
      <c r="G770" s="3">
        <v>6.03</v>
      </c>
    </row>
    <row r="771" spans="1:7" x14ac:dyDescent="0.2">
      <c r="A771" s="2">
        <v>44837</v>
      </c>
      <c r="B771" s="1">
        <f t="shared" ref="B771:B834" si="24">EOMONTH(A771, -1)+1</f>
        <v>44835</v>
      </c>
      <c r="C771" s="4" t="str">
        <f t="shared" ref="C771:C834" si="25">TEXT(A771, "yyyy-mm")</f>
        <v>2022-10</v>
      </c>
      <c r="D771" s="3">
        <v>142.44999999999999</v>
      </c>
      <c r="E771" s="3">
        <v>12.51</v>
      </c>
      <c r="F771" s="3">
        <v>138.61000000000001</v>
      </c>
      <c r="G771" s="3">
        <v>5.71</v>
      </c>
    </row>
    <row r="772" spans="1:7" x14ac:dyDescent="0.2">
      <c r="A772" s="2">
        <v>44834</v>
      </c>
      <c r="B772" s="1">
        <f t="shared" si="24"/>
        <v>44805</v>
      </c>
      <c r="C772" s="4" t="str">
        <f t="shared" si="25"/>
        <v>2022-09</v>
      </c>
      <c r="D772" s="3">
        <v>138.19999999999999</v>
      </c>
      <c r="E772" s="3">
        <v>12.14</v>
      </c>
      <c r="F772" s="3">
        <v>135.68</v>
      </c>
      <c r="G772" s="3">
        <v>5.51</v>
      </c>
    </row>
    <row r="773" spans="1:7" x14ac:dyDescent="0.2">
      <c r="A773" s="2">
        <v>44833</v>
      </c>
      <c r="B773" s="1">
        <f t="shared" si="24"/>
        <v>44805</v>
      </c>
      <c r="C773" s="4" t="str">
        <f t="shared" si="25"/>
        <v>2022-09</v>
      </c>
      <c r="D773" s="3">
        <v>142.47999999999999</v>
      </c>
      <c r="E773" s="3">
        <v>12.22</v>
      </c>
      <c r="F773" s="3">
        <v>136.41</v>
      </c>
      <c r="G773" s="3">
        <v>5.45</v>
      </c>
    </row>
    <row r="774" spans="1:7" x14ac:dyDescent="0.2">
      <c r="A774" s="2">
        <v>44832</v>
      </c>
      <c r="B774" s="1">
        <f t="shared" si="24"/>
        <v>44805</v>
      </c>
      <c r="C774" s="4" t="str">
        <f t="shared" si="25"/>
        <v>2022-09</v>
      </c>
      <c r="D774" s="3">
        <v>149.84</v>
      </c>
      <c r="E774" s="3">
        <v>12.74</v>
      </c>
      <c r="F774" s="3">
        <v>141.61000000000001</v>
      </c>
      <c r="G774" s="3">
        <v>5.57</v>
      </c>
    </row>
    <row r="775" spans="1:7" x14ac:dyDescent="0.2">
      <c r="A775" s="2">
        <v>44831</v>
      </c>
      <c r="B775" s="1">
        <f t="shared" si="24"/>
        <v>44805</v>
      </c>
      <c r="C775" s="4" t="str">
        <f t="shared" si="25"/>
        <v>2022-09</v>
      </c>
      <c r="D775" s="3">
        <v>151.76</v>
      </c>
      <c r="E775" s="3">
        <v>12.41</v>
      </c>
      <c r="F775" s="3">
        <v>134.4</v>
      </c>
      <c r="G775" s="3">
        <v>5.35</v>
      </c>
    </row>
    <row r="776" spans="1:7" x14ac:dyDescent="0.2">
      <c r="A776" s="2">
        <v>44830</v>
      </c>
      <c r="B776" s="1">
        <f t="shared" si="24"/>
        <v>44805</v>
      </c>
      <c r="C776" s="4" t="str">
        <f t="shared" si="25"/>
        <v>2022-09</v>
      </c>
      <c r="D776" s="3">
        <v>150.77000000000001</v>
      </c>
      <c r="E776" s="3">
        <v>12.23</v>
      </c>
      <c r="F776" s="3">
        <v>136.37</v>
      </c>
      <c r="G776" s="3">
        <v>5.22</v>
      </c>
    </row>
    <row r="777" spans="1:7" x14ac:dyDescent="0.2">
      <c r="A777" s="2">
        <v>44827</v>
      </c>
      <c r="B777" s="1">
        <f t="shared" si="24"/>
        <v>44805</v>
      </c>
      <c r="C777" s="4" t="str">
        <f t="shared" si="25"/>
        <v>2022-09</v>
      </c>
      <c r="D777" s="3">
        <v>150.43</v>
      </c>
      <c r="E777" s="3">
        <v>12.52</v>
      </c>
      <c r="F777" s="3">
        <v>140.41</v>
      </c>
      <c r="G777" s="3">
        <v>5.34</v>
      </c>
    </row>
    <row r="778" spans="1:7" x14ac:dyDescent="0.2">
      <c r="A778" s="2">
        <v>44826</v>
      </c>
      <c r="B778" s="1">
        <f t="shared" si="24"/>
        <v>44805</v>
      </c>
      <c r="C778" s="4" t="str">
        <f t="shared" si="25"/>
        <v>2022-09</v>
      </c>
      <c r="D778" s="3">
        <v>152.74</v>
      </c>
      <c r="E778" s="3">
        <v>12.56</v>
      </c>
      <c r="F778" s="3">
        <v>142.82</v>
      </c>
      <c r="G778" s="3">
        <v>5.42</v>
      </c>
    </row>
    <row r="779" spans="1:7" x14ac:dyDescent="0.2">
      <c r="A779" s="2">
        <v>44825</v>
      </c>
      <c r="B779" s="1">
        <f t="shared" si="24"/>
        <v>44805</v>
      </c>
      <c r="C779" s="4" t="str">
        <f t="shared" si="25"/>
        <v>2022-09</v>
      </c>
      <c r="D779" s="3">
        <v>153.72</v>
      </c>
      <c r="E779" s="3">
        <v>13.26</v>
      </c>
      <c r="F779" s="3">
        <v>142.12</v>
      </c>
      <c r="G779" s="3">
        <v>5.5</v>
      </c>
    </row>
    <row r="780" spans="1:7" x14ac:dyDescent="0.2">
      <c r="A780" s="2">
        <v>44824</v>
      </c>
      <c r="B780" s="1">
        <f t="shared" si="24"/>
        <v>44805</v>
      </c>
      <c r="C780" s="4" t="str">
        <f t="shared" si="25"/>
        <v>2022-09</v>
      </c>
      <c r="D780" s="3">
        <v>156.9</v>
      </c>
      <c r="E780" s="3">
        <v>13.18</v>
      </c>
      <c r="F780" s="3">
        <v>146.09</v>
      </c>
      <c r="G780" s="3">
        <v>5.58</v>
      </c>
    </row>
    <row r="781" spans="1:7" x14ac:dyDescent="0.2">
      <c r="A781" s="2">
        <v>44823</v>
      </c>
      <c r="B781" s="1">
        <f t="shared" si="24"/>
        <v>44805</v>
      </c>
      <c r="C781" s="4" t="str">
        <f t="shared" si="25"/>
        <v>2022-09</v>
      </c>
      <c r="D781" s="3">
        <v>154.47999999999999</v>
      </c>
      <c r="E781" s="3">
        <v>13.38</v>
      </c>
      <c r="F781" s="3">
        <v>148.02000000000001</v>
      </c>
      <c r="G781" s="3">
        <v>5.8</v>
      </c>
    </row>
    <row r="782" spans="1:7" x14ac:dyDescent="0.2">
      <c r="A782" s="2">
        <v>44820</v>
      </c>
      <c r="B782" s="1">
        <f t="shared" si="24"/>
        <v>44805</v>
      </c>
      <c r="C782" s="4" t="str">
        <f t="shared" si="25"/>
        <v>2022-09</v>
      </c>
      <c r="D782" s="3">
        <v>150.69999999999999</v>
      </c>
      <c r="E782" s="3">
        <v>13.2</v>
      </c>
      <c r="F782" s="3">
        <v>146.29</v>
      </c>
      <c r="G782" s="3">
        <v>6.23</v>
      </c>
    </row>
    <row r="783" spans="1:7" x14ac:dyDescent="0.2">
      <c r="A783" s="2">
        <v>44819</v>
      </c>
      <c r="B783" s="1">
        <f t="shared" si="24"/>
        <v>44805</v>
      </c>
      <c r="C783" s="4" t="str">
        <f t="shared" si="25"/>
        <v>2022-09</v>
      </c>
      <c r="D783" s="3">
        <v>152.37</v>
      </c>
      <c r="E783" s="3">
        <v>12.93</v>
      </c>
      <c r="F783" s="3">
        <v>149.55000000000001</v>
      </c>
      <c r="G783" s="3">
        <v>6.54</v>
      </c>
    </row>
    <row r="784" spans="1:7" x14ac:dyDescent="0.2">
      <c r="A784" s="2">
        <v>44818</v>
      </c>
      <c r="B784" s="1">
        <f t="shared" si="24"/>
        <v>44805</v>
      </c>
      <c r="C784" s="4" t="str">
        <f t="shared" si="25"/>
        <v>2022-09</v>
      </c>
      <c r="D784" s="3">
        <v>155.31</v>
      </c>
      <c r="E784" s="3">
        <v>13.13</v>
      </c>
      <c r="F784" s="3">
        <v>151.47</v>
      </c>
      <c r="G784" s="3">
        <v>6.44</v>
      </c>
    </row>
    <row r="785" spans="1:7" x14ac:dyDescent="0.2">
      <c r="A785" s="2">
        <v>44817</v>
      </c>
      <c r="B785" s="1">
        <f t="shared" si="24"/>
        <v>44805</v>
      </c>
      <c r="C785" s="4" t="str">
        <f t="shared" si="25"/>
        <v>2022-09</v>
      </c>
      <c r="D785" s="3">
        <v>153.84</v>
      </c>
      <c r="E785" s="3">
        <v>13.13</v>
      </c>
      <c r="F785" s="3">
        <v>153.13</v>
      </c>
      <c r="G785" s="3">
        <v>6.34</v>
      </c>
    </row>
    <row r="786" spans="1:7" x14ac:dyDescent="0.2">
      <c r="A786" s="2">
        <v>44816</v>
      </c>
      <c r="B786" s="1">
        <f t="shared" si="24"/>
        <v>44805</v>
      </c>
      <c r="C786" s="4" t="str">
        <f t="shared" si="25"/>
        <v>2022-09</v>
      </c>
      <c r="D786" s="3">
        <v>163.43</v>
      </c>
      <c r="E786" s="3">
        <v>14.51</v>
      </c>
      <c r="F786" s="3">
        <v>168.96</v>
      </c>
      <c r="G786" s="3">
        <v>6.67</v>
      </c>
    </row>
    <row r="787" spans="1:7" x14ac:dyDescent="0.2">
      <c r="A787" s="2">
        <v>44813</v>
      </c>
      <c r="B787" s="1">
        <f t="shared" si="24"/>
        <v>44805</v>
      </c>
      <c r="C787" s="4" t="str">
        <f t="shared" si="25"/>
        <v>2022-09</v>
      </c>
      <c r="D787" s="3">
        <v>157.37</v>
      </c>
      <c r="E787" s="3">
        <v>14.39</v>
      </c>
      <c r="F787" s="3">
        <v>169.15</v>
      </c>
      <c r="G787" s="3">
        <v>6.69</v>
      </c>
    </row>
    <row r="788" spans="1:7" x14ac:dyDescent="0.2">
      <c r="A788" s="2">
        <v>44812</v>
      </c>
      <c r="B788" s="1">
        <f t="shared" si="24"/>
        <v>44805</v>
      </c>
      <c r="C788" s="4" t="str">
        <f t="shared" si="25"/>
        <v>2022-09</v>
      </c>
      <c r="D788" s="3">
        <v>154.46</v>
      </c>
      <c r="E788" s="3">
        <v>13.99</v>
      </c>
      <c r="F788" s="3">
        <v>162.06</v>
      </c>
      <c r="G788" s="3">
        <v>6.5</v>
      </c>
    </row>
    <row r="789" spans="1:7" x14ac:dyDescent="0.2">
      <c r="A789" s="2">
        <v>44811</v>
      </c>
      <c r="B789" s="1">
        <f t="shared" si="24"/>
        <v>44805</v>
      </c>
      <c r="C789" s="4" t="str">
        <f t="shared" si="25"/>
        <v>2022-09</v>
      </c>
      <c r="D789" s="3">
        <v>155.96</v>
      </c>
      <c r="E789" s="3">
        <v>13.71</v>
      </c>
      <c r="F789" s="3">
        <v>160.38999999999999</v>
      </c>
      <c r="G789" s="3">
        <v>6.33</v>
      </c>
    </row>
    <row r="790" spans="1:7" x14ac:dyDescent="0.2">
      <c r="A790" s="2">
        <v>44810</v>
      </c>
      <c r="B790" s="1">
        <f t="shared" si="24"/>
        <v>44805</v>
      </c>
      <c r="C790" s="4" t="str">
        <f t="shared" si="25"/>
        <v>2022-09</v>
      </c>
      <c r="D790" s="3">
        <v>154.53</v>
      </c>
      <c r="E790" s="3">
        <v>13.47</v>
      </c>
      <c r="F790" s="3">
        <v>158.54</v>
      </c>
      <c r="G790" s="3">
        <v>6.16</v>
      </c>
    </row>
    <row r="791" spans="1:7" x14ac:dyDescent="0.2">
      <c r="A791" s="2">
        <v>44806</v>
      </c>
      <c r="B791" s="1">
        <f t="shared" si="24"/>
        <v>44805</v>
      </c>
      <c r="C791" s="4" t="str">
        <f t="shared" si="25"/>
        <v>2022-09</v>
      </c>
      <c r="D791" s="3">
        <v>155.81</v>
      </c>
      <c r="E791" s="3">
        <v>13.65</v>
      </c>
      <c r="F791" s="3">
        <v>160.32</v>
      </c>
      <c r="G791" s="3">
        <v>6.45</v>
      </c>
    </row>
    <row r="792" spans="1:7" x14ac:dyDescent="0.2">
      <c r="A792" s="2">
        <v>44805</v>
      </c>
      <c r="B792" s="1">
        <f t="shared" si="24"/>
        <v>44805</v>
      </c>
      <c r="C792" s="4" t="str">
        <f t="shared" si="25"/>
        <v>2022-09</v>
      </c>
      <c r="D792" s="3">
        <v>157.96</v>
      </c>
      <c r="E792" s="3">
        <v>13.94</v>
      </c>
      <c r="F792" s="3">
        <v>165.36</v>
      </c>
      <c r="G792" s="3">
        <v>6.33</v>
      </c>
    </row>
    <row r="793" spans="1:7" x14ac:dyDescent="0.2">
      <c r="A793" s="2">
        <v>44804</v>
      </c>
      <c r="B793" s="1">
        <f t="shared" si="24"/>
        <v>44774</v>
      </c>
      <c r="C793" s="4" t="str">
        <f t="shared" si="25"/>
        <v>2022-08</v>
      </c>
      <c r="D793" s="3">
        <v>157.22</v>
      </c>
      <c r="E793" s="3">
        <v>15.09</v>
      </c>
      <c r="F793" s="3">
        <v>162.93</v>
      </c>
      <c r="G793" s="3">
        <v>6.51</v>
      </c>
    </row>
    <row r="794" spans="1:7" x14ac:dyDescent="0.2">
      <c r="A794" s="2">
        <v>44803</v>
      </c>
      <c r="B794" s="1">
        <f t="shared" si="24"/>
        <v>44774</v>
      </c>
      <c r="C794" s="4" t="str">
        <f t="shared" si="25"/>
        <v>2022-08</v>
      </c>
      <c r="D794" s="3">
        <v>158.91</v>
      </c>
      <c r="E794" s="3">
        <v>15.47</v>
      </c>
      <c r="F794" s="3">
        <v>157.16</v>
      </c>
      <c r="G794" s="3">
        <v>6.46</v>
      </c>
    </row>
    <row r="795" spans="1:7" x14ac:dyDescent="0.2">
      <c r="A795" s="2">
        <v>44802</v>
      </c>
      <c r="B795" s="1">
        <f t="shared" si="24"/>
        <v>44774</v>
      </c>
      <c r="C795" s="4" t="str">
        <f t="shared" si="25"/>
        <v>2022-08</v>
      </c>
      <c r="D795" s="3">
        <v>161.38</v>
      </c>
      <c r="E795" s="3">
        <v>15.8</v>
      </c>
      <c r="F795" s="3">
        <v>159.16999999999999</v>
      </c>
      <c r="G795" s="3">
        <v>6.93</v>
      </c>
    </row>
    <row r="796" spans="1:7" x14ac:dyDescent="0.2">
      <c r="A796" s="2">
        <v>44799</v>
      </c>
      <c r="B796" s="1">
        <f t="shared" si="24"/>
        <v>44774</v>
      </c>
      <c r="C796" s="4" t="str">
        <f t="shared" si="25"/>
        <v>2022-08</v>
      </c>
      <c r="D796" s="3">
        <v>163.62</v>
      </c>
      <c r="E796" s="3">
        <v>16.260000000000002</v>
      </c>
      <c r="F796" s="3">
        <v>161.78</v>
      </c>
      <c r="G796" s="3">
        <v>6.98</v>
      </c>
    </row>
    <row r="797" spans="1:7" x14ac:dyDescent="0.2">
      <c r="A797" s="2">
        <v>44798</v>
      </c>
      <c r="B797" s="1">
        <f t="shared" si="24"/>
        <v>44774</v>
      </c>
      <c r="C797" s="4" t="str">
        <f t="shared" si="25"/>
        <v>2022-08</v>
      </c>
      <c r="D797" s="3">
        <v>170.03</v>
      </c>
      <c r="E797" s="3">
        <v>17.91</v>
      </c>
      <c r="F797" s="3">
        <v>168.78</v>
      </c>
      <c r="G797" s="3">
        <v>7.44</v>
      </c>
    </row>
    <row r="798" spans="1:7" x14ac:dyDescent="0.2">
      <c r="A798" s="2">
        <v>44797</v>
      </c>
      <c r="B798" s="1">
        <f t="shared" si="24"/>
        <v>44774</v>
      </c>
      <c r="C798" s="4" t="str">
        <f t="shared" si="25"/>
        <v>2022-08</v>
      </c>
      <c r="D798" s="3">
        <v>167.53</v>
      </c>
      <c r="E798" s="3">
        <v>17.22</v>
      </c>
      <c r="F798" s="3">
        <v>163.26</v>
      </c>
      <c r="G798" s="3">
        <v>7.03</v>
      </c>
    </row>
    <row r="799" spans="1:7" x14ac:dyDescent="0.2">
      <c r="A799" s="2">
        <v>44796</v>
      </c>
      <c r="B799" s="1">
        <f t="shared" si="24"/>
        <v>44774</v>
      </c>
      <c r="C799" s="4" t="str">
        <f t="shared" si="25"/>
        <v>2022-08</v>
      </c>
      <c r="D799" s="3">
        <v>167.23</v>
      </c>
      <c r="E799" s="3">
        <v>17.18</v>
      </c>
      <c r="F799" s="3">
        <v>161.11000000000001</v>
      </c>
      <c r="G799" s="3">
        <v>6.77</v>
      </c>
    </row>
    <row r="800" spans="1:7" x14ac:dyDescent="0.2">
      <c r="A800" s="2">
        <v>44795</v>
      </c>
      <c r="B800" s="1">
        <f t="shared" si="24"/>
        <v>44774</v>
      </c>
      <c r="C800" s="4" t="str">
        <f t="shared" si="25"/>
        <v>2022-08</v>
      </c>
      <c r="D800" s="3">
        <v>167.57</v>
      </c>
      <c r="E800" s="3">
        <v>17.03</v>
      </c>
      <c r="F800" s="3">
        <v>163.05000000000001</v>
      </c>
      <c r="G800" s="3">
        <v>6.8</v>
      </c>
    </row>
    <row r="801" spans="1:7" x14ac:dyDescent="0.2">
      <c r="A801" s="2">
        <v>44792</v>
      </c>
      <c r="B801" s="1">
        <f t="shared" si="24"/>
        <v>44774</v>
      </c>
      <c r="C801" s="4" t="str">
        <f t="shared" si="25"/>
        <v>2022-08</v>
      </c>
      <c r="D801" s="3">
        <v>171.52</v>
      </c>
      <c r="E801" s="3">
        <v>17.850000000000001</v>
      </c>
      <c r="F801" s="3">
        <v>167.96</v>
      </c>
      <c r="G801" s="3">
        <v>6.98</v>
      </c>
    </row>
    <row r="802" spans="1:7" x14ac:dyDescent="0.2">
      <c r="A802" s="2">
        <v>44791</v>
      </c>
      <c r="B802" s="1">
        <f t="shared" si="24"/>
        <v>44774</v>
      </c>
      <c r="C802" s="4" t="str">
        <f t="shared" si="25"/>
        <v>2022-08</v>
      </c>
      <c r="D802" s="3">
        <v>174.15</v>
      </c>
      <c r="E802" s="3">
        <v>18.77</v>
      </c>
      <c r="F802" s="3">
        <v>174.66</v>
      </c>
      <c r="G802" s="3">
        <v>7.2</v>
      </c>
    </row>
    <row r="803" spans="1:7" x14ac:dyDescent="0.2">
      <c r="A803" s="2">
        <v>44790</v>
      </c>
      <c r="B803" s="1">
        <f t="shared" si="24"/>
        <v>44774</v>
      </c>
      <c r="C803" s="4" t="str">
        <f t="shared" si="25"/>
        <v>2022-08</v>
      </c>
      <c r="D803" s="3">
        <v>174.55</v>
      </c>
      <c r="E803" s="3">
        <v>18.34</v>
      </c>
      <c r="F803" s="3">
        <v>174.85</v>
      </c>
      <c r="G803" s="3">
        <v>6.76</v>
      </c>
    </row>
    <row r="804" spans="1:7" x14ac:dyDescent="0.2">
      <c r="A804" s="2">
        <v>44789</v>
      </c>
      <c r="B804" s="1">
        <f t="shared" si="24"/>
        <v>44774</v>
      </c>
      <c r="C804" s="4" t="str">
        <f t="shared" si="25"/>
        <v>2022-08</v>
      </c>
      <c r="D804" s="3">
        <v>173.03</v>
      </c>
      <c r="E804" s="3">
        <v>18.88</v>
      </c>
      <c r="F804" s="3">
        <v>179.47</v>
      </c>
      <c r="G804" s="3">
        <v>6.61</v>
      </c>
    </row>
    <row r="805" spans="1:7" x14ac:dyDescent="0.2">
      <c r="A805" s="2">
        <v>44788</v>
      </c>
      <c r="B805" s="1">
        <f t="shared" si="24"/>
        <v>44774</v>
      </c>
      <c r="C805" s="4" t="str">
        <f t="shared" si="25"/>
        <v>2022-08</v>
      </c>
      <c r="D805" s="3">
        <v>173.19</v>
      </c>
      <c r="E805" s="3">
        <v>19.03</v>
      </c>
      <c r="F805" s="3">
        <v>180.89</v>
      </c>
      <c r="G805" s="3">
        <v>6.7</v>
      </c>
    </row>
    <row r="806" spans="1:7" x14ac:dyDescent="0.2">
      <c r="A806" s="2">
        <v>44785</v>
      </c>
      <c r="B806" s="1">
        <f t="shared" si="24"/>
        <v>44774</v>
      </c>
      <c r="C806" s="4" t="str">
        <f t="shared" si="25"/>
        <v>2022-08</v>
      </c>
      <c r="D806" s="3">
        <v>172.1</v>
      </c>
      <c r="E806" s="3">
        <v>18.71</v>
      </c>
      <c r="F806" s="3">
        <v>180.5</v>
      </c>
      <c r="G806" s="3">
        <v>6.53</v>
      </c>
    </row>
    <row r="807" spans="1:7" x14ac:dyDescent="0.2">
      <c r="A807" s="2">
        <v>44784</v>
      </c>
      <c r="B807" s="1">
        <f t="shared" si="24"/>
        <v>44774</v>
      </c>
      <c r="C807" s="4" t="str">
        <f t="shared" si="25"/>
        <v>2022-08</v>
      </c>
      <c r="D807" s="3">
        <v>168.49</v>
      </c>
      <c r="E807" s="3">
        <v>17.940000000000001</v>
      </c>
      <c r="F807" s="3">
        <v>177.49</v>
      </c>
      <c r="G807" s="3">
        <v>6.42</v>
      </c>
    </row>
    <row r="808" spans="1:7" x14ac:dyDescent="0.2">
      <c r="A808" s="2">
        <v>44783</v>
      </c>
      <c r="B808" s="1">
        <f t="shared" si="24"/>
        <v>44774</v>
      </c>
      <c r="C808" s="4" t="str">
        <f t="shared" si="25"/>
        <v>2022-08</v>
      </c>
      <c r="D808" s="3">
        <v>169.24</v>
      </c>
      <c r="E808" s="3">
        <v>18.100000000000001</v>
      </c>
      <c r="F808" s="3">
        <v>178.34</v>
      </c>
      <c r="G808" s="3">
        <v>6.37</v>
      </c>
    </row>
    <row r="809" spans="1:7" x14ac:dyDescent="0.2">
      <c r="A809" s="2">
        <v>44782</v>
      </c>
      <c r="B809" s="1">
        <f t="shared" si="24"/>
        <v>44774</v>
      </c>
      <c r="C809" s="4" t="str">
        <f t="shared" si="25"/>
        <v>2022-08</v>
      </c>
      <c r="D809" s="3">
        <v>164.92</v>
      </c>
      <c r="E809" s="3">
        <v>17.09</v>
      </c>
      <c r="F809" s="3">
        <v>168.53</v>
      </c>
      <c r="G809" s="3">
        <v>5.82</v>
      </c>
    </row>
    <row r="810" spans="1:7" x14ac:dyDescent="0.2">
      <c r="A810" s="2">
        <v>44781</v>
      </c>
      <c r="B810" s="1">
        <f t="shared" si="24"/>
        <v>44774</v>
      </c>
      <c r="C810" s="4" t="str">
        <f t="shared" si="25"/>
        <v>2022-08</v>
      </c>
      <c r="D810" s="3">
        <v>164.87</v>
      </c>
      <c r="E810" s="3">
        <v>17.79</v>
      </c>
      <c r="F810" s="3">
        <v>170.25</v>
      </c>
      <c r="G810" s="3">
        <v>6.11</v>
      </c>
    </row>
    <row r="811" spans="1:7" x14ac:dyDescent="0.2">
      <c r="A811" s="2">
        <v>44778</v>
      </c>
      <c r="B811" s="1">
        <f t="shared" si="24"/>
        <v>44774</v>
      </c>
      <c r="C811" s="4" t="str">
        <f t="shared" si="25"/>
        <v>2022-08</v>
      </c>
      <c r="D811" s="3">
        <v>165.35</v>
      </c>
      <c r="E811" s="3">
        <v>18.989999999999998</v>
      </c>
      <c r="F811" s="3">
        <v>167.11</v>
      </c>
      <c r="G811" s="3">
        <v>5.91</v>
      </c>
    </row>
    <row r="812" spans="1:7" x14ac:dyDescent="0.2">
      <c r="A812" s="2">
        <v>44777</v>
      </c>
      <c r="B812" s="1">
        <f t="shared" si="24"/>
        <v>44774</v>
      </c>
      <c r="C812" s="4" t="str">
        <f t="shared" si="25"/>
        <v>2022-08</v>
      </c>
      <c r="D812" s="3">
        <v>165.81</v>
      </c>
      <c r="E812" s="3">
        <v>19.22</v>
      </c>
      <c r="F812" s="3">
        <v>170.57</v>
      </c>
      <c r="G812" s="3">
        <v>5.91</v>
      </c>
    </row>
    <row r="813" spans="1:7" x14ac:dyDescent="0.2">
      <c r="A813" s="2">
        <v>44776</v>
      </c>
      <c r="B813" s="1">
        <f t="shared" si="24"/>
        <v>44774</v>
      </c>
      <c r="C813" s="4" t="str">
        <f t="shared" si="25"/>
        <v>2022-08</v>
      </c>
      <c r="D813" s="3">
        <v>166.13</v>
      </c>
      <c r="E813" s="3">
        <v>18.89</v>
      </c>
      <c r="F813" s="3">
        <v>168.8</v>
      </c>
      <c r="G813" s="3">
        <v>5.73</v>
      </c>
    </row>
    <row r="814" spans="1:7" x14ac:dyDescent="0.2">
      <c r="A814" s="2">
        <v>44775</v>
      </c>
      <c r="B814" s="1">
        <f t="shared" si="24"/>
        <v>44774</v>
      </c>
      <c r="C814" s="4" t="str">
        <f t="shared" si="25"/>
        <v>2022-08</v>
      </c>
      <c r="D814" s="3">
        <v>160.01</v>
      </c>
      <c r="E814" s="3">
        <v>18.53</v>
      </c>
      <c r="F814" s="3">
        <v>160.19</v>
      </c>
      <c r="G814" s="3">
        <v>5.62</v>
      </c>
    </row>
    <row r="815" spans="1:7" x14ac:dyDescent="0.2">
      <c r="A815" s="2">
        <v>44774</v>
      </c>
      <c r="B815" s="1">
        <f t="shared" si="24"/>
        <v>44774</v>
      </c>
      <c r="C815" s="4" t="str">
        <f t="shared" si="25"/>
        <v>2022-08</v>
      </c>
      <c r="D815" s="3">
        <v>161.51</v>
      </c>
      <c r="E815" s="3">
        <v>18.440000000000001</v>
      </c>
      <c r="F815" s="3">
        <v>159.93</v>
      </c>
      <c r="G815" s="3">
        <v>5.52</v>
      </c>
    </row>
    <row r="816" spans="1:7" x14ac:dyDescent="0.2">
      <c r="A816" s="2">
        <v>44771</v>
      </c>
      <c r="B816" s="1">
        <f t="shared" si="24"/>
        <v>44743</v>
      </c>
      <c r="C816" s="4" t="str">
        <f t="shared" si="25"/>
        <v>2022-07</v>
      </c>
      <c r="D816" s="3">
        <v>162.51</v>
      </c>
      <c r="E816" s="3">
        <v>18.16</v>
      </c>
      <c r="F816" s="3">
        <v>159.1</v>
      </c>
      <c r="G816" s="3">
        <v>5.4</v>
      </c>
    </row>
    <row r="817" spans="1:7" x14ac:dyDescent="0.2">
      <c r="A817" s="2">
        <v>44770</v>
      </c>
      <c r="B817" s="1">
        <f t="shared" si="24"/>
        <v>44743</v>
      </c>
      <c r="C817" s="4" t="str">
        <f t="shared" si="25"/>
        <v>2022-07</v>
      </c>
      <c r="D817" s="3">
        <v>157.35</v>
      </c>
      <c r="E817" s="3">
        <v>17.98</v>
      </c>
      <c r="F817" s="3">
        <v>160.72</v>
      </c>
      <c r="G817" s="3">
        <v>5.31</v>
      </c>
    </row>
    <row r="818" spans="1:7" x14ac:dyDescent="0.2">
      <c r="A818" s="2">
        <v>44769</v>
      </c>
      <c r="B818" s="1">
        <f t="shared" si="24"/>
        <v>44743</v>
      </c>
      <c r="C818" s="4" t="str">
        <f t="shared" si="25"/>
        <v>2022-07</v>
      </c>
      <c r="D818" s="3">
        <v>156.79</v>
      </c>
      <c r="E818" s="3">
        <v>17.79</v>
      </c>
      <c r="F818" s="3">
        <v>169.58</v>
      </c>
      <c r="G818" s="3">
        <v>5.14</v>
      </c>
    </row>
    <row r="819" spans="1:7" x14ac:dyDescent="0.2">
      <c r="A819" s="2">
        <v>44768</v>
      </c>
      <c r="B819" s="1">
        <f t="shared" si="24"/>
        <v>44743</v>
      </c>
      <c r="C819" s="4" t="str">
        <f t="shared" si="25"/>
        <v>2022-07</v>
      </c>
      <c r="D819" s="3">
        <v>151.6</v>
      </c>
      <c r="E819" s="3">
        <v>16.53</v>
      </c>
      <c r="F819" s="3">
        <v>159.15</v>
      </c>
      <c r="G819" s="3">
        <v>5.17</v>
      </c>
    </row>
    <row r="820" spans="1:7" x14ac:dyDescent="0.2">
      <c r="A820" s="2">
        <v>44767</v>
      </c>
      <c r="B820" s="1">
        <f t="shared" si="24"/>
        <v>44743</v>
      </c>
      <c r="C820" s="4" t="str">
        <f t="shared" si="25"/>
        <v>2022-07</v>
      </c>
      <c r="D820" s="3">
        <v>152.94999999999999</v>
      </c>
      <c r="E820" s="3">
        <v>17.02</v>
      </c>
      <c r="F820" s="3">
        <v>166.65</v>
      </c>
      <c r="G820" s="3">
        <v>5.25</v>
      </c>
    </row>
    <row r="821" spans="1:7" x14ac:dyDescent="0.2">
      <c r="A821" s="2">
        <v>44764</v>
      </c>
      <c r="B821" s="1">
        <f t="shared" si="24"/>
        <v>44743</v>
      </c>
      <c r="C821" s="4" t="str">
        <f t="shared" si="25"/>
        <v>2022-07</v>
      </c>
      <c r="D821" s="3">
        <v>154.09</v>
      </c>
      <c r="E821" s="3">
        <v>17.32</v>
      </c>
      <c r="F821" s="3">
        <v>169.27</v>
      </c>
      <c r="G821" s="3">
        <v>5.07</v>
      </c>
    </row>
    <row r="822" spans="1:7" x14ac:dyDescent="0.2">
      <c r="A822" s="2">
        <v>44763</v>
      </c>
      <c r="B822" s="1">
        <f t="shared" si="24"/>
        <v>44743</v>
      </c>
      <c r="C822" s="4" t="str">
        <f t="shared" si="25"/>
        <v>2022-07</v>
      </c>
      <c r="D822" s="3">
        <v>155.35</v>
      </c>
      <c r="E822" s="3">
        <v>18.05</v>
      </c>
      <c r="F822" s="3">
        <v>183.17</v>
      </c>
      <c r="G822" s="3">
        <v>5.16</v>
      </c>
    </row>
    <row r="823" spans="1:7" x14ac:dyDescent="0.2">
      <c r="A823" s="2">
        <v>44762</v>
      </c>
      <c r="B823" s="1">
        <f t="shared" si="24"/>
        <v>44743</v>
      </c>
      <c r="C823" s="4" t="str">
        <f t="shared" si="25"/>
        <v>2022-07</v>
      </c>
      <c r="D823" s="3">
        <v>153.04</v>
      </c>
      <c r="E823" s="3">
        <v>17.809999999999999</v>
      </c>
      <c r="F823" s="3">
        <v>183.09</v>
      </c>
      <c r="G823" s="3">
        <v>4.5599999999999996</v>
      </c>
    </row>
    <row r="824" spans="1:7" x14ac:dyDescent="0.2">
      <c r="A824" s="2">
        <v>44761</v>
      </c>
      <c r="B824" s="1">
        <f t="shared" si="24"/>
        <v>44743</v>
      </c>
      <c r="C824" s="4" t="str">
        <f t="shared" si="25"/>
        <v>2022-07</v>
      </c>
      <c r="D824" s="3">
        <v>151</v>
      </c>
      <c r="E824" s="3">
        <v>16.989999999999998</v>
      </c>
      <c r="F824" s="3">
        <v>175.78</v>
      </c>
      <c r="G824" s="3">
        <v>4.38</v>
      </c>
    </row>
    <row r="825" spans="1:7" x14ac:dyDescent="0.2">
      <c r="A825" s="2">
        <v>44760</v>
      </c>
      <c r="B825" s="1">
        <f t="shared" si="24"/>
        <v>44743</v>
      </c>
      <c r="C825" s="4" t="str">
        <f t="shared" si="25"/>
        <v>2022-07</v>
      </c>
      <c r="D825" s="3">
        <v>147.07</v>
      </c>
      <c r="E825" s="3">
        <v>16.100000000000001</v>
      </c>
      <c r="F825" s="3">
        <v>167.23</v>
      </c>
      <c r="G825" s="3">
        <v>4.25</v>
      </c>
    </row>
    <row r="826" spans="1:7" x14ac:dyDescent="0.2">
      <c r="A826" s="2">
        <v>44757</v>
      </c>
      <c r="B826" s="1">
        <f t="shared" si="24"/>
        <v>44743</v>
      </c>
      <c r="C826" s="4" t="str">
        <f t="shared" si="25"/>
        <v>2022-07</v>
      </c>
      <c r="D826" s="3">
        <v>150.16999999999999</v>
      </c>
      <c r="E826" s="3">
        <v>15.76</v>
      </c>
      <c r="F826" s="3">
        <v>164.7</v>
      </c>
      <c r="G826" s="3">
        <v>4.22</v>
      </c>
    </row>
    <row r="827" spans="1:7" x14ac:dyDescent="0.2">
      <c r="A827" s="2">
        <v>44756</v>
      </c>
      <c r="B827" s="1">
        <f t="shared" si="24"/>
        <v>44743</v>
      </c>
      <c r="C827" s="4" t="str">
        <f t="shared" si="25"/>
        <v>2022-07</v>
      </c>
      <c r="D827" s="3">
        <v>148.47</v>
      </c>
      <c r="E827" s="3">
        <v>15.37</v>
      </c>
      <c r="F827" s="3">
        <v>158.05000000000001</v>
      </c>
      <c r="G827" s="3">
        <v>4.1100000000000003</v>
      </c>
    </row>
    <row r="828" spans="1:7" x14ac:dyDescent="0.2">
      <c r="A828" s="2">
        <v>44755</v>
      </c>
      <c r="B828" s="1">
        <f t="shared" si="24"/>
        <v>44743</v>
      </c>
      <c r="C828" s="4" t="str">
        <f t="shared" si="25"/>
        <v>2022-07</v>
      </c>
      <c r="D828" s="3">
        <v>145.49</v>
      </c>
      <c r="E828" s="3">
        <v>15.16</v>
      </c>
      <c r="F828" s="3">
        <v>163.49</v>
      </c>
      <c r="G828" s="3">
        <v>4.1100000000000003</v>
      </c>
    </row>
    <row r="829" spans="1:7" x14ac:dyDescent="0.2">
      <c r="A829" s="2">
        <v>44754</v>
      </c>
      <c r="B829" s="1">
        <f t="shared" si="24"/>
        <v>44743</v>
      </c>
      <c r="C829" s="4" t="str">
        <f t="shared" si="25"/>
        <v>2022-07</v>
      </c>
      <c r="D829" s="3">
        <v>145.86000000000001</v>
      </c>
      <c r="E829" s="3">
        <v>15.08</v>
      </c>
      <c r="F829" s="3">
        <v>163.27000000000001</v>
      </c>
      <c r="G829" s="3">
        <v>4.07</v>
      </c>
    </row>
    <row r="830" spans="1:7" x14ac:dyDescent="0.2">
      <c r="A830" s="2">
        <v>44753</v>
      </c>
      <c r="B830" s="1">
        <f t="shared" si="24"/>
        <v>44743</v>
      </c>
      <c r="C830" s="4" t="str">
        <f t="shared" si="25"/>
        <v>2022-07</v>
      </c>
      <c r="D830" s="3">
        <v>144.87</v>
      </c>
      <c r="E830" s="3">
        <v>15.15</v>
      </c>
      <c r="F830" s="3">
        <v>162.88</v>
      </c>
      <c r="G830" s="3">
        <v>4.04</v>
      </c>
    </row>
    <row r="831" spans="1:7" x14ac:dyDescent="0.2">
      <c r="A831" s="2">
        <v>44750</v>
      </c>
      <c r="B831" s="1">
        <f t="shared" si="24"/>
        <v>44743</v>
      </c>
      <c r="C831" s="4" t="str">
        <f t="shared" si="25"/>
        <v>2022-07</v>
      </c>
      <c r="D831" s="3">
        <v>147.04</v>
      </c>
      <c r="E831" s="3">
        <v>15.84</v>
      </c>
      <c r="F831" s="3">
        <v>170.88</v>
      </c>
      <c r="G831" s="3">
        <v>4.05</v>
      </c>
    </row>
    <row r="832" spans="1:7" x14ac:dyDescent="0.2">
      <c r="A832" s="2">
        <v>44749</v>
      </c>
      <c r="B832" s="1">
        <f t="shared" si="24"/>
        <v>44743</v>
      </c>
      <c r="C832" s="4" t="str">
        <f t="shared" si="25"/>
        <v>2022-07</v>
      </c>
      <c r="D832" s="3">
        <v>146.35</v>
      </c>
      <c r="E832" s="3">
        <v>15.86</v>
      </c>
      <c r="F832" s="3">
        <v>172.19</v>
      </c>
      <c r="G832" s="3">
        <v>4.04</v>
      </c>
    </row>
    <row r="833" spans="1:7" x14ac:dyDescent="0.2">
      <c r="A833" s="2">
        <v>44748</v>
      </c>
      <c r="B833" s="1">
        <f t="shared" si="24"/>
        <v>44743</v>
      </c>
      <c r="C833" s="4" t="str">
        <f t="shared" si="25"/>
        <v>2022-07</v>
      </c>
      <c r="D833" s="3">
        <v>142.91999999999999</v>
      </c>
      <c r="E833" s="3">
        <v>15.13</v>
      </c>
      <c r="F833" s="3">
        <v>169.77</v>
      </c>
      <c r="G833" s="3">
        <v>3.91</v>
      </c>
    </row>
    <row r="834" spans="1:7" x14ac:dyDescent="0.2">
      <c r="A834" s="2">
        <v>44747</v>
      </c>
      <c r="B834" s="1">
        <f t="shared" si="24"/>
        <v>44743</v>
      </c>
      <c r="C834" s="4" t="str">
        <f t="shared" si="25"/>
        <v>2022-07</v>
      </c>
      <c r="D834" s="3">
        <v>141.56</v>
      </c>
      <c r="E834" s="3">
        <v>14.96</v>
      </c>
      <c r="F834" s="3">
        <v>168.19</v>
      </c>
      <c r="G834" s="3">
        <v>3.9</v>
      </c>
    </row>
    <row r="835" spans="1:7" x14ac:dyDescent="0.2">
      <c r="A835" s="2">
        <v>44743</v>
      </c>
      <c r="B835" s="1">
        <f t="shared" ref="B835:B898" si="26">EOMONTH(A835, -1)+1</f>
        <v>44743</v>
      </c>
      <c r="C835" s="4" t="str">
        <f t="shared" ref="C835:C898" si="27">TEXT(A835, "yyyy-mm")</f>
        <v>2022-07</v>
      </c>
      <c r="D835" s="3">
        <v>138.93</v>
      </c>
      <c r="E835" s="3">
        <v>14.52</v>
      </c>
      <c r="F835" s="3">
        <v>160.03</v>
      </c>
      <c r="G835" s="3">
        <v>3.91</v>
      </c>
    </row>
    <row r="836" spans="1:7" x14ac:dyDescent="0.2">
      <c r="A836" s="2">
        <v>44742</v>
      </c>
      <c r="B836" s="1">
        <f t="shared" si="26"/>
        <v>44713</v>
      </c>
      <c r="C836" s="4" t="str">
        <f t="shared" si="27"/>
        <v>2022-06</v>
      </c>
      <c r="D836" s="3">
        <v>136.72</v>
      </c>
      <c r="E836" s="3">
        <v>15.16</v>
      </c>
      <c r="F836" s="3">
        <v>161.25</v>
      </c>
      <c r="G836" s="3">
        <v>4.04</v>
      </c>
    </row>
    <row r="837" spans="1:7" x14ac:dyDescent="0.2">
      <c r="A837" s="2">
        <v>44741</v>
      </c>
      <c r="B837" s="1">
        <f t="shared" si="26"/>
        <v>44713</v>
      </c>
      <c r="C837" s="4" t="str">
        <f t="shared" si="27"/>
        <v>2022-06</v>
      </c>
      <c r="D837" s="3">
        <v>139.22999999999999</v>
      </c>
      <c r="E837" s="3">
        <v>15.54</v>
      </c>
      <c r="F837" s="3">
        <v>163.94</v>
      </c>
      <c r="G837" s="3">
        <v>4.1100000000000003</v>
      </c>
    </row>
    <row r="838" spans="1:7" x14ac:dyDescent="0.2">
      <c r="A838" s="2">
        <v>44740</v>
      </c>
      <c r="B838" s="1">
        <f t="shared" si="26"/>
        <v>44713</v>
      </c>
      <c r="C838" s="4" t="str">
        <f t="shared" si="27"/>
        <v>2022-06</v>
      </c>
      <c r="D838" s="3">
        <v>137.44</v>
      </c>
      <c r="E838" s="3">
        <v>15.98</v>
      </c>
      <c r="F838" s="3">
        <v>160.68</v>
      </c>
      <c r="G838" s="3">
        <v>4.18</v>
      </c>
    </row>
    <row r="839" spans="1:7" x14ac:dyDescent="0.2">
      <c r="A839" s="2">
        <v>44739</v>
      </c>
      <c r="B839" s="1">
        <f t="shared" si="26"/>
        <v>44713</v>
      </c>
      <c r="C839" s="4" t="str">
        <f t="shared" si="27"/>
        <v>2022-06</v>
      </c>
      <c r="D839" s="3">
        <v>141.66</v>
      </c>
      <c r="E839" s="3">
        <v>16.87</v>
      </c>
      <c r="F839" s="3">
        <v>169.49</v>
      </c>
      <c r="G839" s="3">
        <v>4.33</v>
      </c>
    </row>
    <row r="840" spans="1:7" x14ac:dyDescent="0.2">
      <c r="A840" s="2">
        <v>44736</v>
      </c>
      <c r="B840" s="1">
        <f t="shared" si="26"/>
        <v>44713</v>
      </c>
      <c r="C840" s="4" t="str">
        <f t="shared" si="27"/>
        <v>2022-06</v>
      </c>
      <c r="D840" s="3">
        <v>141.66</v>
      </c>
      <c r="E840" s="3">
        <v>17.13</v>
      </c>
      <c r="F840" s="3">
        <v>170.16</v>
      </c>
      <c r="G840" s="3">
        <v>4.2699999999999996</v>
      </c>
    </row>
    <row r="841" spans="1:7" x14ac:dyDescent="0.2">
      <c r="A841" s="2">
        <v>44735</v>
      </c>
      <c r="B841" s="1">
        <f t="shared" si="26"/>
        <v>44713</v>
      </c>
      <c r="C841" s="4" t="str">
        <f t="shared" si="27"/>
        <v>2022-06</v>
      </c>
      <c r="D841" s="3">
        <v>138.27000000000001</v>
      </c>
      <c r="E841" s="3">
        <v>16.23</v>
      </c>
      <c r="F841" s="3">
        <v>158.75</v>
      </c>
      <c r="G841" s="3">
        <v>4.17</v>
      </c>
    </row>
    <row r="842" spans="1:7" x14ac:dyDescent="0.2">
      <c r="A842" s="2">
        <v>44734</v>
      </c>
      <c r="B842" s="1">
        <f t="shared" si="26"/>
        <v>44713</v>
      </c>
      <c r="C842" s="4" t="str">
        <f t="shared" si="27"/>
        <v>2022-06</v>
      </c>
      <c r="D842" s="3">
        <v>135.35</v>
      </c>
      <c r="E842" s="3">
        <v>16.36</v>
      </c>
      <c r="F842" s="3">
        <v>155.85</v>
      </c>
      <c r="G842" s="3">
        <v>4.34</v>
      </c>
    </row>
    <row r="843" spans="1:7" x14ac:dyDescent="0.2">
      <c r="A843" s="2">
        <v>44733</v>
      </c>
      <c r="B843" s="1">
        <f t="shared" si="26"/>
        <v>44713</v>
      </c>
      <c r="C843" s="4" t="str">
        <f t="shared" si="27"/>
        <v>2022-06</v>
      </c>
      <c r="D843" s="3">
        <v>135.87</v>
      </c>
      <c r="E843" s="3">
        <v>16.57</v>
      </c>
      <c r="F843" s="3">
        <v>157.05000000000001</v>
      </c>
      <c r="G843" s="3">
        <v>4.5</v>
      </c>
    </row>
    <row r="844" spans="1:7" x14ac:dyDescent="0.2">
      <c r="A844" s="2">
        <v>44729</v>
      </c>
      <c r="B844" s="1">
        <f t="shared" si="26"/>
        <v>44713</v>
      </c>
      <c r="C844" s="4" t="str">
        <f t="shared" si="27"/>
        <v>2022-06</v>
      </c>
      <c r="D844" s="3">
        <v>131.56</v>
      </c>
      <c r="E844" s="3">
        <v>15.88</v>
      </c>
      <c r="F844" s="3">
        <v>163.74</v>
      </c>
      <c r="G844" s="3">
        <v>4.3099999999999996</v>
      </c>
    </row>
    <row r="845" spans="1:7" x14ac:dyDescent="0.2">
      <c r="A845" s="2">
        <v>44728</v>
      </c>
      <c r="B845" s="1">
        <f t="shared" si="26"/>
        <v>44713</v>
      </c>
      <c r="C845" s="4" t="str">
        <f t="shared" si="27"/>
        <v>2022-06</v>
      </c>
      <c r="D845" s="3">
        <v>130.06</v>
      </c>
      <c r="E845" s="3">
        <v>15.6</v>
      </c>
      <c r="F845" s="3">
        <v>160.87</v>
      </c>
      <c r="G845" s="3">
        <v>4.29</v>
      </c>
    </row>
    <row r="846" spans="1:7" x14ac:dyDescent="0.2">
      <c r="A846" s="2">
        <v>44727</v>
      </c>
      <c r="B846" s="1">
        <f t="shared" si="26"/>
        <v>44713</v>
      </c>
      <c r="C846" s="4" t="str">
        <f t="shared" si="27"/>
        <v>2022-06</v>
      </c>
      <c r="D846" s="3">
        <v>135.43</v>
      </c>
      <c r="E846" s="3">
        <v>16.53</v>
      </c>
      <c r="F846" s="3">
        <v>169.35</v>
      </c>
      <c r="G846" s="3">
        <v>4.72</v>
      </c>
    </row>
    <row r="847" spans="1:7" x14ac:dyDescent="0.2">
      <c r="A847" s="2">
        <v>44726</v>
      </c>
      <c r="B847" s="1">
        <f t="shared" si="26"/>
        <v>44713</v>
      </c>
      <c r="C847" s="4" t="str">
        <f t="shared" si="27"/>
        <v>2022-06</v>
      </c>
      <c r="D847" s="3">
        <v>132.76</v>
      </c>
      <c r="E847" s="3">
        <v>15.84</v>
      </c>
      <c r="F847" s="3">
        <v>163.72999999999999</v>
      </c>
      <c r="G847" s="3">
        <v>4.6399999999999997</v>
      </c>
    </row>
    <row r="848" spans="1:7" x14ac:dyDescent="0.2">
      <c r="A848" s="2">
        <v>44725</v>
      </c>
      <c r="B848" s="1">
        <f t="shared" si="26"/>
        <v>44713</v>
      </c>
      <c r="C848" s="4" t="str">
        <f t="shared" si="27"/>
        <v>2022-06</v>
      </c>
      <c r="D848" s="3">
        <v>131.88</v>
      </c>
      <c r="E848" s="3">
        <v>15.65</v>
      </c>
      <c r="F848" s="3">
        <v>164.26</v>
      </c>
      <c r="G848" s="3">
        <v>4.6900000000000004</v>
      </c>
    </row>
    <row r="849" spans="1:7" x14ac:dyDescent="0.2">
      <c r="A849" s="2">
        <v>44722</v>
      </c>
      <c r="B849" s="1">
        <f t="shared" si="26"/>
        <v>44713</v>
      </c>
      <c r="C849" s="4" t="str">
        <f t="shared" si="27"/>
        <v>2022-06</v>
      </c>
      <c r="D849" s="3">
        <v>137.13</v>
      </c>
      <c r="E849" s="3">
        <v>16.97</v>
      </c>
      <c r="F849" s="3">
        <v>175.57</v>
      </c>
      <c r="G849" s="3">
        <v>4.88</v>
      </c>
    </row>
    <row r="850" spans="1:7" x14ac:dyDescent="0.2">
      <c r="A850" s="2">
        <v>44721</v>
      </c>
      <c r="B850" s="1">
        <f t="shared" si="26"/>
        <v>44713</v>
      </c>
      <c r="C850" s="4" t="str">
        <f t="shared" si="27"/>
        <v>2022-06</v>
      </c>
      <c r="D850" s="3">
        <v>142.63999999999999</v>
      </c>
      <c r="E850" s="3">
        <v>18.05</v>
      </c>
      <c r="F850" s="3">
        <v>184</v>
      </c>
      <c r="G850" s="3">
        <v>5.0199999999999996</v>
      </c>
    </row>
    <row r="851" spans="1:7" x14ac:dyDescent="0.2">
      <c r="A851" s="2">
        <v>44720</v>
      </c>
      <c r="B851" s="1">
        <f t="shared" si="26"/>
        <v>44713</v>
      </c>
      <c r="C851" s="4" t="str">
        <f t="shared" si="27"/>
        <v>2022-06</v>
      </c>
      <c r="D851" s="3">
        <v>147.96</v>
      </c>
      <c r="E851" s="3">
        <v>18.649999999999999</v>
      </c>
      <c r="F851" s="3">
        <v>196.64</v>
      </c>
      <c r="G851" s="3">
        <v>5.43</v>
      </c>
    </row>
    <row r="852" spans="1:7" x14ac:dyDescent="0.2">
      <c r="A852" s="2">
        <v>44719</v>
      </c>
      <c r="B852" s="1">
        <f t="shared" si="26"/>
        <v>44713</v>
      </c>
      <c r="C852" s="4" t="str">
        <f t="shared" si="27"/>
        <v>2022-06</v>
      </c>
      <c r="D852" s="3">
        <v>148.71</v>
      </c>
      <c r="E852" s="3">
        <v>18.93</v>
      </c>
      <c r="F852" s="3">
        <v>195.65</v>
      </c>
      <c r="G852" s="3">
        <v>5.62</v>
      </c>
    </row>
    <row r="853" spans="1:7" x14ac:dyDescent="0.2">
      <c r="A853" s="2">
        <v>44718</v>
      </c>
      <c r="B853" s="1">
        <f t="shared" si="26"/>
        <v>44713</v>
      </c>
      <c r="C853" s="4" t="str">
        <f t="shared" si="27"/>
        <v>2022-06</v>
      </c>
      <c r="D853" s="3">
        <v>146.13999999999999</v>
      </c>
      <c r="E853" s="3">
        <v>18.79</v>
      </c>
      <c r="F853" s="3">
        <v>194.25</v>
      </c>
      <c r="G853" s="3">
        <v>5.5</v>
      </c>
    </row>
    <row r="854" spans="1:7" x14ac:dyDescent="0.2">
      <c r="A854" s="2">
        <v>44715</v>
      </c>
      <c r="B854" s="1">
        <f t="shared" si="26"/>
        <v>44713</v>
      </c>
      <c r="C854" s="4" t="str">
        <f t="shared" si="27"/>
        <v>2022-06</v>
      </c>
      <c r="D854" s="3">
        <v>145.38</v>
      </c>
      <c r="E854" s="3">
        <v>18.72</v>
      </c>
      <c r="F854" s="3">
        <v>190.78</v>
      </c>
      <c r="G854" s="3">
        <v>5.48</v>
      </c>
    </row>
    <row r="855" spans="1:7" x14ac:dyDescent="0.2">
      <c r="A855" s="2">
        <v>44714</v>
      </c>
      <c r="B855" s="1">
        <f t="shared" si="26"/>
        <v>44713</v>
      </c>
      <c r="C855" s="4" t="str">
        <f t="shared" si="27"/>
        <v>2022-06</v>
      </c>
      <c r="D855" s="3">
        <v>151.21</v>
      </c>
      <c r="E855" s="3">
        <v>19.59</v>
      </c>
      <c r="F855" s="3">
        <v>198.86</v>
      </c>
      <c r="G855" s="3">
        <v>5.55</v>
      </c>
    </row>
    <row r="856" spans="1:7" x14ac:dyDescent="0.2">
      <c r="A856" s="2">
        <v>44713</v>
      </c>
      <c r="B856" s="1">
        <f t="shared" si="26"/>
        <v>44713</v>
      </c>
      <c r="C856" s="4" t="str">
        <f t="shared" si="27"/>
        <v>2022-06</v>
      </c>
      <c r="D856" s="3">
        <v>148.71</v>
      </c>
      <c r="E856" s="3">
        <v>18.32</v>
      </c>
      <c r="F856" s="3">
        <v>188.64</v>
      </c>
      <c r="G856" s="3">
        <v>5.17</v>
      </c>
    </row>
    <row r="857" spans="1:7" x14ac:dyDescent="0.2">
      <c r="A857" s="2">
        <v>44712</v>
      </c>
      <c r="B857" s="1">
        <f t="shared" si="26"/>
        <v>44682</v>
      </c>
      <c r="C857" s="4" t="str">
        <f t="shared" si="27"/>
        <v>2022-05</v>
      </c>
      <c r="D857" s="3">
        <v>148.84</v>
      </c>
      <c r="E857" s="3">
        <v>18.670000000000002</v>
      </c>
      <c r="F857" s="3">
        <v>193.64</v>
      </c>
      <c r="G857" s="3">
        <v>5.01</v>
      </c>
    </row>
    <row r="858" spans="1:7" x14ac:dyDescent="0.2">
      <c r="A858" s="2">
        <v>44708</v>
      </c>
      <c r="B858" s="1">
        <f t="shared" si="26"/>
        <v>44682</v>
      </c>
      <c r="C858" s="4" t="str">
        <f t="shared" si="27"/>
        <v>2022-05</v>
      </c>
      <c r="D858" s="3">
        <v>149.63999999999999</v>
      </c>
      <c r="E858" s="3">
        <v>18.809999999999999</v>
      </c>
      <c r="F858" s="3">
        <v>195.13</v>
      </c>
      <c r="G858" s="3">
        <v>4.95</v>
      </c>
    </row>
    <row r="859" spans="1:7" x14ac:dyDescent="0.2">
      <c r="A859" s="2">
        <v>44707</v>
      </c>
      <c r="B859" s="1">
        <f t="shared" si="26"/>
        <v>44682</v>
      </c>
      <c r="C859" s="4" t="str">
        <f t="shared" si="27"/>
        <v>2022-05</v>
      </c>
      <c r="D859" s="3">
        <v>143.78</v>
      </c>
      <c r="E859" s="3">
        <v>17.850000000000001</v>
      </c>
      <c r="F859" s="3">
        <v>191.63</v>
      </c>
      <c r="G859" s="3">
        <v>4.93</v>
      </c>
    </row>
    <row r="860" spans="1:7" x14ac:dyDescent="0.2">
      <c r="A860" s="2">
        <v>44706</v>
      </c>
      <c r="B860" s="1">
        <f t="shared" si="26"/>
        <v>44682</v>
      </c>
      <c r="C860" s="4" t="str">
        <f t="shared" si="27"/>
        <v>2022-05</v>
      </c>
      <c r="D860" s="3">
        <v>140.52000000000001</v>
      </c>
      <c r="E860" s="3">
        <v>16.98</v>
      </c>
      <c r="F860" s="3">
        <v>183.83</v>
      </c>
      <c r="G860" s="3">
        <v>4.88</v>
      </c>
    </row>
    <row r="861" spans="1:7" x14ac:dyDescent="0.2">
      <c r="A861" s="2">
        <v>44705</v>
      </c>
      <c r="B861" s="1">
        <f t="shared" si="26"/>
        <v>44682</v>
      </c>
      <c r="C861" s="4" t="str">
        <f t="shared" si="27"/>
        <v>2022-05</v>
      </c>
      <c r="D861" s="3">
        <v>140.36000000000001</v>
      </c>
      <c r="E861" s="3">
        <v>16.149999999999999</v>
      </c>
      <c r="F861" s="3">
        <v>181.28</v>
      </c>
      <c r="G861" s="3">
        <v>4.75</v>
      </c>
    </row>
    <row r="862" spans="1:7" x14ac:dyDescent="0.2">
      <c r="A862" s="2">
        <v>44704</v>
      </c>
      <c r="B862" s="1">
        <f t="shared" si="26"/>
        <v>44682</v>
      </c>
      <c r="C862" s="4" t="str">
        <f t="shared" si="27"/>
        <v>2022-05</v>
      </c>
      <c r="D862" s="3">
        <v>143.11000000000001</v>
      </c>
      <c r="E862" s="3">
        <v>16.899999999999999</v>
      </c>
      <c r="F862" s="3">
        <v>196.23</v>
      </c>
      <c r="G862" s="3">
        <v>4.93</v>
      </c>
    </row>
    <row r="863" spans="1:7" x14ac:dyDescent="0.2">
      <c r="A863" s="2">
        <v>44701</v>
      </c>
      <c r="B863" s="1">
        <f t="shared" si="26"/>
        <v>44682</v>
      </c>
      <c r="C863" s="4" t="str">
        <f t="shared" si="27"/>
        <v>2022-05</v>
      </c>
      <c r="D863" s="3">
        <v>137.59</v>
      </c>
      <c r="E863" s="3">
        <v>16.690000000000001</v>
      </c>
      <c r="F863" s="3">
        <v>193.54</v>
      </c>
      <c r="G863" s="3">
        <v>4.9800000000000004</v>
      </c>
    </row>
    <row r="864" spans="1:7" x14ac:dyDescent="0.2">
      <c r="A864" s="2">
        <v>44700</v>
      </c>
      <c r="B864" s="1">
        <f t="shared" si="26"/>
        <v>44682</v>
      </c>
      <c r="C864" s="4" t="str">
        <f t="shared" si="27"/>
        <v>2022-05</v>
      </c>
      <c r="D864" s="3">
        <v>137.35</v>
      </c>
      <c r="E864" s="3">
        <v>17.12</v>
      </c>
      <c r="F864" s="3">
        <v>191.29</v>
      </c>
      <c r="G864" s="3">
        <v>5.04</v>
      </c>
    </row>
    <row r="865" spans="1:7" x14ac:dyDescent="0.2">
      <c r="A865" s="2">
        <v>44699</v>
      </c>
      <c r="B865" s="1">
        <f t="shared" si="26"/>
        <v>44682</v>
      </c>
      <c r="C865" s="4" t="str">
        <f t="shared" si="27"/>
        <v>2022-05</v>
      </c>
      <c r="D865" s="3">
        <v>140.82</v>
      </c>
      <c r="E865" s="3">
        <v>16.940000000000001</v>
      </c>
      <c r="F865" s="3">
        <v>192.24</v>
      </c>
      <c r="G865" s="3">
        <v>5.24</v>
      </c>
    </row>
    <row r="866" spans="1:7" x14ac:dyDescent="0.2">
      <c r="A866" s="2">
        <v>44698</v>
      </c>
      <c r="B866" s="1">
        <f t="shared" si="26"/>
        <v>44682</v>
      </c>
      <c r="C866" s="4" t="str">
        <f t="shared" si="27"/>
        <v>2022-05</v>
      </c>
      <c r="D866" s="3">
        <v>149.24</v>
      </c>
      <c r="E866" s="3">
        <v>18.18</v>
      </c>
      <c r="F866" s="3">
        <v>202.62</v>
      </c>
      <c r="G866" s="3">
        <v>5.41</v>
      </c>
    </row>
    <row r="867" spans="1:7" x14ac:dyDescent="0.2">
      <c r="A867" s="2">
        <v>44697</v>
      </c>
      <c r="B867" s="1">
        <f t="shared" si="26"/>
        <v>44682</v>
      </c>
      <c r="C867" s="4" t="str">
        <f t="shared" si="27"/>
        <v>2022-05</v>
      </c>
      <c r="D867" s="3">
        <v>145.54</v>
      </c>
      <c r="E867" s="3">
        <v>17.260000000000002</v>
      </c>
      <c r="F867" s="3">
        <v>200.04</v>
      </c>
      <c r="G867" s="3">
        <v>5.26</v>
      </c>
    </row>
    <row r="868" spans="1:7" x14ac:dyDescent="0.2">
      <c r="A868" s="2">
        <v>44694</v>
      </c>
      <c r="B868" s="1">
        <f t="shared" si="26"/>
        <v>44682</v>
      </c>
      <c r="C868" s="4" t="str">
        <f t="shared" si="27"/>
        <v>2022-05</v>
      </c>
      <c r="D868" s="3">
        <v>147.11000000000001</v>
      </c>
      <c r="E868" s="3">
        <v>17.71</v>
      </c>
      <c r="F868" s="3">
        <v>198.62</v>
      </c>
      <c r="G868" s="3">
        <v>5.24</v>
      </c>
    </row>
    <row r="869" spans="1:7" x14ac:dyDescent="0.2">
      <c r="A869" s="2">
        <v>44693</v>
      </c>
      <c r="B869" s="1">
        <f t="shared" si="26"/>
        <v>44682</v>
      </c>
      <c r="C869" s="4" t="str">
        <f t="shared" si="27"/>
        <v>2022-05</v>
      </c>
      <c r="D869" s="3">
        <v>142.56</v>
      </c>
      <c r="E869" s="3">
        <v>16.18</v>
      </c>
      <c r="F869" s="3">
        <v>191.24</v>
      </c>
      <c r="G869" s="3">
        <v>5.1100000000000003</v>
      </c>
    </row>
    <row r="870" spans="1:7" x14ac:dyDescent="0.2">
      <c r="A870" s="2">
        <v>44692</v>
      </c>
      <c r="B870" s="1">
        <f t="shared" si="26"/>
        <v>44682</v>
      </c>
      <c r="C870" s="4" t="str">
        <f t="shared" si="27"/>
        <v>2022-05</v>
      </c>
      <c r="D870" s="3">
        <v>146.5</v>
      </c>
      <c r="E870" s="3">
        <v>16.63</v>
      </c>
      <c r="F870" s="3">
        <v>188.74</v>
      </c>
      <c r="G870" s="3">
        <v>4.9400000000000004</v>
      </c>
    </row>
    <row r="871" spans="1:7" x14ac:dyDescent="0.2">
      <c r="A871" s="2">
        <v>44691</v>
      </c>
      <c r="B871" s="1">
        <f t="shared" si="26"/>
        <v>44682</v>
      </c>
      <c r="C871" s="4" t="str">
        <f t="shared" si="27"/>
        <v>2022-05</v>
      </c>
      <c r="D871" s="3">
        <v>154.51</v>
      </c>
      <c r="E871" s="3">
        <v>17.600000000000001</v>
      </c>
      <c r="F871" s="3">
        <v>197.65</v>
      </c>
      <c r="G871" s="3">
        <v>5.1100000000000003</v>
      </c>
    </row>
    <row r="872" spans="1:7" x14ac:dyDescent="0.2">
      <c r="A872" s="2">
        <v>44690</v>
      </c>
      <c r="B872" s="1">
        <f t="shared" si="26"/>
        <v>44682</v>
      </c>
      <c r="C872" s="4" t="str">
        <f t="shared" si="27"/>
        <v>2022-05</v>
      </c>
      <c r="D872" s="3">
        <v>152.06</v>
      </c>
      <c r="E872" s="3">
        <v>16.95</v>
      </c>
      <c r="F872" s="3">
        <v>196.21</v>
      </c>
      <c r="G872" s="3">
        <v>4.92</v>
      </c>
    </row>
    <row r="873" spans="1:7" x14ac:dyDescent="0.2">
      <c r="A873" s="2">
        <v>44687</v>
      </c>
      <c r="B873" s="1">
        <f t="shared" si="26"/>
        <v>44682</v>
      </c>
      <c r="C873" s="4" t="str">
        <f t="shared" si="27"/>
        <v>2022-05</v>
      </c>
      <c r="D873" s="3">
        <v>157.28</v>
      </c>
      <c r="E873" s="3">
        <v>18.68</v>
      </c>
      <c r="F873" s="3">
        <v>203.77</v>
      </c>
      <c r="G873" s="3">
        <v>5.12</v>
      </c>
    </row>
    <row r="874" spans="1:7" x14ac:dyDescent="0.2">
      <c r="A874" s="2">
        <v>44686</v>
      </c>
      <c r="B874" s="1">
        <f t="shared" si="26"/>
        <v>44682</v>
      </c>
      <c r="C874" s="4" t="str">
        <f t="shared" si="27"/>
        <v>2022-05</v>
      </c>
      <c r="D874" s="3">
        <v>156.77000000000001</v>
      </c>
      <c r="E874" s="3">
        <v>18.84</v>
      </c>
      <c r="F874" s="3">
        <v>208.28</v>
      </c>
      <c r="G874" s="3">
        <v>5.3</v>
      </c>
    </row>
    <row r="875" spans="1:7" x14ac:dyDescent="0.2">
      <c r="A875" s="2">
        <v>44685</v>
      </c>
      <c r="B875" s="1">
        <f t="shared" si="26"/>
        <v>44682</v>
      </c>
      <c r="C875" s="4" t="str">
        <f t="shared" si="27"/>
        <v>2022-05</v>
      </c>
      <c r="D875" s="3">
        <v>166.02</v>
      </c>
      <c r="E875" s="3">
        <v>20.329999999999998</v>
      </c>
      <c r="F875" s="3">
        <v>223.41</v>
      </c>
      <c r="G875" s="3">
        <v>5.67</v>
      </c>
    </row>
    <row r="876" spans="1:7" x14ac:dyDescent="0.2">
      <c r="A876" s="2">
        <v>44684</v>
      </c>
      <c r="B876" s="1">
        <f t="shared" si="26"/>
        <v>44682</v>
      </c>
      <c r="C876" s="4" t="str">
        <f t="shared" si="27"/>
        <v>2022-05</v>
      </c>
      <c r="D876" s="3">
        <v>159.47999999999999</v>
      </c>
      <c r="E876" s="3">
        <v>19.600000000000001</v>
      </c>
      <c r="F876" s="3">
        <v>212.03</v>
      </c>
      <c r="G876" s="3">
        <v>4.32</v>
      </c>
    </row>
    <row r="877" spans="1:7" x14ac:dyDescent="0.2">
      <c r="A877" s="2">
        <v>44683</v>
      </c>
      <c r="B877" s="1">
        <f t="shared" si="26"/>
        <v>44682</v>
      </c>
      <c r="C877" s="4" t="str">
        <f t="shared" si="27"/>
        <v>2022-05</v>
      </c>
      <c r="D877" s="3">
        <v>157.96</v>
      </c>
      <c r="E877" s="3">
        <v>19.53</v>
      </c>
      <c r="F877" s="3">
        <v>211.13</v>
      </c>
      <c r="G877" s="3">
        <v>4.24</v>
      </c>
    </row>
    <row r="878" spans="1:7" x14ac:dyDescent="0.2">
      <c r="A878" s="2">
        <v>44680</v>
      </c>
      <c r="B878" s="1">
        <f t="shared" si="26"/>
        <v>44652</v>
      </c>
      <c r="C878" s="4" t="str">
        <f t="shared" si="27"/>
        <v>2022-04</v>
      </c>
      <c r="D878" s="3">
        <v>157.65</v>
      </c>
      <c r="E878" s="3">
        <v>18.55</v>
      </c>
      <c r="F878" s="3">
        <v>200.47</v>
      </c>
      <c r="G878" s="3">
        <v>4.21</v>
      </c>
    </row>
    <row r="879" spans="1:7" x14ac:dyDescent="0.2">
      <c r="A879" s="2">
        <v>44679</v>
      </c>
      <c r="B879" s="1">
        <f t="shared" si="26"/>
        <v>44652</v>
      </c>
      <c r="C879" s="4" t="str">
        <f t="shared" si="27"/>
        <v>2022-04</v>
      </c>
      <c r="D879" s="3">
        <v>163.63999999999999</v>
      </c>
      <c r="E879" s="3">
        <v>19.78</v>
      </c>
      <c r="F879" s="3">
        <v>205.73</v>
      </c>
      <c r="G879" s="3">
        <v>4.3</v>
      </c>
    </row>
    <row r="880" spans="1:7" x14ac:dyDescent="0.2">
      <c r="A880" s="2">
        <v>44678</v>
      </c>
      <c r="B880" s="1">
        <f t="shared" si="26"/>
        <v>44652</v>
      </c>
      <c r="C880" s="4" t="str">
        <f t="shared" si="27"/>
        <v>2022-04</v>
      </c>
      <c r="D880" s="3">
        <v>156.57</v>
      </c>
      <c r="E880" s="3">
        <v>18.420000000000002</v>
      </c>
      <c r="F880" s="3">
        <v>174.95</v>
      </c>
      <c r="G880" s="3">
        <v>4.16</v>
      </c>
    </row>
    <row r="881" spans="1:7" x14ac:dyDescent="0.2">
      <c r="A881" s="2">
        <v>44677</v>
      </c>
      <c r="B881" s="1">
        <f t="shared" si="26"/>
        <v>44652</v>
      </c>
      <c r="C881" s="4" t="str">
        <f t="shared" si="27"/>
        <v>2022-04</v>
      </c>
      <c r="D881" s="3">
        <v>156.80000000000001</v>
      </c>
      <c r="E881" s="3">
        <v>18.79</v>
      </c>
      <c r="F881" s="3">
        <v>180.95</v>
      </c>
      <c r="G881" s="3">
        <v>4.13</v>
      </c>
    </row>
    <row r="882" spans="1:7" x14ac:dyDescent="0.2">
      <c r="A882" s="2">
        <v>44676</v>
      </c>
      <c r="B882" s="1">
        <f t="shared" si="26"/>
        <v>44652</v>
      </c>
      <c r="C882" s="4" t="str">
        <f t="shared" si="27"/>
        <v>2022-04</v>
      </c>
      <c r="D882" s="3">
        <v>162.88</v>
      </c>
      <c r="E882" s="3">
        <v>19.899999999999999</v>
      </c>
      <c r="F882" s="3">
        <v>186.99</v>
      </c>
      <c r="G882" s="3">
        <v>4.28</v>
      </c>
    </row>
    <row r="883" spans="1:7" x14ac:dyDescent="0.2">
      <c r="A883" s="2">
        <v>44673</v>
      </c>
      <c r="B883" s="1">
        <f t="shared" si="26"/>
        <v>44652</v>
      </c>
      <c r="C883" s="4" t="str">
        <f t="shared" si="27"/>
        <v>2022-04</v>
      </c>
      <c r="D883" s="3">
        <v>161.79</v>
      </c>
      <c r="E883" s="3">
        <v>19.52</v>
      </c>
      <c r="F883" s="3">
        <v>184.11</v>
      </c>
      <c r="G883" s="3">
        <v>4.24</v>
      </c>
    </row>
    <row r="884" spans="1:7" x14ac:dyDescent="0.2">
      <c r="A884" s="2">
        <v>44672</v>
      </c>
      <c r="B884" s="1">
        <f t="shared" si="26"/>
        <v>44652</v>
      </c>
      <c r="C884" s="4" t="str">
        <f t="shared" si="27"/>
        <v>2022-04</v>
      </c>
      <c r="D884" s="3">
        <v>166.42</v>
      </c>
      <c r="E884" s="3">
        <v>20.18</v>
      </c>
      <c r="F884" s="3">
        <v>188.07</v>
      </c>
      <c r="G884" s="3">
        <v>4.2699999999999996</v>
      </c>
    </row>
    <row r="885" spans="1:7" x14ac:dyDescent="0.2">
      <c r="A885" s="2">
        <v>44671</v>
      </c>
      <c r="B885" s="1">
        <f t="shared" si="26"/>
        <v>44652</v>
      </c>
      <c r="C885" s="4" t="str">
        <f t="shared" si="27"/>
        <v>2022-04</v>
      </c>
      <c r="D885" s="3">
        <v>167.23</v>
      </c>
      <c r="E885" s="3">
        <v>21.48</v>
      </c>
      <c r="F885" s="3">
        <v>200.42</v>
      </c>
      <c r="G885" s="3">
        <v>4.51</v>
      </c>
    </row>
    <row r="886" spans="1:7" x14ac:dyDescent="0.2">
      <c r="A886" s="2">
        <v>44670</v>
      </c>
      <c r="B886" s="1">
        <f t="shared" si="26"/>
        <v>44652</v>
      </c>
      <c r="C886" s="4" t="str">
        <f t="shared" si="27"/>
        <v>2022-04</v>
      </c>
      <c r="D886" s="3">
        <v>167.4</v>
      </c>
      <c r="E886" s="3">
        <v>22.2</v>
      </c>
      <c r="F886" s="3">
        <v>217.31</v>
      </c>
      <c r="G886" s="3">
        <v>4.47</v>
      </c>
    </row>
    <row r="887" spans="1:7" x14ac:dyDescent="0.2">
      <c r="A887" s="2">
        <v>44669</v>
      </c>
      <c r="B887" s="1">
        <f t="shared" si="26"/>
        <v>44652</v>
      </c>
      <c r="C887" s="4" t="str">
        <f t="shared" si="27"/>
        <v>2022-04</v>
      </c>
      <c r="D887" s="3">
        <v>165.07</v>
      </c>
      <c r="E887" s="3">
        <v>21.78</v>
      </c>
      <c r="F887" s="3">
        <v>210.77</v>
      </c>
      <c r="G887" s="3">
        <v>3.66</v>
      </c>
    </row>
    <row r="888" spans="1:7" x14ac:dyDescent="0.2">
      <c r="A888" s="2">
        <v>44665</v>
      </c>
      <c r="B888" s="1">
        <f t="shared" si="26"/>
        <v>44652</v>
      </c>
      <c r="C888" s="4" t="str">
        <f t="shared" si="27"/>
        <v>2022-04</v>
      </c>
      <c r="D888" s="3">
        <v>165.29</v>
      </c>
      <c r="E888" s="3">
        <v>21.26</v>
      </c>
      <c r="F888" s="3">
        <v>210.18</v>
      </c>
      <c r="G888" s="3">
        <v>3.65</v>
      </c>
    </row>
    <row r="889" spans="1:7" x14ac:dyDescent="0.2">
      <c r="A889" s="2">
        <v>44664</v>
      </c>
      <c r="B889" s="1">
        <f t="shared" si="26"/>
        <v>44652</v>
      </c>
      <c r="C889" s="4" t="str">
        <f t="shared" si="27"/>
        <v>2022-04</v>
      </c>
      <c r="D889" s="3">
        <v>170.4</v>
      </c>
      <c r="E889" s="3">
        <v>22.2</v>
      </c>
      <c r="F889" s="3">
        <v>214.99</v>
      </c>
      <c r="G889" s="3">
        <v>3.56</v>
      </c>
    </row>
    <row r="890" spans="1:7" x14ac:dyDescent="0.2">
      <c r="A890" s="2">
        <v>44663</v>
      </c>
      <c r="B890" s="1">
        <f t="shared" si="26"/>
        <v>44652</v>
      </c>
      <c r="C890" s="4" t="str">
        <f t="shared" si="27"/>
        <v>2022-04</v>
      </c>
      <c r="D890" s="3">
        <v>167.66</v>
      </c>
      <c r="E890" s="3">
        <v>21.5</v>
      </c>
      <c r="F890" s="3">
        <v>214.14</v>
      </c>
      <c r="G890" s="3">
        <v>3.48</v>
      </c>
    </row>
    <row r="891" spans="1:7" x14ac:dyDescent="0.2">
      <c r="A891" s="2">
        <v>44662</v>
      </c>
      <c r="B891" s="1">
        <f t="shared" si="26"/>
        <v>44652</v>
      </c>
      <c r="C891" s="4" t="str">
        <f t="shared" si="27"/>
        <v>2022-04</v>
      </c>
      <c r="D891" s="3">
        <v>165.75</v>
      </c>
      <c r="E891" s="3">
        <v>21.92</v>
      </c>
      <c r="F891" s="3">
        <v>216.46</v>
      </c>
      <c r="G891" s="3">
        <v>3.52</v>
      </c>
    </row>
    <row r="892" spans="1:7" x14ac:dyDescent="0.2">
      <c r="A892" s="2">
        <v>44659</v>
      </c>
      <c r="B892" s="1">
        <f t="shared" si="26"/>
        <v>44652</v>
      </c>
      <c r="C892" s="4" t="str">
        <f t="shared" si="27"/>
        <v>2022-04</v>
      </c>
      <c r="D892" s="3">
        <v>170.09</v>
      </c>
      <c r="E892" s="3">
        <v>23.12</v>
      </c>
      <c r="F892" s="3">
        <v>222.33</v>
      </c>
      <c r="G892" s="3">
        <v>3.53</v>
      </c>
    </row>
    <row r="893" spans="1:7" x14ac:dyDescent="0.2">
      <c r="A893" s="2">
        <v>44658</v>
      </c>
      <c r="B893" s="1">
        <f t="shared" si="26"/>
        <v>44652</v>
      </c>
      <c r="C893" s="4" t="str">
        <f t="shared" si="27"/>
        <v>2022-04</v>
      </c>
      <c r="D893" s="3">
        <v>172.14</v>
      </c>
      <c r="E893" s="3">
        <v>24.21</v>
      </c>
      <c r="F893" s="3">
        <v>222.95</v>
      </c>
      <c r="G893" s="3">
        <v>3.54</v>
      </c>
    </row>
    <row r="894" spans="1:7" x14ac:dyDescent="0.2">
      <c r="A894" s="2">
        <v>44657</v>
      </c>
      <c r="B894" s="1">
        <f t="shared" si="26"/>
        <v>44652</v>
      </c>
      <c r="C894" s="4" t="str">
        <f t="shared" si="27"/>
        <v>2022-04</v>
      </c>
      <c r="D894" s="3">
        <v>171.83</v>
      </c>
      <c r="E894" s="3">
        <v>24.41</v>
      </c>
      <c r="F894" s="3">
        <v>223.3</v>
      </c>
      <c r="G894" s="3">
        <v>3.54</v>
      </c>
    </row>
    <row r="895" spans="1:7" x14ac:dyDescent="0.2">
      <c r="A895" s="2">
        <v>44656</v>
      </c>
      <c r="B895" s="1">
        <f t="shared" si="26"/>
        <v>44652</v>
      </c>
      <c r="C895" s="4" t="str">
        <f t="shared" si="27"/>
        <v>2022-04</v>
      </c>
      <c r="D895" s="3">
        <v>175.06</v>
      </c>
      <c r="E895" s="3">
        <v>25.93</v>
      </c>
      <c r="F895" s="3">
        <v>231.84</v>
      </c>
      <c r="G895" s="3">
        <v>3.64</v>
      </c>
    </row>
    <row r="896" spans="1:7" x14ac:dyDescent="0.2">
      <c r="A896" s="2">
        <v>44655</v>
      </c>
      <c r="B896" s="1">
        <f t="shared" si="26"/>
        <v>44652</v>
      </c>
      <c r="C896" s="4" t="str">
        <f t="shared" si="27"/>
        <v>2022-04</v>
      </c>
      <c r="D896" s="3">
        <v>178.44</v>
      </c>
      <c r="E896" s="3">
        <v>27.36</v>
      </c>
      <c r="F896" s="3">
        <v>233.89</v>
      </c>
      <c r="G896" s="3">
        <v>3.77</v>
      </c>
    </row>
    <row r="897" spans="1:7" x14ac:dyDescent="0.2">
      <c r="A897" s="2">
        <v>44652</v>
      </c>
      <c r="B897" s="1">
        <f t="shared" si="26"/>
        <v>44652</v>
      </c>
      <c r="C897" s="4" t="str">
        <f t="shared" si="27"/>
        <v>2022-04</v>
      </c>
      <c r="D897" s="3">
        <v>174.31</v>
      </c>
      <c r="E897" s="3">
        <v>26.71</v>
      </c>
      <c r="F897" s="3">
        <v>224.85</v>
      </c>
      <c r="G897" s="3">
        <v>3.79</v>
      </c>
    </row>
    <row r="898" spans="1:7" x14ac:dyDescent="0.2">
      <c r="A898" s="2">
        <v>44651</v>
      </c>
      <c r="B898" s="1">
        <f t="shared" si="26"/>
        <v>44621</v>
      </c>
      <c r="C898" s="4" t="str">
        <f t="shared" si="27"/>
        <v>2022-03</v>
      </c>
      <c r="D898" s="3">
        <v>174.61</v>
      </c>
      <c r="E898" s="3">
        <v>27.29</v>
      </c>
      <c r="F898" s="3">
        <v>222.36</v>
      </c>
      <c r="G898" s="3">
        <v>3.81</v>
      </c>
    </row>
    <row r="899" spans="1:7" x14ac:dyDescent="0.2">
      <c r="A899" s="2">
        <v>44650</v>
      </c>
      <c r="B899" s="1">
        <f t="shared" ref="B899:B962" si="28">EOMONTH(A899, -1)+1</f>
        <v>44621</v>
      </c>
      <c r="C899" s="4" t="str">
        <f t="shared" ref="C899:C962" si="29">TEXT(A899, "yyyy-mm")</f>
        <v>2022-03</v>
      </c>
      <c r="D899" s="3">
        <v>177.77</v>
      </c>
      <c r="E899" s="3">
        <v>27.69</v>
      </c>
      <c r="F899" s="3">
        <v>227.85</v>
      </c>
      <c r="G899" s="3">
        <v>3.96</v>
      </c>
    </row>
    <row r="900" spans="1:7" x14ac:dyDescent="0.2">
      <c r="A900" s="2">
        <v>44649</v>
      </c>
      <c r="B900" s="1">
        <f t="shared" si="28"/>
        <v>44621</v>
      </c>
      <c r="C900" s="4" t="str">
        <f t="shared" si="29"/>
        <v>2022-03</v>
      </c>
      <c r="D900" s="3">
        <v>178.96</v>
      </c>
      <c r="E900" s="3">
        <v>28.66</v>
      </c>
      <c r="F900" s="3">
        <v>229.86</v>
      </c>
      <c r="G900" s="3">
        <v>4.25</v>
      </c>
    </row>
    <row r="901" spans="1:7" x14ac:dyDescent="0.2">
      <c r="A901" s="2">
        <v>44648</v>
      </c>
      <c r="B901" s="1">
        <f t="shared" si="28"/>
        <v>44621</v>
      </c>
      <c r="C901" s="4" t="str">
        <f t="shared" si="29"/>
        <v>2022-03</v>
      </c>
      <c r="D901" s="3">
        <v>175.6</v>
      </c>
      <c r="E901" s="3">
        <v>28.22</v>
      </c>
      <c r="F901" s="3">
        <v>223.59</v>
      </c>
      <c r="G901" s="3">
        <v>4.1900000000000004</v>
      </c>
    </row>
    <row r="902" spans="1:7" x14ac:dyDescent="0.2">
      <c r="A902" s="2">
        <v>44645</v>
      </c>
      <c r="B902" s="1">
        <f t="shared" si="28"/>
        <v>44621</v>
      </c>
      <c r="C902" s="4" t="str">
        <f t="shared" si="29"/>
        <v>2022-03</v>
      </c>
      <c r="D902" s="3">
        <v>174.72</v>
      </c>
      <c r="E902" s="3">
        <v>27.69</v>
      </c>
      <c r="F902" s="3">
        <v>221.82</v>
      </c>
      <c r="G902" s="3">
        <v>4.2</v>
      </c>
    </row>
    <row r="903" spans="1:7" x14ac:dyDescent="0.2">
      <c r="A903" s="2">
        <v>44644</v>
      </c>
      <c r="B903" s="1">
        <f t="shared" si="28"/>
        <v>44621</v>
      </c>
      <c r="C903" s="4" t="str">
        <f t="shared" si="29"/>
        <v>2022-03</v>
      </c>
      <c r="D903" s="3">
        <v>174.07</v>
      </c>
      <c r="E903" s="3">
        <v>28.15</v>
      </c>
      <c r="F903" s="3">
        <v>219.57</v>
      </c>
      <c r="G903" s="3">
        <v>4.25</v>
      </c>
    </row>
    <row r="904" spans="1:7" x14ac:dyDescent="0.2">
      <c r="A904" s="2">
        <v>44643</v>
      </c>
      <c r="B904" s="1">
        <f t="shared" si="28"/>
        <v>44621</v>
      </c>
      <c r="C904" s="4" t="str">
        <f t="shared" si="29"/>
        <v>2022-03</v>
      </c>
      <c r="D904" s="3">
        <v>170.21</v>
      </c>
      <c r="E904" s="3">
        <v>25.63</v>
      </c>
      <c r="F904" s="3">
        <v>213.46</v>
      </c>
      <c r="G904" s="3">
        <v>4.2300000000000004</v>
      </c>
    </row>
    <row r="905" spans="1:7" x14ac:dyDescent="0.2">
      <c r="A905" s="2">
        <v>44642</v>
      </c>
      <c r="B905" s="1">
        <f t="shared" si="28"/>
        <v>44621</v>
      </c>
      <c r="C905" s="4" t="str">
        <f t="shared" si="29"/>
        <v>2022-03</v>
      </c>
      <c r="D905" s="3">
        <v>168.82</v>
      </c>
      <c r="E905" s="3">
        <v>26.52</v>
      </c>
      <c r="F905" s="3">
        <v>216.65</v>
      </c>
      <c r="G905" s="3">
        <v>4.3</v>
      </c>
    </row>
    <row r="906" spans="1:7" x14ac:dyDescent="0.2">
      <c r="A906" s="2">
        <v>44641</v>
      </c>
      <c r="B906" s="1">
        <f t="shared" si="28"/>
        <v>44621</v>
      </c>
      <c r="C906" s="4" t="str">
        <f t="shared" si="29"/>
        <v>2022-03</v>
      </c>
      <c r="D906" s="3">
        <v>165.38</v>
      </c>
      <c r="E906" s="3">
        <v>26.73</v>
      </c>
      <c r="F906" s="3">
        <v>211.49</v>
      </c>
      <c r="G906" s="3">
        <v>4.3</v>
      </c>
    </row>
    <row r="907" spans="1:7" x14ac:dyDescent="0.2">
      <c r="A907" s="2">
        <v>44638</v>
      </c>
      <c r="B907" s="1">
        <f t="shared" si="28"/>
        <v>44621</v>
      </c>
      <c r="C907" s="4" t="str">
        <f t="shared" si="29"/>
        <v>2022-03</v>
      </c>
      <c r="D907" s="3">
        <v>163.98</v>
      </c>
      <c r="E907" s="3">
        <v>26.45</v>
      </c>
      <c r="F907" s="3">
        <v>216.49</v>
      </c>
      <c r="G907" s="3">
        <v>4.29</v>
      </c>
    </row>
    <row r="908" spans="1:7" x14ac:dyDescent="0.2">
      <c r="A908" s="2">
        <v>44637</v>
      </c>
      <c r="B908" s="1">
        <f t="shared" si="28"/>
        <v>44621</v>
      </c>
      <c r="C908" s="4" t="str">
        <f t="shared" si="29"/>
        <v>2022-03</v>
      </c>
      <c r="D908" s="3">
        <v>160.62</v>
      </c>
      <c r="E908" s="3">
        <v>24.77</v>
      </c>
      <c r="F908" s="3">
        <v>207.84</v>
      </c>
      <c r="G908" s="3">
        <v>4.1900000000000004</v>
      </c>
    </row>
    <row r="909" spans="1:7" x14ac:dyDescent="0.2">
      <c r="A909" s="2">
        <v>44636</v>
      </c>
      <c r="B909" s="1">
        <f t="shared" si="28"/>
        <v>44621</v>
      </c>
      <c r="C909" s="4" t="str">
        <f t="shared" si="29"/>
        <v>2022-03</v>
      </c>
      <c r="D909" s="3">
        <v>159.59</v>
      </c>
      <c r="E909" s="3">
        <v>24.5</v>
      </c>
      <c r="F909" s="3">
        <v>203.63</v>
      </c>
      <c r="G909" s="3">
        <v>4.28</v>
      </c>
    </row>
    <row r="910" spans="1:7" x14ac:dyDescent="0.2">
      <c r="A910" s="2">
        <v>44635</v>
      </c>
      <c r="B910" s="1">
        <f t="shared" si="28"/>
        <v>44621</v>
      </c>
      <c r="C910" s="4" t="str">
        <f t="shared" si="29"/>
        <v>2022-03</v>
      </c>
      <c r="D910" s="3">
        <v>155.09</v>
      </c>
      <c r="E910" s="3">
        <v>22.97</v>
      </c>
      <c r="F910" s="3">
        <v>192.03</v>
      </c>
      <c r="G910" s="3">
        <v>4.18</v>
      </c>
    </row>
    <row r="911" spans="1:7" x14ac:dyDescent="0.2">
      <c r="A911" s="2">
        <v>44634</v>
      </c>
      <c r="B911" s="1">
        <f t="shared" si="28"/>
        <v>44621</v>
      </c>
      <c r="C911" s="4" t="str">
        <f t="shared" si="29"/>
        <v>2022-03</v>
      </c>
      <c r="D911" s="3">
        <v>150.62</v>
      </c>
      <c r="E911" s="3">
        <v>21.33</v>
      </c>
      <c r="F911" s="3">
        <v>186.63</v>
      </c>
      <c r="G911" s="3">
        <v>4.05</v>
      </c>
    </row>
    <row r="912" spans="1:7" x14ac:dyDescent="0.2">
      <c r="A912" s="2">
        <v>44631</v>
      </c>
      <c r="B912" s="1">
        <f t="shared" si="28"/>
        <v>44621</v>
      </c>
      <c r="C912" s="4" t="str">
        <f t="shared" si="29"/>
        <v>2022-03</v>
      </c>
      <c r="D912" s="3">
        <v>154.72999999999999</v>
      </c>
      <c r="E912" s="3">
        <v>22.1</v>
      </c>
      <c r="F912" s="3">
        <v>187.61</v>
      </c>
      <c r="G912" s="3">
        <v>4.16</v>
      </c>
    </row>
    <row r="913" spans="1:7" x14ac:dyDescent="0.2">
      <c r="A913" s="2">
        <v>44630</v>
      </c>
      <c r="B913" s="1">
        <f t="shared" si="28"/>
        <v>44621</v>
      </c>
      <c r="C913" s="4" t="str">
        <f t="shared" si="29"/>
        <v>2022-03</v>
      </c>
      <c r="D913" s="3">
        <v>158.52000000000001</v>
      </c>
      <c r="E913" s="3">
        <v>22.66</v>
      </c>
      <c r="F913" s="3">
        <v>195.21</v>
      </c>
      <c r="G913" s="3">
        <v>4.12</v>
      </c>
    </row>
    <row r="914" spans="1:7" x14ac:dyDescent="0.2">
      <c r="A914" s="2">
        <v>44629</v>
      </c>
      <c r="B914" s="1">
        <f t="shared" si="28"/>
        <v>44621</v>
      </c>
      <c r="C914" s="4" t="str">
        <f t="shared" si="29"/>
        <v>2022-03</v>
      </c>
      <c r="D914" s="3">
        <v>162.94999999999999</v>
      </c>
      <c r="E914" s="3">
        <v>23.01</v>
      </c>
      <c r="F914" s="3">
        <v>198.5</v>
      </c>
      <c r="G914" s="3">
        <v>4.16</v>
      </c>
    </row>
    <row r="915" spans="1:7" x14ac:dyDescent="0.2">
      <c r="A915" s="2">
        <v>44628</v>
      </c>
      <c r="B915" s="1">
        <f t="shared" si="28"/>
        <v>44621</v>
      </c>
      <c r="C915" s="4" t="str">
        <f t="shared" si="29"/>
        <v>2022-03</v>
      </c>
      <c r="D915" s="3">
        <v>157.44</v>
      </c>
      <c r="E915" s="3">
        <v>21.51</v>
      </c>
      <c r="F915" s="3">
        <v>190.29</v>
      </c>
      <c r="G915" s="3">
        <v>4.05</v>
      </c>
    </row>
    <row r="916" spans="1:7" x14ac:dyDescent="0.2">
      <c r="A916" s="2">
        <v>44627</v>
      </c>
      <c r="B916" s="1">
        <f t="shared" si="28"/>
        <v>44621</v>
      </c>
      <c r="C916" s="4" t="str">
        <f t="shared" si="29"/>
        <v>2022-03</v>
      </c>
      <c r="D916" s="3">
        <v>159.30000000000001</v>
      </c>
      <c r="E916" s="3">
        <v>21.35</v>
      </c>
      <c r="F916" s="3">
        <v>187.47</v>
      </c>
      <c r="G916" s="3">
        <v>4.04</v>
      </c>
    </row>
    <row r="917" spans="1:7" x14ac:dyDescent="0.2">
      <c r="A917" s="2">
        <v>44624</v>
      </c>
      <c r="B917" s="1">
        <f t="shared" si="28"/>
        <v>44621</v>
      </c>
      <c r="C917" s="4" t="str">
        <f t="shared" si="29"/>
        <v>2022-03</v>
      </c>
      <c r="D917" s="3">
        <v>163.16999999999999</v>
      </c>
      <c r="E917" s="3">
        <v>22.94</v>
      </c>
      <c r="F917" s="3">
        <v>200.06</v>
      </c>
      <c r="G917" s="3">
        <v>4.16</v>
      </c>
    </row>
    <row r="918" spans="1:7" x14ac:dyDescent="0.2">
      <c r="A918" s="2">
        <v>44623</v>
      </c>
      <c r="B918" s="1">
        <f t="shared" si="28"/>
        <v>44621</v>
      </c>
      <c r="C918" s="4" t="str">
        <f t="shared" si="29"/>
        <v>2022-03</v>
      </c>
      <c r="D918" s="3">
        <v>166.23</v>
      </c>
      <c r="E918" s="3">
        <v>23.71</v>
      </c>
      <c r="F918" s="3">
        <v>202.97</v>
      </c>
      <c r="G918" s="3">
        <v>4.21</v>
      </c>
    </row>
    <row r="919" spans="1:7" x14ac:dyDescent="0.2">
      <c r="A919" s="2">
        <v>44622</v>
      </c>
      <c r="B919" s="1">
        <f t="shared" si="28"/>
        <v>44621</v>
      </c>
      <c r="C919" s="4" t="str">
        <f t="shared" si="29"/>
        <v>2022-03</v>
      </c>
      <c r="D919" s="3">
        <v>166.56</v>
      </c>
      <c r="E919" s="3">
        <v>24.22</v>
      </c>
      <c r="F919" s="3">
        <v>208.11</v>
      </c>
      <c r="G919" s="3">
        <v>4.22</v>
      </c>
    </row>
    <row r="920" spans="1:7" x14ac:dyDescent="0.2">
      <c r="A920" s="2">
        <v>44621</v>
      </c>
      <c r="B920" s="1">
        <f t="shared" si="28"/>
        <v>44621</v>
      </c>
      <c r="C920" s="4" t="str">
        <f t="shared" si="29"/>
        <v>2022-03</v>
      </c>
      <c r="D920" s="3">
        <v>163.19999999999999</v>
      </c>
      <c r="E920" s="3">
        <v>23.48</v>
      </c>
      <c r="F920" s="3">
        <v>203.49</v>
      </c>
      <c r="G920" s="3">
        <v>3.99</v>
      </c>
    </row>
    <row r="921" spans="1:7" x14ac:dyDescent="0.2">
      <c r="A921" s="2">
        <v>44620</v>
      </c>
      <c r="B921" s="1">
        <f t="shared" si="28"/>
        <v>44593</v>
      </c>
      <c r="C921" s="4" t="str">
        <f t="shared" si="29"/>
        <v>2022-02</v>
      </c>
      <c r="D921" s="3">
        <v>165.12</v>
      </c>
      <c r="E921" s="3">
        <v>24.39</v>
      </c>
      <c r="F921" s="3">
        <v>211.03</v>
      </c>
      <c r="G921" s="3">
        <v>3.93</v>
      </c>
    </row>
    <row r="922" spans="1:7" x14ac:dyDescent="0.2">
      <c r="A922" s="2">
        <v>44617</v>
      </c>
      <c r="B922" s="1">
        <f t="shared" si="28"/>
        <v>44593</v>
      </c>
      <c r="C922" s="4" t="str">
        <f t="shared" si="29"/>
        <v>2022-02</v>
      </c>
      <c r="D922" s="3">
        <v>164.85</v>
      </c>
      <c r="E922" s="3">
        <v>24.16</v>
      </c>
      <c r="F922" s="3">
        <v>210.48</v>
      </c>
      <c r="G922" s="3">
        <v>4.0199999999999996</v>
      </c>
    </row>
    <row r="923" spans="1:7" x14ac:dyDescent="0.2">
      <c r="A923" s="2">
        <v>44616</v>
      </c>
      <c r="B923" s="1">
        <f t="shared" si="28"/>
        <v>44593</v>
      </c>
      <c r="C923" s="4" t="str">
        <f t="shared" si="29"/>
        <v>2022-02</v>
      </c>
      <c r="D923" s="3">
        <v>162.74</v>
      </c>
      <c r="E923" s="3">
        <v>23.75</v>
      </c>
      <c r="F923" s="3">
        <v>207.6</v>
      </c>
      <c r="G923" s="3">
        <v>3.92</v>
      </c>
    </row>
    <row r="924" spans="1:7" x14ac:dyDescent="0.2">
      <c r="A924" s="2">
        <v>44615</v>
      </c>
      <c r="B924" s="1">
        <f t="shared" si="28"/>
        <v>44593</v>
      </c>
      <c r="C924" s="4" t="str">
        <f t="shared" si="29"/>
        <v>2022-02</v>
      </c>
      <c r="D924" s="3">
        <v>160.07</v>
      </c>
      <c r="E924" s="3">
        <v>22.39</v>
      </c>
      <c r="F924" s="3">
        <v>198.45</v>
      </c>
      <c r="G924" s="3">
        <v>3.9</v>
      </c>
    </row>
    <row r="925" spans="1:7" x14ac:dyDescent="0.2">
      <c r="A925" s="2">
        <v>44614</v>
      </c>
      <c r="B925" s="1">
        <f t="shared" si="28"/>
        <v>44593</v>
      </c>
      <c r="C925" s="4" t="str">
        <f t="shared" si="29"/>
        <v>2022-02</v>
      </c>
      <c r="D925" s="3">
        <v>164.32</v>
      </c>
      <c r="E925" s="3">
        <v>23.39</v>
      </c>
      <c r="F925" s="3">
        <v>202.08</v>
      </c>
      <c r="G925" s="3">
        <v>3.92</v>
      </c>
    </row>
    <row r="926" spans="1:7" x14ac:dyDescent="0.2">
      <c r="A926" s="2">
        <v>44610</v>
      </c>
      <c r="B926" s="1">
        <f t="shared" si="28"/>
        <v>44593</v>
      </c>
      <c r="C926" s="4" t="str">
        <f t="shared" si="29"/>
        <v>2022-02</v>
      </c>
      <c r="D926" s="3">
        <v>167.3</v>
      </c>
      <c r="E926" s="3">
        <v>23.64</v>
      </c>
      <c r="F926" s="3">
        <v>206.16</v>
      </c>
      <c r="G926" s="3">
        <v>3.92</v>
      </c>
    </row>
    <row r="927" spans="1:7" x14ac:dyDescent="0.2">
      <c r="A927" s="2">
        <v>44609</v>
      </c>
      <c r="B927" s="1">
        <f t="shared" si="28"/>
        <v>44593</v>
      </c>
      <c r="C927" s="4" t="str">
        <f t="shared" si="29"/>
        <v>2022-02</v>
      </c>
      <c r="D927" s="3">
        <v>168.88</v>
      </c>
      <c r="E927" s="3">
        <v>24.51</v>
      </c>
      <c r="F927" s="3">
        <v>207.71</v>
      </c>
      <c r="G927" s="3">
        <v>3.89</v>
      </c>
    </row>
    <row r="928" spans="1:7" x14ac:dyDescent="0.2">
      <c r="A928" s="2">
        <v>44608</v>
      </c>
      <c r="B928" s="1">
        <f t="shared" si="28"/>
        <v>44593</v>
      </c>
      <c r="C928" s="4" t="str">
        <f t="shared" si="29"/>
        <v>2022-02</v>
      </c>
      <c r="D928" s="3">
        <v>172.55</v>
      </c>
      <c r="E928" s="3">
        <v>26.51</v>
      </c>
      <c r="F928" s="3">
        <v>216.54</v>
      </c>
      <c r="G928" s="3">
        <v>3.98</v>
      </c>
    </row>
    <row r="929" spans="1:7" x14ac:dyDescent="0.2">
      <c r="A929" s="2">
        <v>44607</v>
      </c>
      <c r="B929" s="1">
        <f t="shared" si="28"/>
        <v>44593</v>
      </c>
      <c r="C929" s="4" t="str">
        <f t="shared" si="29"/>
        <v>2022-02</v>
      </c>
      <c r="D929" s="3">
        <v>172.79</v>
      </c>
      <c r="E929" s="3">
        <v>26.5</v>
      </c>
      <c r="F929" s="3">
        <v>221</v>
      </c>
      <c r="G929" s="3">
        <v>3.97</v>
      </c>
    </row>
    <row r="930" spans="1:7" x14ac:dyDescent="0.2">
      <c r="A930" s="2">
        <v>44606</v>
      </c>
      <c r="B930" s="1">
        <f t="shared" si="28"/>
        <v>44593</v>
      </c>
      <c r="C930" s="4" t="str">
        <f t="shared" si="29"/>
        <v>2022-02</v>
      </c>
      <c r="D930" s="3">
        <v>168.88</v>
      </c>
      <c r="E930" s="3">
        <v>24.27</v>
      </c>
      <c r="F930" s="3">
        <v>217.7</v>
      </c>
      <c r="G930" s="3">
        <v>3.81</v>
      </c>
    </row>
    <row r="931" spans="1:7" x14ac:dyDescent="0.2">
      <c r="A931" s="2">
        <v>44603</v>
      </c>
      <c r="B931" s="1">
        <f t="shared" si="28"/>
        <v>44593</v>
      </c>
      <c r="C931" s="4" t="str">
        <f t="shared" si="29"/>
        <v>2022-02</v>
      </c>
      <c r="D931" s="3">
        <v>168.64</v>
      </c>
      <c r="E931" s="3">
        <v>23.95</v>
      </c>
      <c r="F931" s="3">
        <v>219.55</v>
      </c>
      <c r="G931" s="3">
        <v>3.81</v>
      </c>
    </row>
    <row r="932" spans="1:7" x14ac:dyDescent="0.2">
      <c r="A932" s="2">
        <v>44602</v>
      </c>
      <c r="B932" s="1">
        <f t="shared" si="28"/>
        <v>44593</v>
      </c>
      <c r="C932" s="4" t="str">
        <f t="shared" si="29"/>
        <v>2022-02</v>
      </c>
      <c r="D932" s="3">
        <v>172.12</v>
      </c>
      <c r="E932" s="3">
        <v>25.82</v>
      </c>
      <c r="F932" s="3">
        <v>228.07</v>
      </c>
      <c r="G932" s="3">
        <v>3.86</v>
      </c>
    </row>
    <row r="933" spans="1:7" x14ac:dyDescent="0.2">
      <c r="A933" s="2">
        <v>44601</v>
      </c>
      <c r="B933" s="1">
        <f t="shared" si="28"/>
        <v>44593</v>
      </c>
      <c r="C933" s="4" t="str">
        <f t="shared" si="29"/>
        <v>2022-02</v>
      </c>
      <c r="D933" s="3">
        <v>176.28</v>
      </c>
      <c r="E933" s="3">
        <v>26.71</v>
      </c>
      <c r="F933" s="3">
        <v>232</v>
      </c>
      <c r="G933" s="3">
        <v>3.87</v>
      </c>
    </row>
    <row r="934" spans="1:7" x14ac:dyDescent="0.2">
      <c r="A934" s="2">
        <v>44600</v>
      </c>
      <c r="B934" s="1">
        <f t="shared" si="28"/>
        <v>44593</v>
      </c>
      <c r="C934" s="4" t="str">
        <f t="shared" si="29"/>
        <v>2022-02</v>
      </c>
      <c r="D934" s="3">
        <v>174.83</v>
      </c>
      <c r="E934" s="3">
        <v>25.11</v>
      </c>
      <c r="F934" s="3">
        <v>220.18</v>
      </c>
      <c r="G934" s="3">
        <v>3.85</v>
      </c>
    </row>
    <row r="935" spans="1:7" x14ac:dyDescent="0.2">
      <c r="A935" s="2">
        <v>44599</v>
      </c>
      <c r="B935" s="1">
        <f t="shared" si="28"/>
        <v>44593</v>
      </c>
      <c r="C935" s="4" t="str">
        <f t="shared" si="29"/>
        <v>2022-02</v>
      </c>
      <c r="D935" s="3">
        <v>171.66</v>
      </c>
      <c r="E935" s="3">
        <v>24.73</v>
      </c>
      <c r="F935" s="3">
        <v>224.91</v>
      </c>
      <c r="G935" s="3">
        <v>3.8</v>
      </c>
    </row>
    <row r="936" spans="1:7" x14ac:dyDescent="0.2">
      <c r="A936" s="2">
        <v>44596</v>
      </c>
      <c r="B936" s="1">
        <f t="shared" si="28"/>
        <v>44593</v>
      </c>
      <c r="C936" s="4" t="str">
        <f t="shared" si="29"/>
        <v>2022-02</v>
      </c>
      <c r="D936" s="3">
        <v>172.39</v>
      </c>
      <c r="E936" s="3">
        <v>24.32</v>
      </c>
      <c r="F936" s="3">
        <v>237.09</v>
      </c>
      <c r="G936" s="3">
        <v>3.82</v>
      </c>
    </row>
    <row r="937" spans="1:7" x14ac:dyDescent="0.2">
      <c r="A937" s="2">
        <v>44595</v>
      </c>
      <c r="B937" s="1">
        <f t="shared" si="28"/>
        <v>44593</v>
      </c>
      <c r="C937" s="4" t="str">
        <f t="shared" si="29"/>
        <v>2022-02</v>
      </c>
      <c r="D937" s="3">
        <v>172.9</v>
      </c>
      <c r="E937" s="3">
        <v>23.95</v>
      </c>
      <c r="F937" s="3">
        <v>237.76</v>
      </c>
      <c r="G937" s="3">
        <v>3.93</v>
      </c>
    </row>
    <row r="938" spans="1:7" x14ac:dyDescent="0.2">
      <c r="A938" s="2">
        <v>44594</v>
      </c>
      <c r="B938" s="1">
        <f t="shared" si="28"/>
        <v>44593</v>
      </c>
      <c r="C938" s="4" t="str">
        <f t="shared" si="29"/>
        <v>2022-02</v>
      </c>
      <c r="D938" s="3">
        <v>175.84</v>
      </c>
      <c r="E938" s="3">
        <v>25.24</v>
      </c>
      <c r="F938" s="3">
        <v>323</v>
      </c>
      <c r="G938" s="3">
        <v>4.38</v>
      </c>
    </row>
    <row r="939" spans="1:7" x14ac:dyDescent="0.2">
      <c r="A939" s="2">
        <v>44593</v>
      </c>
      <c r="B939" s="1">
        <f t="shared" si="28"/>
        <v>44593</v>
      </c>
      <c r="C939" s="4" t="str">
        <f t="shared" si="29"/>
        <v>2022-02</v>
      </c>
      <c r="D939" s="3">
        <v>174.61</v>
      </c>
      <c r="E939" s="3">
        <v>24.64</v>
      </c>
      <c r="F939" s="3">
        <v>319</v>
      </c>
      <c r="G939" s="3">
        <v>4.17</v>
      </c>
    </row>
    <row r="940" spans="1:7" x14ac:dyDescent="0.2">
      <c r="A940" s="2">
        <v>44592</v>
      </c>
      <c r="B940" s="1">
        <f t="shared" si="28"/>
        <v>44562</v>
      </c>
      <c r="C940" s="4" t="str">
        <f t="shared" si="29"/>
        <v>2022-01</v>
      </c>
      <c r="D940" s="3">
        <v>174.78</v>
      </c>
      <c r="E940" s="3">
        <v>24.49</v>
      </c>
      <c r="F940" s="3">
        <v>313.26</v>
      </c>
      <c r="G940" s="3">
        <v>4.05</v>
      </c>
    </row>
    <row r="941" spans="1:7" x14ac:dyDescent="0.2">
      <c r="A941" s="2">
        <v>44589</v>
      </c>
      <c r="B941" s="1">
        <f t="shared" si="28"/>
        <v>44562</v>
      </c>
      <c r="C941" s="4" t="str">
        <f t="shared" si="29"/>
        <v>2022-01</v>
      </c>
      <c r="D941" s="3">
        <v>170.33</v>
      </c>
      <c r="E941" s="3">
        <v>22.84</v>
      </c>
      <c r="F941" s="3">
        <v>301.70999999999998</v>
      </c>
      <c r="G941" s="3">
        <v>4.0199999999999996</v>
      </c>
    </row>
    <row r="942" spans="1:7" x14ac:dyDescent="0.2">
      <c r="A942" s="2">
        <v>44588</v>
      </c>
      <c r="B942" s="1">
        <f t="shared" si="28"/>
        <v>44562</v>
      </c>
      <c r="C942" s="4" t="str">
        <f t="shared" si="29"/>
        <v>2022-01</v>
      </c>
      <c r="D942" s="3">
        <v>159.22</v>
      </c>
      <c r="E942" s="3">
        <v>21.94</v>
      </c>
      <c r="F942" s="3">
        <v>294.64</v>
      </c>
      <c r="G942" s="3">
        <v>3.88</v>
      </c>
    </row>
    <row r="943" spans="1:7" x14ac:dyDescent="0.2">
      <c r="A943" s="2">
        <v>44587</v>
      </c>
      <c r="B943" s="1">
        <f t="shared" si="28"/>
        <v>44562</v>
      </c>
      <c r="C943" s="4" t="str">
        <f t="shared" si="29"/>
        <v>2022-01</v>
      </c>
      <c r="D943" s="3">
        <v>159.69</v>
      </c>
      <c r="E943" s="3">
        <v>22.77</v>
      </c>
      <c r="F943" s="3">
        <v>294.63</v>
      </c>
      <c r="G943" s="3">
        <v>3.9</v>
      </c>
    </row>
    <row r="944" spans="1:7" x14ac:dyDescent="0.2">
      <c r="A944" s="2">
        <v>44586</v>
      </c>
      <c r="B944" s="1">
        <f t="shared" si="28"/>
        <v>44562</v>
      </c>
      <c r="C944" s="4" t="str">
        <f t="shared" si="29"/>
        <v>2022-01</v>
      </c>
      <c r="D944" s="3">
        <v>159.78</v>
      </c>
      <c r="E944" s="3">
        <v>22.32</v>
      </c>
      <c r="F944" s="3">
        <v>300.14999999999998</v>
      </c>
      <c r="G944" s="3">
        <v>3.95</v>
      </c>
    </row>
    <row r="945" spans="1:7" x14ac:dyDescent="0.2">
      <c r="A945" s="2">
        <v>44585</v>
      </c>
      <c r="B945" s="1">
        <f t="shared" si="28"/>
        <v>44562</v>
      </c>
      <c r="C945" s="4" t="str">
        <f t="shared" si="29"/>
        <v>2022-01</v>
      </c>
      <c r="D945" s="3">
        <v>161.62</v>
      </c>
      <c r="E945" s="3">
        <v>23.37</v>
      </c>
      <c r="F945" s="3">
        <v>308.70999999999998</v>
      </c>
      <c r="G945" s="3">
        <v>4.09</v>
      </c>
    </row>
    <row r="946" spans="1:7" x14ac:dyDescent="0.2">
      <c r="A946" s="2">
        <v>44582</v>
      </c>
      <c r="B946" s="1">
        <f t="shared" si="28"/>
        <v>44562</v>
      </c>
      <c r="C946" s="4" t="str">
        <f t="shared" si="29"/>
        <v>2022-01</v>
      </c>
      <c r="D946" s="3">
        <v>162.41</v>
      </c>
      <c r="E946" s="3">
        <v>23.37</v>
      </c>
      <c r="F946" s="3">
        <v>303.17</v>
      </c>
      <c r="G946" s="3">
        <v>4.0999999999999996</v>
      </c>
    </row>
    <row r="947" spans="1:7" x14ac:dyDescent="0.2">
      <c r="A947" s="2">
        <v>44581</v>
      </c>
      <c r="B947" s="1">
        <f t="shared" si="28"/>
        <v>44562</v>
      </c>
      <c r="C947" s="4" t="str">
        <f t="shared" si="29"/>
        <v>2022-01</v>
      </c>
      <c r="D947" s="3">
        <v>164.51</v>
      </c>
      <c r="E947" s="3">
        <v>24.15</v>
      </c>
      <c r="F947" s="3">
        <v>316.56</v>
      </c>
      <c r="G947" s="3">
        <v>4.2300000000000004</v>
      </c>
    </row>
    <row r="948" spans="1:7" x14ac:dyDescent="0.2">
      <c r="A948" s="2">
        <v>44580</v>
      </c>
      <c r="B948" s="1">
        <f t="shared" si="28"/>
        <v>44562</v>
      </c>
      <c r="C948" s="4" t="str">
        <f t="shared" si="29"/>
        <v>2022-01</v>
      </c>
      <c r="D948" s="3">
        <v>166.23</v>
      </c>
      <c r="E948" s="3">
        <v>25.07</v>
      </c>
      <c r="F948" s="3">
        <v>319.58999999999997</v>
      </c>
      <c r="G948" s="3">
        <v>4.22</v>
      </c>
    </row>
    <row r="949" spans="1:7" x14ac:dyDescent="0.2">
      <c r="A949" s="2">
        <v>44579</v>
      </c>
      <c r="B949" s="1">
        <f t="shared" si="28"/>
        <v>44562</v>
      </c>
      <c r="C949" s="4" t="str">
        <f t="shared" si="29"/>
        <v>2022-01</v>
      </c>
      <c r="D949" s="3">
        <v>169.8</v>
      </c>
      <c r="E949" s="3">
        <v>25.9</v>
      </c>
      <c r="F949" s="3">
        <v>318.14999999999998</v>
      </c>
      <c r="G949" s="3">
        <v>4.62</v>
      </c>
    </row>
    <row r="950" spans="1:7" x14ac:dyDescent="0.2">
      <c r="A950" s="2">
        <v>44575</v>
      </c>
      <c r="B950" s="1">
        <f t="shared" si="28"/>
        <v>44562</v>
      </c>
      <c r="C950" s="4" t="str">
        <f t="shared" si="29"/>
        <v>2022-01</v>
      </c>
      <c r="D950" s="3">
        <v>173.07</v>
      </c>
      <c r="E950" s="3">
        <v>26.94</v>
      </c>
      <c r="F950" s="3">
        <v>331.9</v>
      </c>
      <c r="G950" s="3">
        <v>4.5599999999999996</v>
      </c>
    </row>
    <row r="951" spans="1:7" x14ac:dyDescent="0.2">
      <c r="A951" s="2">
        <v>44574</v>
      </c>
      <c r="B951" s="1">
        <f t="shared" si="28"/>
        <v>44562</v>
      </c>
      <c r="C951" s="4" t="str">
        <f t="shared" si="29"/>
        <v>2022-01</v>
      </c>
      <c r="D951" s="3">
        <v>172.19</v>
      </c>
      <c r="E951" s="3">
        <v>26.58</v>
      </c>
      <c r="F951" s="3">
        <v>326.48</v>
      </c>
      <c r="G951" s="3">
        <v>4.53</v>
      </c>
    </row>
    <row r="952" spans="1:7" x14ac:dyDescent="0.2">
      <c r="A952" s="2">
        <v>44573</v>
      </c>
      <c r="B952" s="1">
        <f t="shared" si="28"/>
        <v>44562</v>
      </c>
      <c r="C952" s="4" t="str">
        <f t="shared" si="29"/>
        <v>2022-01</v>
      </c>
      <c r="D952" s="3">
        <v>175.53</v>
      </c>
      <c r="E952" s="3">
        <v>28</v>
      </c>
      <c r="F952" s="3">
        <v>333.26</v>
      </c>
      <c r="G952" s="3">
        <v>4.4800000000000004</v>
      </c>
    </row>
    <row r="953" spans="1:7" x14ac:dyDescent="0.2">
      <c r="A953" s="2">
        <v>44572</v>
      </c>
      <c r="B953" s="1">
        <f t="shared" si="28"/>
        <v>44562</v>
      </c>
      <c r="C953" s="4" t="str">
        <f t="shared" si="29"/>
        <v>2022-01</v>
      </c>
      <c r="D953" s="3">
        <v>175.08</v>
      </c>
      <c r="E953" s="3">
        <v>27.82</v>
      </c>
      <c r="F953" s="3">
        <v>334.37</v>
      </c>
      <c r="G953" s="3">
        <v>4.49</v>
      </c>
    </row>
    <row r="954" spans="1:7" x14ac:dyDescent="0.2">
      <c r="A954" s="2">
        <v>44571</v>
      </c>
      <c r="B954" s="1">
        <f t="shared" si="28"/>
        <v>44562</v>
      </c>
      <c r="C954" s="4" t="str">
        <f t="shared" si="29"/>
        <v>2022-01</v>
      </c>
      <c r="D954" s="3">
        <v>172.19</v>
      </c>
      <c r="E954" s="3">
        <v>27.4</v>
      </c>
      <c r="F954" s="3">
        <v>328.07</v>
      </c>
      <c r="G954" s="3">
        <v>4.42</v>
      </c>
    </row>
    <row r="955" spans="1:7" x14ac:dyDescent="0.2">
      <c r="A955" s="2">
        <v>44568</v>
      </c>
      <c r="B955" s="1">
        <f t="shared" si="28"/>
        <v>44562</v>
      </c>
      <c r="C955" s="4" t="str">
        <f t="shared" si="29"/>
        <v>2022-01</v>
      </c>
      <c r="D955" s="3">
        <v>172.17</v>
      </c>
      <c r="E955" s="3">
        <v>27.25</v>
      </c>
      <c r="F955" s="3">
        <v>331.79</v>
      </c>
      <c r="G955" s="3">
        <v>4.41</v>
      </c>
    </row>
    <row r="956" spans="1:7" x14ac:dyDescent="0.2">
      <c r="A956" s="2">
        <v>44567</v>
      </c>
      <c r="B956" s="1">
        <f t="shared" si="28"/>
        <v>44562</v>
      </c>
      <c r="C956" s="4" t="str">
        <f t="shared" si="29"/>
        <v>2022-01</v>
      </c>
      <c r="D956" s="3">
        <v>172</v>
      </c>
      <c r="E956" s="3">
        <v>28.18</v>
      </c>
      <c r="F956" s="3">
        <v>332.46</v>
      </c>
      <c r="G956" s="3">
        <v>4.51</v>
      </c>
    </row>
    <row r="957" spans="1:7" x14ac:dyDescent="0.2">
      <c r="A957" s="2">
        <v>44566</v>
      </c>
      <c r="B957" s="1">
        <f t="shared" si="28"/>
        <v>44562</v>
      </c>
      <c r="C957" s="4" t="str">
        <f t="shared" si="29"/>
        <v>2022-01</v>
      </c>
      <c r="D957" s="3">
        <v>174.92</v>
      </c>
      <c r="E957" s="3">
        <v>27.6</v>
      </c>
      <c r="F957" s="3">
        <v>324.17</v>
      </c>
      <c r="G957" s="3">
        <v>4.54</v>
      </c>
    </row>
    <row r="958" spans="1:7" x14ac:dyDescent="0.2">
      <c r="A958" s="2">
        <v>44565</v>
      </c>
      <c r="B958" s="1">
        <f t="shared" si="28"/>
        <v>44562</v>
      </c>
      <c r="C958" s="4" t="str">
        <f t="shared" si="29"/>
        <v>2022-01</v>
      </c>
      <c r="D958" s="3">
        <v>179.7</v>
      </c>
      <c r="E958" s="3">
        <v>29.29</v>
      </c>
      <c r="F958" s="3">
        <v>336.53</v>
      </c>
      <c r="G958" s="3">
        <v>4.71</v>
      </c>
    </row>
    <row r="959" spans="1:7" x14ac:dyDescent="0.2">
      <c r="A959" s="2">
        <v>44564</v>
      </c>
      <c r="B959" s="1">
        <f t="shared" si="28"/>
        <v>44562</v>
      </c>
      <c r="C959" s="4" t="str">
        <f t="shared" si="29"/>
        <v>2022-01</v>
      </c>
      <c r="D959" s="3">
        <v>182.01</v>
      </c>
      <c r="E959" s="3">
        <v>30.12</v>
      </c>
      <c r="F959" s="3">
        <v>338.54</v>
      </c>
      <c r="G959" s="3">
        <v>4.5599999999999996</v>
      </c>
    </row>
    <row r="960" spans="1:7" x14ac:dyDescent="0.2">
      <c r="A960" s="2">
        <v>44561</v>
      </c>
      <c r="B960" s="1">
        <f t="shared" si="28"/>
        <v>44531</v>
      </c>
      <c r="C960" s="4" t="str">
        <f t="shared" si="29"/>
        <v>2021-12</v>
      </c>
      <c r="D960" s="3">
        <v>177.57</v>
      </c>
      <c r="E960" s="3">
        <v>29.41</v>
      </c>
      <c r="F960" s="3">
        <v>336.35</v>
      </c>
      <c r="G960" s="3">
        <v>4.4000000000000004</v>
      </c>
    </row>
    <row r="961" spans="1:7" x14ac:dyDescent="0.2">
      <c r="A961" s="2">
        <v>44560</v>
      </c>
      <c r="B961" s="1">
        <f t="shared" si="28"/>
        <v>44531</v>
      </c>
      <c r="C961" s="4" t="str">
        <f t="shared" si="29"/>
        <v>2021-12</v>
      </c>
      <c r="D961" s="3">
        <v>178.2</v>
      </c>
      <c r="E961" s="3">
        <v>29.59</v>
      </c>
      <c r="F961" s="3">
        <v>344.36</v>
      </c>
      <c r="G961" s="3">
        <v>4.47</v>
      </c>
    </row>
    <row r="962" spans="1:7" x14ac:dyDescent="0.2">
      <c r="A962" s="2">
        <v>44559</v>
      </c>
      <c r="B962" s="1">
        <f t="shared" si="28"/>
        <v>44531</v>
      </c>
      <c r="C962" s="4" t="str">
        <f t="shared" si="29"/>
        <v>2021-12</v>
      </c>
      <c r="D962" s="3">
        <v>179.38</v>
      </c>
      <c r="E962" s="3">
        <v>30</v>
      </c>
      <c r="F962" s="3">
        <v>342.94</v>
      </c>
      <c r="G962" s="3">
        <v>4.5599999999999996</v>
      </c>
    </row>
    <row r="963" spans="1:7" x14ac:dyDescent="0.2">
      <c r="A963" s="2">
        <v>44558</v>
      </c>
      <c r="B963" s="1">
        <f t="shared" ref="B963:B1026" si="30">EOMONTH(A963, -1)+1</f>
        <v>44531</v>
      </c>
      <c r="C963" s="4" t="str">
        <f t="shared" ref="C963:C1026" si="31">TEXT(A963, "yyyy-mm")</f>
        <v>2021-12</v>
      </c>
      <c r="D963" s="3">
        <v>179.29</v>
      </c>
      <c r="E963" s="3">
        <v>30.32</v>
      </c>
      <c r="F963" s="3">
        <v>346.22</v>
      </c>
      <c r="G963" s="3">
        <v>4.42</v>
      </c>
    </row>
    <row r="964" spans="1:7" x14ac:dyDescent="0.2">
      <c r="A964" s="2">
        <v>44557</v>
      </c>
      <c r="B964" s="1">
        <f t="shared" si="30"/>
        <v>44531</v>
      </c>
      <c r="C964" s="4" t="str">
        <f t="shared" si="31"/>
        <v>2021-12</v>
      </c>
      <c r="D964" s="3">
        <v>180.33</v>
      </c>
      <c r="E964" s="3">
        <v>30.95</v>
      </c>
      <c r="F964" s="3">
        <v>346.18</v>
      </c>
      <c r="G964" s="3">
        <v>4.4800000000000004</v>
      </c>
    </row>
    <row r="965" spans="1:7" x14ac:dyDescent="0.2">
      <c r="A965" s="2">
        <v>44553</v>
      </c>
      <c r="B965" s="1">
        <f t="shared" si="30"/>
        <v>44531</v>
      </c>
      <c r="C965" s="4" t="str">
        <f t="shared" si="31"/>
        <v>2021-12</v>
      </c>
      <c r="D965" s="3">
        <v>176.28</v>
      </c>
      <c r="E965" s="3">
        <v>29.64</v>
      </c>
      <c r="F965" s="3">
        <v>335.24</v>
      </c>
      <c r="G965" s="3">
        <v>4.2699999999999996</v>
      </c>
    </row>
    <row r="966" spans="1:7" x14ac:dyDescent="0.2">
      <c r="A966" s="2">
        <v>44552</v>
      </c>
      <c r="B966" s="1">
        <f t="shared" si="30"/>
        <v>44531</v>
      </c>
      <c r="C966" s="4" t="str">
        <f t="shared" si="31"/>
        <v>2021-12</v>
      </c>
      <c r="D966" s="3">
        <v>175.64</v>
      </c>
      <c r="E966" s="3">
        <v>29.4</v>
      </c>
      <c r="F966" s="3">
        <v>330.45</v>
      </c>
      <c r="G966" s="3">
        <v>4.26</v>
      </c>
    </row>
    <row r="967" spans="1:7" x14ac:dyDescent="0.2">
      <c r="A967" s="2">
        <v>44551</v>
      </c>
      <c r="B967" s="1">
        <f t="shared" si="30"/>
        <v>44531</v>
      </c>
      <c r="C967" s="4" t="str">
        <f t="shared" si="31"/>
        <v>2021-12</v>
      </c>
      <c r="D967" s="3">
        <v>172.99</v>
      </c>
      <c r="E967" s="3">
        <v>29.08</v>
      </c>
      <c r="F967" s="3">
        <v>334.2</v>
      </c>
      <c r="G967" s="3">
        <v>4.26</v>
      </c>
    </row>
    <row r="968" spans="1:7" x14ac:dyDescent="0.2">
      <c r="A968" s="2">
        <v>44550</v>
      </c>
      <c r="B968" s="1">
        <f t="shared" si="30"/>
        <v>44531</v>
      </c>
      <c r="C968" s="4" t="str">
        <f t="shared" si="31"/>
        <v>2021-12</v>
      </c>
      <c r="D968" s="3">
        <v>169.75</v>
      </c>
      <c r="E968" s="3">
        <v>27.72</v>
      </c>
      <c r="F968" s="3">
        <v>325.45</v>
      </c>
      <c r="G968" s="3">
        <v>4.13</v>
      </c>
    </row>
    <row r="969" spans="1:7" x14ac:dyDescent="0.2">
      <c r="A969" s="2">
        <v>44547</v>
      </c>
      <c r="B969" s="1">
        <f t="shared" si="30"/>
        <v>44531</v>
      </c>
      <c r="C969" s="4" t="str">
        <f t="shared" si="31"/>
        <v>2021-12</v>
      </c>
      <c r="D969" s="3">
        <v>171.14</v>
      </c>
      <c r="E969" s="3">
        <v>27.8</v>
      </c>
      <c r="F969" s="3">
        <v>333.79</v>
      </c>
      <c r="G969" s="3">
        <v>4.09</v>
      </c>
    </row>
    <row r="970" spans="1:7" x14ac:dyDescent="0.2">
      <c r="A970" s="2">
        <v>44546</v>
      </c>
      <c r="B970" s="1">
        <f t="shared" si="30"/>
        <v>44531</v>
      </c>
      <c r="C970" s="4" t="str">
        <f t="shared" si="31"/>
        <v>2021-12</v>
      </c>
      <c r="D970" s="3">
        <v>172.26</v>
      </c>
      <c r="E970" s="3">
        <v>28.39</v>
      </c>
      <c r="F970" s="3">
        <v>334.9</v>
      </c>
      <c r="G970" s="3">
        <v>4.16</v>
      </c>
    </row>
    <row r="971" spans="1:7" x14ac:dyDescent="0.2">
      <c r="A971" s="2">
        <v>44545</v>
      </c>
      <c r="B971" s="1">
        <f t="shared" si="30"/>
        <v>44531</v>
      </c>
      <c r="C971" s="4" t="str">
        <f t="shared" si="31"/>
        <v>2021-12</v>
      </c>
      <c r="D971" s="3">
        <v>179.3</v>
      </c>
      <c r="E971" s="3">
        <v>30.46</v>
      </c>
      <c r="F971" s="3">
        <v>341.66</v>
      </c>
      <c r="G971" s="3">
        <v>4.24</v>
      </c>
    </row>
    <row r="972" spans="1:7" x14ac:dyDescent="0.2">
      <c r="A972" s="2">
        <v>44544</v>
      </c>
      <c r="B972" s="1">
        <f t="shared" si="30"/>
        <v>44531</v>
      </c>
      <c r="C972" s="4" t="str">
        <f t="shared" si="31"/>
        <v>2021-12</v>
      </c>
      <c r="D972" s="3">
        <v>174.33</v>
      </c>
      <c r="E972" s="3">
        <v>28.34</v>
      </c>
      <c r="F972" s="3">
        <v>333.74</v>
      </c>
      <c r="G972" s="3">
        <v>4.16</v>
      </c>
    </row>
    <row r="973" spans="1:7" x14ac:dyDescent="0.2">
      <c r="A973" s="2">
        <v>44543</v>
      </c>
      <c r="B973" s="1">
        <f t="shared" si="30"/>
        <v>44531</v>
      </c>
      <c r="C973" s="4" t="str">
        <f t="shared" si="31"/>
        <v>2021-12</v>
      </c>
      <c r="D973" s="3">
        <v>175.74</v>
      </c>
      <c r="E973" s="3">
        <v>28.16</v>
      </c>
      <c r="F973" s="3">
        <v>334.49</v>
      </c>
      <c r="G973" s="3">
        <v>4.1900000000000004</v>
      </c>
    </row>
    <row r="974" spans="1:7" x14ac:dyDescent="0.2">
      <c r="A974" s="2">
        <v>44540</v>
      </c>
      <c r="B974" s="1">
        <f t="shared" si="30"/>
        <v>44531</v>
      </c>
      <c r="C974" s="4" t="str">
        <f t="shared" si="31"/>
        <v>2021-12</v>
      </c>
      <c r="D974" s="3">
        <v>179.45</v>
      </c>
      <c r="E974" s="3">
        <v>30.2</v>
      </c>
      <c r="F974" s="3">
        <v>329.75</v>
      </c>
      <c r="G974" s="3">
        <v>4.29</v>
      </c>
    </row>
    <row r="975" spans="1:7" x14ac:dyDescent="0.2">
      <c r="A975" s="2">
        <v>44539</v>
      </c>
      <c r="B975" s="1">
        <f t="shared" si="30"/>
        <v>44531</v>
      </c>
      <c r="C975" s="4" t="str">
        <f t="shared" si="31"/>
        <v>2021-12</v>
      </c>
      <c r="D975" s="3">
        <v>174.56</v>
      </c>
      <c r="E975" s="3">
        <v>30.49</v>
      </c>
      <c r="F975" s="3">
        <v>329.82</v>
      </c>
      <c r="G975" s="3">
        <v>4.24</v>
      </c>
    </row>
    <row r="976" spans="1:7" x14ac:dyDescent="0.2">
      <c r="A976" s="2">
        <v>44538</v>
      </c>
      <c r="B976" s="1">
        <f t="shared" si="30"/>
        <v>44531</v>
      </c>
      <c r="C976" s="4" t="str">
        <f t="shared" si="31"/>
        <v>2021-12</v>
      </c>
      <c r="D976" s="3">
        <v>175.08</v>
      </c>
      <c r="E976" s="3">
        <v>31.83</v>
      </c>
      <c r="F976" s="3">
        <v>330.56</v>
      </c>
      <c r="G976" s="3">
        <v>4.37</v>
      </c>
    </row>
    <row r="977" spans="1:7" x14ac:dyDescent="0.2">
      <c r="A977" s="2">
        <v>44537</v>
      </c>
      <c r="B977" s="1">
        <f t="shared" si="30"/>
        <v>44531</v>
      </c>
      <c r="C977" s="4" t="str">
        <f t="shared" si="31"/>
        <v>2021-12</v>
      </c>
      <c r="D977" s="3">
        <v>171.18</v>
      </c>
      <c r="E977" s="3">
        <v>32.43</v>
      </c>
      <c r="F977" s="3">
        <v>322.81</v>
      </c>
      <c r="G977" s="3">
        <v>4.3899999999999997</v>
      </c>
    </row>
    <row r="978" spans="1:7" x14ac:dyDescent="0.2">
      <c r="A978" s="2">
        <v>44536</v>
      </c>
      <c r="B978" s="1">
        <f t="shared" si="30"/>
        <v>44531</v>
      </c>
      <c r="C978" s="4" t="str">
        <f t="shared" si="31"/>
        <v>2021-12</v>
      </c>
      <c r="D978" s="3">
        <v>165.32</v>
      </c>
      <c r="E978" s="3">
        <v>30.04</v>
      </c>
      <c r="F978" s="3">
        <v>317.87</v>
      </c>
      <c r="G978" s="3">
        <v>4.2699999999999996</v>
      </c>
    </row>
    <row r="979" spans="1:7" x14ac:dyDescent="0.2">
      <c r="A979" s="2">
        <v>44533</v>
      </c>
      <c r="B979" s="1">
        <f t="shared" si="30"/>
        <v>44531</v>
      </c>
      <c r="C979" s="4" t="str">
        <f t="shared" si="31"/>
        <v>2021-12</v>
      </c>
      <c r="D979" s="3">
        <v>161.84</v>
      </c>
      <c r="E979" s="3">
        <v>30.69</v>
      </c>
      <c r="F979" s="3">
        <v>306.83999999999997</v>
      </c>
      <c r="G979" s="3">
        <v>4.32</v>
      </c>
    </row>
    <row r="980" spans="1:7" x14ac:dyDescent="0.2">
      <c r="A980" s="2">
        <v>44532</v>
      </c>
      <c r="B980" s="1">
        <f t="shared" si="30"/>
        <v>44531</v>
      </c>
      <c r="C980" s="4" t="str">
        <f t="shared" si="31"/>
        <v>2021-12</v>
      </c>
      <c r="D980" s="3">
        <v>163.76</v>
      </c>
      <c r="E980" s="3">
        <v>32.130000000000003</v>
      </c>
      <c r="F980" s="3">
        <v>310.39</v>
      </c>
      <c r="G980" s="3">
        <v>4.28</v>
      </c>
    </row>
    <row r="981" spans="1:7" x14ac:dyDescent="0.2">
      <c r="A981" s="2">
        <v>44531</v>
      </c>
      <c r="B981" s="1">
        <f t="shared" si="30"/>
        <v>44531</v>
      </c>
      <c r="C981" s="4" t="str">
        <f t="shared" si="31"/>
        <v>2021-12</v>
      </c>
      <c r="D981" s="3">
        <v>164.77</v>
      </c>
      <c r="E981" s="3">
        <v>31.44</v>
      </c>
      <c r="F981" s="3">
        <v>310.60000000000002</v>
      </c>
      <c r="G981" s="3">
        <v>4.24</v>
      </c>
    </row>
    <row r="982" spans="1:7" x14ac:dyDescent="0.2">
      <c r="A982" s="2">
        <v>44530</v>
      </c>
      <c r="B982" s="1">
        <f t="shared" si="30"/>
        <v>44501</v>
      </c>
      <c r="C982" s="4" t="str">
        <f t="shared" si="31"/>
        <v>2021-11</v>
      </c>
      <c r="D982" s="3">
        <v>165.3</v>
      </c>
      <c r="E982" s="3">
        <v>32.68</v>
      </c>
      <c r="F982" s="3">
        <v>324.45999999999998</v>
      </c>
      <c r="G982" s="3">
        <v>4.1399999999999997</v>
      </c>
    </row>
    <row r="983" spans="1:7" x14ac:dyDescent="0.2">
      <c r="A983" s="2">
        <v>44529</v>
      </c>
      <c r="B983" s="1">
        <f t="shared" si="30"/>
        <v>44501</v>
      </c>
      <c r="C983" s="4" t="str">
        <f t="shared" si="31"/>
        <v>2021-11</v>
      </c>
      <c r="D983" s="3">
        <v>160.24</v>
      </c>
      <c r="E983" s="3">
        <v>33.380000000000003</v>
      </c>
      <c r="F983" s="3">
        <v>338.03</v>
      </c>
      <c r="G983" s="3">
        <v>4.0599999999999996</v>
      </c>
    </row>
    <row r="984" spans="1:7" x14ac:dyDescent="0.2">
      <c r="A984" s="2">
        <v>44526</v>
      </c>
      <c r="B984" s="1">
        <f t="shared" si="30"/>
        <v>44501</v>
      </c>
      <c r="C984" s="4" t="str">
        <f t="shared" si="31"/>
        <v>2021-11</v>
      </c>
      <c r="D984" s="3">
        <v>156.81</v>
      </c>
      <c r="E984" s="3">
        <v>31.5</v>
      </c>
      <c r="F984" s="3">
        <v>333.12</v>
      </c>
      <c r="G984" s="3">
        <v>4.04</v>
      </c>
    </row>
    <row r="985" spans="1:7" x14ac:dyDescent="0.2">
      <c r="A985" s="2">
        <v>44524</v>
      </c>
      <c r="B985" s="1">
        <f t="shared" si="30"/>
        <v>44501</v>
      </c>
      <c r="C985" s="4" t="str">
        <f t="shared" si="31"/>
        <v>2021-11</v>
      </c>
      <c r="D985" s="3">
        <v>161.94</v>
      </c>
      <c r="E985" s="3">
        <v>32.67</v>
      </c>
      <c r="F985" s="3">
        <v>341.06</v>
      </c>
      <c r="G985" s="3">
        <v>4.2</v>
      </c>
    </row>
    <row r="986" spans="1:7" x14ac:dyDescent="0.2">
      <c r="A986" s="2">
        <v>44523</v>
      </c>
      <c r="B986" s="1">
        <f t="shared" si="30"/>
        <v>44501</v>
      </c>
      <c r="C986" s="4" t="str">
        <f t="shared" si="31"/>
        <v>2021-11</v>
      </c>
      <c r="D986" s="3">
        <v>161.41</v>
      </c>
      <c r="E986" s="3">
        <v>31.75</v>
      </c>
      <c r="F986" s="3">
        <v>337.25</v>
      </c>
      <c r="G986" s="3">
        <v>4.18</v>
      </c>
    </row>
    <row r="987" spans="1:7" x14ac:dyDescent="0.2">
      <c r="A987" s="2">
        <v>44522</v>
      </c>
      <c r="B987" s="1">
        <f t="shared" si="30"/>
        <v>44501</v>
      </c>
      <c r="C987" s="4" t="str">
        <f t="shared" si="31"/>
        <v>2021-11</v>
      </c>
      <c r="D987" s="3">
        <v>161.02000000000001</v>
      </c>
      <c r="E987" s="3">
        <v>31.96</v>
      </c>
      <c r="F987" s="3">
        <v>341.01</v>
      </c>
      <c r="G987" s="3">
        <v>4.22</v>
      </c>
    </row>
    <row r="988" spans="1:7" x14ac:dyDescent="0.2">
      <c r="A988" s="2">
        <v>44519</v>
      </c>
      <c r="B988" s="1">
        <f t="shared" si="30"/>
        <v>44501</v>
      </c>
      <c r="C988" s="4" t="str">
        <f t="shared" si="31"/>
        <v>2021-11</v>
      </c>
      <c r="D988" s="3">
        <v>160.55000000000001</v>
      </c>
      <c r="E988" s="3">
        <v>32.99</v>
      </c>
      <c r="F988" s="3">
        <v>345.3</v>
      </c>
      <c r="G988" s="3">
        <v>4.22</v>
      </c>
    </row>
    <row r="989" spans="1:7" x14ac:dyDescent="0.2">
      <c r="A989" s="2">
        <v>44518</v>
      </c>
      <c r="B989" s="1">
        <f t="shared" si="30"/>
        <v>44501</v>
      </c>
      <c r="C989" s="4" t="str">
        <f t="shared" si="31"/>
        <v>2021-11</v>
      </c>
      <c r="D989" s="3">
        <v>157.87</v>
      </c>
      <c r="E989" s="3">
        <v>31.68</v>
      </c>
      <c r="F989" s="3">
        <v>338.69</v>
      </c>
      <c r="G989" s="3">
        <v>4.29</v>
      </c>
    </row>
    <row r="990" spans="1:7" x14ac:dyDescent="0.2">
      <c r="A990" s="2">
        <v>44517</v>
      </c>
      <c r="B990" s="1">
        <f t="shared" si="30"/>
        <v>44501</v>
      </c>
      <c r="C990" s="4" t="str">
        <f t="shared" si="31"/>
        <v>2021-11</v>
      </c>
      <c r="D990" s="3">
        <v>153.49</v>
      </c>
      <c r="E990" s="3">
        <v>29.26</v>
      </c>
      <c r="F990" s="3">
        <v>340.77</v>
      </c>
      <c r="G990" s="3">
        <v>4.25</v>
      </c>
    </row>
    <row r="991" spans="1:7" x14ac:dyDescent="0.2">
      <c r="A991" s="2">
        <v>44516</v>
      </c>
      <c r="B991" s="1">
        <f t="shared" si="30"/>
        <v>44501</v>
      </c>
      <c r="C991" s="4" t="str">
        <f t="shared" si="31"/>
        <v>2021-11</v>
      </c>
      <c r="D991" s="3">
        <v>151</v>
      </c>
      <c r="E991" s="3">
        <v>30.2</v>
      </c>
      <c r="F991" s="3">
        <v>342.96</v>
      </c>
      <c r="G991" s="3">
        <v>4.4000000000000004</v>
      </c>
    </row>
    <row r="992" spans="1:7" x14ac:dyDescent="0.2">
      <c r="A992" s="2">
        <v>44515</v>
      </c>
      <c r="B992" s="1">
        <f t="shared" si="30"/>
        <v>44501</v>
      </c>
      <c r="C992" s="4" t="str">
        <f t="shared" si="31"/>
        <v>2021-11</v>
      </c>
      <c r="D992" s="3">
        <v>150</v>
      </c>
      <c r="E992" s="3">
        <v>30.03</v>
      </c>
      <c r="F992" s="3">
        <v>347.56</v>
      </c>
      <c r="G992" s="3">
        <v>4.3099999999999996</v>
      </c>
    </row>
    <row r="993" spans="1:7" x14ac:dyDescent="0.2">
      <c r="A993" s="2">
        <v>44512</v>
      </c>
      <c r="B993" s="1">
        <f t="shared" si="30"/>
        <v>44501</v>
      </c>
      <c r="C993" s="4" t="str">
        <f t="shared" si="31"/>
        <v>2021-11</v>
      </c>
      <c r="D993" s="3">
        <v>149.99</v>
      </c>
      <c r="E993" s="3">
        <v>30.39</v>
      </c>
      <c r="F993" s="3">
        <v>340.89</v>
      </c>
      <c r="G993" s="3">
        <v>4.37</v>
      </c>
    </row>
    <row r="994" spans="1:7" x14ac:dyDescent="0.2">
      <c r="A994" s="2">
        <v>44511</v>
      </c>
      <c r="B994" s="1">
        <f t="shared" si="30"/>
        <v>44501</v>
      </c>
      <c r="C994" s="4" t="str">
        <f t="shared" si="31"/>
        <v>2021-11</v>
      </c>
      <c r="D994" s="3">
        <v>147.87</v>
      </c>
      <c r="E994" s="3">
        <v>30.39</v>
      </c>
      <c r="F994" s="3">
        <v>327.74</v>
      </c>
      <c r="G994" s="3">
        <v>4.43</v>
      </c>
    </row>
    <row r="995" spans="1:7" x14ac:dyDescent="0.2">
      <c r="A995" s="2">
        <v>44510</v>
      </c>
      <c r="B995" s="1">
        <f t="shared" si="30"/>
        <v>44501</v>
      </c>
      <c r="C995" s="4" t="str">
        <f t="shared" si="31"/>
        <v>2021-11</v>
      </c>
      <c r="D995" s="3">
        <v>147.91999999999999</v>
      </c>
      <c r="E995" s="3">
        <v>29.46</v>
      </c>
      <c r="F995" s="3">
        <v>327.64</v>
      </c>
      <c r="G995" s="3">
        <v>4.38</v>
      </c>
    </row>
    <row r="996" spans="1:7" x14ac:dyDescent="0.2">
      <c r="A996" s="2">
        <v>44509</v>
      </c>
      <c r="B996" s="1">
        <f t="shared" si="30"/>
        <v>44501</v>
      </c>
      <c r="C996" s="4" t="str">
        <f t="shared" si="31"/>
        <v>2021-11</v>
      </c>
      <c r="D996" s="3">
        <v>150.81</v>
      </c>
      <c r="E996" s="3">
        <v>30.66</v>
      </c>
      <c r="F996" s="3">
        <v>335.37</v>
      </c>
      <c r="G996" s="3">
        <v>4.4800000000000004</v>
      </c>
    </row>
    <row r="997" spans="1:7" x14ac:dyDescent="0.2">
      <c r="A997" s="2">
        <v>44508</v>
      </c>
      <c r="B997" s="1">
        <f t="shared" si="30"/>
        <v>44501</v>
      </c>
      <c r="C997" s="4" t="str">
        <f t="shared" si="31"/>
        <v>2021-11</v>
      </c>
      <c r="D997" s="3">
        <v>150.44</v>
      </c>
      <c r="E997" s="3">
        <v>30.8</v>
      </c>
      <c r="F997" s="3">
        <v>338.62</v>
      </c>
      <c r="G997" s="3">
        <v>4.5</v>
      </c>
    </row>
    <row r="998" spans="1:7" x14ac:dyDescent="0.2">
      <c r="A998" s="2">
        <v>44505</v>
      </c>
      <c r="B998" s="1">
        <f t="shared" si="30"/>
        <v>44501</v>
      </c>
      <c r="C998" s="4" t="str">
        <f t="shared" si="31"/>
        <v>2021-11</v>
      </c>
      <c r="D998" s="3">
        <v>151.28</v>
      </c>
      <c r="E998" s="3">
        <v>29.75</v>
      </c>
      <c r="F998" s="3">
        <v>341.13</v>
      </c>
      <c r="G998" s="3">
        <v>4.66</v>
      </c>
    </row>
    <row r="999" spans="1:7" x14ac:dyDescent="0.2">
      <c r="A999" s="2">
        <v>44504</v>
      </c>
      <c r="B999" s="1">
        <f t="shared" si="30"/>
        <v>44501</v>
      </c>
      <c r="C999" s="4" t="str">
        <f t="shared" si="31"/>
        <v>2021-11</v>
      </c>
      <c r="D999" s="3">
        <v>150.96</v>
      </c>
      <c r="E999" s="3">
        <v>29.8</v>
      </c>
      <c r="F999" s="3">
        <v>335.85</v>
      </c>
      <c r="G999" s="3">
        <v>4.7</v>
      </c>
    </row>
    <row r="1000" spans="1:7" x14ac:dyDescent="0.2">
      <c r="A1000" s="2">
        <v>44503</v>
      </c>
      <c r="B1000" s="1">
        <f t="shared" si="30"/>
        <v>44501</v>
      </c>
      <c r="C1000" s="4" t="str">
        <f t="shared" si="31"/>
        <v>2021-11</v>
      </c>
      <c r="D1000" s="3">
        <v>151.49</v>
      </c>
      <c r="E1000" s="3">
        <v>26.6</v>
      </c>
      <c r="F1000" s="3">
        <v>331.62</v>
      </c>
      <c r="G1000" s="3">
        <v>4.1900000000000004</v>
      </c>
    </row>
    <row r="1001" spans="1:7" x14ac:dyDescent="0.2">
      <c r="A1001" s="2">
        <v>44502</v>
      </c>
      <c r="B1001" s="1">
        <f t="shared" si="30"/>
        <v>44501</v>
      </c>
      <c r="C1001" s="4" t="str">
        <f t="shared" si="31"/>
        <v>2021-11</v>
      </c>
      <c r="D1001" s="3">
        <v>150.02000000000001</v>
      </c>
      <c r="E1001" s="3">
        <v>26.4</v>
      </c>
      <c r="F1001" s="3">
        <v>328.08</v>
      </c>
      <c r="G1001" s="3">
        <v>3.71</v>
      </c>
    </row>
    <row r="1002" spans="1:7" x14ac:dyDescent="0.2">
      <c r="A1002" s="2">
        <v>44501</v>
      </c>
      <c r="B1002" s="1">
        <f t="shared" si="30"/>
        <v>44501</v>
      </c>
      <c r="C1002" s="4" t="str">
        <f t="shared" si="31"/>
        <v>2021-11</v>
      </c>
      <c r="D1002" s="3">
        <v>148.96</v>
      </c>
      <c r="E1002" s="3">
        <v>25.83</v>
      </c>
      <c r="F1002" s="3">
        <v>329.98</v>
      </c>
      <c r="G1002" s="3">
        <v>3.67</v>
      </c>
    </row>
    <row r="1003" spans="1:7" x14ac:dyDescent="0.2">
      <c r="A1003" s="2">
        <v>44498</v>
      </c>
      <c r="B1003" s="1">
        <f t="shared" si="30"/>
        <v>44470</v>
      </c>
      <c r="C1003" s="4" t="str">
        <f t="shared" si="31"/>
        <v>2021-10</v>
      </c>
      <c r="D1003" s="3">
        <v>149.80000000000001</v>
      </c>
      <c r="E1003" s="3">
        <v>25.57</v>
      </c>
      <c r="F1003" s="3">
        <v>323.57</v>
      </c>
      <c r="G1003" s="3">
        <v>3.54</v>
      </c>
    </row>
    <row r="1004" spans="1:7" x14ac:dyDescent="0.2">
      <c r="A1004" s="2">
        <v>44497</v>
      </c>
      <c r="B1004" s="1">
        <f t="shared" si="30"/>
        <v>44470</v>
      </c>
      <c r="C1004" s="4" t="str">
        <f t="shared" si="31"/>
        <v>2021-10</v>
      </c>
      <c r="D1004" s="3">
        <v>152.57</v>
      </c>
      <c r="E1004" s="3">
        <v>24.94</v>
      </c>
      <c r="F1004" s="3">
        <v>316.92</v>
      </c>
      <c r="G1004" s="3">
        <v>3.54</v>
      </c>
    </row>
    <row r="1005" spans="1:7" x14ac:dyDescent="0.2">
      <c r="A1005" s="2">
        <v>44496</v>
      </c>
      <c r="B1005" s="1">
        <f t="shared" si="30"/>
        <v>44470</v>
      </c>
      <c r="C1005" s="4" t="str">
        <f t="shared" si="31"/>
        <v>2021-10</v>
      </c>
      <c r="D1005" s="3">
        <v>148.85</v>
      </c>
      <c r="E1005" s="3">
        <v>24.45</v>
      </c>
      <c r="F1005" s="3">
        <v>312.22000000000003</v>
      </c>
      <c r="G1005" s="3">
        <v>3.53</v>
      </c>
    </row>
    <row r="1006" spans="1:7" x14ac:dyDescent="0.2">
      <c r="A1006" s="2">
        <v>44495</v>
      </c>
      <c r="B1006" s="1">
        <f t="shared" si="30"/>
        <v>44470</v>
      </c>
      <c r="C1006" s="4" t="str">
        <f t="shared" si="31"/>
        <v>2021-10</v>
      </c>
      <c r="D1006" s="3">
        <v>149.32</v>
      </c>
      <c r="E1006" s="3">
        <v>24.72</v>
      </c>
      <c r="F1006" s="3">
        <v>315.81</v>
      </c>
      <c r="G1006" s="3">
        <v>3.55</v>
      </c>
    </row>
    <row r="1007" spans="1:7" x14ac:dyDescent="0.2">
      <c r="A1007" s="2">
        <v>44494</v>
      </c>
      <c r="B1007" s="1">
        <f t="shared" si="30"/>
        <v>44470</v>
      </c>
      <c r="C1007" s="4" t="str">
        <f t="shared" si="31"/>
        <v>2021-10</v>
      </c>
      <c r="D1007" s="3">
        <v>148.63999999999999</v>
      </c>
      <c r="E1007" s="3">
        <v>23.17</v>
      </c>
      <c r="F1007" s="3">
        <v>328.69</v>
      </c>
      <c r="G1007" s="3">
        <v>3.53</v>
      </c>
    </row>
    <row r="1008" spans="1:7" x14ac:dyDescent="0.2">
      <c r="A1008" s="2">
        <v>44491</v>
      </c>
      <c r="B1008" s="1">
        <f t="shared" si="30"/>
        <v>44470</v>
      </c>
      <c r="C1008" s="4" t="str">
        <f t="shared" si="31"/>
        <v>2021-10</v>
      </c>
      <c r="D1008" s="3">
        <v>148.69</v>
      </c>
      <c r="E1008" s="3">
        <v>22.73</v>
      </c>
      <c r="F1008" s="3">
        <v>324.61</v>
      </c>
      <c r="G1008" s="3">
        <v>3.53</v>
      </c>
    </row>
    <row r="1009" spans="1:7" x14ac:dyDescent="0.2">
      <c r="A1009" s="2">
        <v>44490</v>
      </c>
      <c r="B1009" s="1">
        <f t="shared" si="30"/>
        <v>44470</v>
      </c>
      <c r="C1009" s="4" t="str">
        <f t="shared" si="31"/>
        <v>2021-10</v>
      </c>
      <c r="D1009" s="3">
        <v>149.47999999999999</v>
      </c>
      <c r="E1009" s="3">
        <v>22.69</v>
      </c>
      <c r="F1009" s="3">
        <v>341.88</v>
      </c>
      <c r="G1009" s="3">
        <v>3.54</v>
      </c>
    </row>
    <row r="1010" spans="1:7" x14ac:dyDescent="0.2">
      <c r="A1010" s="2">
        <v>44489</v>
      </c>
      <c r="B1010" s="1">
        <f t="shared" si="30"/>
        <v>44470</v>
      </c>
      <c r="C1010" s="4" t="str">
        <f t="shared" si="31"/>
        <v>2021-10</v>
      </c>
      <c r="D1010" s="3">
        <v>149.26</v>
      </c>
      <c r="E1010" s="3">
        <v>22.1</v>
      </c>
      <c r="F1010" s="3">
        <v>340.78</v>
      </c>
      <c r="G1010" s="3">
        <v>3.54</v>
      </c>
    </row>
    <row r="1011" spans="1:7" x14ac:dyDescent="0.2">
      <c r="A1011" s="2">
        <v>44488</v>
      </c>
      <c r="B1011" s="1">
        <f t="shared" si="30"/>
        <v>44470</v>
      </c>
      <c r="C1011" s="4" t="str">
        <f t="shared" si="31"/>
        <v>2021-10</v>
      </c>
      <c r="D1011" s="3">
        <v>148.76</v>
      </c>
      <c r="E1011" s="3">
        <v>22.29</v>
      </c>
      <c r="F1011" s="3">
        <v>339.99</v>
      </c>
      <c r="G1011" s="3">
        <v>3.52</v>
      </c>
    </row>
    <row r="1012" spans="1:7" x14ac:dyDescent="0.2">
      <c r="A1012" s="2">
        <v>44487</v>
      </c>
      <c r="B1012" s="1">
        <f t="shared" si="30"/>
        <v>44470</v>
      </c>
      <c r="C1012" s="4" t="str">
        <f t="shared" si="31"/>
        <v>2021-10</v>
      </c>
      <c r="D1012" s="3">
        <v>146.55000000000001</v>
      </c>
      <c r="E1012" s="3">
        <v>22.22</v>
      </c>
      <c r="F1012" s="3">
        <v>335.34</v>
      </c>
      <c r="G1012" s="3">
        <v>3.5</v>
      </c>
    </row>
    <row r="1013" spans="1:7" x14ac:dyDescent="0.2">
      <c r="A1013" s="2">
        <v>44484</v>
      </c>
      <c r="B1013" s="1">
        <f t="shared" si="30"/>
        <v>44470</v>
      </c>
      <c r="C1013" s="4" t="str">
        <f t="shared" si="31"/>
        <v>2021-10</v>
      </c>
      <c r="D1013" s="3">
        <v>144.84</v>
      </c>
      <c r="E1013" s="3">
        <v>21.86</v>
      </c>
      <c r="F1013" s="3">
        <v>324.76</v>
      </c>
      <c r="G1013" s="3">
        <v>3.54</v>
      </c>
    </row>
    <row r="1014" spans="1:7" x14ac:dyDescent="0.2">
      <c r="A1014" s="2">
        <v>44483</v>
      </c>
      <c r="B1014" s="1">
        <f t="shared" si="30"/>
        <v>44470</v>
      </c>
      <c r="C1014" s="4" t="str">
        <f t="shared" si="31"/>
        <v>2021-10</v>
      </c>
      <c r="D1014" s="3">
        <v>143.76</v>
      </c>
      <c r="E1014" s="3">
        <v>21.75</v>
      </c>
      <c r="F1014" s="3">
        <v>328.53</v>
      </c>
      <c r="G1014" s="3">
        <v>3.6</v>
      </c>
    </row>
    <row r="1015" spans="1:7" x14ac:dyDescent="0.2">
      <c r="A1015" s="2">
        <v>44482</v>
      </c>
      <c r="B1015" s="1">
        <f t="shared" si="30"/>
        <v>44470</v>
      </c>
      <c r="C1015" s="4" t="str">
        <f t="shared" si="31"/>
        <v>2021-10</v>
      </c>
      <c r="D1015" s="3">
        <v>140.91</v>
      </c>
      <c r="E1015" s="3">
        <v>20.94</v>
      </c>
      <c r="F1015" s="3">
        <v>324.54000000000002</v>
      </c>
      <c r="G1015" s="3">
        <v>3.58</v>
      </c>
    </row>
    <row r="1016" spans="1:7" x14ac:dyDescent="0.2">
      <c r="A1016" s="2">
        <v>44481</v>
      </c>
      <c r="B1016" s="1">
        <f t="shared" si="30"/>
        <v>44470</v>
      </c>
      <c r="C1016" s="4" t="str">
        <f t="shared" si="31"/>
        <v>2021-10</v>
      </c>
      <c r="D1016" s="3">
        <v>141.51</v>
      </c>
      <c r="E1016" s="3">
        <v>20.67</v>
      </c>
      <c r="F1016" s="3">
        <v>323.77</v>
      </c>
      <c r="G1016" s="3">
        <v>3.59</v>
      </c>
    </row>
    <row r="1017" spans="1:7" x14ac:dyDescent="0.2">
      <c r="A1017" s="2">
        <v>44480</v>
      </c>
      <c r="B1017" s="1">
        <f t="shared" si="30"/>
        <v>44470</v>
      </c>
      <c r="C1017" s="4" t="str">
        <f t="shared" si="31"/>
        <v>2021-10</v>
      </c>
      <c r="D1017" s="3">
        <v>142.81</v>
      </c>
      <c r="E1017" s="3">
        <v>20.7</v>
      </c>
      <c r="F1017" s="3">
        <v>325.45</v>
      </c>
      <c r="G1017" s="3">
        <v>3.7</v>
      </c>
    </row>
    <row r="1018" spans="1:7" x14ac:dyDescent="0.2">
      <c r="A1018" s="2">
        <v>44477</v>
      </c>
      <c r="B1018" s="1">
        <f t="shared" si="30"/>
        <v>44470</v>
      </c>
      <c r="C1018" s="4" t="str">
        <f t="shared" si="31"/>
        <v>2021-10</v>
      </c>
      <c r="D1018" s="3">
        <v>142.9</v>
      </c>
      <c r="E1018" s="3">
        <v>20.83</v>
      </c>
      <c r="F1018" s="3">
        <v>330.05</v>
      </c>
      <c r="G1018" s="3">
        <v>3.69</v>
      </c>
    </row>
    <row r="1019" spans="1:7" x14ac:dyDescent="0.2">
      <c r="A1019" s="2">
        <v>44476</v>
      </c>
      <c r="B1019" s="1">
        <f t="shared" si="30"/>
        <v>44470</v>
      </c>
      <c r="C1019" s="4" t="str">
        <f t="shared" si="31"/>
        <v>2021-10</v>
      </c>
      <c r="D1019" s="3">
        <v>143.29</v>
      </c>
      <c r="E1019" s="3">
        <v>21.08</v>
      </c>
      <c r="F1019" s="3">
        <v>329.22</v>
      </c>
      <c r="G1019" s="3">
        <v>3.73</v>
      </c>
    </row>
    <row r="1020" spans="1:7" x14ac:dyDescent="0.2">
      <c r="A1020" s="2">
        <v>44475</v>
      </c>
      <c r="B1020" s="1">
        <f t="shared" si="30"/>
        <v>44470</v>
      </c>
      <c r="C1020" s="4" t="str">
        <f t="shared" si="31"/>
        <v>2021-10</v>
      </c>
      <c r="D1020" s="3">
        <v>142</v>
      </c>
      <c r="E1020" s="3">
        <v>20.7</v>
      </c>
      <c r="F1020" s="3">
        <v>333.64</v>
      </c>
      <c r="G1020" s="3">
        <v>3.65</v>
      </c>
    </row>
    <row r="1021" spans="1:7" x14ac:dyDescent="0.2">
      <c r="A1021" s="2">
        <v>44474</v>
      </c>
      <c r="B1021" s="1">
        <f t="shared" si="30"/>
        <v>44470</v>
      </c>
      <c r="C1021" s="4" t="str">
        <f t="shared" si="31"/>
        <v>2021-10</v>
      </c>
      <c r="D1021" s="3">
        <v>141.11000000000001</v>
      </c>
      <c r="E1021" s="3">
        <v>20.45</v>
      </c>
      <c r="F1021" s="3">
        <v>332.96</v>
      </c>
      <c r="G1021" s="3">
        <v>3.73</v>
      </c>
    </row>
    <row r="1022" spans="1:7" x14ac:dyDescent="0.2">
      <c r="A1022" s="2">
        <v>44473</v>
      </c>
      <c r="B1022" s="1">
        <f t="shared" si="30"/>
        <v>44470</v>
      </c>
      <c r="C1022" s="4" t="str">
        <f t="shared" si="31"/>
        <v>2021-10</v>
      </c>
      <c r="D1022" s="3">
        <v>139.13999999999999</v>
      </c>
      <c r="E1022" s="3">
        <v>19.73</v>
      </c>
      <c r="F1022" s="3">
        <v>326.23</v>
      </c>
      <c r="G1022" s="3">
        <v>3.69</v>
      </c>
    </row>
    <row r="1023" spans="1:7" x14ac:dyDescent="0.2">
      <c r="A1023" s="2">
        <v>44470</v>
      </c>
      <c r="B1023" s="1">
        <f t="shared" si="30"/>
        <v>44470</v>
      </c>
      <c r="C1023" s="4" t="str">
        <f t="shared" si="31"/>
        <v>2021-10</v>
      </c>
      <c r="D1023" s="3">
        <v>142.65</v>
      </c>
      <c r="E1023" s="3">
        <v>20.74</v>
      </c>
      <c r="F1023" s="3">
        <v>343.01</v>
      </c>
      <c r="G1023" s="3">
        <v>3.74</v>
      </c>
    </row>
    <row r="1024" spans="1:7" x14ac:dyDescent="0.2">
      <c r="A1024" s="2">
        <v>44469</v>
      </c>
      <c r="B1024" s="1">
        <f t="shared" si="30"/>
        <v>44440</v>
      </c>
      <c r="C1024" s="4" t="str">
        <f t="shared" si="31"/>
        <v>2021-09</v>
      </c>
      <c r="D1024" s="3">
        <v>141.5</v>
      </c>
      <c r="E1024" s="3">
        <v>20.72</v>
      </c>
      <c r="F1024" s="3">
        <v>339.39</v>
      </c>
      <c r="G1024" s="3">
        <v>3.66</v>
      </c>
    </row>
    <row r="1025" spans="1:7" x14ac:dyDescent="0.2">
      <c r="A1025" s="2">
        <v>44468</v>
      </c>
      <c r="B1025" s="1">
        <f t="shared" si="30"/>
        <v>44440</v>
      </c>
      <c r="C1025" s="4" t="str">
        <f t="shared" si="31"/>
        <v>2021-09</v>
      </c>
      <c r="D1025" s="3">
        <v>142.83000000000001</v>
      </c>
      <c r="E1025" s="3">
        <v>20.52</v>
      </c>
      <c r="F1025" s="3">
        <v>339.61</v>
      </c>
      <c r="G1025" s="3">
        <v>3.67</v>
      </c>
    </row>
    <row r="1026" spans="1:7" x14ac:dyDescent="0.2">
      <c r="A1026" s="2">
        <v>44467</v>
      </c>
      <c r="B1026" s="1">
        <f t="shared" si="30"/>
        <v>44440</v>
      </c>
      <c r="C1026" s="4" t="str">
        <f t="shared" si="31"/>
        <v>2021-09</v>
      </c>
      <c r="D1026" s="3">
        <v>141.91</v>
      </c>
      <c r="E1026" s="3">
        <v>20.7</v>
      </c>
      <c r="F1026" s="3">
        <v>340.65</v>
      </c>
      <c r="G1026" s="3">
        <v>3.73</v>
      </c>
    </row>
    <row r="1027" spans="1:7" x14ac:dyDescent="0.2">
      <c r="A1027" s="2">
        <v>44466</v>
      </c>
      <c r="B1027" s="1">
        <f t="shared" ref="B1027:B1090" si="32">EOMONTH(A1027, -1)+1</f>
        <v>44440</v>
      </c>
      <c r="C1027" s="4" t="str">
        <f t="shared" ref="C1027:C1090" si="33">TEXT(A1027, "yyyy-mm")</f>
        <v>2021-09</v>
      </c>
      <c r="D1027" s="3">
        <v>145.37</v>
      </c>
      <c r="E1027" s="3">
        <v>21.66</v>
      </c>
      <c r="F1027" s="3">
        <v>353.58</v>
      </c>
      <c r="G1027" s="3">
        <v>3.79</v>
      </c>
    </row>
    <row r="1028" spans="1:7" x14ac:dyDescent="0.2">
      <c r="A1028" s="2">
        <v>44463</v>
      </c>
      <c r="B1028" s="1">
        <f t="shared" si="32"/>
        <v>44440</v>
      </c>
      <c r="C1028" s="4" t="str">
        <f t="shared" si="33"/>
        <v>2021-09</v>
      </c>
      <c r="D1028" s="3">
        <v>146.91999999999999</v>
      </c>
      <c r="E1028" s="3">
        <v>22.08</v>
      </c>
      <c r="F1028" s="3">
        <v>352.96</v>
      </c>
      <c r="G1028" s="3">
        <v>3.73</v>
      </c>
    </row>
    <row r="1029" spans="1:7" x14ac:dyDescent="0.2">
      <c r="A1029" s="2">
        <v>44462</v>
      </c>
      <c r="B1029" s="1">
        <f t="shared" si="32"/>
        <v>44440</v>
      </c>
      <c r="C1029" s="4" t="str">
        <f t="shared" si="33"/>
        <v>2021-09</v>
      </c>
      <c r="D1029" s="3">
        <v>146.83000000000001</v>
      </c>
      <c r="E1029" s="3">
        <v>22.48</v>
      </c>
      <c r="F1029" s="3">
        <v>345.96</v>
      </c>
      <c r="G1029" s="3">
        <v>3.75</v>
      </c>
    </row>
    <row r="1030" spans="1:7" x14ac:dyDescent="0.2">
      <c r="A1030" s="2">
        <v>44461</v>
      </c>
      <c r="B1030" s="1">
        <f t="shared" si="32"/>
        <v>44440</v>
      </c>
      <c r="C1030" s="4" t="str">
        <f t="shared" si="33"/>
        <v>2021-09</v>
      </c>
      <c r="D1030" s="3">
        <v>145.85</v>
      </c>
      <c r="E1030" s="3">
        <v>21.94</v>
      </c>
      <c r="F1030" s="3">
        <v>343.21</v>
      </c>
      <c r="G1030" s="3">
        <v>3.77</v>
      </c>
    </row>
    <row r="1031" spans="1:7" x14ac:dyDescent="0.2">
      <c r="A1031" s="2">
        <v>44460</v>
      </c>
      <c r="B1031" s="1">
        <f t="shared" si="32"/>
        <v>44440</v>
      </c>
      <c r="C1031" s="4" t="str">
        <f t="shared" si="33"/>
        <v>2021-09</v>
      </c>
      <c r="D1031" s="3">
        <v>143.43</v>
      </c>
      <c r="E1031" s="3">
        <v>21.25</v>
      </c>
      <c r="F1031" s="3">
        <v>357.48</v>
      </c>
      <c r="G1031" s="3">
        <v>3.67</v>
      </c>
    </row>
    <row r="1032" spans="1:7" x14ac:dyDescent="0.2">
      <c r="A1032" s="2">
        <v>44459</v>
      </c>
      <c r="B1032" s="1">
        <f t="shared" si="32"/>
        <v>44440</v>
      </c>
      <c r="C1032" s="4" t="str">
        <f t="shared" si="33"/>
        <v>2021-09</v>
      </c>
      <c r="D1032" s="3">
        <v>142.94</v>
      </c>
      <c r="E1032" s="3">
        <v>21.11</v>
      </c>
      <c r="F1032" s="3">
        <v>355.7</v>
      </c>
      <c r="G1032" s="3">
        <v>3.63</v>
      </c>
    </row>
    <row r="1033" spans="1:7" x14ac:dyDescent="0.2">
      <c r="A1033" s="2">
        <v>44456</v>
      </c>
      <c r="B1033" s="1">
        <f t="shared" si="32"/>
        <v>44440</v>
      </c>
      <c r="C1033" s="4" t="str">
        <f t="shared" si="33"/>
        <v>2021-09</v>
      </c>
      <c r="D1033" s="3">
        <v>146.06</v>
      </c>
      <c r="E1033" s="3">
        <v>21.9</v>
      </c>
      <c r="F1033" s="3">
        <v>364.72</v>
      </c>
      <c r="G1033" s="3">
        <v>3.73</v>
      </c>
    </row>
    <row r="1034" spans="1:7" x14ac:dyDescent="0.2">
      <c r="A1034" s="2">
        <v>44455</v>
      </c>
      <c r="B1034" s="1">
        <f t="shared" si="32"/>
        <v>44440</v>
      </c>
      <c r="C1034" s="4" t="str">
        <f t="shared" si="33"/>
        <v>2021-09</v>
      </c>
      <c r="D1034" s="3">
        <v>148.79</v>
      </c>
      <c r="E1034" s="3">
        <v>22.24</v>
      </c>
      <c r="F1034" s="3">
        <v>373.06</v>
      </c>
      <c r="G1034" s="3">
        <v>3.64</v>
      </c>
    </row>
    <row r="1035" spans="1:7" x14ac:dyDescent="0.2">
      <c r="A1035" s="2">
        <v>44454</v>
      </c>
      <c r="B1035" s="1">
        <f t="shared" si="32"/>
        <v>44440</v>
      </c>
      <c r="C1035" s="4" t="str">
        <f t="shared" si="33"/>
        <v>2021-09</v>
      </c>
      <c r="D1035" s="3">
        <v>149.03</v>
      </c>
      <c r="E1035" s="3">
        <v>22.34</v>
      </c>
      <c r="F1035" s="3">
        <v>373.92</v>
      </c>
      <c r="G1035" s="3">
        <v>3.64</v>
      </c>
    </row>
    <row r="1036" spans="1:7" x14ac:dyDescent="0.2">
      <c r="A1036" s="2">
        <v>44453</v>
      </c>
      <c r="B1036" s="1">
        <f t="shared" si="32"/>
        <v>44440</v>
      </c>
      <c r="C1036" s="4" t="str">
        <f t="shared" si="33"/>
        <v>2021-09</v>
      </c>
      <c r="D1036" s="3">
        <v>148.12</v>
      </c>
      <c r="E1036" s="3">
        <v>22.24</v>
      </c>
      <c r="F1036" s="3">
        <v>376.53</v>
      </c>
      <c r="G1036" s="3">
        <v>3.61</v>
      </c>
    </row>
    <row r="1037" spans="1:7" x14ac:dyDescent="0.2">
      <c r="A1037" s="2">
        <v>44452</v>
      </c>
      <c r="B1037" s="1">
        <f t="shared" si="32"/>
        <v>44440</v>
      </c>
      <c r="C1037" s="4" t="str">
        <f t="shared" si="33"/>
        <v>2021-09</v>
      </c>
      <c r="D1037" s="3">
        <v>149.55000000000001</v>
      </c>
      <c r="E1037" s="3">
        <v>22.15</v>
      </c>
      <c r="F1037" s="3">
        <v>376.51</v>
      </c>
      <c r="G1037" s="3">
        <v>3.71</v>
      </c>
    </row>
    <row r="1038" spans="1:7" x14ac:dyDescent="0.2">
      <c r="A1038" s="2">
        <v>44449</v>
      </c>
      <c r="B1038" s="1">
        <f t="shared" si="32"/>
        <v>44440</v>
      </c>
      <c r="C1038" s="4" t="str">
        <f t="shared" si="33"/>
        <v>2021-09</v>
      </c>
      <c r="D1038" s="3">
        <v>148.97</v>
      </c>
      <c r="E1038" s="3">
        <v>22.48</v>
      </c>
      <c r="F1038" s="3">
        <v>378.69</v>
      </c>
      <c r="G1038" s="3">
        <v>3.66</v>
      </c>
    </row>
    <row r="1039" spans="1:7" x14ac:dyDescent="0.2">
      <c r="A1039" s="2">
        <v>44448</v>
      </c>
      <c r="B1039" s="1">
        <f t="shared" si="32"/>
        <v>44440</v>
      </c>
      <c r="C1039" s="4" t="str">
        <f t="shared" si="33"/>
        <v>2021-09</v>
      </c>
      <c r="D1039" s="3">
        <v>154.07</v>
      </c>
      <c r="E1039" s="3">
        <v>22.18</v>
      </c>
      <c r="F1039" s="3">
        <v>378</v>
      </c>
      <c r="G1039" s="3">
        <v>3.65</v>
      </c>
    </row>
    <row r="1040" spans="1:7" x14ac:dyDescent="0.2">
      <c r="A1040" s="2">
        <v>44447</v>
      </c>
      <c r="B1040" s="1">
        <f t="shared" si="32"/>
        <v>44440</v>
      </c>
      <c r="C1040" s="4" t="str">
        <f t="shared" si="33"/>
        <v>2021-09</v>
      </c>
      <c r="D1040" s="3">
        <v>155.11000000000001</v>
      </c>
      <c r="E1040" s="3">
        <v>22.34</v>
      </c>
      <c r="F1040" s="3">
        <v>377.57</v>
      </c>
      <c r="G1040" s="3">
        <v>3.63</v>
      </c>
    </row>
    <row r="1041" spans="1:7" x14ac:dyDescent="0.2">
      <c r="A1041" s="2">
        <v>44446</v>
      </c>
      <c r="B1041" s="1">
        <f t="shared" si="32"/>
        <v>44440</v>
      </c>
      <c r="C1041" s="4" t="str">
        <f t="shared" si="33"/>
        <v>2021-09</v>
      </c>
      <c r="D1041" s="3">
        <v>156.69</v>
      </c>
      <c r="E1041" s="3">
        <v>22.66</v>
      </c>
      <c r="F1041" s="3">
        <v>382.18</v>
      </c>
      <c r="G1041" s="3">
        <v>3.67</v>
      </c>
    </row>
    <row r="1042" spans="1:7" x14ac:dyDescent="0.2">
      <c r="A1042" s="2">
        <v>44442</v>
      </c>
      <c r="B1042" s="1">
        <f t="shared" si="32"/>
        <v>44440</v>
      </c>
      <c r="C1042" s="4" t="str">
        <f t="shared" si="33"/>
        <v>2021-09</v>
      </c>
      <c r="D1042" s="3">
        <v>154.30000000000001</v>
      </c>
      <c r="E1042" s="3">
        <v>22.84</v>
      </c>
      <c r="F1042" s="3">
        <v>376.26</v>
      </c>
      <c r="G1042" s="3">
        <v>3.8</v>
      </c>
    </row>
    <row r="1043" spans="1:7" x14ac:dyDescent="0.2">
      <c r="A1043" s="2">
        <v>44441</v>
      </c>
      <c r="B1043" s="1">
        <f t="shared" si="32"/>
        <v>44440</v>
      </c>
      <c r="C1043" s="4" t="str">
        <f t="shared" si="33"/>
        <v>2021-09</v>
      </c>
      <c r="D1043" s="3">
        <v>153.65</v>
      </c>
      <c r="E1043" s="3">
        <v>22.4</v>
      </c>
      <c r="F1043" s="3">
        <v>375.28</v>
      </c>
      <c r="G1043" s="3">
        <v>3.78</v>
      </c>
    </row>
    <row r="1044" spans="1:7" x14ac:dyDescent="0.2">
      <c r="A1044" s="2">
        <v>44440</v>
      </c>
      <c r="B1044" s="1">
        <f t="shared" si="32"/>
        <v>44440</v>
      </c>
      <c r="C1044" s="4" t="str">
        <f t="shared" si="33"/>
        <v>2021-09</v>
      </c>
      <c r="D1044" s="3">
        <v>152.51</v>
      </c>
      <c r="E1044" s="3">
        <v>22.44</v>
      </c>
      <c r="F1044" s="3">
        <v>382.05</v>
      </c>
      <c r="G1044" s="3">
        <v>3.75</v>
      </c>
    </row>
    <row r="1045" spans="1:7" x14ac:dyDescent="0.2">
      <c r="A1045" s="2">
        <v>44439</v>
      </c>
      <c r="B1045" s="1">
        <f t="shared" si="32"/>
        <v>44409</v>
      </c>
      <c r="C1045" s="4" t="str">
        <f t="shared" si="33"/>
        <v>2021-08</v>
      </c>
      <c r="D1045" s="3">
        <v>151.83000000000001</v>
      </c>
      <c r="E1045" s="3">
        <v>22.39</v>
      </c>
      <c r="F1045" s="3">
        <v>379.38</v>
      </c>
      <c r="G1045" s="3">
        <v>3.65</v>
      </c>
    </row>
    <row r="1046" spans="1:7" x14ac:dyDescent="0.2">
      <c r="A1046" s="2">
        <v>44438</v>
      </c>
      <c r="B1046" s="1">
        <f t="shared" si="32"/>
        <v>44409</v>
      </c>
      <c r="C1046" s="4" t="str">
        <f t="shared" si="33"/>
        <v>2021-08</v>
      </c>
      <c r="D1046" s="3">
        <v>153.12</v>
      </c>
      <c r="E1046" s="3">
        <v>22.69</v>
      </c>
      <c r="F1046" s="3">
        <v>380.66</v>
      </c>
      <c r="G1046" s="3">
        <v>3.55</v>
      </c>
    </row>
    <row r="1047" spans="1:7" x14ac:dyDescent="0.2">
      <c r="A1047" s="2">
        <v>44435</v>
      </c>
      <c r="B1047" s="1">
        <f t="shared" si="32"/>
        <v>44409</v>
      </c>
      <c r="C1047" s="4" t="str">
        <f t="shared" si="33"/>
        <v>2021-08</v>
      </c>
      <c r="D1047" s="3">
        <v>148.6</v>
      </c>
      <c r="E1047" s="3">
        <v>22.64</v>
      </c>
      <c r="F1047" s="3">
        <v>372.63</v>
      </c>
      <c r="G1047" s="3">
        <v>3.57</v>
      </c>
    </row>
    <row r="1048" spans="1:7" x14ac:dyDescent="0.2">
      <c r="A1048" s="2">
        <v>44434</v>
      </c>
      <c r="B1048" s="1">
        <f t="shared" si="32"/>
        <v>44409</v>
      </c>
      <c r="C1048" s="4" t="str">
        <f t="shared" si="33"/>
        <v>2021-08</v>
      </c>
      <c r="D1048" s="3">
        <v>147.54</v>
      </c>
      <c r="E1048" s="3">
        <v>22.07</v>
      </c>
      <c r="F1048" s="3">
        <v>364.38</v>
      </c>
      <c r="G1048" s="3">
        <v>3.5</v>
      </c>
    </row>
    <row r="1049" spans="1:7" x14ac:dyDescent="0.2">
      <c r="A1049" s="2">
        <v>44433</v>
      </c>
      <c r="B1049" s="1">
        <f t="shared" si="32"/>
        <v>44409</v>
      </c>
      <c r="C1049" s="4" t="str">
        <f t="shared" si="33"/>
        <v>2021-08</v>
      </c>
      <c r="D1049" s="3">
        <v>148.36000000000001</v>
      </c>
      <c r="E1049" s="3">
        <v>22.21</v>
      </c>
      <c r="F1049" s="3">
        <v>368.39</v>
      </c>
      <c r="G1049" s="3">
        <v>3.56</v>
      </c>
    </row>
    <row r="1050" spans="1:7" x14ac:dyDescent="0.2">
      <c r="A1050" s="2">
        <v>44432</v>
      </c>
      <c r="B1050" s="1">
        <f t="shared" si="32"/>
        <v>44409</v>
      </c>
      <c r="C1050" s="4" t="str">
        <f t="shared" si="33"/>
        <v>2021-08</v>
      </c>
      <c r="D1050" s="3">
        <v>149.62</v>
      </c>
      <c r="E1050" s="3">
        <v>21.79</v>
      </c>
      <c r="F1050" s="3">
        <v>365.51</v>
      </c>
      <c r="G1050" s="3">
        <v>3.55</v>
      </c>
    </row>
    <row r="1051" spans="1:7" x14ac:dyDescent="0.2">
      <c r="A1051" s="2">
        <v>44431</v>
      </c>
      <c r="B1051" s="1">
        <f t="shared" si="32"/>
        <v>44409</v>
      </c>
      <c r="C1051" s="4" t="str">
        <f t="shared" si="33"/>
        <v>2021-08</v>
      </c>
      <c r="D1051" s="3">
        <v>149.71</v>
      </c>
      <c r="E1051" s="3">
        <v>21.96</v>
      </c>
      <c r="F1051" s="3">
        <v>363.35</v>
      </c>
      <c r="G1051" s="3">
        <v>3.59</v>
      </c>
    </row>
    <row r="1052" spans="1:7" x14ac:dyDescent="0.2">
      <c r="A1052" s="2">
        <v>44428</v>
      </c>
      <c r="B1052" s="1">
        <f t="shared" si="32"/>
        <v>44409</v>
      </c>
      <c r="C1052" s="4" t="str">
        <f t="shared" si="33"/>
        <v>2021-08</v>
      </c>
      <c r="D1052" s="3">
        <v>148.19</v>
      </c>
      <c r="E1052" s="3">
        <v>20.82</v>
      </c>
      <c r="F1052" s="3">
        <v>359.37</v>
      </c>
      <c r="G1052" s="3">
        <v>3.56</v>
      </c>
    </row>
    <row r="1053" spans="1:7" x14ac:dyDescent="0.2">
      <c r="A1053" s="2">
        <v>44427</v>
      </c>
      <c r="B1053" s="1">
        <f t="shared" si="32"/>
        <v>44409</v>
      </c>
      <c r="C1053" s="4" t="str">
        <f t="shared" si="33"/>
        <v>2021-08</v>
      </c>
      <c r="D1053" s="3">
        <v>146.69999999999999</v>
      </c>
      <c r="E1053" s="3">
        <v>19.8</v>
      </c>
      <c r="F1053" s="3">
        <v>355.12</v>
      </c>
      <c r="G1053" s="3">
        <v>3.48</v>
      </c>
    </row>
    <row r="1054" spans="1:7" x14ac:dyDescent="0.2">
      <c r="A1054" s="2">
        <v>44426</v>
      </c>
      <c r="B1054" s="1">
        <f t="shared" si="32"/>
        <v>44409</v>
      </c>
      <c r="C1054" s="4" t="str">
        <f t="shared" si="33"/>
        <v>2021-08</v>
      </c>
      <c r="D1054" s="3">
        <v>146.36000000000001</v>
      </c>
      <c r="E1054" s="3">
        <v>19.04</v>
      </c>
      <c r="F1054" s="3">
        <v>355.45</v>
      </c>
      <c r="G1054" s="3">
        <v>3.56</v>
      </c>
    </row>
    <row r="1055" spans="1:7" x14ac:dyDescent="0.2">
      <c r="A1055" s="2">
        <v>44425</v>
      </c>
      <c r="B1055" s="1">
        <f t="shared" si="32"/>
        <v>44409</v>
      </c>
      <c r="C1055" s="4" t="str">
        <f t="shared" si="33"/>
        <v>2021-08</v>
      </c>
      <c r="D1055" s="3">
        <v>150.19</v>
      </c>
      <c r="E1055" s="3">
        <v>19.46</v>
      </c>
      <c r="F1055" s="3">
        <v>358.45</v>
      </c>
      <c r="G1055" s="3">
        <v>3.66</v>
      </c>
    </row>
    <row r="1056" spans="1:7" x14ac:dyDescent="0.2">
      <c r="A1056" s="2">
        <v>44424</v>
      </c>
      <c r="B1056" s="1">
        <f t="shared" si="32"/>
        <v>44409</v>
      </c>
      <c r="C1056" s="4" t="str">
        <f t="shared" si="33"/>
        <v>2021-08</v>
      </c>
      <c r="D1056" s="3">
        <v>151.12</v>
      </c>
      <c r="E1056" s="3">
        <v>19.95</v>
      </c>
      <c r="F1056" s="3">
        <v>366.56</v>
      </c>
      <c r="G1056" s="3">
        <v>3.71</v>
      </c>
    </row>
    <row r="1057" spans="1:7" x14ac:dyDescent="0.2">
      <c r="A1057" s="2">
        <v>44421</v>
      </c>
      <c r="B1057" s="1">
        <f t="shared" si="32"/>
        <v>44409</v>
      </c>
      <c r="C1057" s="4" t="str">
        <f t="shared" si="33"/>
        <v>2021-08</v>
      </c>
      <c r="D1057" s="3">
        <v>149.1</v>
      </c>
      <c r="E1057" s="3">
        <v>20.190000000000001</v>
      </c>
      <c r="F1057" s="3">
        <v>363.18</v>
      </c>
      <c r="G1057" s="3">
        <v>3.63</v>
      </c>
    </row>
    <row r="1058" spans="1:7" x14ac:dyDescent="0.2">
      <c r="A1058" s="2">
        <v>44420</v>
      </c>
      <c r="B1058" s="1">
        <f t="shared" si="32"/>
        <v>44409</v>
      </c>
      <c r="C1058" s="4" t="str">
        <f t="shared" si="33"/>
        <v>2021-08</v>
      </c>
      <c r="D1058" s="3">
        <v>148.88999999999999</v>
      </c>
      <c r="E1058" s="3">
        <v>19.91</v>
      </c>
      <c r="F1058" s="3">
        <v>362.65</v>
      </c>
      <c r="G1058" s="3">
        <v>3.83</v>
      </c>
    </row>
    <row r="1059" spans="1:7" x14ac:dyDescent="0.2">
      <c r="A1059" s="2">
        <v>44419</v>
      </c>
      <c r="B1059" s="1">
        <f t="shared" si="32"/>
        <v>44409</v>
      </c>
      <c r="C1059" s="4" t="str">
        <f t="shared" si="33"/>
        <v>2021-08</v>
      </c>
      <c r="D1059" s="3">
        <v>145.86000000000001</v>
      </c>
      <c r="E1059" s="3">
        <v>19.7</v>
      </c>
      <c r="F1059" s="3">
        <v>359.96</v>
      </c>
      <c r="G1059" s="3">
        <v>3.88</v>
      </c>
    </row>
    <row r="1060" spans="1:7" x14ac:dyDescent="0.2">
      <c r="A1060" s="2">
        <v>44418</v>
      </c>
      <c r="B1060" s="1">
        <f t="shared" si="32"/>
        <v>44409</v>
      </c>
      <c r="C1060" s="4" t="str">
        <f t="shared" si="33"/>
        <v>2021-08</v>
      </c>
      <c r="D1060" s="3">
        <v>145.6</v>
      </c>
      <c r="E1060" s="3">
        <v>19.940000000000001</v>
      </c>
      <c r="F1060" s="3">
        <v>361.13</v>
      </c>
      <c r="G1060" s="3">
        <v>3.86</v>
      </c>
    </row>
    <row r="1061" spans="1:7" x14ac:dyDescent="0.2">
      <c r="A1061" s="2">
        <v>44417</v>
      </c>
      <c r="B1061" s="1">
        <f t="shared" si="32"/>
        <v>44409</v>
      </c>
      <c r="C1061" s="4" t="str">
        <f t="shared" si="33"/>
        <v>2021-08</v>
      </c>
      <c r="D1061" s="3">
        <v>146.09</v>
      </c>
      <c r="E1061" s="3">
        <v>20.3</v>
      </c>
      <c r="F1061" s="3">
        <v>361.61</v>
      </c>
      <c r="G1061" s="3">
        <v>3.89</v>
      </c>
    </row>
    <row r="1062" spans="1:7" x14ac:dyDescent="0.2">
      <c r="A1062" s="2">
        <v>44414</v>
      </c>
      <c r="B1062" s="1">
        <f t="shared" si="32"/>
        <v>44409</v>
      </c>
      <c r="C1062" s="4" t="str">
        <f t="shared" si="33"/>
        <v>2021-08</v>
      </c>
      <c r="D1062" s="3">
        <v>146.13999999999999</v>
      </c>
      <c r="E1062" s="3">
        <v>20.37</v>
      </c>
      <c r="F1062" s="3">
        <v>363.51</v>
      </c>
      <c r="G1062" s="3">
        <v>3.9</v>
      </c>
    </row>
    <row r="1063" spans="1:7" x14ac:dyDescent="0.2">
      <c r="A1063" s="2">
        <v>44413</v>
      </c>
      <c r="B1063" s="1">
        <f t="shared" si="32"/>
        <v>44409</v>
      </c>
      <c r="C1063" s="4" t="str">
        <f t="shared" si="33"/>
        <v>2021-08</v>
      </c>
      <c r="D1063" s="3">
        <v>147.06</v>
      </c>
      <c r="E1063" s="3">
        <v>20.64</v>
      </c>
      <c r="F1063" s="3">
        <v>362.97</v>
      </c>
      <c r="G1063" s="3">
        <v>3.86</v>
      </c>
    </row>
    <row r="1064" spans="1:7" x14ac:dyDescent="0.2">
      <c r="A1064" s="2">
        <v>44412</v>
      </c>
      <c r="B1064" s="1">
        <f t="shared" si="32"/>
        <v>44409</v>
      </c>
      <c r="C1064" s="4" t="str">
        <f t="shared" si="33"/>
        <v>2021-08</v>
      </c>
      <c r="D1064" s="3">
        <v>146.94999999999999</v>
      </c>
      <c r="E1064" s="3">
        <v>20.27</v>
      </c>
      <c r="F1064" s="3">
        <v>358.92</v>
      </c>
      <c r="G1064" s="3">
        <v>3.78</v>
      </c>
    </row>
    <row r="1065" spans="1:7" x14ac:dyDescent="0.2">
      <c r="A1065" s="2">
        <v>44411</v>
      </c>
      <c r="B1065" s="1">
        <f t="shared" si="32"/>
        <v>44409</v>
      </c>
      <c r="C1065" s="4" t="str">
        <f t="shared" si="33"/>
        <v>2021-08</v>
      </c>
      <c r="D1065" s="3">
        <v>147.36000000000001</v>
      </c>
      <c r="E1065" s="3">
        <v>19.82</v>
      </c>
      <c r="F1065" s="3">
        <v>351.24</v>
      </c>
      <c r="G1065" s="3">
        <v>3.79</v>
      </c>
    </row>
    <row r="1066" spans="1:7" x14ac:dyDescent="0.2">
      <c r="A1066" s="2">
        <v>44410</v>
      </c>
      <c r="B1066" s="1">
        <f t="shared" si="32"/>
        <v>44409</v>
      </c>
      <c r="C1066" s="4" t="str">
        <f t="shared" si="33"/>
        <v>2021-08</v>
      </c>
      <c r="D1066" s="3">
        <v>145.52000000000001</v>
      </c>
      <c r="E1066" s="3">
        <v>19.75</v>
      </c>
      <c r="F1066" s="3">
        <v>351.95</v>
      </c>
      <c r="G1066" s="3">
        <v>3.75</v>
      </c>
    </row>
    <row r="1067" spans="1:7" x14ac:dyDescent="0.2">
      <c r="A1067" s="2">
        <v>44407</v>
      </c>
      <c r="B1067" s="1">
        <f t="shared" si="32"/>
        <v>44378</v>
      </c>
      <c r="C1067" s="4" t="str">
        <f t="shared" si="33"/>
        <v>2021-07</v>
      </c>
      <c r="D1067" s="3">
        <v>145.86000000000001</v>
      </c>
      <c r="E1067" s="3">
        <v>19.5</v>
      </c>
      <c r="F1067" s="3">
        <v>356.3</v>
      </c>
      <c r="G1067" s="3">
        <v>3.8</v>
      </c>
    </row>
    <row r="1068" spans="1:7" x14ac:dyDescent="0.2">
      <c r="A1068" s="2">
        <v>44406</v>
      </c>
      <c r="B1068" s="1">
        <f t="shared" si="32"/>
        <v>44378</v>
      </c>
      <c r="C1068" s="4" t="str">
        <f t="shared" si="33"/>
        <v>2021-07</v>
      </c>
      <c r="D1068" s="3">
        <v>145.63999999999999</v>
      </c>
      <c r="E1068" s="3">
        <v>19.66</v>
      </c>
      <c r="F1068" s="3">
        <v>358.32</v>
      </c>
      <c r="G1068" s="3">
        <v>3.74</v>
      </c>
    </row>
    <row r="1069" spans="1:7" x14ac:dyDescent="0.2">
      <c r="A1069" s="2">
        <v>44405</v>
      </c>
      <c r="B1069" s="1">
        <f t="shared" si="32"/>
        <v>44378</v>
      </c>
      <c r="C1069" s="4" t="str">
        <f t="shared" si="33"/>
        <v>2021-07</v>
      </c>
      <c r="D1069" s="3">
        <v>144.97999999999999</v>
      </c>
      <c r="E1069" s="3">
        <v>19.5</v>
      </c>
      <c r="F1069" s="3">
        <v>373.28</v>
      </c>
      <c r="G1069" s="3">
        <v>3.57</v>
      </c>
    </row>
    <row r="1070" spans="1:7" x14ac:dyDescent="0.2">
      <c r="A1070" s="2">
        <v>44404</v>
      </c>
      <c r="B1070" s="1">
        <f t="shared" si="32"/>
        <v>44378</v>
      </c>
      <c r="C1070" s="4" t="str">
        <f t="shared" si="33"/>
        <v>2021-07</v>
      </c>
      <c r="D1070" s="3">
        <v>146.77000000000001</v>
      </c>
      <c r="E1070" s="3">
        <v>19.21</v>
      </c>
      <c r="F1070" s="3">
        <v>367.81</v>
      </c>
      <c r="G1070" s="3">
        <v>3.5</v>
      </c>
    </row>
    <row r="1071" spans="1:7" x14ac:dyDescent="0.2">
      <c r="A1071" s="2">
        <v>44403</v>
      </c>
      <c r="B1071" s="1">
        <f t="shared" si="32"/>
        <v>44378</v>
      </c>
      <c r="C1071" s="4" t="str">
        <f t="shared" si="33"/>
        <v>2021-07</v>
      </c>
      <c r="D1071" s="3">
        <v>148.99</v>
      </c>
      <c r="E1071" s="3">
        <v>19.29</v>
      </c>
      <c r="F1071" s="3">
        <v>372.46</v>
      </c>
      <c r="G1071" s="3">
        <v>3.53</v>
      </c>
    </row>
    <row r="1072" spans="1:7" x14ac:dyDescent="0.2">
      <c r="A1072" s="2">
        <v>44400</v>
      </c>
      <c r="B1072" s="1">
        <f t="shared" si="32"/>
        <v>44378</v>
      </c>
      <c r="C1072" s="4" t="str">
        <f t="shared" si="33"/>
        <v>2021-07</v>
      </c>
      <c r="D1072" s="3">
        <v>148.56</v>
      </c>
      <c r="E1072" s="3">
        <v>19.559999999999999</v>
      </c>
      <c r="F1072" s="3">
        <v>369.79</v>
      </c>
      <c r="G1072" s="3">
        <v>3.51</v>
      </c>
    </row>
    <row r="1073" spans="1:7" x14ac:dyDescent="0.2">
      <c r="A1073" s="2">
        <v>44399</v>
      </c>
      <c r="B1073" s="1">
        <f t="shared" si="32"/>
        <v>44378</v>
      </c>
      <c r="C1073" s="4" t="str">
        <f t="shared" si="33"/>
        <v>2021-07</v>
      </c>
      <c r="D1073" s="3">
        <v>146.80000000000001</v>
      </c>
      <c r="E1073" s="3">
        <v>19.59</v>
      </c>
      <c r="F1073" s="3">
        <v>351.19</v>
      </c>
      <c r="G1073" s="3">
        <v>3.44</v>
      </c>
    </row>
    <row r="1074" spans="1:7" x14ac:dyDescent="0.2">
      <c r="A1074" s="2">
        <v>44398</v>
      </c>
      <c r="B1074" s="1">
        <f t="shared" si="32"/>
        <v>44378</v>
      </c>
      <c r="C1074" s="4" t="str">
        <f t="shared" si="33"/>
        <v>2021-07</v>
      </c>
      <c r="D1074" s="3">
        <v>145.4</v>
      </c>
      <c r="E1074" s="3">
        <v>19.41</v>
      </c>
      <c r="F1074" s="3">
        <v>346.23</v>
      </c>
      <c r="G1074" s="3">
        <v>3.51</v>
      </c>
    </row>
    <row r="1075" spans="1:7" x14ac:dyDescent="0.2">
      <c r="A1075" s="2">
        <v>44397</v>
      </c>
      <c r="B1075" s="1">
        <f t="shared" si="32"/>
        <v>44378</v>
      </c>
      <c r="C1075" s="4" t="str">
        <f t="shared" si="33"/>
        <v>2021-07</v>
      </c>
      <c r="D1075" s="3">
        <v>146.15</v>
      </c>
      <c r="E1075" s="3">
        <v>18.61</v>
      </c>
      <c r="F1075" s="3">
        <v>341.66</v>
      </c>
      <c r="G1075" s="3">
        <v>3.48</v>
      </c>
    </row>
    <row r="1076" spans="1:7" x14ac:dyDescent="0.2">
      <c r="A1076" s="2">
        <v>44396</v>
      </c>
      <c r="B1076" s="1">
        <f t="shared" si="32"/>
        <v>44378</v>
      </c>
      <c r="C1076" s="4" t="str">
        <f t="shared" si="33"/>
        <v>2021-07</v>
      </c>
      <c r="D1076" s="3">
        <v>142.44999999999999</v>
      </c>
      <c r="E1076" s="3">
        <v>18.78</v>
      </c>
      <c r="F1076" s="3">
        <v>336.95</v>
      </c>
      <c r="G1076" s="3">
        <v>3.49</v>
      </c>
    </row>
    <row r="1077" spans="1:7" x14ac:dyDescent="0.2">
      <c r="A1077" s="2">
        <v>44393</v>
      </c>
      <c r="B1077" s="1">
        <f t="shared" si="32"/>
        <v>44378</v>
      </c>
      <c r="C1077" s="4" t="str">
        <f t="shared" si="33"/>
        <v>2021-07</v>
      </c>
      <c r="D1077" s="3">
        <v>146.38999999999999</v>
      </c>
      <c r="E1077" s="3">
        <v>18.16</v>
      </c>
      <c r="F1077" s="3">
        <v>341.16</v>
      </c>
      <c r="G1077" s="3">
        <v>3.41</v>
      </c>
    </row>
    <row r="1078" spans="1:7" x14ac:dyDescent="0.2">
      <c r="A1078" s="2">
        <v>44392</v>
      </c>
      <c r="B1078" s="1">
        <f t="shared" si="32"/>
        <v>44378</v>
      </c>
      <c r="C1078" s="4" t="str">
        <f t="shared" si="33"/>
        <v>2021-07</v>
      </c>
      <c r="D1078" s="3">
        <v>148.47999999999999</v>
      </c>
      <c r="E1078" s="3">
        <v>18.97</v>
      </c>
      <c r="F1078" s="3">
        <v>344.46</v>
      </c>
      <c r="G1078" s="3">
        <v>3.46</v>
      </c>
    </row>
    <row r="1079" spans="1:7" x14ac:dyDescent="0.2">
      <c r="A1079" s="2">
        <v>44391</v>
      </c>
      <c r="B1079" s="1">
        <f t="shared" si="32"/>
        <v>44378</v>
      </c>
      <c r="C1079" s="4" t="str">
        <f t="shared" si="33"/>
        <v>2021-07</v>
      </c>
      <c r="D1079" s="3">
        <v>149.15</v>
      </c>
      <c r="E1079" s="3">
        <v>19.84</v>
      </c>
      <c r="F1079" s="3">
        <v>347.63</v>
      </c>
      <c r="G1079" s="3">
        <v>3.45</v>
      </c>
    </row>
    <row r="1080" spans="1:7" x14ac:dyDescent="0.2">
      <c r="A1080" s="2">
        <v>44390</v>
      </c>
      <c r="B1080" s="1">
        <f t="shared" si="32"/>
        <v>44378</v>
      </c>
      <c r="C1080" s="4" t="str">
        <f t="shared" si="33"/>
        <v>2021-07</v>
      </c>
      <c r="D1080" s="3">
        <v>145.63999999999999</v>
      </c>
      <c r="E1080" s="3">
        <v>20.25</v>
      </c>
      <c r="F1080" s="3">
        <v>352.09</v>
      </c>
      <c r="G1080" s="3">
        <v>3.3</v>
      </c>
    </row>
    <row r="1081" spans="1:7" x14ac:dyDescent="0.2">
      <c r="A1081" s="2">
        <v>44389</v>
      </c>
      <c r="B1081" s="1">
        <f t="shared" si="32"/>
        <v>44378</v>
      </c>
      <c r="C1081" s="4" t="str">
        <f t="shared" si="33"/>
        <v>2021-07</v>
      </c>
      <c r="D1081" s="3">
        <v>144.5</v>
      </c>
      <c r="E1081" s="3">
        <v>20.51</v>
      </c>
      <c r="F1081" s="3">
        <v>353.16</v>
      </c>
      <c r="G1081" s="3">
        <v>3.36</v>
      </c>
    </row>
    <row r="1082" spans="1:7" x14ac:dyDescent="0.2">
      <c r="A1082" s="2">
        <v>44386</v>
      </c>
      <c r="B1082" s="1">
        <f t="shared" si="32"/>
        <v>44378</v>
      </c>
      <c r="C1082" s="4" t="str">
        <f t="shared" si="33"/>
        <v>2021-07</v>
      </c>
      <c r="D1082" s="3">
        <v>145.11000000000001</v>
      </c>
      <c r="E1082" s="3">
        <v>20.05</v>
      </c>
      <c r="F1082" s="3">
        <v>350.42</v>
      </c>
      <c r="G1082" s="3">
        <v>3.46</v>
      </c>
    </row>
    <row r="1083" spans="1:7" x14ac:dyDescent="0.2">
      <c r="A1083" s="2">
        <v>44385</v>
      </c>
      <c r="B1083" s="1">
        <f t="shared" si="32"/>
        <v>44378</v>
      </c>
      <c r="C1083" s="4" t="str">
        <f t="shared" si="33"/>
        <v>2021-07</v>
      </c>
      <c r="D1083" s="3">
        <v>143.24</v>
      </c>
      <c r="E1083" s="3">
        <v>19.899999999999999</v>
      </c>
      <c r="F1083" s="3">
        <v>345.65</v>
      </c>
      <c r="G1083" s="3">
        <v>3.38</v>
      </c>
    </row>
    <row r="1084" spans="1:7" x14ac:dyDescent="0.2">
      <c r="A1084" s="2">
        <v>44384</v>
      </c>
      <c r="B1084" s="1">
        <f t="shared" si="32"/>
        <v>44378</v>
      </c>
      <c r="C1084" s="4" t="str">
        <f t="shared" si="33"/>
        <v>2021-07</v>
      </c>
      <c r="D1084" s="3">
        <v>144.57</v>
      </c>
      <c r="E1084" s="3">
        <v>20.37</v>
      </c>
      <c r="F1084" s="3">
        <v>350.49</v>
      </c>
      <c r="G1084" s="3">
        <v>3.43</v>
      </c>
    </row>
    <row r="1085" spans="1:7" x14ac:dyDescent="0.2">
      <c r="A1085" s="2">
        <v>44383</v>
      </c>
      <c r="B1085" s="1">
        <f t="shared" si="32"/>
        <v>44378</v>
      </c>
      <c r="C1085" s="4" t="str">
        <f t="shared" si="33"/>
        <v>2021-07</v>
      </c>
      <c r="D1085" s="3">
        <v>142.02000000000001</v>
      </c>
      <c r="E1085" s="3">
        <v>20.7</v>
      </c>
      <c r="F1085" s="3">
        <v>352.78</v>
      </c>
      <c r="G1085" s="3">
        <v>3.46</v>
      </c>
    </row>
    <row r="1086" spans="1:7" x14ac:dyDescent="0.2">
      <c r="A1086" s="2">
        <v>44379</v>
      </c>
      <c r="B1086" s="1">
        <f t="shared" si="32"/>
        <v>44378</v>
      </c>
      <c r="C1086" s="4" t="str">
        <f t="shared" si="33"/>
        <v>2021-07</v>
      </c>
      <c r="D1086" s="3">
        <v>139.96</v>
      </c>
      <c r="E1086" s="3">
        <v>20.49</v>
      </c>
      <c r="F1086" s="3">
        <v>354.7</v>
      </c>
      <c r="G1086" s="3">
        <v>3.54</v>
      </c>
    </row>
    <row r="1087" spans="1:7" x14ac:dyDescent="0.2">
      <c r="A1087" s="2">
        <v>44378</v>
      </c>
      <c r="B1087" s="1">
        <f t="shared" si="32"/>
        <v>44378</v>
      </c>
      <c r="C1087" s="4" t="str">
        <f t="shared" si="33"/>
        <v>2021-07</v>
      </c>
      <c r="D1087" s="3">
        <v>137.27000000000001</v>
      </c>
      <c r="E1087" s="3">
        <v>20.21</v>
      </c>
      <c r="F1087" s="3">
        <v>354.39</v>
      </c>
      <c r="G1087" s="3">
        <v>3.55</v>
      </c>
    </row>
    <row r="1088" spans="1:7" x14ac:dyDescent="0.2">
      <c r="A1088" s="2">
        <v>44377</v>
      </c>
      <c r="B1088" s="1">
        <f t="shared" si="32"/>
        <v>44348</v>
      </c>
      <c r="C1088" s="4" t="str">
        <f t="shared" si="33"/>
        <v>2021-06</v>
      </c>
      <c r="D1088" s="3">
        <v>136.96</v>
      </c>
      <c r="E1088" s="3">
        <v>20</v>
      </c>
      <c r="F1088" s="3">
        <v>347.71</v>
      </c>
      <c r="G1088" s="3">
        <v>3.52</v>
      </c>
    </row>
    <row r="1089" spans="1:7" x14ac:dyDescent="0.2">
      <c r="A1089" s="2">
        <v>44376</v>
      </c>
      <c r="B1089" s="1">
        <f t="shared" si="32"/>
        <v>44348</v>
      </c>
      <c r="C1089" s="4" t="str">
        <f t="shared" si="33"/>
        <v>2021-06</v>
      </c>
      <c r="D1089" s="3">
        <v>136.33000000000001</v>
      </c>
      <c r="E1089" s="3">
        <v>20.03</v>
      </c>
      <c r="F1089" s="3">
        <v>351.89</v>
      </c>
      <c r="G1089" s="3">
        <v>3.54</v>
      </c>
    </row>
    <row r="1090" spans="1:7" x14ac:dyDescent="0.2">
      <c r="A1090" s="2">
        <v>44375</v>
      </c>
      <c r="B1090" s="1">
        <f t="shared" si="32"/>
        <v>44348</v>
      </c>
      <c r="C1090" s="4" t="str">
        <f t="shared" si="33"/>
        <v>2021-06</v>
      </c>
      <c r="D1090" s="3">
        <v>134.78</v>
      </c>
      <c r="E1090" s="3">
        <v>19.989999999999998</v>
      </c>
      <c r="F1090" s="3">
        <v>355.64</v>
      </c>
      <c r="G1090" s="3">
        <v>3.55</v>
      </c>
    </row>
    <row r="1091" spans="1:7" x14ac:dyDescent="0.2">
      <c r="A1091" s="2">
        <v>44372</v>
      </c>
      <c r="B1091" s="1">
        <f t="shared" ref="B1091:B1154" si="34">EOMONTH(A1091, -1)+1</f>
        <v>44348</v>
      </c>
      <c r="C1091" s="4" t="str">
        <f t="shared" ref="C1091:C1154" si="35">TEXT(A1091, "yyyy-mm")</f>
        <v>2021-06</v>
      </c>
      <c r="D1091" s="3">
        <v>133.11000000000001</v>
      </c>
      <c r="E1091" s="3">
        <v>19.03</v>
      </c>
      <c r="F1091" s="3">
        <v>341.37</v>
      </c>
      <c r="G1091" s="3">
        <v>3.6</v>
      </c>
    </row>
    <row r="1092" spans="1:7" x14ac:dyDescent="0.2">
      <c r="A1092" s="2">
        <v>44371</v>
      </c>
      <c r="B1092" s="1">
        <f t="shared" si="34"/>
        <v>44348</v>
      </c>
      <c r="C1092" s="4" t="str">
        <f t="shared" si="35"/>
        <v>2021-06</v>
      </c>
      <c r="D1092" s="3">
        <v>133.41</v>
      </c>
      <c r="E1092" s="3">
        <v>19.21</v>
      </c>
      <c r="F1092" s="3">
        <v>343.18</v>
      </c>
      <c r="G1092" s="3">
        <v>3.54</v>
      </c>
    </row>
    <row r="1093" spans="1:7" x14ac:dyDescent="0.2">
      <c r="A1093" s="2">
        <v>44370</v>
      </c>
      <c r="B1093" s="1">
        <f t="shared" si="34"/>
        <v>44348</v>
      </c>
      <c r="C1093" s="4" t="str">
        <f t="shared" si="35"/>
        <v>2021-06</v>
      </c>
      <c r="D1093" s="3">
        <v>133.69999999999999</v>
      </c>
      <c r="E1093" s="3">
        <v>19.059999999999999</v>
      </c>
      <c r="F1093" s="3">
        <v>340.59</v>
      </c>
      <c r="G1093" s="3">
        <v>3.43</v>
      </c>
    </row>
    <row r="1094" spans="1:7" x14ac:dyDescent="0.2">
      <c r="A1094" s="2">
        <v>44369</v>
      </c>
      <c r="B1094" s="1">
        <f t="shared" si="34"/>
        <v>44348</v>
      </c>
      <c r="C1094" s="4" t="str">
        <f t="shared" si="35"/>
        <v>2021-06</v>
      </c>
      <c r="D1094" s="3">
        <v>133.97999999999999</v>
      </c>
      <c r="E1094" s="3">
        <v>18.89</v>
      </c>
      <c r="F1094" s="3">
        <v>339.03</v>
      </c>
      <c r="G1094" s="3">
        <v>3.4</v>
      </c>
    </row>
    <row r="1095" spans="1:7" x14ac:dyDescent="0.2">
      <c r="A1095" s="2">
        <v>44368</v>
      </c>
      <c r="B1095" s="1">
        <f t="shared" si="34"/>
        <v>44348</v>
      </c>
      <c r="C1095" s="4" t="str">
        <f t="shared" si="35"/>
        <v>2021-06</v>
      </c>
      <c r="D1095" s="3">
        <v>132.30000000000001</v>
      </c>
      <c r="E1095" s="3">
        <v>18.43</v>
      </c>
      <c r="F1095" s="3">
        <v>332.29</v>
      </c>
      <c r="G1095" s="3">
        <v>3.49</v>
      </c>
    </row>
    <row r="1096" spans="1:7" x14ac:dyDescent="0.2">
      <c r="A1096" s="2">
        <v>44365</v>
      </c>
      <c r="B1096" s="1">
        <f t="shared" si="34"/>
        <v>44348</v>
      </c>
      <c r="C1096" s="4" t="str">
        <f t="shared" si="35"/>
        <v>2021-06</v>
      </c>
      <c r="D1096" s="3">
        <v>130.46</v>
      </c>
      <c r="E1096" s="3">
        <v>18.64</v>
      </c>
      <c r="F1096" s="3">
        <v>329.66</v>
      </c>
      <c r="G1096" s="3">
        <v>3.43</v>
      </c>
    </row>
    <row r="1097" spans="1:7" x14ac:dyDescent="0.2">
      <c r="A1097" s="2">
        <v>44364</v>
      </c>
      <c r="B1097" s="1">
        <f t="shared" si="34"/>
        <v>44348</v>
      </c>
      <c r="C1097" s="4" t="str">
        <f t="shared" si="35"/>
        <v>2021-06</v>
      </c>
      <c r="D1097" s="3">
        <v>131.79</v>
      </c>
      <c r="E1097" s="3">
        <v>18.66</v>
      </c>
      <c r="F1097" s="3">
        <v>336.51</v>
      </c>
      <c r="G1097" s="3">
        <v>3.54</v>
      </c>
    </row>
    <row r="1098" spans="1:7" x14ac:dyDescent="0.2">
      <c r="A1098" s="2">
        <v>44363</v>
      </c>
      <c r="B1098" s="1">
        <f t="shared" si="34"/>
        <v>44348</v>
      </c>
      <c r="C1098" s="4" t="str">
        <f t="shared" si="35"/>
        <v>2021-06</v>
      </c>
      <c r="D1098" s="3">
        <v>130.15</v>
      </c>
      <c r="E1098" s="3">
        <v>17.809999999999999</v>
      </c>
      <c r="F1098" s="3">
        <v>331.08</v>
      </c>
      <c r="G1098" s="3">
        <v>3.58</v>
      </c>
    </row>
    <row r="1099" spans="1:7" x14ac:dyDescent="0.2">
      <c r="A1099" s="2">
        <v>44362</v>
      </c>
      <c r="B1099" s="1">
        <f t="shared" si="34"/>
        <v>44348</v>
      </c>
      <c r="C1099" s="4" t="str">
        <f t="shared" si="35"/>
        <v>2021-06</v>
      </c>
      <c r="D1099" s="3">
        <v>129.63999999999999</v>
      </c>
      <c r="E1099" s="3">
        <v>17.79</v>
      </c>
      <c r="F1099" s="3">
        <v>336.75</v>
      </c>
      <c r="G1099" s="3">
        <v>3.62</v>
      </c>
    </row>
    <row r="1100" spans="1:7" x14ac:dyDescent="0.2">
      <c r="A1100" s="2">
        <v>44361</v>
      </c>
      <c r="B1100" s="1">
        <f t="shared" si="34"/>
        <v>44348</v>
      </c>
      <c r="C1100" s="4" t="str">
        <f t="shared" si="35"/>
        <v>2021-06</v>
      </c>
      <c r="D1100" s="3">
        <v>130.47999999999999</v>
      </c>
      <c r="E1100" s="3">
        <v>18.02</v>
      </c>
      <c r="F1100" s="3">
        <v>336.77</v>
      </c>
      <c r="G1100" s="3">
        <v>3.62</v>
      </c>
    </row>
    <row r="1101" spans="1:7" x14ac:dyDescent="0.2">
      <c r="A1101" s="2">
        <v>44358</v>
      </c>
      <c r="B1101" s="1">
        <f t="shared" si="34"/>
        <v>44348</v>
      </c>
      <c r="C1101" s="4" t="str">
        <f t="shared" si="35"/>
        <v>2021-06</v>
      </c>
      <c r="D1101" s="3">
        <v>127.35</v>
      </c>
      <c r="E1101" s="3">
        <v>17.829999999999998</v>
      </c>
      <c r="F1101" s="3">
        <v>331.26</v>
      </c>
      <c r="G1101" s="3">
        <v>3.67</v>
      </c>
    </row>
    <row r="1102" spans="1:7" x14ac:dyDescent="0.2">
      <c r="A1102" s="2">
        <v>44357</v>
      </c>
      <c r="B1102" s="1">
        <f t="shared" si="34"/>
        <v>44348</v>
      </c>
      <c r="C1102" s="4" t="str">
        <f t="shared" si="35"/>
        <v>2021-06</v>
      </c>
      <c r="D1102" s="3">
        <v>126.11</v>
      </c>
      <c r="E1102" s="3">
        <v>17.43</v>
      </c>
      <c r="F1102" s="3">
        <v>332.46</v>
      </c>
      <c r="G1102" s="3">
        <v>3.64</v>
      </c>
    </row>
    <row r="1103" spans="1:7" x14ac:dyDescent="0.2">
      <c r="A1103" s="2">
        <v>44356</v>
      </c>
      <c r="B1103" s="1">
        <f t="shared" si="34"/>
        <v>44348</v>
      </c>
      <c r="C1103" s="4" t="str">
        <f t="shared" si="35"/>
        <v>2021-06</v>
      </c>
      <c r="D1103" s="3">
        <v>127.13</v>
      </c>
      <c r="E1103" s="3">
        <v>17.36</v>
      </c>
      <c r="F1103" s="3">
        <v>330.25</v>
      </c>
      <c r="G1103" s="3">
        <v>3.63</v>
      </c>
    </row>
    <row r="1104" spans="1:7" x14ac:dyDescent="0.2">
      <c r="A1104" s="2">
        <v>44355</v>
      </c>
      <c r="B1104" s="1">
        <f t="shared" si="34"/>
        <v>44348</v>
      </c>
      <c r="C1104" s="4" t="str">
        <f t="shared" si="35"/>
        <v>2021-06</v>
      </c>
      <c r="D1104" s="3">
        <v>126.74</v>
      </c>
      <c r="E1104" s="3">
        <v>17.46</v>
      </c>
      <c r="F1104" s="3">
        <v>333.68</v>
      </c>
      <c r="G1104" s="3">
        <v>3.69</v>
      </c>
    </row>
    <row r="1105" spans="1:7" x14ac:dyDescent="0.2">
      <c r="A1105" s="2">
        <v>44354</v>
      </c>
      <c r="B1105" s="1">
        <f t="shared" si="34"/>
        <v>44348</v>
      </c>
      <c r="C1105" s="4" t="str">
        <f t="shared" si="35"/>
        <v>2021-06</v>
      </c>
      <c r="D1105" s="3">
        <v>125.9</v>
      </c>
      <c r="E1105" s="3">
        <v>17.62</v>
      </c>
      <c r="F1105" s="3">
        <v>336.58</v>
      </c>
      <c r="G1105" s="3">
        <v>3.7</v>
      </c>
    </row>
    <row r="1106" spans="1:7" x14ac:dyDescent="0.2">
      <c r="A1106" s="2">
        <v>44351</v>
      </c>
      <c r="B1106" s="1">
        <f t="shared" si="34"/>
        <v>44348</v>
      </c>
      <c r="C1106" s="4" t="str">
        <f t="shared" si="35"/>
        <v>2021-06</v>
      </c>
      <c r="D1106" s="3">
        <v>125.89</v>
      </c>
      <c r="E1106" s="3">
        <v>17.579999999999998</v>
      </c>
      <c r="F1106" s="3">
        <v>330.35</v>
      </c>
      <c r="G1106" s="3">
        <v>3.67</v>
      </c>
    </row>
    <row r="1107" spans="1:7" x14ac:dyDescent="0.2">
      <c r="A1107" s="2">
        <v>44350</v>
      </c>
      <c r="B1107" s="1">
        <f t="shared" si="34"/>
        <v>44348</v>
      </c>
      <c r="C1107" s="4" t="str">
        <f t="shared" si="35"/>
        <v>2021-06</v>
      </c>
      <c r="D1107" s="3">
        <v>123.54</v>
      </c>
      <c r="E1107" s="3">
        <v>16.97</v>
      </c>
      <c r="F1107" s="3">
        <v>326.04000000000002</v>
      </c>
      <c r="G1107" s="3">
        <v>3.64</v>
      </c>
    </row>
    <row r="1108" spans="1:7" x14ac:dyDescent="0.2">
      <c r="A1108" s="2">
        <v>44349</v>
      </c>
      <c r="B1108" s="1">
        <f t="shared" si="34"/>
        <v>44348</v>
      </c>
      <c r="C1108" s="4" t="str">
        <f t="shared" si="35"/>
        <v>2021-06</v>
      </c>
      <c r="D1108" s="3">
        <v>125.06</v>
      </c>
      <c r="E1108" s="3">
        <v>16.78</v>
      </c>
      <c r="F1108" s="3">
        <v>329.15</v>
      </c>
      <c r="G1108" s="3">
        <v>3.63</v>
      </c>
    </row>
    <row r="1109" spans="1:7" x14ac:dyDescent="0.2">
      <c r="A1109" s="2">
        <v>44348</v>
      </c>
      <c r="B1109" s="1">
        <f t="shared" si="34"/>
        <v>44348</v>
      </c>
      <c r="C1109" s="4" t="str">
        <f t="shared" si="35"/>
        <v>2021-06</v>
      </c>
      <c r="D1109" s="3">
        <v>124.28</v>
      </c>
      <c r="E1109" s="3">
        <v>16.260000000000002</v>
      </c>
      <c r="F1109" s="3">
        <v>329.13</v>
      </c>
      <c r="G1109" s="3">
        <v>3.52</v>
      </c>
    </row>
    <row r="1110" spans="1:7" x14ac:dyDescent="0.2">
      <c r="A1110" s="2">
        <v>44344</v>
      </c>
      <c r="B1110" s="1">
        <f t="shared" si="34"/>
        <v>44317</v>
      </c>
      <c r="C1110" s="4" t="str">
        <f t="shared" si="35"/>
        <v>2021-05</v>
      </c>
      <c r="D1110" s="3">
        <v>124.61</v>
      </c>
      <c r="E1110" s="3">
        <v>16.239999999999998</v>
      </c>
      <c r="F1110" s="3">
        <v>328.73</v>
      </c>
      <c r="G1110" s="3">
        <v>3.47</v>
      </c>
    </row>
    <row r="1111" spans="1:7" x14ac:dyDescent="0.2">
      <c r="A1111" s="2">
        <v>44343</v>
      </c>
      <c r="B1111" s="1">
        <f t="shared" si="34"/>
        <v>44317</v>
      </c>
      <c r="C1111" s="4" t="str">
        <f t="shared" si="35"/>
        <v>2021-05</v>
      </c>
      <c r="D1111" s="3">
        <v>125.28</v>
      </c>
      <c r="E1111" s="3">
        <v>15.49</v>
      </c>
      <c r="F1111" s="3">
        <v>332.75</v>
      </c>
      <c r="G1111" s="3">
        <v>3.6</v>
      </c>
    </row>
    <row r="1112" spans="1:7" x14ac:dyDescent="0.2">
      <c r="A1112" s="2">
        <v>44342</v>
      </c>
      <c r="B1112" s="1">
        <f t="shared" si="34"/>
        <v>44317</v>
      </c>
      <c r="C1112" s="4" t="str">
        <f t="shared" si="35"/>
        <v>2021-05</v>
      </c>
      <c r="D1112" s="3">
        <v>126.85</v>
      </c>
      <c r="E1112" s="3">
        <v>15.7</v>
      </c>
      <c r="F1112" s="3">
        <v>327.66000000000003</v>
      </c>
      <c r="G1112" s="3">
        <v>3.57</v>
      </c>
    </row>
    <row r="1113" spans="1:7" x14ac:dyDescent="0.2">
      <c r="A1113" s="2">
        <v>44341</v>
      </c>
      <c r="B1113" s="1">
        <f t="shared" si="34"/>
        <v>44317</v>
      </c>
      <c r="C1113" s="4" t="str">
        <f t="shared" si="35"/>
        <v>2021-05</v>
      </c>
      <c r="D1113" s="3">
        <v>126.9</v>
      </c>
      <c r="E1113" s="3">
        <v>15.65</v>
      </c>
      <c r="F1113" s="3">
        <v>327.79</v>
      </c>
      <c r="G1113" s="3">
        <v>3.55</v>
      </c>
    </row>
    <row r="1114" spans="1:7" x14ac:dyDescent="0.2">
      <c r="A1114" s="2">
        <v>44340</v>
      </c>
      <c r="B1114" s="1">
        <f t="shared" si="34"/>
        <v>44317</v>
      </c>
      <c r="C1114" s="4" t="str">
        <f t="shared" si="35"/>
        <v>2021-05</v>
      </c>
      <c r="D1114" s="3">
        <v>127.1</v>
      </c>
      <c r="E1114" s="3">
        <v>15.61</v>
      </c>
      <c r="F1114" s="3">
        <v>324.63</v>
      </c>
      <c r="G1114" s="3">
        <v>3.59</v>
      </c>
    </row>
    <row r="1115" spans="1:7" x14ac:dyDescent="0.2">
      <c r="A1115" s="2">
        <v>44337</v>
      </c>
      <c r="B1115" s="1">
        <f t="shared" si="34"/>
        <v>44317</v>
      </c>
      <c r="C1115" s="4" t="str">
        <f t="shared" si="35"/>
        <v>2021-05</v>
      </c>
      <c r="D1115" s="3">
        <v>125.43</v>
      </c>
      <c r="E1115" s="3">
        <v>14.99</v>
      </c>
      <c r="F1115" s="3">
        <v>316.23</v>
      </c>
      <c r="G1115" s="3">
        <v>3.57</v>
      </c>
    </row>
    <row r="1116" spans="1:7" x14ac:dyDescent="0.2">
      <c r="A1116" s="2">
        <v>44336</v>
      </c>
      <c r="B1116" s="1">
        <f t="shared" si="34"/>
        <v>44317</v>
      </c>
      <c r="C1116" s="4" t="str">
        <f t="shared" si="35"/>
        <v>2021-05</v>
      </c>
      <c r="D1116" s="3">
        <v>127.31</v>
      </c>
      <c r="E1116" s="3">
        <v>14.61</v>
      </c>
      <c r="F1116" s="3">
        <v>318.61</v>
      </c>
      <c r="G1116" s="3">
        <v>3.59</v>
      </c>
    </row>
    <row r="1117" spans="1:7" x14ac:dyDescent="0.2">
      <c r="A1117" s="2">
        <v>44335</v>
      </c>
      <c r="B1117" s="1">
        <f t="shared" si="34"/>
        <v>44317</v>
      </c>
      <c r="C1117" s="4" t="str">
        <f t="shared" si="35"/>
        <v>2021-05</v>
      </c>
      <c r="D1117" s="3">
        <v>124.69</v>
      </c>
      <c r="E1117" s="3">
        <v>14.07</v>
      </c>
      <c r="F1117" s="3">
        <v>313.58999999999997</v>
      </c>
      <c r="G1117" s="3">
        <v>3.58</v>
      </c>
    </row>
    <row r="1118" spans="1:7" x14ac:dyDescent="0.2">
      <c r="A1118" s="2">
        <v>44334</v>
      </c>
      <c r="B1118" s="1">
        <f t="shared" si="34"/>
        <v>44317</v>
      </c>
      <c r="C1118" s="4" t="str">
        <f t="shared" si="35"/>
        <v>2021-05</v>
      </c>
      <c r="D1118" s="3">
        <v>124.85</v>
      </c>
      <c r="E1118" s="3">
        <v>14.02</v>
      </c>
      <c r="F1118" s="3">
        <v>309.95999999999998</v>
      </c>
      <c r="G1118" s="3">
        <v>3.6</v>
      </c>
    </row>
    <row r="1119" spans="1:7" x14ac:dyDescent="0.2">
      <c r="A1119" s="2">
        <v>44333</v>
      </c>
      <c r="B1119" s="1">
        <f t="shared" si="34"/>
        <v>44317</v>
      </c>
      <c r="C1119" s="4" t="str">
        <f t="shared" si="35"/>
        <v>2021-05</v>
      </c>
      <c r="D1119" s="3">
        <v>126.27</v>
      </c>
      <c r="E1119" s="3">
        <v>14.17</v>
      </c>
      <c r="F1119" s="3">
        <v>315.45999999999998</v>
      </c>
      <c r="G1119" s="3">
        <v>3.61</v>
      </c>
    </row>
    <row r="1120" spans="1:7" x14ac:dyDescent="0.2">
      <c r="A1120" s="2">
        <v>44330</v>
      </c>
      <c r="B1120" s="1">
        <f t="shared" si="34"/>
        <v>44317</v>
      </c>
      <c r="C1120" s="4" t="str">
        <f t="shared" si="35"/>
        <v>2021-05</v>
      </c>
      <c r="D1120" s="3">
        <v>127.45</v>
      </c>
      <c r="E1120" s="3">
        <v>14.24</v>
      </c>
      <c r="F1120" s="3">
        <v>315.94</v>
      </c>
      <c r="G1120" s="3">
        <v>3.63</v>
      </c>
    </row>
    <row r="1121" spans="1:7" x14ac:dyDescent="0.2">
      <c r="A1121" s="2">
        <v>44329</v>
      </c>
      <c r="B1121" s="1">
        <f t="shared" si="34"/>
        <v>44317</v>
      </c>
      <c r="C1121" s="4" t="str">
        <f t="shared" si="35"/>
        <v>2021-05</v>
      </c>
      <c r="D1121" s="3">
        <v>124.97</v>
      </c>
      <c r="E1121" s="3">
        <v>13.67</v>
      </c>
      <c r="F1121" s="3">
        <v>305.26</v>
      </c>
      <c r="G1121" s="3">
        <v>3.46</v>
      </c>
    </row>
    <row r="1122" spans="1:7" x14ac:dyDescent="0.2">
      <c r="A1122" s="2">
        <v>44328</v>
      </c>
      <c r="B1122" s="1">
        <f t="shared" si="34"/>
        <v>44317</v>
      </c>
      <c r="C1122" s="4" t="str">
        <f t="shared" si="35"/>
        <v>2021-05</v>
      </c>
      <c r="D1122" s="3">
        <v>122.77</v>
      </c>
      <c r="E1122" s="3">
        <v>13.76</v>
      </c>
      <c r="F1122" s="3">
        <v>302.55</v>
      </c>
      <c r="G1122" s="3">
        <v>3.37</v>
      </c>
    </row>
    <row r="1123" spans="1:7" x14ac:dyDescent="0.2">
      <c r="A1123" s="2">
        <v>44327</v>
      </c>
      <c r="B1123" s="1">
        <f t="shared" si="34"/>
        <v>44317</v>
      </c>
      <c r="C1123" s="4" t="str">
        <f t="shared" si="35"/>
        <v>2021-05</v>
      </c>
      <c r="D1123" s="3">
        <v>125.91</v>
      </c>
      <c r="E1123" s="3">
        <v>14.31</v>
      </c>
      <c r="F1123" s="3">
        <v>306.52999999999997</v>
      </c>
      <c r="G1123" s="3">
        <v>3.42</v>
      </c>
    </row>
    <row r="1124" spans="1:7" x14ac:dyDescent="0.2">
      <c r="A1124" s="2">
        <v>44326</v>
      </c>
      <c r="B1124" s="1">
        <f t="shared" si="34"/>
        <v>44317</v>
      </c>
      <c r="C1124" s="4" t="str">
        <f t="shared" si="35"/>
        <v>2021-05</v>
      </c>
      <c r="D1124" s="3">
        <v>126.85</v>
      </c>
      <c r="E1124" s="3">
        <v>14.27</v>
      </c>
      <c r="F1124" s="3">
        <v>305.97000000000003</v>
      </c>
      <c r="G1124" s="3">
        <v>3.52</v>
      </c>
    </row>
    <row r="1125" spans="1:7" x14ac:dyDescent="0.2">
      <c r="A1125" s="2">
        <v>44323</v>
      </c>
      <c r="B1125" s="1">
        <f t="shared" si="34"/>
        <v>44317</v>
      </c>
      <c r="C1125" s="4" t="str">
        <f t="shared" si="35"/>
        <v>2021-05</v>
      </c>
      <c r="D1125" s="3">
        <v>130.21</v>
      </c>
      <c r="E1125" s="3">
        <v>14.81</v>
      </c>
      <c r="F1125" s="3">
        <v>319.08</v>
      </c>
      <c r="G1125" s="3">
        <v>3.64</v>
      </c>
    </row>
    <row r="1126" spans="1:7" x14ac:dyDescent="0.2">
      <c r="A1126" s="2">
        <v>44322</v>
      </c>
      <c r="B1126" s="1">
        <f t="shared" si="34"/>
        <v>44317</v>
      </c>
      <c r="C1126" s="4" t="str">
        <f t="shared" si="35"/>
        <v>2021-05</v>
      </c>
      <c r="D1126" s="3">
        <v>129.74</v>
      </c>
      <c r="E1126" s="3">
        <v>14.52</v>
      </c>
      <c r="F1126" s="3">
        <v>320.02</v>
      </c>
      <c r="G1126" s="3">
        <v>3.62</v>
      </c>
    </row>
    <row r="1127" spans="1:7" x14ac:dyDescent="0.2">
      <c r="A1127" s="2">
        <v>44321</v>
      </c>
      <c r="B1127" s="1">
        <f t="shared" si="34"/>
        <v>44317</v>
      </c>
      <c r="C1127" s="4" t="str">
        <f t="shared" si="35"/>
        <v>2021-05</v>
      </c>
      <c r="D1127" s="3">
        <v>128.1</v>
      </c>
      <c r="E1127" s="3">
        <v>14.46</v>
      </c>
      <c r="F1127" s="3">
        <v>315.02</v>
      </c>
      <c r="G1127" s="3">
        <v>3.63</v>
      </c>
    </row>
    <row r="1128" spans="1:7" x14ac:dyDescent="0.2">
      <c r="A1128" s="2">
        <v>44320</v>
      </c>
      <c r="B1128" s="1">
        <f t="shared" si="34"/>
        <v>44317</v>
      </c>
      <c r="C1128" s="4" t="str">
        <f t="shared" si="35"/>
        <v>2021-05</v>
      </c>
      <c r="D1128" s="3">
        <v>127.85</v>
      </c>
      <c r="E1128" s="3">
        <v>14.35</v>
      </c>
      <c r="F1128" s="3">
        <v>318.36</v>
      </c>
      <c r="G1128" s="3">
        <v>3.66</v>
      </c>
    </row>
    <row r="1129" spans="1:7" x14ac:dyDescent="0.2">
      <c r="A1129" s="2">
        <v>44319</v>
      </c>
      <c r="B1129" s="1">
        <f t="shared" si="34"/>
        <v>44317</v>
      </c>
      <c r="C1129" s="4" t="str">
        <f t="shared" si="35"/>
        <v>2021-05</v>
      </c>
      <c r="D1129" s="3">
        <v>132.54</v>
      </c>
      <c r="E1129" s="3">
        <v>14.84</v>
      </c>
      <c r="F1129" s="3">
        <v>322.58</v>
      </c>
      <c r="G1129" s="3">
        <v>3.73</v>
      </c>
    </row>
    <row r="1130" spans="1:7" x14ac:dyDescent="0.2">
      <c r="A1130" s="2">
        <v>44316</v>
      </c>
      <c r="B1130" s="1">
        <f t="shared" si="34"/>
        <v>44287</v>
      </c>
      <c r="C1130" s="4" t="str">
        <f t="shared" si="35"/>
        <v>2021-04</v>
      </c>
      <c r="D1130" s="3">
        <v>131.46</v>
      </c>
      <c r="E1130" s="3">
        <v>15.01</v>
      </c>
      <c r="F1130" s="3">
        <v>325.08</v>
      </c>
      <c r="G1130" s="3">
        <v>3.7</v>
      </c>
    </row>
    <row r="1131" spans="1:7" x14ac:dyDescent="0.2">
      <c r="A1131" s="2">
        <v>44315</v>
      </c>
      <c r="B1131" s="1">
        <f t="shared" si="34"/>
        <v>44287</v>
      </c>
      <c r="C1131" s="4" t="str">
        <f t="shared" si="35"/>
        <v>2021-04</v>
      </c>
      <c r="D1131" s="3">
        <v>133.47999999999999</v>
      </c>
      <c r="E1131" s="3">
        <v>15.32</v>
      </c>
      <c r="F1131" s="3">
        <v>329.51</v>
      </c>
      <c r="G1131" s="3">
        <v>3.81</v>
      </c>
    </row>
    <row r="1132" spans="1:7" x14ac:dyDescent="0.2">
      <c r="A1132" s="2">
        <v>44314</v>
      </c>
      <c r="B1132" s="1">
        <f t="shared" si="34"/>
        <v>44287</v>
      </c>
      <c r="C1132" s="4" t="str">
        <f t="shared" si="35"/>
        <v>2021-04</v>
      </c>
      <c r="D1132" s="3">
        <v>133.58000000000001</v>
      </c>
      <c r="E1132" s="3">
        <v>15.28</v>
      </c>
      <c r="F1132" s="3">
        <v>307.10000000000002</v>
      </c>
      <c r="G1132" s="3">
        <v>3.81</v>
      </c>
    </row>
    <row r="1133" spans="1:7" x14ac:dyDescent="0.2">
      <c r="A1133" s="2">
        <v>44313</v>
      </c>
      <c r="B1133" s="1">
        <f t="shared" si="34"/>
        <v>44287</v>
      </c>
      <c r="C1133" s="4" t="str">
        <f t="shared" si="35"/>
        <v>2021-04</v>
      </c>
      <c r="D1133" s="3">
        <v>134.38999999999999</v>
      </c>
      <c r="E1133" s="3">
        <v>15.38</v>
      </c>
      <c r="F1133" s="3">
        <v>303.57</v>
      </c>
      <c r="G1133" s="3">
        <v>3.85</v>
      </c>
    </row>
    <row r="1134" spans="1:7" x14ac:dyDescent="0.2">
      <c r="A1134" s="2">
        <v>44312</v>
      </c>
      <c r="B1134" s="1">
        <f t="shared" si="34"/>
        <v>44287</v>
      </c>
      <c r="C1134" s="4" t="str">
        <f t="shared" si="35"/>
        <v>2021-04</v>
      </c>
      <c r="D1134" s="3">
        <v>134.72</v>
      </c>
      <c r="E1134" s="3">
        <v>15.48</v>
      </c>
      <c r="F1134" s="3">
        <v>303.04000000000002</v>
      </c>
      <c r="G1134" s="3">
        <v>3.87</v>
      </c>
    </row>
    <row r="1135" spans="1:7" x14ac:dyDescent="0.2">
      <c r="A1135" s="2">
        <v>44309</v>
      </c>
      <c r="B1135" s="1">
        <f t="shared" si="34"/>
        <v>44287</v>
      </c>
      <c r="C1135" s="4" t="str">
        <f t="shared" si="35"/>
        <v>2021-04</v>
      </c>
      <c r="D1135" s="3">
        <v>134.32</v>
      </c>
      <c r="E1135" s="3">
        <v>15.27</v>
      </c>
      <c r="F1135" s="3">
        <v>301.13</v>
      </c>
      <c r="G1135" s="3">
        <v>3.83</v>
      </c>
    </row>
    <row r="1136" spans="1:7" x14ac:dyDescent="0.2">
      <c r="A1136" s="2">
        <v>44308</v>
      </c>
      <c r="B1136" s="1">
        <f t="shared" si="34"/>
        <v>44287</v>
      </c>
      <c r="C1136" s="4" t="str">
        <f t="shared" si="35"/>
        <v>2021-04</v>
      </c>
      <c r="D1136" s="3">
        <v>131.94</v>
      </c>
      <c r="E1136" s="3">
        <v>14.85</v>
      </c>
      <c r="F1136" s="3">
        <v>296.52</v>
      </c>
      <c r="G1136" s="3">
        <v>3.78</v>
      </c>
    </row>
    <row r="1137" spans="1:7" x14ac:dyDescent="0.2">
      <c r="A1137" s="2">
        <v>44307</v>
      </c>
      <c r="B1137" s="1">
        <f t="shared" si="34"/>
        <v>44287</v>
      </c>
      <c r="C1137" s="4" t="str">
        <f t="shared" si="35"/>
        <v>2021-04</v>
      </c>
      <c r="D1137" s="3">
        <v>133.5</v>
      </c>
      <c r="E1137" s="3">
        <v>15.36</v>
      </c>
      <c r="F1137" s="3">
        <v>301.47000000000003</v>
      </c>
      <c r="G1137" s="3">
        <v>3.85</v>
      </c>
    </row>
    <row r="1138" spans="1:7" x14ac:dyDescent="0.2">
      <c r="A1138" s="2">
        <v>44306</v>
      </c>
      <c r="B1138" s="1">
        <f t="shared" si="34"/>
        <v>44287</v>
      </c>
      <c r="C1138" s="4" t="str">
        <f t="shared" si="35"/>
        <v>2021-04</v>
      </c>
      <c r="D1138" s="3">
        <v>133.11000000000001</v>
      </c>
      <c r="E1138" s="3">
        <v>15.17</v>
      </c>
      <c r="F1138" s="3">
        <v>302.64999999999998</v>
      </c>
      <c r="G1138" s="3">
        <v>3.78</v>
      </c>
    </row>
    <row r="1139" spans="1:7" x14ac:dyDescent="0.2">
      <c r="A1139" s="2">
        <v>44305</v>
      </c>
      <c r="B1139" s="1">
        <f t="shared" si="34"/>
        <v>44287</v>
      </c>
      <c r="C1139" s="4" t="str">
        <f t="shared" si="35"/>
        <v>2021-04</v>
      </c>
      <c r="D1139" s="3">
        <v>134.84</v>
      </c>
      <c r="E1139" s="3">
        <v>15.36</v>
      </c>
      <c r="F1139" s="3">
        <v>302.24</v>
      </c>
      <c r="G1139" s="3">
        <v>3.86</v>
      </c>
    </row>
    <row r="1140" spans="1:7" x14ac:dyDescent="0.2">
      <c r="A1140" s="2">
        <v>44302</v>
      </c>
      <c r="B1140" s="1">
        <f t="shared" si="34"/>
        <v>44287</v>
      </c>
      <c r="C1140" s="4" t="str">
        <f t="shared" si="35"/>
        <v>2021-04</v>
      </c>
      <c r="D1140" s="3">
        <v>134.16</v>
      </c>
      <c r="E1140" s="3">
        <v>15.91</v>
      </c>
      <c r="F1140" s="3">
        <v>306.18</v>
      </c>
      <c r="G1140" s="3">
        <v>3.92</v>
      </c>
    </row>
    <row r="1141" spans="1:7" x14ac:dyDescent="0.2">
      <c r="A1141" s="2">
        <v>44301</v>
      </c>
      <c r="B1141" s="1">
        <f t="shared" si="34"/>
        <v>44287</v>
      </c>
      <c r="C1141" s="4" t="str">
        <f t="shared" si="35"/>
        <v>2021-04</v>
      </c>
      <c r="D1141" s="3">
        <v>134.5</v>
      </c>
      <c r="E1141" s="3">
        <v>16.14</v>
      </c>
      <c r="F1141" s="3">
        <v>307.82</v>
      </c>
      <c r="G1141" s="3">
        <v>3.93</v>
      </c>
    </row>
    <row r="1142" spans="1:7" x14ac:dyDescent="0.2">
      <c r="A1142" s="2">
        <v>44300</v>
      </c>
      <c r="B1142" s="1">
        <f t="shared" si="34"/>
        <v>44287</v>
      </c>
      <c r="C1142" s="4" t="str">
        <f t="shared" si="35"/>
        <v>2021-04</v>
      </c>
      <c r="D1142" s="3">
        <v>132.03</v>
      </c>
      <c r="E1142" s="3">
        <v>15.28</v>
      </c>
      <c r="F1142" s="3">
        <v>302.82</v>
      </c>
      <c r="G1142" s="3">
        <v>3.93</v>
      </c>
    </row>
    <row r="1143" spans="1:7" x14ac:dyDescent="0.2">
      <c r="A1143" s="2">
        <v>44299</v>
      </c>
      <c r="B1143" s="1">
        <f t="shared" si="34"/>
        <v>44287</v>
      </c>
      <c r="C1143" s="4" t="str">
        <f t="shared" si="35"/>
        <v>2021-04</v>
      </c>
      <c r="D1143" s="3">
        <v>134.43</v>
      </c>
      <c r="E1143" s="3">
        <v>15.68</v>
      </c>
      <c r="F1143" s="3">
        <v>309.76</v>
      </c>
      <c r="G1143" s="3">
        <v>3.95</v>
      </c>
    </row>
    <row r="1144" spans="1:7" x14ac:dyDescent="0.2">
      <c r="A1144" s="2">
        <v>44298</v>
      </c>
      <c r="B1144" s="1">
        <f t="shared" si="34"/>
        <v>44287</v>
      </c>
      <c r="C1144" s="4" t="str">
        <f t="shared" si="35"/>
        <v>2021-04</v>
      </c>
      <c r="D1144" s="3">
        <v>131.24</v>
      </c>
      <c r="E1144" s="3">
        <v>15.21</v>
      </c>
      <c r="F1144" s="3">
        <v>311.54000000000002</v>
      </c>
      <c r="G1144" s="3">
        <v>4</v>
      </c>
    </row>
    <row r="1145" spans="1:7" x14ac:dyDescent="0.2">
      <c r="A1145" s="2">
        <v>44295</v>
      </c>
      <c r="B1145" s="1">
        <f t="shared" si="34"/>
        <v>44287</v>
      </c>
      <c r="C1145" s="4" t="str">
        <f t="shared" si="35"/>
        <v>2021-04</v>
      </c>
      <c r="D1145" s="3">
        <v>133</v>
      </c>
      <c r="E1145" s="3">
        <v>14.4</v>
      </c>
      <c r="F1145" s="3">
        <v>312.45999999999998</v>
      </c>
      <c r="G1145" s="3">
        <v>3.97</v>
      </c>
    </row>
    <row r="1146" spans="1:7" x14ac:dyDescent="0.2">
      <c r="A1146" s="2">
        <v>44294</v>
      </c>
      <c r="B1146" s="1">
        <f t="shared" si="34"/>
        <v>44287</v>
      </c>
      <c r="C1146" s="4" t="str">
        <f t="shared" si="35"/>
        <v>2021-04</v>
      </c>
      <c r="D1146" s="3">
        <v>130.36000000000001</v>
      </c>
      <c r="E1146" s="3">
        <v>14.32</v>
      </c>
      <c r="F1146" s="3">
        <v>313.02</v>
      </c>
      <c r="G1146" s="3">
        <v>3.96</v>
      </c>
    </row>
    <row r="1147" spans="1:7" x14ac:dyDescent="0.2">
      <c r="A1147" s="2">
        <v>44293</v>
      </c>
      <c r="B1147" s="1">
        <f t="shared" si="34"/>
        <v>44287</v>
      </c>
      <c r="C1147" s="4" t="str">
        <f t="shared" si="35"/>
        <v>2021-04</v>
      </c>
      <c r="D1147" s="3">
        <v>127.9</v>
      </c>
      <c r="E1147" s="3">
        <v>14.14</v>
      </c>
      <c r="F1147" s="3">
        <v>313.08999999999997</v>
      </c>
      <c r="G1147" s="3">
        <v>3.93</v>
      </c>
    </row>
    <row r="1148" spans="1:7" x14ac:dyDescent="0.2">
      <c r="A1148" s="2">
        <v>44292</v>
      </c>
      <c r="B1148" s="1">
        <f t="shared" si="34"/>
        <v>44287</v>
      </c>
      <c r="C1148" s="4" t="str">
        <f t="shared" si="35"/>
        <v>2021-04</v>
      </c>
      <c r="D1148" s="3">
        <v>126.21</v>
      </c>
      <c r="E1148" s="3">
        <v>13.86</v>
      </c>
      <c r="F1148" s="3">
        <v>306.26</v>
      </c>
      <c r="G1148" s="3">
        <v>3.94</v>
      </c>
    </row>
    <row r="1149" spans="1:7" x14ac:dyDescent="0.2">
      <c r="A1149" s="2">
        <v>44291</v>
      </c>
      <c r="B1149" s="1">
        <f t="shared" si="34"/>
        <v>44287</v>
      </c>
      <c r="C1149" s="4" t="str">
        <f t="shared" si="35"/>
        <v>2021-04</v>
      </c>
      <c r="D1149" s="3">
        <v>125.9</v>
      </c>
      <c r="E1149" s="3">
        <v>13.99</v>
      </c>
      <c r="F1149" s="3">
        <v>308.91000000000003</v>
      </c>
      <c r="G1149" s="3">
        <v>4</v>
      </c>
    </row>
    <row r="1150" spans="1:7" x14ac:dyDescent="0.2">
      <c r="A1150" s="2">
        <v>44287</v>
      </c>
      <c r="B1150" s="1">
        <f t="shared" si="34"/>
        <v>44287</v>
      </c>
      <c r="C1150" s="4" t="str">
        <f t="shared" si="35"/>
        <v>2021-04</v>
      </c>
      <c r="D1150" s="3">
        <v>123</v>
      </c>
      <c r="E1150" s="3">
        <v>13.81</v>
      </c>
      <c r="F1150" s="3">
        <v>298.66000000000003</v>
      </c>
      <c r="G1150" s="3">
        <v>3.96</v>
      </c>
    </row>
    <row r="1151" spans="1:7" x14ac:dyDescent="0.2">
      <c r="A1151" s="2">
        <v>44286</v>
      </c>
      <c r="B1151" s="1">
        <f t="shared" si="34"/>
        <v>44256</v>
      </c>
      <c r="C1151" s="4" t="str">
        <f t="shared" si="35"/>
        <v>2021-03</v>
      </c>
      <c r="D1151" s="3">
        <v>122.15</v>
      </c>
      <c r="E1151" s="3">
        <v>13.35</v>
      </c>
      <c r="F1151" s="3">
        <v>294.52999999999997</v>
      </c>
      <c r="G1151" s="3">
        <v>3.91</v>
      </c>
    </row>
    <row r="1152" spans="1:7" x14ac:dyDescent="0.2">
      <c r="A1152" s="2">
        <v>44285</v>
      </c>
      <c r="B1152" s="1">
        <f t="shared" si="34"/>
        <v>44256</v>
      </c>
      <c r="C1152" s="4" t="str">
        <f t="shared" si="35"/>
        <v>2021-03</v>
      </c>
      <c r="D1152" s="3">
        <v>119.9</v>
      </c>
      <c r="E1152" s="3">
        <v>12.87</v>
      </c>
      <c r="F1152" s="3">
        <v>288</v>
      </c>
      <c r="G1152" s="3">
        <v>3.79</v>
      </c>
    </row>
    <row r="1153" spans="1:7" x14ac:dyDescent="0.2">
      <c r="A1153" s="2">
        <v>44284</v>
      </c>
      <c r="B1153" s="1">
        <f t="shared" si="34"/>
        <v>44256</v>
      </c>
      <c r="C1153" s="4" t="str">
        <f t="shared" si="35"/>
        <v>2021-03</v>
      </c>
      <c r="D1153" s="3">
        <v>121.39</v>
      </c>
      <c r="E1153" s="3">
        <v>12.95</v>
      </c>
      <c r="F1153" s="3">
        <v>290.82</v>
      </c>
      <c r="G1153" s="3">
        <v>3.75</v>
      </c>
    </row>
    <row r="1154" spans="1:7" x14ac:dyDescent="0.2">
      <c r="A1154" s="2">
        <v>44281</v>
      </c>
      <c r="B1154" s="1">
        <f t="shared" si="34"/>
        <v>44256</v>
      </c>
      <c r="C1154" s="4" t="str">
        <f t="shared" si="35"/>
        <v>2021-03</v>
      </c>
      <c r="D1154" s="3">
        <v>121.21</v>
      </c>
      <c r="E1154" s="3">
        <v>12.84</v>
      </c>
      <c r="F1154" s="3">
        <v>283.02</v>
      </c>
      <c r="G1154" s="3">
        <v>3.82</v>
      </c>
    </row>
    <row r="1155" spans="1:7" x14ac:dyDescent="0.2">
      <c r="A1155" s="2">
        <v>44280</v>
      </c>
      <c r="B1155" s="1">
        <f t="shared" ref="B1155:B1218" si="36">EOMONTH(A1155, -1)+1</f>
        <v>44256</v>
      </c>
      <c r="C1155" s="4" t="str">
        <f t="shared" ref="C1155:C1218" si="37">TEXT(A1155, "yyyy-mm")</f>
        <v>2021-03</v>
      </c>
      <c r="D1155" s="3">
        <v>120.59</v>
      </c>
      <c r="E1155" s="3">
        <v>12.54</v>
      </c>
      <c r="F1155" s="3">
        <v>278.74</v>
      </c>
      <c r="G1155" s="3">
        <v>3.71</v>
      </c>
    </row>
    <row r="1156" spans="1:7" x14ac:dyDescent="0.2">
      <c r="A1156" s="2">
        <v>44279</v>
      </c>
      <c r="B1156" s="1">
        <f t="shared" si="36"/>
        <v>44256</v>
      </c>
      <c r="C1156" s="4" t="str">
        <f t="shared" si="37"/>
        <v>2021-03</v>
      </c>
      <c r="D1156" s="3">
        <v>120.09</v>
      </c>
      <c r="E1156" s="3">
        <v>12.64</v>
      </c>
      <c r="F1156" s="3">
        <v>282.14</v>
      </c>
      <c r="G1156" s="3">
        <v>3.74</v>
      </c>
    </row>
    <row r="1157" spans="1:7" x14ac:dyDescent="0.2">
      <c r="A1157" s="2">
        <v>44278</v>
      </c>
      <c r="B1157" s="1">
        <f t="shared" si="36"/>
        <v>44256</v>
      </c>
      <c r="C1157" s="4" t="str">
        <f t="shared" si="37"/>
        <v>2021-03</v>
      </c>
      <c r="D1157" s="3">
        <v>122.54</v>
      </c>
      <c r="E1157" s="3">
        <v>13.07</v>
      </c>
      <c r="F1157" s="3">
        <v>290.63</v>
      </c>
      <c r="G1157" s="3">
        <v>3.77</v>
      </c>
    </row>
    <row r="1158" spans="1:7" x14ac:dyDescent="0.2">
      <c r="A1158" s="2">
        <v>44277</v>
      </c>
      <c r="B1158" s="1">
        <f t="shared" si="36"/>
        <v>44256</v>
      </c>
      <c r="C1158" s="4" t="str">
        <f t="shared" si="37"/>
        <v>2021-03</v>
      </c>
      <c r="D1158" s="3">
        <v>123.39</v>
      </c>
      <c r="E1158" s="3">
        <v>13.19</v>
      </c>
      <c r="F1158" s="3">
        <v>293.54000000000002</v>
      </c>
      <c r="G1158" s="3">
        <v>3.89</v>
      </c>
    </row>
    <row r="1159" spans="1:7" x14ac:dyDescent="0.2">
      <c r="A1159" s="2">
        <v>44274</v>
      </c>
      <c r="B1159" s="1">
        <f t="shared" si="36"/>
        <v>44256</v>
      </c>
      <c r="C1159" s="4" t="str">
        <f t="shared" si="37"/>
        <v>2021-03</v>
      </c>
      <c r="D1159" s="3">
        <v>119.99</v>
      </c>
      <c r="E1159" s="3">
        <v>12.85</v>
      </c>
      <c r="F1159" s="3">
        <v>290.11</v>
      </c>
      <c r="G1159" s="3">
        <v>3.86</v>
      </c>
    </row>
    <row r="1160" spans="1:7" x14ac:dyDescent="0.2">
      <c r="A1160" s="2">
        <v>44273</v>
      </c>
      <c r="B1160" s="1">
        <f t="shared" si="36"/>
        <v>44256</v>
      </c>
      <c r="C1160" s="4" t="str">
        <f t="shared" si="37"/>
        <v>2021-03</v>
      </c>
      <c r="D1160" s="3">
        <v>120.53</v>
      </c>
      <c r="E1160" s="3">
        <v>12.72</v>
      </c>
      <c r="F1160" s="3">
        <v>278.62</v>
      </c>
      <c r="G1160" s="3">
        <v>3.82</v>
      </c>
    </row>
    <row r="1161" spans="1:7" x14ac:dyDescent="0.2">
      <c r="A1161" s="2">
        <v>44272</v>
      </c>
      <c r="B1161" s="1">
        <f t="shared" si="36"/>
        <v>44256</v>
      </c>
      <c r="C1161" s="4" t="str">
        <f t="shared" si="37"/>
        <v>2021-03</v>
      </c>
      <c r="D1161" s="3">
        <v>124.76</v>
      </c>
      <c r="E1161" s="3">
        <v>13.34</v>
      </c>
      <c r="F1161" s="3">
        <v>284.01</v>
      </c>
      <c r="G1161" s="3">
        <v>3.83</v>
      </c>
    </row>
    <row r="1162" spans="1:7" x14ac:dyDescent="0.2">
      <c r="A1162" s="2">
        <v>44271</v>
      </c>
      <c r="B1162" s="1">
        <f t="shared" si="36"/>
        <v>44256</v>
      </c>
      <c r="C1162" s="4" t="str">
        <f t="shared" si="37"/>
        <v>2021-03</v>
      </c>
      <c r="D1162" s="3">
        <v>125.57</v>
      </c>
      <c r="E1162" s="3">
        <v>13.29</v>
      </c>
      <c r="F1162" s="3">
        <v>279.27999999999997</v>
      </c>
      <c r="G1162" s="3">
        <v>3.71</v>
      </c>
    </row>
    <row r="1163" spans="1:7" x14ac:dyDescent="0.2">
      <c r="A1163" s="2">
        <v>44270</v>
      </c>
      <c r="B1163" s="1">
        <f t="shared" si="36"/>
        <v>44256</v>
      </c>
      <c r="C1163" s="4" t="str">
        <f t="shared" si="37"/>
        <v>2021-03</v>
      </c>
      <c r="D1163" s="3">
        <v>123.99</v>
      </c>
      <c r="E1163" s="3">
        <v>13.19</v>
      </c>
      <c r="F1163" s="3">
        <v>273.75</v>
      </c>
      <c r="G1163" s="3">
        <v>3.71</v>
      </c>
    </row>
    <row r="1164" spans="1:7" x14ac:dyDescent="0.2">
      <c r="A1164" s="2">
        <v>44267</v>
      </c>
      <c r="B1164" s="1">
        <f t="shared" si="36"/>
        <v>44256</v>
      </c>
      <c r="C1164" s="4" t="str">
        <f t="shared" si="37"/>
        <v>2021-03</v>
      </c>
      <c r="D1164" s="3">
        <v>121.03</v>
      </c>
      <c r="E1164" s="3">
        <v>12.86</v>
      </c>
      <c r="F1164" s="3">
        <v>268.39999999999998</v>
      </c>
      <c r="G1164" s="3">
        <v>3.65</v>
      </c>
    </row>
    <row r="1165" spans="1:7" x14ac:dyDescent="0.2">
      <c r="A1165" s="2">
        <v>44266</v>
      </c>
      <c r="B1165" s="1">
        <f t="shared" si="36"/>
        <v>44256</v>
      </c>
      <c r="C1165" s="4" t="str">
        <f t="shared" si="37"/>
        <v>2021-03</v>
      </c>
      <c r="D1165" s="3">
        <v>121.96</v>
      </c>
      <c r="E1165" s="3">
        <v>12.99</v>
      </c>
      <c r="F1165" s="3">
        <v>273.88</v>
      </c>
      <c r="G1165" s="3">
        <v>3.58</v>
      </c>
    </row>
    <row r="1166" spans="1:7" x14ac:dyDescent="0.2">
      <c r="A1166" s="2">
        <v>44265</v>
      </c>
      <c r="B1166" s="1">
        <f t="shared" si="36"/>
        <v>44256</v>
      </c>
      <c r="C1166" s="4" t="str">
        <f t="shared" si="37"/>
        <v>2021-03</v>
      </c>
      <c r="D1166" s="3">
        <v>119.98</v>
      </c>
      <c r="E1166" s="3">
        <v>12.47</v>
      </c>
      <c r="F1166" s="3">
        <v>264.89999999999998</v>
      </c>
      <c r="G1166" s="3">
        <v>3.57</v>
      </c>
    </row>
    <row r="1167" spans="1:7" x14ac:dyDescent="0.2">
      <c r="A1167" s="2">
        <v>44264</v>
      </c>
      <c r="B1167" s="1">
        <f t="shared" si="36"/>
        <v>44256</v>
      </c>
      <c r="C1167" s="4" t="str">
        <f t="shared" si="37"/>
        <v>2021-03</v>
      </c>
      <c r="D1167" s="3">
        <v>121.09</v>
      </c>
      <c r="E1167" s="3">
        <v>12.52</v>
      </c>
      <c r="F1167" s="3">
        <v>265.74</v>
      </c>
      <c r="G1167" s="3">
        <v>3.43</v>
      </c>
    </row>
    <row r="1168" spans="1:7" x14ac:dyDescent="0.2">
      <c r="A1168" s="2">
        <v>44263</v>
      </c>
      <c r="B1168" s="1">
        <f t="shared" si="36"/>
        <v>44256</v>
      </c>
      <c r="C1168" s="4" t="str">
        <f t="shared" si="37"/>
        <v>2021-03</v>
      </c>
      <c r="D1168" s="3">
        <v>116.36</v>
      </c>
      <c r="E1168" s="3">
        <v>11.59</v>
      </c>
      <c r="F1168" s="3">
        <v>255.31</v>
      </c>
      <c r="G1168" s="3">
        <v>3.46</v>
      </c>
    </row>
    <row r="1169" spans="1:7" x14ac:dyDescent="0.2">
      <c r="A1169" s="2">
        <v>44260</v>
      </c>
      <c r="B1169" s="1">
        <f t="shared" si="36"/>
        <v>44256</v>
      </c>
      <c r="C1169" s="4" t="str">
        <f t="shared" si="37"/>
        <v>2021-03</v>
      </c>
      <c r="D1169" s="3">
        <v>121.42</v>
      </c>
      <c r="E1169" s="3">
        <v>12.46</v>
      </c>
      <c r="F1169" s="3">
        <v>264.27999999999997</v>
      </c>
      <c r="G1169" s="3">
        <v>3.39</v>
      </c>
    </row>
    <row r="1170" spans="1:7" x14ac:dyDescent="0.2">
      <c r="A1170" s="2">
        <v>44259</v>
      </c>
      <c r="B1170" s="1">
        <f t="shared" si="36"/>
        <v>44256</v>
      </c>
      <c r="C1170" s="4" t="str">
        <f t="shared" si="37"/>
        <v>2021-03</v>
      </c>
      <c r="D1170" s="3">
        <v>120.13</v>
      </c>
      <c r="E1170" s="3">
        <v>12.37</v>
      </c>
      <c r="F1170" s="3">
        <v>257.64</v>
      </c>
      <c r="G1170" s="3">
        <v>3.26</v>
      </c>
    </row>
    <row r="1171" spans="1:7" x14ac:dyDescent="0.2">
      <c r="A1171" s="2">
        <v>44258</v>
      </c>
      <c r="B1171" s="1">
        <f t="shared" si="36"/>
        <v>44256</v>
      </c>
      <c r="C1171" s="4" t="str">
        <f t="shared" si="37"/>
        <v>2021-03</v>
      </c>
      <c r="D1171" s="3">
        <v>122.06</v>
      </c>
      <c r="E1171" s="3">
        <v>12.8</v>
      </c>
      <c r="F1171" s="3">
        <v>255.41</v>
      </c>
      <c r="G1171" s="3">
        <v>3.36</v>
      </c>
    </row>
    <row r="1172" spans="1:7" x14ac:dyDescent="0.2">
      <c r="A1172" s="2">
        <v>44257</v>
      </c>
      <c r="B1172" s="1">
        <f t="shared" si="36"/>
        <v>44256</v>
      </c>
      <c r="C1172" s="4" t="str">
        <f t="shared" si="37"/>
        <v>2021-03</v>
      </c>
      <c r="D1172" s="3">
        <v>125.12</v>
      </c>
      <c r="E1172" s="3">
        <v>13.41</v>
      </c>
      <c r="F1172" s="3">
        <v>259</v>
      </c>
      <c r="G1172" s="3">
        <v>3.41</v>
      </c>
    </row>
    <row r="1173" spans="1:7" x14ac:dyDescent="0.2">
      <c r="A1173" s="2">
        <v>44256</v>
      </c>
      <c r="B1173" s="1">
        <f t="shared" si="36"/>
        <v>44256</v>
      </c>
      <c r="C1173" s="4" t="str">
        <f t="shared" si="37"/>
        <v>2021-03</v>
      </c>
      <c r="D1173" s="3">
        <v>127.79</v>
      </c>
      <c r="E1173" s="3">
        <v>13.84</v>
      </c>
      <c r="F1173" s="3">
        <v>264.91000000000003</v>
      </c>
      <c r="G1173" s="3">
        <v>3.43</v>
      </c>
    </row>
    <row r="1174" spans="1:7" x14ac:dyDescent="0.2">
      <c r="A1174" s="2">
        <v>44253</v>
      </c>
      <c r="B1174" s="1">
        <f t="shared" si="36"/>
        <v>44228</v>
      </c>
      <c r="C1174" s="4" t="str">
        <f t="shared" si="37"/>
        <v>2021-02</v>
      </c>
      <c r="D1174" s="3">
        <v>121.26</v>
      </c>
      <c r="E1174" s="3">
        <v>13.71</v>
      </c>
      <c r="F1174" s="3">
        <v>257.62</v>
      </c>
      <c r="G1174" s="3">
        <v>3.26</v>
      </c>
    </row>
    <row r="1175" spans="1:7" x14ac:dyDescent="0.2">
      <c r="A1175" s="2">
        <v>44252</v>
      </c>
      <c r="B1175" s="1">
        <f t="shared" si="36"/>
        <v>44228</v>
      </c>
      <c r="C1175" s="4" t="str">
        <f t="shared" si="37"/>
        <v>2021-02</v>
      </c>
      <c r="D1175" s="3">
        <v>120.99</v>
      </c>
      <c r="E1175" s="3">
        <v>13.31</v>
      </c>
      <c r="F1175" s="3">
        <v>254.69</v>
      </c>
      <c r="G1175" s="3">
        <v>3.25</v>
      </c>
    </row>
    <row r="1176" spans="1:7" x14ac:dyDescent="0.2">
      <c r="A1176" s="2">
        <v>44251</v>
      </c>
      <c r="B1176" s="1">
        <f t="shared" si="36"/>
        <v>44228</v>
      </c>
      <c r="C1176" s="4" t="str">
        <f t="shared" si="37"/>
        <v>2021-02</v>
      </c>
      <c r="D1176" s="3">
        <v>125.35</v>
      </c>
      <c r="E1176" s="3">
        <v>14.5</v>
      </c>
      <c r="F1176" s="3">
        <v>264.31</v>
      </c>
      <c r="G1176" s="3">
        <v>3.37</v>
      </c>
    </row>
    <row r="1177" spans="1:7" x14ac:dyDescent="0.2">
      <c r="A1177" s="2">
        <v>44250</v>
      </c>
      <c r="B1177" s="1">
        <f t="shared" si="36"/>
        <v>44228</v>
      </c>
      <c r="C1177" s="4" t="str">
        <f t="shared" si="37"/>
        <v>2021-02</v>
      </c>
      <c r="D1177" s="3">
        <v>125.86</v>
      </c>
      <c r="E1177" s="3">
        <v>14.14</v>
      </c>
      <c r="F1177" s="3">
        <v>265.86</v>
      </c>
      <c r="G1177" s="3">
        <v>3.26</v>
      </c>
    </row>
    <row r="1178" spans="1:7" x14ac:dyDescent="0.2">
      <c r="A1178" s="2">
        <v>44249</v>
      </c>
      <c r="B1178" s="1">
        <f t="shared" si="36"/>
        <v>44228</v>
      </c>
      <c r="C1178" s="4" t="str">
        <f t="shared" si="37"/>
        <v>2021-02</v>
      </c>
      <c r="D1178" s="3">
        <v>126</v>
      </c>
      <c r="E1178" s="3">
        <v>14.36</v>
      </c>
      <c r="F1178" s="3">
        <v>260.33</v>
      </c>
      <c r="G1178" s="3">
        <v>3.18</v>
      </c>
    </row>
    <row r="1179" spans="1:7" x14ac:dyDescent="0.2">
      <c r="A1179" s="2">
        <v>44246</v>
      </c>
      <c r="B1179" s="1">
        <f t="shared" si="36"/>
        <v>44228</v>
      </c>
      <c r="C1179" s="4" t="str">
        <f t="shared" si="37"/>
        <v>2021-02</v>
      </c>
      <c r="D1179" s="3">
        <v>129.87</v>
      </c>
      <c r="E1179" s="3">
        <v>14.93</v>
      </c>
      <c r="F1179" s="3">
        <v>261.56</v>
      </c>
      <c r="G1179" s="3">
        <v>3.17</v>
      </c>
    </row>
    <row r="1180" spans="1:7" x14ac:dyDescent="0.2">
      <c r="A1180" s="2">
        <v>44245</v>
      </c>
      <c r="B1180" s="1">
        <f t="shared" si="36"/>
        <v>44228</v>
      </c>
      <c r="C1180" s="4" t="str">
        <f t="shared" si="37"/>
        <v>2021-02</v>
      </c>
      <c r="D1180" s="3">
        <v>129.71</v>
      </c>
      <c r="E1180" s="3">
        <v>14.83</v>
      </c>
      <c r="F1180" s="3">
        <v>269.39</v>
      </c>
      <c r="G1180" s="3">
        <v>3.16</v>
      </c>
    </row>
    <row r="1181" spans="1:7" x14ac:dyDescent="0.2">
      <c r="A1181" s="2">
        <v>44244</v>
      </c>
      <c r="B1181" s="1">
        <f t="shared" si="36"/>
        <v>44228</v>
      </c>
      <c r="C1181" s="4" t="str">
        <f t="shared" si="37"/>
        <v>2021-02</v>
      </c>
      <c r="D1181" s="3">
        <v>130.84</v>
      </c>
      <c r="E1181" s="3">
        <v>14.91</v>
      </c>
      <c r="F1181" s="3">
        <v>273.57</v>
      </c>
      <c r="G1181" s="3">
        <v>3.15</v>
      </c>
    </row>
    <row r="1182" spans="1:7" x14ac:dyDescent="0.2">
      <c r="A1182" s="2">
        <v>44243</v>
      </c>
      <c r="B1182" s="1">
        <f t="shared" si="36"/>
        <v>44228</v>
      </c>
      <c r="C1182" s="4" t="str">
        <f t="shared" si="37"/>
        <v>2021-02</v>
      </c>
      <c r="D1182" s="3">
        <v>133.19</v>
      </c>
      <c r="E1182" s="3">
        <v>15.33</v>
      </c>
      <c r="F1182" s="3">
        <v>273.97000000000003</v>
      </c>
      <c r="G1182" s="3">
        <v>3.19</v>
      </c>
    </row>
    <row r="1183" spans="1:7" x14ac:dyDescent="0.2">
      <c r="A1183" s="2">
        <v>44239</v>
      </c>
      <c r="B1183" s="1">
        <f t="shared" si="36"/>
        <v>44228</v>
      </c>
      <c r="C1183" s="4" t="str">
        <f t="shared" si="37"/>
        <v>2021-02</v>
      </c>
      <c r="D1183" s="3">
        <v>135.37</v>
      </c>
      <c r="E1183" s="3">
        <v>14.96</v>
      </c>
      <c r="F1183" s="3">
        <v>270.5</v>
      </c>
      <c r="G1183" s="3">
        <v>3.2</v>
      </c>
    </row>
    <row r="1184" spans="1:7" x14ac:dyDescent="0.2">
      <c r="A1184" s="2">
        <v>44238</v>
      </c>
      <c r="B1184" s="1">
        <f t="shared" si="36"/>
        <v>44228</v>
      </c>
      <c r="C1184" s="4" t="str">
        <f t="shared" si="37"/>
        <v>2021-02</v>
      </c>
      <c r="D1184" s="3">
        <v>135.13</v>
      </c>
      <c r="E1184" s="3">
        <v>15.25</v>
      </c>
      <c r="F1184" s="3">
        <v>270.39</v>
      </c>
      <c r="G1184" s="3">
        <v>3.42</v>
      </c>
    </row>
    <row r="1185" spans="1:7" x14ac:dyDescent="0.2">
      <c r="A1185" s="2">
        <v>44237</v>
      </c>
      <c r="B1185" s="1">
        <f t="shared" si="36"/>
        <v>44228</v>
      </c>
      <c r="C1185" s="4" t="str">
        <f t="shared" si="37"/>
        <v>2021-02</v>
      </c>
      <c r="D1185" s="3">
        <v>135.38999999999999</v>
      </c>
      <c r="E1185" s="3">
        <v>14.76</v>
      </c>
      <c r="F1185" s="3">
        <v>271.87</v>
      </c>
      <c r="G1185" s="3">
        <v>3.37</v>
      </c>
    </row>
    <row r="1186" spans="1:7" x14ac:dyDescent="0.2">
      <c r="A1186" s="2">
        <v>44236</v>
      </c>
      <c r="B1186" s="1">
        <f t="shared" si="36"/>
        <v>44228</v>
      </c>
      <c r="C1186" s="4" t="str">
        <f t="shared" si="37"/>
        <v>2021-02</v>
      </c>
      <c r="D1186" s="3">
        <v>136.01</v>
      </c>
      <c r="E1186" s="3">
        <v>14.26</v>
      </c>
      <c r="F1186" s="3">
        <v>269.45</v>
      </c>
      <c r="G1186" s="3">
        <v>3.39</v>
      </c>
    </row>
    <row r="1187" spans="1:7" x14ac:dyDescent="0.2">
      <c r="A1187" s="2">
        <v>44235</v>
      </c>
      <c r="B1187" s="1">
        <f t="shared" si="36"/>
        <v>44228</v>
      </c>
      <c r="C1187" s="4" t="str">
        <f t="shared" si="37"/>
        <v>2021-02</v>
      </c>
      <c r="D1187" s="3">
        <v>136.91</v>
      </c>
      <c r="E1187" s="3">
        <v>14.44</v>
      </c>
      <c r="F1187" s="3">
        <v>266.58</v>
      </c>
      <c r="G1187" s="3">
        <v>3.38</v>
      </c>
    </row>
    <row r="1188" spans="1:7" x14ac:dyDescent="0.2">
      <c r="A1188" s="2">
        <v>44232</v>
      </c>
      <c r="B1188" s="1">
        <f t="shared" si="36"/>
        <v>44228</v>
      </c>
      <c r="C1188" s="4" t="str">
        <f t="shared" si="37"/>
        <v>2021-02</v>
      </c>
      <c r="D1188" s="3">
        <v>136.76</v>
      </c>
      <c r="E1188" s="3">
        <v>13.59</v>
      </c>
      <c r="F1188" s="3">
        <v>268.10000000000002</v>
      </c>
      <c r="G1188" s="3">
        <v>3.2</v>
      </c>
    </row>
    <row r="1189" spans="1:7" x14ac:dyDescent="0.2">
      <c r="A1189" s="2">
        <v>44231</v>
      </c>
      <c r="B1189" s="1">
        <f t="shared" si="36"/>
        <v>44228</v>
      </c>
      <c r="C1189" s="4" t="str">
        <f t="shared" si="37"/>
        <v>2021-02</v>
      </c>
      <c r="D1189" s="3">
        <v>137.38999999999999</v>
      </c>
      <c r="E1189" s="3">
        <v>13.66</v>
      </c>
      <c r="F1189" s="3">
        <v>266.49</v>
      </c>
      <c r="G1189" s="3">
        <v>3.29</v>
      </c>
    </row>
    <row r="1190" spans="1:7" x14ac:dyDescent="0.2">
      <c r="A1190" s="2">
        <v>44230</v>
      </c>
      <c r="B1190" s="1">
        <f t="shared" si="36"/>
        <v>44228</v>
      </c>
      <c r="C1190" s="4" t="str">
        <f t="shared" si="37"/>
        <v>2021-02</v>
      </c>
      <c r="D1190" s="3">
        <v>133.94</v>
      </c>
      <c r="E1190" s="3">
        <v>13.53</v>
      </c>
      <c r="F1190" s="3">
        <v>266.64999999999998</v>
      </c>
      <c r="G1190" s="3">
        <v>3.3</v>
      </c>
    </row>
    <row r="1191" spans="1:7" x14ac:dyDescent="0.2">
      <c r="A1191" s="2">
        <v>44229</v>
      </c>
      <c r="B1191" s="1">
        <f t="shared" si="36"/>
        <v>44228</v>
      </c>
      <c r="C1191" s="4" t="str">
        <f t="shared" si="37"/>
        <v>2021-02</v>
      </c>
      <c r="D1191" s="3">
        <v>134.99</v>
      </c>
      <c r="E1191" s="3">
        <v>13.56</v>
      </c>
      <c r="F1191" s="3">
        <v>267.08</v>
      </c>
      <c r="G1191" s="3">
        <v>3.18</v>
      </c>
    </row>
    <row r="1192" spans="1:7" x14ac:dyDescent="0.2">
      <c r="A1192" s="2">
        <v>44228</v>
      </c>
      <c r="B1192" s="1">
        <f t="shared" si="36"/>
        <v>44228</v>
      </c>
      <c r="C1192" s="4" t="str">
        <f t="shared" si="37"/>
        <v>2021-02</v>
      </c>
      <c r="D1192" s="3">
        <v>134.13999999999999</v>
      </c>
      <c r="E1192" s="3">
        <v>13.24</v>
      </c>
      <c r="F1192" s="3">
        <v>262.01</v>
      </c>
      <c r="G1192" s="3">
        <v>3.15</v>
      </c>
    </row>
    <row r="1193" spans="1:7" x14ac:dyDescent="0.2">
      <c r="A1193" s="2">
        <v>44225</v>
      </c>
      <c r="B1193" s="1">
        <f t="shared" si="36"/>
        <v>44197</v>
      </c>
      <c r="C1193" s="4" t="str">
        <f t="shared" si="37"/>
        <v>2021-01</v>
      </c>
      <c r="D1193" s="3">
        <v>131.96</v>
      </c>
      <c r="E1193" s="3">
        <v>12.99</v>
      </c>
      <c r="F1193" s="3">
        <v>258.33</v>
      </c>
      <c r="G1193" s="3">
        <v>3.1</v>
      </c>
    </row>
    <row r="1194" spans="1:7" x14ac:dyDescent="0.2">
      <c r="A1194" s="2">
        <v>44224</v>
      </c>
      <c r="B1194" s="1">
        <f t="shared" si="36"/>
        <v>44197</v>
      </c>
      <c r="C1194" s="4" t="str">
        <f t="shared" si="37"/>
        <v>2021-01</v>
      </c>
      <c r="D1194" s="3">
        <v>137.09</v>
      </c>
      <c r="E1194" s="3">
        <v>13.05</v>
      </c>
      <c r="F1194" s="3">
        <v>265</v>
      </c>
      <c r="G1194" s="3">
        <v>3.18</v>
      </c>
    </row>
    <row r="1195" spans="1:7" x14ac:dyDescent="0.2">
      <c r="A1195" s="2">
        <v>44223</v>
      </c>
      <c r="B1195" s="1">
        <f t="shared" si="36"/>
        <v>44197</v>
      </c>
      <c r="C1195" s="4" t="str">
        <f t="shared" si="37"/>
        <v>2021-01</v>
      </c>
      <c r="D1195" s="3">
        <v>142.06</v>
      </c>
      <c r="E1195" s="3">
        <v>12.92</v>
      </c>
      <c r="F1195" s="3">
        <v>272.14</v>
      </c>
      <c r="G1195" s="3">
        <v>3.22</v>
      </c>
    </row>
    <row r="1196" spans="1:7" x14ac:dyDescent="0.2">
      <c r="A1196" s="2">
        <v>44222</v>
      </c>
      <c r="B1196" s="1">
        <f t="shared" si="36"/>
        <v>44197</v>
      </c>
      <c r="C1196" s="4" t="str">
        <f t="shared" si="37"/>
        <v>2021-01</v>
      </c>
      <c r="D1196" s="3">
        <v>143.16</v>
      </c>
      <c r="E1196" s="3">
        <v>13.44</v>
      </c>
      <c r="F1196" s="3">
        <v>282.05</v>
      </c>
      <c r="G1196" s="3">
        <v>3.38</v>
      </c>
    </row>
    <row r="1197" spans="1:7" x14ac:dyDescent="0.2">
      <c r="A1197" s="2">
        <v>44221</v>
      </c>
      <c r="B1197" s="1">
        <f t="shared" si="36"/>
        <v>44197</v>
      </c>
      <c r="C1197" s="4" t="str">
        <f t="shared" si="37"/>
        <v>2021-01</v>
      </c>
      <c r="D1197" s="3">
        <v>142.91999999999999</v>
      </c>
      <c r="E1197" s="3">
        <v>13.65</v>
      </c>
      <c r="F1197" s="3">
        <v>278.01</v>
      </c>
      <c r="G1197" s="3">
        <v>3.47</v>
      </c>
    </row>
    <row r="1198" spans="1:7" x14ac:dyDescent="0.2">
      <c r="A1198" s="2">
        <v>44218</v>
      </c>
      <c r="B1198" s="1">
        <f t="shared" si="36"/>
        <v>44197</v>
      </c>
      <c r="C1198" s="4" t="str">
        <f t="shared" si="37"/>
        <v>2021-01</v>
      </c>
      <c r="D1198" s="3">
        <v>139.07</v>
      </c>
      <c r="E1198" s="3">
        <v>13.71</v>
      </c>
      <c r="F1198" s="3">
        <v>274.5</v>
      </c>
      <c r="G1198" s="3">
        <v>3.42</v>
      </c>
    </row>
    <row r="1199" spans="1:7" x14ac:dyDescent="0.2">
      <c r="A1199" s="2">
        <v>44217</v>
      </c>
      <c r="B1199" s="1">
        <f t="shared" si="36"/>
        <v>44197</v>
      </c>
      <c r="C1199" s="4" t="str">
        <f t="shared" si="37"/>
        <v>2021-01</v>
      </c>
      <c r="D1199" s="3">
        <v>136.87</v>
      </c>
      <c r="E1199" s="3">
        <v>13.87</v>
      </c>
      <c r="F1199" s="3">
        <v>272.87</v>
      </c>
      <c r="G1199" s="3">
        <v>3.38</v>
      </c>
    </row>
    <row r="1200" spans="1:7" x14ac:dyDescent="0.2">
      <c r="A1200" s="2">
        <v>44216</v>
      </c>
      <c r="B1200" s="1">
        <f t="shared" si="36"/>
        <v>44197</v>
      </c>
      <c r="C1200" s="4" t="str">
        <f t="shared" si="37"/>
        <v>2021-01</v>
      </c>
      <c r="D1200" s="3">
        <v>132.03</v>
      </c>
      <c r="E1200" s="3">
        <v>13.37</v>
      </c>
      <c r="F1200" s="3">
        <v>267.48</v>
      </c>
      <c r="G1200" s="3">
        <v>3.37</v>
      </c>
    </row>
    <row r="1201" spans="1:7" x14ac:dyDescent="0.2">
      <c r="A1201" s="2">
        <v>44215</v>
      </c>
      <c r="B1201" s="1">
        <f t="shared" si="36"/>
        <v>44197</v>
      </c>
      <c r="C1201" s="4" t="str">
        <f t="shared" si="37"/>
        <v>2021-01</v>
      </c>
      <c r="D1201" s="3">
        <v>127.83</v>
      </c>
      <c r="E1201" s="3">
        <v>13.03</v>
      </c>
      <c r="F1201" s="3">
        <v>261.10000000000002</v>
      </c>
      <c r="G1201" s="3">
        <v>3.25</v>
      </c>
    </row>
    <row r="1202" spans="1:7" x14ac:dyDescent="0.2">
      <c r="A1202" s="2">
        <v>44211</v>
      </c>
      <c r="B1202" s="1">
        <f t="shared" si="36"/>
        <v>44197</v>
      </c>
      <c r="C1202" s="4" t="str">
        <f t="shared" si="37"/>
        <v>2021-01</v>
      </c>
      <c r="D1202" s="3">
        <v>127.14</v>
      </c>
      <c r="E1202" s="3">
        <v>12.86</v>
      </c>
      <c r="F1202" s="3">
        <v>251.36</v>
      </c>
      <c r="G1202" s="3">
        <v>3.24</v>
      </c>
    </row>
    <row r="1203" spans="1:7" x14ac:dyDescent="0.2">
      <c r="A1203" s="2">
        <v>44210</v>
      </c>
      <c r="B1203" s="1">
        <f t="shared" si="36"/>
        <v>44197</v>
      </c>
      <c r="C1203" s="4" t="str">
        <f t="shared" si="37"/>
        <v>2021-01</v>
      </c>
      <c r="D1203" s="3">
        <v>128.91</v>
      </c>
      <c r="E1203" s="3">
        <v>13.2</v>
      </c>
      <c r="F1203" s="3">
        <v>245.64</v>
      </c>
      <c r="G1203" s="3">
        <v>3.27</v>
      </c>
    </row>
    <row r="1204" spans="1:7" x14ac:dyDescent="0.2">
      <c r="A1204" s="2">
        <v>44209</v>
      </c>
      <c r="B1204" s="1">
        <f t="shared" si="36"/>
        <v>44197</v>
      </c>
      <c r="C1204" s="4" t="str">
        <f t="shared" si="37"/>
        <v>2021-01</v>
      </c>
      <c r="D1204" s="3">
        <v>130.88999999999999</v>
      </c>
      <c r="E1204" s="3">
        <v>13.53</v>
      </c>
      <c r="F1204" s="3">
        <v>251.64</v>
      </c>
      <c r="G1204" s="3">
        <v>3.25</v>
      </c>
    </row>
    <row r="1205" spans="1:7" x14ac:dyDescent="0.2">
      <c r="A1205" s="2">
        <v>44208</v>
      </c>
      <c r="B1205" s="1">
        <f t="shared" si="36"/>
        <v>44197</v>
      </c>
      <c r="C1205" s="4" t="str">
        <f t="shared" si="37"/>
        <v>2021-01</v>
      </c>
      <c r="D1205" s="3">
        <v>128.80000000000001</v>
      </c>
      <c r="E1205" s="3">
        <v>13.48</v>
      </c>
      <c r="F1205" s="3">
        <v>251.09</v>
      </c>
      <c r="G1205" s="3">
        <v>3.24</v>
      </c>
    </row>
    <row r="1206" spans="1:7" x14ac:dyDescent="0.2">
      <c r="A1206" s="2">
        <v>44207</v>
      </c>
      <c r="B1206" s="1">
        <f t="shared" si="36"/>
        <v>44197</v>
      </c>
      <c r="C1206" s="4" t="str">
        <f t="shared" si="37"/>
        <v>2021-01</v>
      </c>
      <c r="D1206" s="3">
        <v>128.97999999999999</v>
      </c>
      <c r="E1206" s="3">
        <v>13.62</v>
      </c>
      <c r="F1206" s="3">
        <v>256.83999999999997</v>
      </c>
      <c r="G1206" s="3">
        <v>3.21</v>
      </c>
    </row>
    <row r="1207" spans="1:7" x14ac:dyDescent="0.2">
      <c r="A1207" s="2">
        <v>44204</v>
      </c>
      <c r="B1207" s="1">
        <f t="shared" si="36"/>
        <v>44197</v>
      </c>
      <c r="C1207" s="4" t="str">
        <f t="shared" si="37"/>
        <v>2021-01</v>
      </c>
      <c r="D1207" s="3">
        <v>132.05000000000001</v>
      </c>
      <c r="E1207" s="3">
        <v>13.28</v>
      </c>
      <c r="F1207" s="3">
        <v>267.57</v>
      </c>
      <c r="G1207" s="3">
        <v>3.19</v>
      </c>
    </row>
    <row r="1208" spans="1:7" x14ac:dyDescent="0.2">
      <c r="A1208" s="2">
        <v>44203</v>
      </c>
      <c r="B1208" s="1">
        <f t="shared" si="36"/>
        <v>44197</v>
      </c>
      <c r="C1208" s="4" t="str">
        <f t="shared" si="37"/>
        <v>2021-01</v>
      </c>
      <c r="D1208" s="3">
        <v>130.91999999999999</v>
      </c>
      <c r="E1208" s="3">
        <v>13.34</v>
      </c>
      <c r="F1208" s="3">
        <v>268.74</v>
      </c>
      <c r="G1208" s="3">
        <v>3.22</v>
      </c>
    </row>
    <row r="1209" spans="1:7" x14ac:dyDescent="0.2">
      <c r="A1209" s="2">
        <v>44202</v>
      </c>
      <c r="B1209" s="1">
        <f t="shared" si="36"/>
        <v>44197</v>
      </c>
      <c r="C1209" s="4" t="str">
        <f t="shared" si="37"/>
        <v>2021-01</v>
      </c>
      <c r="D1209" s="3">
        <v>126.6</v>
      </c>
      <c r="E1209" s="3">
        <v>12.61</v>
      </c>
      <c r="F1209" s="3">
        <v>263.31</v>
      </c>
      <c r="G1209" s="3">
        <v>3.19</v>
      </c>
    </row>
    <row r="1210" spans="1:7" x14ac:dyDescent="0.2">
      <c r="A1210" s="2">
        <v>44201</v>
      </c>
      <c r="B1210" s="1">
        <f t="shared" si="36"/>
        <v>44197</v>
      </c>
      <c r="C1210" s="4" t="str">
        <f t="shared" si="37"/>
        <v>2021-01</v>
      </c>
      <c r="D1210" s="3">
        <v>131.01</v>
      </c>
      <c r="E1210" s="3">
        <v>13.4</v>
      </c>
      <c r="F1210" s="3">
        <v>270.97000000000003</v>
      </c>
      <c r="G1210" s="3">
        <v>3.12</v>
      </c>
    </row>
    <row r="1211" spans="1:7" x14ac:dyDescent="0.2">
      <c r="A1211" s="2">
        <v>44200</v>
      </c>
      <c r="B1211" s="1">
        <f t="shared" si="36"/>
        <v>44197</v>
      </c>
      <c r="C1211" s="4" t="str">
        <f t="shared" si="37"/>
        <v>2021-01</v>
      </c>
      <c r="D1211" s="3">
        <v>129.41</v>
      </c>
      <c r="E1211" s="3">
        <v>13.11</v>
      </c>
      <c r="F1211" s="3">
        <v>268.94</v>
      </c>
      <c r="G1211" s="3">
        <v>3.11</v>
      </c>
    </row>
    <row r="1212" spans="1:7" x14ac:dyDescent="0.2">
      <c r="A1212" s="2">
        <v>44196</v>
      </c>
      <c r="B1212" s="1">
        <f t="shared" si="36"/>
        <v>44166</v>
      </c>
      <c r="C1212" s="4" t="str">
        <f t="shared" si="37"/>
        <v>2020-12</v>
      </c>
      <c r="D1212" s="3">
        <v>132.69</v>
      </c>
      <c r="E1212" s="3">
        <v>13.06</v>
      </c>
      <c r="F1212" s="3">
        <v>273.16000000000003</v>
      </c>
      <c r="G1212" s="3">
        <v>3.17</v>
      </c>
    </row>
    <row r="1213" spans="1:7" x14ac:dyDescent="0.2">
      <c r="A1213" s="2">
        <v>44195</v>
      </c>
      <c r="B1213" s="1">
        <f t="shared" si="36"/>
        <v>44166</v>
      </c>
      <c r="C1213" s="4" t="str">
        <f t="shared" si="37"/>
        <v>2020-12</v>
      </c>
      <c r="D1213" s="3">
        <v>133.72</v>
      </c>
      <c r="E1213" s="3">
        <v>13.15</v>
      </c>
      <c r="F1213" s="3">
        <v>271.87</v>
      </c>
      <c r="G1213" s="3">
        <v>3.05</v>
      </c>
    </row>
    <row r="1214" spans="1:7" x14ac:dyDescent="0.2">
      <c r="A1214" s="2">
        <v>44194</v>
      </c>
      <c r="B1214" s="1">
        <f t="shared" si="36"/>
        <v>44166</v>
      </c>
      <c r="C1214" s="4" t="str">
        <f t="shared" si="37"/>
        <v>2020-12</v>
      </c>
      <c r="D1214" s="3">
        <v>134.87</v>
      </c>
      <c r="E1214" s="3">
        <v>12.94</v>
      </c>
      <c r="F1214" s="3">
        <v>276.77999999999997</v>
      </c>
      <c r="G1214" s="3">
        <v>3.05</v>
      </c>
    </row>
    <row r="1215" spans="1:7" x14ac:dyDescent="0.2">
      <c r="A1215" s="2">
        <v>44193</v>
      </c>
      <c r="B1215" s="1">
        <f t="shared" si="36"/>
        <v>44166</v>
      </c>
      <c r="C1215" s="4" t="str">
        <f t="shared" si="37"/>
        <v>2020-12</v>
      </c>
      <c r="D1215" s="3">
        <v>136.69</v>
      </c>
      <c r="E1215" s="3">
        <v>12.9</v>
      </c>
      <c r="F1215" s="3">
        <v>277</v>
      </c>
      <c r="G1215" s="3">
        <v>3.05</v>
      </c>
    </row>
    <row r="1216" spans="1:7" x14ac:dyDescent="0.2">
      <c r="A1216" s="2">
        <v>44189</v>
      </c>
      <c r="B1216" s="1">
        <f t="shared" si="36"/>
        <v>44166</v>
      </c>
      <c r="C1216" s="4" t="str">
        <f t="shared" si="37"/>
        <v>2020-12</v>
      </c>
      <c r="D1216" s="3">
        <v>131.97</v>
      </c>
      <c r="E1216" s="3">
        <v>12.99</v>
      </c>
      <c r="F1216" s="3">
        <v>267.39999999999998</v>
      </c>
      <c r="G1216" s="3">
        <v>3.05</v>
      </c>
    </row>
    <row r="1217" spans="1:7" x14ac:dyDescent="0.2">
      <c r="A1217" s="2">
        <v>44188</v>
      </c>
      <c r="B1217" s="1">
        <f t="shared" si="36"/>
        <v>44166</v>
      </c>
      <c r="C1217" s="4" t="str">
        <f t="shared" si="37"/>
        <v>2020-12</v>
      </c>
      <c r="D1217" s="3">
        <v>130.96</v>
      </c>
      <c r="E1217" s="3">
        <v>13.01</v>
      </c>
      <c r="F1217" s="3">
        <v>268.11</v>
      </c>
      <c r="G1217" s="3">
        <v>3.02</v>
      </c>
    </row>
    <row r="1218" spans="1:7" x14ac:dyDescent="0.2">
      <c r="A1218" s="2">
        <v>44187</v>
      </c>
      <c r="B1218" s="1">
        <f t="shared" si="36"/>
        <v>44166</v>
      </c>
      <c r="C1218" s="4" t="str">
        <f t="shared" si="37"/>
        <v>2020-12</v>
      </c>
      <c r="D1218" s="3">
        <v>131.88</v>
      </c>
      <c r="E1218" s="3">
        <v>13.28</v>
      </c>
      <c r="F1218" s="3">
        <v>267.08999999999997</v>
      </c>
      <c r="G1218" s="3">
        <v>2.98</v>
      </c>
    </row>
    <row r="1219" spans="1:7" x14ac:dyDescent="0.2">
      <c r="A1219" s="2">
        <v>44186</v>
      </c>
      <c r="B1219" s="1">
        <f t="shared" ref="B1219:B1282" si="38">EOMONTH(A1219, -1)+1</f>
        <v>44166</v>
      </c>
      <c r="C1219" s="4" t="str">
        <f t="shared" ref="C1219:C1282" si="39">TEXT(A1219, "yyyy-mm")</f>
        <v>2020-12</v>
      </c>
      <c r="D1219" s="3">
        <v>128.22999999999999</v>
      </c>
      <c r="E1219" s="3">
        <v>13.33</v>
      </c>
      <c r="F1219" s="3">
        <v>272.79000000000002</v>
      </c>
      <c r="G1219" s="3">
        <v>3</v>
      </c>
    </row>
    <row r="1220" spans="1:7" x14ac:dyDescent="0.2">
      <c r="A1220" s="2">
        <v>44183</v>
      </c>
      <c r="B1220" s="1">
        <f t="shared" si="38"/>
        <v>44166</v>
      </c>
      <c r="C1220" s="4" t="str">
        <f t="shared" si="39"/>
        <v>2020-12</v>
      </c>
      <c r="D1220" s="3">
        <v>126.66</v>
      </c>
      <c r="E1220" s="3">
        <v>13.27</v>
      </c>
      <c r="F1220" s="3">
        <v>276.39999999999998</v>
      </c>
      <c r="G1220" s="3">
        <v>3.05</v>
      </c>
    </row>
    <row r="1221" spans="1:7" x14ac:dyDescent="0.2">
      <c r="A1221" s="2">
        <v>44182</v>
      </c>
      <c r="B1221" s="1">
        <f t="shared" si="38"/>
        <v>44166</v>
      </c>
      <c r="C1221" s="4" t="str">
        <f t="shared" si="39"/>
        <v>2020-12</v>
      </c>
      <c r="D1221" s="3">
        <v>128.69999999999999</v>
      </c>
      <c r="E1221" s="3">
        <v>13.34</v>
      </c>
      <c r="F1221" s="3">
        <v>274.48</v>
      </c>
      <c r="G1221" s="3">
        <v>3</v>
      </c>
    </row>
    <row r="1222" spans="1:7" x14ac:dyDescent="0.2">
      <c r="A1222" s="2">
        <v>44181</v>
      </c>
      <c r="B1222" s="1">
        <f t="shared" si="38"/>
        <v>44166</v>
      </c>
      <c r="C1222" s="4" t="str">
        <f t="shared" si="39"/>
        <v>2020-12</v>
      </c>
      <c r="D1222" s="3">
        <v>127.81</v>
      </c>
      <c r="E1222" s="3">
        <v>13.24</v>
      </c>
      <c r="F1222" s="3">
        <v>275.67</v>
      </c>
      <c r="G1222" s="3">
        <v>2.99</v>
      </c>
    </row>
    <row r="1223" spans="1:7" x14ac:dyDescent="0.2">
      <c r="A1223" s="2">
        <v>44180</v>
      </c>
      <c r="B1223" s="1">
        <f t="shared" si="38"/>
        <v>44166</v>
      </c>
      <c r="C1223" s="4" t="str">
        <f t="shared" si="39"/>
        <v>2020-12</v>
      </c>
      <c r="D1223" s="3">
        <v>127.88</v>
      </c>
      <c r="E1223" s="3">
        <v>13.36</v>
      </c>
      <c r="F1223" s="3">
        <v>275.55</v>
      </c>
      <c r="G1223" s="3">
        <v>2.99</v>
      </c>
    </row>
    <row r="1224" spans="1:7" x14ac:dyDescent="0.2">
      <c r="A1224" s="2">
        <v>44179</v>
      </c>
      <c r="B1224" s="1">
        <f t="shared" si="38"/>
        <v>44166</v>
      </c>
      <c r="C1224" s="4" t="str">
        <f t="shared" si="39"/>
        <v>2020-12</v>
      </c>
      <c r="D1224" s="3">
        <v>121.78</v>
      </c>
      <c r="E1224" s="3">
        <v>13.31</v>
      </c>
      <c r="F1224" s="3">
        <v>274.19</v>
      </c>
      <c r="G1224" s="3">
        <v>2.92</v>
      </c>
    </row>
    <row r="1225" spans="1:7" x14ac:dyDescent="0.2">
      <c r="A1225" s="2">
        <v>44176</v>
      </c>
      <c r="B1225" s="1">
        <f t="shared" si="38"/>
        <v>44166</v>
      </c>
      <c r="C1225" s="4" t="str">
        <f t="shared" si="39"/>
        <v>2020-12</v>
      </c>
      <c r="D1225" s="3">
        <v>122.41</v>
      </c>
      <c r="E1225" s="3">
        <v>13.01</v>
      </c>
      <c r="F1225" s="3">
        <v>273.55</v>
      </c>
      <c r="G1225" s="3">
        <v>2.99</v>
      </c>
    </row>
    <row r="1226" spans="1:7" x14ac:dyDescent="0.2">
      <c r="A1226" s="2">
        <v>44175</v>
      </c>
      <c r="B1226" s="1">
        <f t="shared" si="38"/>
        <v>44166</v>
      </c>
      <c r="C1226" s="4" t="str">
        <f t="shared" si="39"/>
        <v>2020-12</v>
      </c>
      <c r="D1226" s="3">
        <v>123.24</v>
      </c>
      <c r="E1226" s="3">
        <v>12.97</v>
      </c>
      <c r="F1226" s="3">
        <v>277.12</v>
      </c>
      <c r="G1226" s="3">
        <v>3.04</v>
      </c>
    </row>
    <row r="1227" spans="1:7" x14ac:dyDescent="0.2">
      <c r="A1227" s="2">
        <v>44174</v>
      </c>
      <c r="B1227" s="1">
        <f t="shared" si="38"/>
        <v>44166</v>
      </c>
      <c r="C1227" s="4" t="str">
        <f t="shared" si="39"/>
        <v>2020-12</v>
      </c>
      <c r="D1227" s="3">
        <v>121.78</v>
      </c>
      <c r="E1227" s="3">
        <v>12.93</v>
      </c>
      <c r="F1227" s="3">
        <v>277.92</v>
      </c>
      <c r="G1227" s="3">
        <v>3.03</v>
      </c>
    </row>
    <row r="1228" spans="1:7" x14ac:dyDescent="0.2">
      <c r="A1228" s="2">
        <v>44173</v>
      </c>
      <c r="B1228" s="1">
        <f t="shared" si="38"/>
        <v>44166</v>
      </c>
      <c r="C1228" s="4" t="str">
        <f t="shared" si="39"/>
        <v>2020-12</v>
      </c>
      <c r="D1228" s="3">
        <v>124.38</v>
      </c>
      <c r="E1228" s="3">
        <v>13.35</v>
      </c>
      <c r="F1228" s="3">
        <v>283.39999999999998</v>
      </c>
      <c r="G1228" s="3">
        <v>3.09</v>
      </c>
    </row>
    <row r="1229" spans="1:7" x14ac:dyDescent="0.2">
      <c r="A1229" s="2">
        <v>44172</v>
      </c>
      <c r="B1229" s="1">
        <f t="shared" si="38"/>
        <v>44166</v>
      </c>
      <c r="C1229" s="4" t="str">
        <f t="shared" si="39"/>
        <v>2020-12</v>
      </c>
      <c r="D1229" s="3">
        <v>123.75</v>
      </c>
      <c r="E1229" s="3">
        <v>13.61</v>
      </c>
      <c r="F1229" s="3">
        <v>285.58</v>
      </c>
      <c r="G1229" s="3">
        <v>3.1</v>
      </c>
    </row>
    <row r="1230" spans="1:7" x14ac:dyDescent="0.2">
      <c r="A1230" s="2">
        <v>44169</v>
      </c>
      <c r="B1230" s="1">
        <f t="shared" si="38"/>
        <v>44166</v>
      </c>
      <c r="C1230" s="4" t="str">
        <f t="shared" si="39"/>
        <v>2020-12</v>
      </c>
      <c r="D1230" s="3">
        <v>122.25</v>
      </c>
      <c r="E1230" s="3">
        <v>13.56</v>
      </c>
      <c r="F1230" s="3">
        <v>279.7</v>
      </c>
      <c r="G1230" s="3">
        <v>3.06</v>
      </c>
    </row>
    <row r="1231" spans="1:7" x14ac:dyDescent="0.2">
      <c r="A1231" s="2">
        <v>44168</v>
      </c>
      <c r="B1231" s="1">
        <f t="shared" si="38"/>
        <v>44166</v>
      </c>
      <c r="C1231" s="4" t="str">
        <f t="shared" si="39"/>
        <v>2020-12</v>
      </c>
      <c r="D1231" s="3">
        <v>122.94</v>
      </c>
      <c r="E1231" s="3">
        <v>13.4</v>
      </c>
      <c r="F1231" s="3">
        <v>281.85000000000002</v>
      </c>
      <c r="G1231" s="3">
        <v>2.97</v>
      </c>
    </row>
    <row r="1232" spans="1:7" x14ac:dyDescent="0.2">
      <c r="A1232" s="2">
        <v>44167</v>
      </c>
      <c r="B1232" s="1">
        <f t="shared" si="38"/>
        <v>44166</v>
      </c>
      <c r="C1232" s="4" t="str">
        <f t="shared" si="39"/>
        <v>2020-12</v>
      </c>
      <c r="D1232" s="3">
        <v>123.08</v>
      </c>
      <c r="E1232" s="3">
        <v>13.54</v>
      </c>
      <c r="F1232" s="3">
        <v>287.52</v>
      </c>
      <c r="G1232" s="3">
        <v>2.91</v>
      </c>
    </row>
    <row r="1233" spans="1:7" x14ac:dyDescent="0.2">
      <c r="A1233" s="2">
        <v>44166</v>
      </c>
      <c r="B1233" s="1">
        <f t="shared" si="38"/>
        <v>44166</v>
      </c>
      <c r="C1233" s="4" t="str">
        <f t="shared" si="39"/>
        <v>2020-12</v>
      </c>
      <c r="D1233" s="3">
        <v>122.72</v>
      </c>
      <c r="E1233" s="3">
        <v>13.39</v>
      </c>
      <c r="F1233" s="3">
        <v>286.55</v>
      </c>
      <c r="G1233" s="3">
        <v>2.89</v>
      </c>
    </row>
    <row r="1234" spans="1:7" x14ac:dyDescent="0.2">
      <c r="A1234" s="2">
        <v>44165</v>
      </c>
      <c r="B1234" s="1">
        <f t="shared" si="38"/>
        <v>44136</v>
      </c>
      <c r="C1234" s="4" t="str">
        <f t="shared" si="39"/>
        <v>2020-11</v>
      </c>
      <c r="D1234" s="3">
        <v>119.05</v>
      </c>
      <c r="E1234" s="3">
        <v>13.4</v>
      </c>
      <c r="F1234" s="3">
        <v>276.97000000000003</v>
      </c>
      <c r="G1234" s="3">
        <v>2.82</v>
      </c>
    </row>
    <row r="1235" spans="1:7" x14ac:dyDescent="0.2">
      <c r="A1235" s="2">
        <v>44162</v>
      </c>
      <c r="B1235" s="1">
        <f t="shared" si="38"/>
        <v>44136</v>
      </c>
      <c r="C1235" s="4" t="str">
        <f t="shared" si="39"/>
        <v>2020-11</v>
      </c>
      <c r="D1235" s="3">
        <v>116.59</v>
      </c>
      <c r="E1235" s="3">
        <v>13.26</v>
      </c>
      <c r="F1235" s="3">
        <v>277.81</v>
      </c>
      <c r="G1235" s="3">
        <v>2.97</v>
      </c>
    </row>
    <row r="1236" spans="1:7" x14ac:dyDescent="0.2">
      <c r="A1236" s="2">
        <v>44160</v>
      </c>
      <c r="B1236" s="1">
        <f t="shared" si="38"/>
        <v>44136</v>
      </c>
      <c r="C1236" s="4" t="str">
        <f t="shared" si="39"/>
        <v>2020-11</v>
      </c>
      <c r="D1236" s="3">
        <v>116.03</v>
      </c>
      <c r="E1236" s="3">
        <v>13.23</v>
      </c>
      <c r="F1236" s="3">
        <v>275.58999999999997</v>
      </c>
      <c r="G1236" s="3">
        <v>2.93</v>
      </c>
    </row>
    <row r="1237" spans="1:7" x14ac:dyDescent="0.2">
      <c r="A1237" s="2">
        <v>44159</v>
      </c>
      <c r="B1237" s="1">
        <f t="shared" si="38"/>
        <v>44136</v>
      </c>
      <c r="C1237" s="4" t="str">
        <f t="shared" si="39"/>
        <v>2020-11</v>
      </c>
      <c r="D1237" s="3">
        <v>115.17</v>
      </c>
      <c r="E1237" s="3">
        <v>12.96</v>
      </c>
      <c r="F1237" s="3">
        <v>276.92</v>
      </c>
      <c r="G1237" s="3">
        <v>2.91</v>
      </c>
    </row>
    <row r="1238" spans="1:7" x14ac:dyDescent="0.2">
      <c r="A1238" s="2">
        <v>44158</v>
      </c>
      <c r="B1238" s="1">
        <f t="shared" si="38"/>
        <v>44136</v>
      </c>
      <c r="C1238" s="4" t="str">
        <f t="shared" si="39"/>
        <v>2020-11</v>
      </c>
      <c r="D1238" s="3">
        <v>113.85</v>
      </c>
      <c r="E1238" s="3">
        <v>13.14</v>
      </c>
      <c r="F1238" s="3">
        <v>268.43</v>
      </c>
      <c r="G1238" s="3">
        <v>2.94</v>
      </c>
    </row>
    <row r="1239" spans="1:7" x14ac:dyDescent="0.2">
      <c r="A1239" s="2">
        <v>44155</v>
      </c>
      <c r="B1239" s="1">
        <f t="shared" si="38"/>
        <v>44136</v>
      </c>
      <c r="C1239" s="4" t="str">
        <f t="shared" si="39"/>
        <v>2020-11</v>
      </c>
      <c r="D1239" s="3">
        <v>117.34</v>
      </c>
      <c r="E1239" s="3">
        <v>13.09</v>
      </c>
      <c r="F1239" s="3">
        <v>269.7</v>
      </c>
      <c r="G1239" s="3">
        <v>2.99</v>
      </c>
    </row>
    <row r="1240" spans="1:7" x14ac:dyDescent="0.2">
      <c r="A1240" s="2">
        <v>44154</v>
      </c>
      <c r="B1240" s="1">
        <f t="shared" si="38"/>
        <v>44136</v>
      </c>
      <c r="C1240" s="4" t="str">
        <f t="shared" si="39"/>
        <v>2020-11</v>
      </c>
      <c r="D1240" s="3">
        <v>118.64</v>
      </c>
      <c r="E1240" s="3">
        <v>13.44</v>
      </c>
      <c r="F1240" s="3">
        <v>272.94</v>
      </c>
      <c r="G1240" s="3">
        <v>3</v>
      </c>
    </row>
    <row r="1241" spans="1:7" x14ac:dyDescent="0.2">
      <c r="A1241" s="2">
        <v>44153</v>
      </c>
      <c r="B1241" s="1">
        <f t="shared" si="38"/>
        <v>44136</v>
      </c>
      <c r="C1241" s="4" t="str">
        <f t="shared" si="39"/>
        <v>2020-11</v>
      </c>
      <c r="D1241" s="3">
        <v>118.03</v>
      </c>
      <c r="E1241" s="3">
        <v>13.43</v>
      </c>
      <c r="F1241" s="3">
        <v>271.97000000000003</v>
      </c>
      <c r="G1241" s="3">
        <v>2.96</v>
      </c>
    </row>
    <row r="1242" spans="1:7" x14ac:dyDescent="0.2">
      <c r="A1242" s="2">
        <v>44152</v>
      </c>
      <c r="B1242" s="1">
        <f t="shared" si="38"/>
        <v>44136</v>
      </c>
      <c r="C1242" s="4" t="str">
        <f t="shared" si="39"/>
        <v>2020-11</v>
      </c>
      <c r="D1242" s="3">
        <v>119.39</v>
      </c>
      <c r="E1242" s="3">
        <v>13.42</v>
      </c>
      <c r="F1242" s="3">
        <v>275</v>
      </c>
      <c r="G1242" s="3">
        <v>2.95</v>
      </c>
    </row>
    <row r="1243" spans="1:7" x14ac:dyDescent="0.2">
      <c r="A1243" s="2">
        <v>44151</v>
      </c>
      <c r="B1243" s="1">
        <f t="shared" si="38"/>
        <v>44136</v>
      </c>
      <c r="C1243" s="4" t="str">
        <f t="shared" si="39"/>
        <v>2020-11</v>
      </c>
      <c r="D1243" s="3">
        <v>120.3</v>
      </c>
      <c r="E1243" s="3">
        <v>13.52</v>
      </c>
      <c r="F1243" s="3">
        <v>278.95999999999998</v>
      </c>
      <c r="G1243" s="3">
        <v>2.95</v>
      </c>
    </row>
    <row r="1244" spans="1:7" x14ac:dyDescent="0.2">
      <c r="A1244" s="2">
        <v>44148</v>
      </c>
      <c r="B1244" s="1">
        <f t="shared" si="38"/>
        <v>44136</v>
      </c>
      <c r="C1244" s="4" t="str">
        <f t="shared" si="39"/>
        <v>2020-11</v>
      </c>
      <c r="D1244" s="3">
        <v>119.26</v>
      </c>
      <c r="E1244" s="3">
        <v>13.3</v>
      </c>
      <c r="F1244" s="3">
        <v>276.95</v>
      </c>
      <c r="G1244" s="3">
        <v>2.95</v>
      </c>
    </row>
    <row r="1245" spans="1:7" x14ac:dyDescent="0.2">
      <c r="A1245" s="2">
        <v>44147</v>
      </c>
      <c r="B1245" s="1">
        <f t="shared" si="38"/>
        <v>44136</v>
      </c>
      <c r="C1245" s="4" t="str">
        <f t="shared" si="39"/>
        <v>2020-11</v>
      </c>
      <c r="D1245" s="3">
        <v>119.21</v>
      </c>
      <c r="E1245" s="3">
        <v>13.46</v>
      </c>
      <c r="F1245" s="3">
        <v>275.08</v>
      </c>
      <c r="G1245" s="3">
        <v>2.86</v>
      </c>
    </row>
    <row r="1246" spans="1:7" x14ac:dyDescent="0.2">
      <c r="A1246" s="2">
        <v>44146</v>
      </c>
      <c r="B1246" s="1">
        <f t="shared" si="38"/>
        <v>44136</v>
      </c>
      <c r="C1246" s="4" t="str">
        <f t="shared" si="39"/>
        <v>2020-11</v>
      </c>
      <c r="D1246" s="3">
        <v>119.49</v>
      </c>
      <c r="E1246" s="3">
        <v>13.42</v>
      </c>
      <c r="F1246" s="3">
        <v>276.48</v>
      </c>
      <c r="G1246" s="3">
        <v>2.85</v>
      </c>
    </row>
    <row r="1247" spans="1:7" x14ac:dyDescent="0.2">
      <c r="A1247" s="2">
        <v>44145</v>
      </c>
      <c r="B1247" s="1">
        <f t="shared" si="38"/>
        <v>44136</v>
      </c>
      <c r="C1247" s="4" t="str">
        <f t="shared" si="39"/>
        <v>2020-11</v>
      </c>
      <c r="D1247" s="3">
        <v>115.97</v>
      </c>
      <c r="E1247" s="3">
        <v>12.77</v>
      </c>
      <c r="F1247" s="3">
        <v>272.43</v>
      </c>
      <c r="G1247" s="3">
        <v>2.78</v>
      </c>
    </row>
    <row r="1248" spans="1:7" x14ac:dyDescent="0.2">
      <c r="A1248" s="2">
        <v>44144</v>
      </c>
      <c r="B1248" s="1">
        <f t="shared" si="38"/>
        <v>44136</v>
      </c>
      <c r="C1248" s="4" t="str">
        <f t="shared" si="39"/>
        <v>2020-11</v>
      </c>
      <c r="D1248" s="3">
        <v>116.32</v>
      </c>
      <c r="E1248" s="3">
        <v>13.63</v>
      </c>
      <c r="F1248" s="3">
        <v>278.77</v>
      </c>
      <c r="G1248" s="3">
        <v>2.77</v>
      </c>
    </row>
    <row r="1249" spans="1:7" x14ac:dyDescent="0.2">
      <c r="A1249" s="2">
        <v>44141</v>
      </c>
      <c r="B1249" s="1">
        <f t="shared" si="38"/>
        <v>44136</v>
      </c>
      <c r="C1249" s="4" t="str">
        <f t="shared" si="39"/>
        <v>2020-11</v>
      </c>
      <c r="D1249" s="3">
        <v>118.69</v>
      </c>
      <c r="E1249" s="3">
        <v>14.56</v>
      </c>
      <c r="F1249" s="3">
        <v>293.41000000000003</v>
      </c>
      <c r="G1249" s="3">
        <v>2.8</v>
      </c>
    </row>
    <row r="1250" spans="1:7" x14ac:dyDescent="0.2">
      <c r="A1250" s="2">
        <v>44140</v>
      </c>
      <c r="B1250" s="1">
        <f t="shared" si="38"/>
        <v>44136</v>
      </c>
      <c r="C1250" s="4" t="str">
        <f t="shared" si="39"/>
        <v>2020-11</v>
      </c>
      <c r="D1250" s="3">
        <v>119.03</v>
      </c>
      <c r="E1250" s="3">
        <v>14.16</v>
      </c>
      <c r="F1250" s="3">
        <v>294.68</v>
      </c>
      <c r="G1250" s="3">
        <v>2.87</v>
      </c>
    </row>
    <row r="1251" spans="1:7" x14ac:dyDescent="0.2">
      <c r="A1251" s="2">
        <v>44139</v>
      </c>
      <c r="B1251" s="1">
        <f t="shared" si="38"/>
        <v>44136</v>
      </c>
      <c r="C1251" s="4" t="str">
        <f t="shared" si="39"/>
        <v>2020-11</v>
      </c>
      <c r="D1251" s="3">
        <v>114.95</v>
      </c>
      <c r="E1251" s="3">
        <v>13.79</v>
      </c>
      <c r="F1251" s="3">
        <v>287.38</v>
      </c>
      <c r="G1251" s="3">
        <v>2.84</v>
      </c>
    </row>
    <row r="1252" spans="1:7" x14ac:dyDescent="0.2">
      <c r="A1252" s="2">
        <v>44138</v>
      </c>
      <c r="B1252" s="1">
        <f t="shared" si="38"/>
        <v>44136</v>
      </c>
      <c r="C1252" s="4" t="str">
        <f t="shared" si="39"/>
        <v>2020-11</v>
      </c>
      <c r="D1252" s="3">
        <v>110.44</v>
      </c>
      <c r="E1252" s="3">
        <v>13.02</v>
      </c>
      <c r="F1252" s="3">
        <v>265.3</v>
      </c>
      <c r="G1252" s="3">
        <v>2.3199999999999998</v>
      </c>
    </row>
    <row r="1253" spans="1:7" x14ac:dyDescent="0.2">
      <c r="A1253" s="2">
        <v>44137</v>
      </c>
      <c r="B1253" s="1">
        <f t="shared" si="38"/>
        <v>44136</v>
      </c>
      <c r="C1253" s="4" t="str">
        <f t="shared" si="39"/>
        <v>2020-11</v>
      </c>
      <c r="D1253" s="3">
        <v>108.77</v>
      </c>
      <c r="E1253" s="3">
        <v>12.58</v>
      </c>
      <c r="F1253" s="3">
        <v>261.36</v>
      </c>
      <c r="G1253" s="3">
        <v>2.2999999999999998</v>
      </c>
    </row>
    <row r="1254" spans="1:7" x14ac:dyDescent="0.2">
      <c r="A1254" s="2">
        <v>44134</v>
      </c>
      <c r="B1254" s="1">
        <f t="shared" si="38"/>
        <v>44105</v>
      </c>
      <c r="C1254" s="4" t="str">
        <f t="shared" si="39"/>
        <v>2020-10</v>
      </c>
      <c r="D1254" s="3">
        <v>108.86</v>
      </c>
      <c r="E1254" s="3">
        <v>12.53</v>
      </c>
      <c r="F1254" s="3">
        <v>263.11</v>
      </c>
      <c r="G1254" s="3">
        <v>2.27</v>
      </c>
    </row>
    <row r="1255" spans="1:7" x14ac:dyDescent="0.2">
      <c r="A1255" s="2">
        <v>44133</v>
      </c>
      <c r="B1255" s="1">
        <f t="shared" si="38"/>
        <v>44105</v>
      </c>
      <c r="C1255" s="4" t="str">
        <f t="shared" si="39"/>
        <v>2020-10</v>
      </c>
      <c r="D1255" s="3">
        <v>115.32</v>
      </c>
      <c r="E1255" s="3">
        <v>13.02</v>
      </c>
      <c r="F1255" s="3">
        <v>280.83</v>
      </c>
      <c r="G1255" s="3">
        <v>2.2999999999999998</v>
      </c>
    </row>
    <row r="1256" spans="1:7" x14ac:dyDescent="0.2">
      <c r="A1256" s="2">
        <v>44132</v>
      </c>
      <c r="B1256" s="1">
        <f t="shared" si="38"/>
        <v>44105</v>
      </c>
      <c r="C1256" s="4" t="str">
        <f t="shared" si="39"/>
        <v>2020-10</v>
      </c>
      <c r="D1256" s="3">
        <v>111.2</v>
      </c>
      <c r="E1256" s="3">
        <v>12.63</v>
      </c>
      <c r="F1256" s="3">
        <v>267.67</v>
      </c>
      <c r="G1256" s="3">
        <v>2.23</v>
      </c>
    </row>
    <row r="1257" spans="1:7" x14ac:dyDescent="0.2">
      <c r="A1257" s="2">
        <v>44131</v>
      </c>
      <c r="B1257" s="1">
        <f t="shared" si="38"/>
        <v>44105</v>
      </c>
      <c r="C1257" s="4" t="str">
        <f t="shared" si="39"/>
        <v>2020-10</v>
      </c>
      <c r="D1257" s="3">
        <v>116.6</v>
      </c>
      <c r="E1257" s="3">
        <v>13.4</v>
      </c>
      <c r="F1257" s="3">
        <v>283.29000000000002</v>
      </c>
      <c r="G1257" s="3">
        <v>2.37</v>
      </c>
    </row>
    <row r="1258" spans="1:7" x14ac:dyDescent="0.2">
      <c r="A1258" s="2">
        <v>44130</v>
      </c>
      <c r="B1258" s="1">
        <f t="shared" si="38"/>
        <v>44105</v>
      </c>
      <c r="C1258" s="4" t="str">
        <f t="shared" si="39"/>
        <v>2020-10</v>
      </c>
      <c r="D1258" s="3">
        <v>115.05</v>
      </c>
      <c r="E1258" s="3">
        <v>13.14</v>
      </c>
      <c r="F1258" s="3">
        <v>277.11</v>
      </c>
      <c r="G1258" s="3">
        <v>2.4300000000000002</v>
      </c>
    </row>
    <row r="1259" spans="1:7" x14ac:dyDescent="0.2">
      <c r="A1259" s="2">
        <v>44127</v>
      </c>
      <c r="B1259" s="1">
        <f t="shared" si="38"/>
        <v>44105</v>
      </c>
      <c r="C1259" s="4" t="str">
        <f t="shared" si="39"/>
        <v>2020-10</v>
      </c>
      <c r="D1259" s="3">
        <v>115.04</v>
      </c>
      <c r="E1259" s="3">
        <v>13.59</v>
      </c>
      <c r="F1259" s="3">
        <v>284.79000000000002</v>
      </c>
      <c r="G1259" s="3">
        <v>2.5499999999999998</v>
      </c>
    </row>
    <row r="1260" spans="1:7" x14ac:dyDescent="0.2">
      <c r="A1260" s="2">
        <v>44126</v>
      </c>
      <c r="B1260" s="1">
        <f t="shared" si="38"/>
        <v>44105</v>
      </c>
      <c r="C1260" s="4" t="str">
        <f t="shared" si="39"/>
        <v>2020-10</v>
      </c>
      <c r="D1260" s="3">
        <v>115.75</v>
      </c>
      <c r="E1260" s="3">
        <v>13.36</v>
      </c>
      <c r="F1260" s="3">
        <v>278.12</v>
      </c>
      <c r="G1260" s="3">
        <v>2.68</v>
      </c>
    </row>
    <row r="1261" spans="1:7" x14ac:dyDescent="0.2">
      <c r="A1261" s="2">
        <v>44125</v>
      </c>
      <c r="B1261" s="1">
        <f t="shared" si="38"/>
        <v>44105</v>
      </c>
      <c r="C1261" s="4" t="str">
        <f t="shared" si="39"/>
        <v>2020-10</v>
      </c>
      <c r="D1261" s="3">
        <v>116.87</v>
      </c>
      <c r="E1261" s="3">
        <v>13.52</v>
      </c>
      <c r="F1261" s="3">
        <v>278.73</v>
      </c>
      <c r="G1261" s="3">
        <v>2.62</v>
      </c>
    </row>
    <row r="1262" spans="1:7" x14ac:dyDescent="0.2">
      <c r="A1262" s="2">
        <v>44124</v>
      </c>
      <c r="B1262" s="1">
        <f t="shared" si="38"/>
        <v>44105</v>
      </c>
      <c r="C1262" s="4" t="str">
        <f t="shared" si="39"/>
        <v>2020-10</v>
      </c>
      <c r="D1262" s="3">
        <v>117.51</v>
      </c>
      <c r="E1262" s="3">
        <v>13.65</v>
      </c>
      <c r="F1262" s="3">
        <v>267.56</v>
      </c>
      <c r="G1262" s="3">
        <v>2.65</v>
      </c>
    </row>
    <row r="1263" spans="1:7" x14ac:dyDescent="0.2">
      <c r="A1263" s="2">
        <v>44123</v>
      </c>
      <c r="B1263" s="1">
        <f t="shared" si="38"/>
        <v>44105</v>
      </c>
      <c r="C1263" s="4" t="str">
        <f t="shared" si="39"/>
        <v>2020-10</v>
      </c>
      <c r="D1263" s="3">
        <v>115.98</v>
      </c>
      <c r="E1263" s="3">
        <v>13.5</v>
      </c>
      <c r="F1263" s="3">
        <v>261.39999999999998</v>
      </c>
      <c r="G1263" s="3">
        <v>2.67</v>
      </c>
    </row>
    <row r="1264" spans="1:7" x14ac:dyDescent="0.2">
      <c r="A1264" s="2">
        <v>44120</v>
      </c>
      <c r="B1264" s="1">
        <f t="shared" si="38"/>
        <v>44105</v>
      </c>
      <c r="C1264" s="4" t="str">
        <f t="shared" si="39"/>
        <v>2020-10</v>
      </c>
      <c r="D1264" s="3">
        <v>119.02</v>
      </c>
      <c r="E1264" s="3">
        <v>13.81</v>
      </c>
      <c r="F1264" s="3">
        <v>265.93</v>
      </c>
      <c r="G1264" s="3">
        <v>2.73</v>
      </c>
    </row>
    <row r="1265" spans="1:7" x14ac:dyDescent="0.2">
      <c r="A1265" s="2">
        <v>44119</v>
      </c>
      <c r="B1265" s="1">
        <f t="shared" si="38"/>
        <v>44105</v>
      </c>
      <c r="C1265" s="4" t="str">
        <f t="shared" si="39"/>
        <v>2020-10</v>
      </c>
      <c r="D1265" s="3">
        <v>120.71</v>
      </c>
      <c r="E1265" s="3">
        <v>13.97</v>
      </c>
      <c r="F1265" s="3">
        <v>266.72000000000003</v>
      </c>
      <c r="G1265" s="3">
        <v>2.77</v>
      </c>
    </row>
    <row r="1266" spans="1:7" x14ac:dyDescent="0.2">
      <c r="A1266" s="2">
        <v>44118</v>
      </c>
      <c r="B1266" s="1">
        <f t="shared" si="38"/>
        <v>44105</v>
      </c>
      <c r="C1266" s="4" t="str">
        <f t="shared" si="39"/>
        <v>2020-10</v>
      </c>
      <c r="D1266" s="3">
        <v>121.19</v>
      </c>
      <c r="E1266" s="3">
        <v>14.1</v>
      </c>
      <c r="F1266" s="3">
        <v>271.82</v>
      </c>
      <c r="G1266" s="3">
        <v>2.75</v>
      </c>
    </row>
    <row r="1267" spans="1:7" x14ac:dyDescent="0.2">
      <c r="A1267" s="2">
        <v>44117</v>
      </c>
      <c r="B1267" s="1">
        <f t="shared" si="38"/>
        <v>44105</v>
      </c>
      <c r="C1267" s="4" t="str">
        <f t="shared" si="39"/>
        <v>2020-10</v>
      </c>
      <c r="D1267" s="3">
        <v>121.1</v>
      </c>
      <c r="E1267" s="3">
        <v>14.25</v>
      </c>
      <c r="F1267" s="3">
        <v>276.14</v>
      </c>
      <c r="G1267" s="3">
        <v>2.79</v>
      </c>
    </row>
    <row r="1268" spans="1:7" x14ac:dyDescent="0.2">
      <c r="A1268" s="2">
        <v>44116</v>
      </c>
      <c r="B1268" s="1">
        <f t="shared" si="38"/>
        <v>44105</v>
      </c>
      <c r="C1268" s="4" t="str">
        <f t="shared" si="39"/>
        <v>2020-10</v>
      </c>
      <c r="D1268" s="3">
        <v>124.4</v>
      </c>
      <c r="E1268" s="3">
        <v>14.23</v>
      </c>
      <c r="F1268" s="3">
        <v>275.75</v>
      </c>
      <c r="G1268" s="3">
        <v>2.79</v>
      </c>
    </row>
    <row r="1269" spans="1:7" x14ac:dyDescent="0.2">
      <c r="A1269" s="2">
        <v>44113</v>
      </c>
      <c r="B1269" s="1">
        <f t="shared" si="38"/>
        <v>44105</v>
      </c>
      <c r="C1269" s="4" t="str">
        <f t="shared" si="39"/>
        <v>2020-10</v>
      </c>
      <c r="D1269" s="3">
        <v>116.97</v>
      </c>
      <c r="E1269" s="3">
        <v>13.76</v>
      </c>
      <c r="F1269" s="3">
        <v>264.45</v>
      </c>
      <c r="G1269" s="3">
        <v>2.77</v>
      </c>
    </row>
    <row r="1270" spans="1:7" x14ac:dyDescent="0.2">
      <c r="A1270" s="2">
        <v>44112</v>
      </c>
      <c r="B1270" s="1">
        <f t="shared" si="38"/>
        <v>44105</v>
      </c>
      <c r="C1270" s="4" t="str">
        <f t="shared" si="39"/>
        <v>2020-10</v>
      </c>
      <c r="D1270" s="3">
        <v>114.97</v>
      </c>
      <c r="E1270" s="3">
        <v>13.84</v>
      </c>
      <c r="F1270" s="3">
        <v>263.76</v>
      </c>
      <c r="G1270" s="3">
        <v>2.76</v>
      </c>
    </row>
    <row r="1271" spans="1:7" x14ac:dyDescent="0.2">
      <c r="A1271" s="2">
        <v>44111</v>
      </c>
      <c r="B1271" s="1">
        <f t="shared" si="38"/>
        <v>44105</v>
      </c>
      <c r="C1271" s="4" t="str">
        <f t="shared" si="39"/>
        <v>2020-10</v>
      </c>
      <c r="D1271" s="3">
        <v>115.08</v>
      </c>
      <c r="E1271" s="3">
        <v>13.96</v>
      </c>
      <c r="F1271" s="3">
        <v>258.12</v>
      </c>
      <c r="G1271" s="3">
        <v>2.7</v>
      </c>
    </row>
    <row r="1272" spans="1:7" x14ac:dyDescent="0.2">
      <c r="A1272" s="2">
        <v>44110</v>
      </c>
      <c r="B1272" s="1">
        <f t="shared" si="38"/>
        <v>44105</v>
      </c>
      <c r="C1272" s="4" t="str">
        <f t="shared" si="39"/>
        <v>2020-10</v>
      </c>
      <c r="D1272" s="3">
        <v>113.16</v>
      </c>
      <c r="E1272" s="3">
        <v>13.74</v>
      </c>
      <c r="F1272" s="3">
        <v>258.66000000000003</v>
      </c>
      <c r="G1272" s="3">
        <v>2.65</v>
      </c>
    </row>
    <row r="1273" spans="1:7" x14ac:dyDescent="0.2">
      <c r="A1273" s="2">
        <v>44109</v>
      </c>
      <c r="B1273" s="1">
        <f t="shared" si="38"/>
        <v>44105</v>
      </c>
      <c r="C1273" s="4" t="str">
        <f t="shared" si="39"/>
        <v>2020-10</v>
      </c>
      <c r="D1273" s="3">
        <v>116.5</v>
      </c>
      <c r="E1273" s="3">
        <v>13.64</v>
      </c>
      <c r="F1273" s="3">
        <v>264.64999999999998</v>
      </c>
      <c r="G1273" s="3">
        <v>2.68</v>
      </c>
    </row>
    <row r="1274" spans="1:7" x14ac:dyDescent="0.2">
      <c r="A1274" s="2">
        <v>44106</v>
      </c>
      <c r="B1274" s="1">
        <f t="shared" si="38"/>
        <v>44105</v>
      </c>
      <c r="C1274" s="4" t="str">
        <f t="shared" si="39"/>
        <v>2020-10</v>
      </c>
      <c r="D1274" s="3">
        <v>113.02</v>
      </c>
      <c r="E1274" s="3">
        <v>13.06</v>
      </c>
      <c r="F1274" s="3">
        <v>259.94</v>
      </c>
      <c r="G1274" s="3">
        <v>2.58</v>
      </c>
    </row>
    <row r="1275" spans="1:7" x14ac:dyDescent="0.2">
      <c r="A1275" s="2">
        <v>44105</v>
      </c>
      <c r="B1275" s="1">
        <f t="shared" si="38"/>
        <v>44105</v>
      </c>
      <c r="C1275" s="4" t="str">
        <f t="shared" si="39"/>
        <v>2020-10</v>
      </c>
      <c r="D1275" s="3">
        <v>116.79</v>
      </c>
      <c r="E1275" s="3">
        <v>13.61</v>
      </c>
      <c r="F1275" s="3">
        <v>266.63</v>
      </c>
      <c r="G1275" s="3">
        <v>2.62</v>
      </c>
    </row>
    <row r="1276" spans="1:7" x14ac:dyDescent="0.2">
      <c r="A1276" s="2">
        <v>44104</v>
      </c>
      <c r="B1276" s="1">
        <f t="shared" si="38"/>
        <v>44075</v>
      </c>
      <c r="C1276" s="4" t="str">
        <f t="shared" si="39"/>
        <v>2020-09</v>
      </c>
      <c r="D1276" s="3">
        <v>115.81</v>
      </c>
      <c r="E1276" s="3">
        <v>13.53</v>
      </c>
      <c r="F1276" s="3">
        <v>261.89999999999998</v>
      </c>
      <c r="G1276" s="3">
        <v>2.64</v>
      </c>
    </row>
    <row r="1277" spans="1:7" x14ac:dyDescent="0.2">
      <c r="A1277" s="2">
        <v>44103</v>
      </c>
      <c r="B1277" s="1">
        <f t="shared" si="38"/>
        <v>44075</v>
      </c>
      <c r="C1277" s="4" t="str">
        <f t="shared" si="39"/>
        <v>2020-09</v>
      </c>
      <c r="D1277" s="3">
        <v>114.09</v>
      </c>
      <c r="E1277" s="3">
        <v>13.23</v>
      </c>
      <c r="F1277" s="3">
        <v>261.79000000000002</v>
      </c>
      <c r="G1277" s="3">
        <v>2.68</v>
      </c>
    </row>
    <row r="1278" spans="1:7" x14ac:dyDescent="0.2">
      <c r="A1278" s="2">
        <v>44102</v>
      </c>
      <c r="B1278" s="1">
        <f t="shared" si="38"/>
        <v>44075</v>
      </c>
      <c r="C1278" s="4" t="str">
        <f t="shared" si="39"/>
        <v>2020-09</v>
      </c>
      <c r="D1278" s="3">
        <v>114.96</v>
      </c>
      <c r="E1278" s="3">
        <v>13.04</v>
      </c>
      <c r="F1278" s="3">
        <v>256.82</v>
      </c>
      <c r="G1278" s="3">
        <v>2.65</v>
      </c>
    </row>
    <row r="1279" spans="1:7" x14ac:dyDescent="0.2">
      <c r="A1279" s="2">
        <v>44099</v>
      </c>
      <c r="B1279" s="1">
        <f t="shared" si="38"/>
        <v>44075</v>
      </c>
      <c r="C1279" s="4" t="str">
        <f t="shared" si="39"/>
        <v>2020-09</v>
      </c>
      <c r="D1279" s="3">
        <v>112.28</v>
      </c>
      <c r="E1279" s="3">
        <v>12.87</v>
      </c>
      <c r="F1279" s="3">
        <v>254.82</v>
      </c>
      <c r="G1279" s="3">
        <v>2.57</v>
      </c>
    </row>
    <row r="1280" spans="1:7" x14ac:dyDescent="0.2">
      <c r="A1280" s="2">
        <v>44098</v>
      </c>
      <c r="B1280" s="1">
        <f t="shared" si="38"/>
        <v>44075</v>
      </c>
      <c r="C1280" s="4" t="str">
        <f t="shared" si="39"/>
        <v>2020-09</v>
      </c>
      <c r="D1280" s="3">
        <v>108.22</v>
      </c>
      <c r="E1280" s="3">
        <v>12.35</v>
      </c>
      <c r="F1280" s="3">
        <v>249.53</v>
      </c>
      <c r="G1280" s="3">
        <v>2.54</v>
      </c>
    </row>
    <row r="1281" spans="1:7" x14ac:dyDescent="0.2">
      <c r="A1281" s="2">
        <v>44097</v>
      </c>
      <c r="B1281" s="1">
        <f t="shared" si="38"/>
        <v>44075</v>
      </c>
      <c r="C1281" s="4" t="str">
        <f t="shared" si="39"/>
        <v>2020-09</v>
      </c>
      <c r="D1281" s="3">
        <v>107.12</v>
      </c>
      <c r="E1281" s="3">
        <v>12.12</v>
      </c>
      <c r="F1281" s="3">
        <v>249.02</v>
      </c>
      <c r="G1281" s="3">
        <v>2.5099999999999998</v>
      </c>
    </row>
    <row r="1282" spans="1:7" x14ac:dyDescent="0.2">
      <c r="A1282" s="2">
        <v>44096</v>
      </c>
      <c r="B1282" s="1">
        <f t="shared" si="38"/>
        <v>44075</v>
      </c>
      <c r="C1282" s="4" t="str">
        <f t="shared" si="39"/>
        <v>2020-09</v>
      </c>
      <c r="D1282" s="3">
        <v>111.81</v>
      </c>
      <c r="E1282" s="3">
        <v>12.64</v>
      </c>
      <c r="F1282" s="3">
        <v>254.75</v>
      </c>
      <c r="G1282" s="3">
        <v>2.6</v>
      </c>
    </row>
    <row r="1283" spans="1:7" x14ac:dyDescent="0.2">
      <c r="A1283" s="2">
        <v>44095</v>
      </c>
      <c r="B1283" s="1">
        <f t="shared" ref="B1283:B1346" si="40">EOMONTH(A1283, -1)+1</f>
        <v>44075</v>
      </c>
      <c r="C1283" s="4" t="str">
        <f t="shared" ref="C1283:C1346" si="41">TEXT(A1283, "yyyy-mm")</f>
        <v>2020-09</v>
      </c>
      <c r="D1283" s="3">
        <v>110.08</v>
      </c>
      <c r="E1283" s="3">
        <v>12.52</v>
      </c>
      <c r="F1283" s="3">
        <v>248.15</v>
      </c>
      <c r="G1283" s="3">
        <v>2.59</v>
      </c>
    </row>
    <row r="1284" spans="1:7" x14ac:dyDescent="0.2">
      <c r="A1284" s="2">
        <v>44092</v>
      </c>
      <c r="B1284" s="1">
        <f t="shared" si="40"/>
        <v>44075</v>
      </c>
      <c r="C1284" s="4" t="str">
        <f t="shared" si="41"/>
        <v>2020-09</v>
      </c>
      <c r="D1284" s="3">
        <v>106.84</v>
      </c>
      <c r="E1284" s="3">
        <v>12.19</v>
      </c>
      <c r="F1284" s="3">
        <v>252.53</v>
      </c>
      <c r="G1284" s="3">
        <v>2.7</v>
      </c>
    </row>
    <row r="1285" spans="1:7" x14ac:dyDescent="0.2">
      <c r="A1285" s="2">
        <v>44091</v>
      </c>
      <c r="B1285" s="1">
        <f t="shared" si="40"/>
        <v>44075</v>
      </c>
      <c r="C1285" s="4" t="str">
        <f t="shared" si="41"/>
        <v>2020-09</v>
      </c>
      <c r="D1285" s="3">
        <v>110.34</v>
      </c>
      <c r="E1285" s="3">
        <v>12.46</v>
      </c>
      <c r="F1285" s="3">
        <v>254.82</v>
      </c>
      <c r="G1285" s="3">
        <v>2.64</v>
      </c>
    </row>
    <row r="1286" spans="1:7" x14ac:dyDescent="0.2">
      <c r="A1286" s="2">
        <v>44090</v>
      </c>
      <c r="B1286" s="1">
        <f t="shared" si="40"/>
        <v>44075</v>
      </c>
      <c r="C1286" s="4" t="str">
        <f t="shared" si="41"/>
        <v>2020-09</v>
      </c>
      <c r="D1286" s="3">
        <v>112.13</v>
      </c>
      <c r="E1286" s="3">
        <v>12.51</v>
      </c>
      <c r="F1286" s="3">
        <v>263.52</v>
      </c>
      <c r="G1286" s="3">
        <v>2.63</v>
      </c>
    </row>
    <row r="1287" spans="1:7" x14ac:dyDescent="0.2">
      <c r="A1287" s="2">
        <v>44089</v>
      </c>
      <c r="B1287" s="1">
        <f t="shared" si="40"/>
        <v>44075</v>
      </c>
      <c r="C1287" s="4" t="str">
        <f t="shared" si="41"/>
        <v>2020-09</v>
      </c>
      <c r="D1287" s="3">
        <v>115.54</v>
      </c>
      <c r="E1287" s="3">
        <v>12.99</v>
      </c>
      <c r="F1287" s="3">
        <v>272.42</v>
      </c>
      <c r="G1287" s="3">
        <v>2.63</v>
      </c>
    </row>
    <row r="1288" spans="1:7" x14ac:dyDescent="0.2">
      <c r="A1288" s="2">
        <v>44088</v>
      </c>
      <c r="B1288" s="1">
        <f t="shared" si="40"/>
        <v>44075</v>
      </c>
      <c r="C1288" s="4" t="str">
        <f t="shared" si="41"/>
        <v>2020-09</v>
      </c>
      <c r="D1288" s="3">
        <v>115.36</v>
      </c>
      <c r="E1288" s="3">
        <v>12.87</v>
      </c>
      <c r="F1288" s="3">
        <v>266.14999999999998</v>
      </c>
      <c r="G1288" s="3">
        <v>2.63</v>
      </c>
    </row>
    <row r="1289" spans="1:7" x14ac:dyDescent="0.2">
      <c r="A1289" s="2">
        <v>44085</v>
      </c>
      <c r="B1289" s="1">
        <f t="shared" si="40"/>
        <v>44075</v>
      </c>
      <c r="C1289" s="4" t="str">
        <f t="shared" si="41"/>
        <v>2020-09</v>
      </c>
      <c r="D1289" s="3">
        <v>112</v>
      </c>
      <c r="E1289" s="3">
        <v>12.16</v>
      </c>
      <c r="F1289" s="3">
        <v>266.61</v>
      </c>
      <c r="G1289" s="3">
        <v>2.57</v>
      </c>
    </row>
    <row r="1290" spans="1:7" x14ac:dyDescent="0.2">
      <c r="A1290" s="2">
        <v>44084</v>
      </c>
      <c r="B1290" s="1">
        <f t="shared" si="40"/>
        <v>44075</v>
      </c>
      <c r="C1290" s="4" t="str">
        <f t="shared" si="41"/>
        <v>2020-09</v>
      </c>
      <c r="D1290" s="3">
        <v>113.49</v>
      </c>
      <c r="E1290" s="3">
        <v>12.31</v>
      </c>
      <c r="F1290" s="3">
        <v>268.08999999999997</v>
      </c>
      <c r="G1290" s="3">
        <v>2.54</v>
      </c>
    </row>
    <row r="1291" spans="1:7" x14ac:dyDescent="0.2">
      <c r="A1291" s="2">
        <v>44083</v>
      </c>
      <c r="B1291" s="1">
        <f t="shared" si="40"/>
        <v>44075</v>
      </c>
      <c r="C1291" s="4" t="str">
        <f t="shared" si="41"/>
        <v>2020-09</v>
      </c>
      <c r="D1291" s="3">
        <v>117.32</v>
      </c>
      <c r="E1291" s="3">
        <v>12.72</v>
      </c>
      <c r="F1291" s="3">
        <v>273.72000000000003</v>
      </c>
      <c r="G1291" s="3">
        <v>2.62</v>
      </c>
    </row>
    <row r="1292" spans="1:7" x14ac:dyDescent="0.2">
      <c r="A1292" s="2">
        <v>44082</v>
      </c>
      <c r="B1292" s="1">
        <f t="shared" si="40"/>
        <v>44075</v>
      </c>
      <c r="C1292" s="4" t="str">
        <f t="shared" si="41"/>
        <v>2020-09</v>
      </c>
      <c r="D1292" s="3">
        <v>112.82</v>
      </c>
      <c r="E1292" s="3">
        <v>11.91</v>
      </c>
      <c r="F1292" s="3">
        <v>271.16000000000003</v>
      </c>
      <c r="G1292" s="3">
        <v>2.5299999999999998</v>
      </c>
    </row>
    <row r="1293" spans="1:7" x14ac:dyDescent="0.2">
      <c r="A1293" s="2">
        <v>44078</v>
      </c>
      <c r="B1293" s="1">
        <f t="shared" si="40"/>
        <v>44075</v>
      </c>
      <c r="C1293" s="4" t="str">
        <f t="shared" si="41"/>
        <v>2020-09</v>
      </c>
      <c r="D1293" s="3">
        <v>120.96</v>
      </c>
      <c r="E1293" s="3">
        <v>12.62</v>
      </c>
      <c r="F1293" s="3">
        <v>282.73</v>
      </c>
      <c r="G1293" s="3">
        <v>2.5499999999999998</v>
      </c>
    </row>
    <row r="1294" spans="1:7" x14ac:dyDescent="0.2">
      <c r="A1294" s="2">
        <v>44077</v>
      </c>
      <c r="B1294" s="1">
        <f t="shared" si="40"/>
        <v>44075</v>
      </c>
      <c r="C1294" s="4" t="str">
        <f t="shared" si="41"/>
        <v>2020-09</v>
      </c>
      <c r="D1294" s="3">
        <v>120.88</v>
      </c>
      <c r="E1294" s="3">
        <v>13.02</v>
      </c>
      <c r="F1294" s="3">
        <v>291.12</v>
      </c>
      <c r="G1294" s="3">
        <v>2.58</v>
      </c>
    </row>
    <row r="1295" spans="1:7" x14ac:dyDescent="0.2">
      <c r="A1295" s="2">
        <v>44076</v>
      </c>
      <c r="B1295" s="1">
        <f t="shared" si="40"/>
        <v>44075</v>
      </c>
      <c r="C1295" s="4" t="str">
        <f t="shared" si="41"/>
        <v>2020-09</v>
      </c>
      <c r="D1295" s="3">
        <v>131.4</v>
      </c>
      <c r="E1295" s="3">
        <v>14.35</v>
      </c>
      <c r="F1295" s="3">
        <v>302.5</v>
      </c>
      <c r="G1295" s="3">
        <v>2.73</v>
      </c>
    </row>
    <row r="1296" spans="1:7" x14ac:dyDescent="0.2">
      <c r="A1296" s="2">
        <v>44075</v>
      </c>
      <c r="B1296" s="1">
        <f t="shared" si="40"/>
        <v>44075</v>
      </c>
      <c r="C1296" s="4" t="str">
        <f t="shared" si="41"/>
        <v>2020-09</v>
      </c>
      <c r="D1296" s="3">
        <v>134.18</v>
      </c>
      <c r="E1296" s="3">
        <v>13.82</v>
      </c>
      <c r="F1296" s="3">
        <v>295.44</v>
      </c>
      <c r="G1296" s="3">
        <v>2.71</v>
      </c>
    </row>
    <row r="1297" spans="1:7" x14ac:dyDescent="0.2">
      <c r="A1297" s="2">
        <v>44074</v>
      </c>
      <c r="B1297" s="1">
        <f t="shared" si="40"/>
        <v>44044</v>
      </c>
      <c r="C1297" s="4" t="str">
        <f t="shared" si="41"/>
        <v>2020-08</v>
      </c>
      <c r="D1297" s="3">
        <v>129.04</v>
      </c>
      <c r="E1297" s="3">
        <v>13.37</v>
      </c>
      <c r="F1297" s="3">
        <v>293.2</v>
      </c>
      <c r="G1297" s="3">
        <v>2.74</v>
      </c>
    </row>
    <row r="1298" spans="1:7" x14ac:dyDescent="0.2">
      <c r="A1298" s="2">
        <v>44071</v>
      </c>
      <c r="B1298" s="1">
        <f t="shared" si="40"/>
        <v>44044</v>
      </c>
      <c r="C1298" s="4" t="str">
        <f t="shared" si="41"/>
        <v>2020-08</v>
      </c>
      <c r="D1298" s="3">
        <v>124.81</v>
      </c>
      <c r="E1298" s="3">
        <v>13.15</v>
      </c>
      <c r="F1298" s="3">
        <v>293.66000000000003</v>
      </c>
      <c r="G1298" s="3">
        <v>2.71</v>
      </c>
    </row>
    <row r="1299" spans="1:7" x14ac:dyDescent="0.2">
      <c r="A1299" s="2">
        <v>44070</v>
      </c>
      <c r="B1299" s="1">
        <f t="shared" si="40"/>
        <v>44044</v>
      </c>
      <c r="C1299" s="4" t="str">
        <f t="shared" si="41"/>
        <v>2020-08</v>
      </c>
      <c r="D1299" s="3">
        <v>125.01</v>
      </c>
      <c r="E1299" s="3">
        <v>12.63</v>
      </c>
      <c r="F1299" s="3">
        <v>293.22000000000003</v>
      </c>
      <c r="G1299" s="3">
        <v>2.62</v>
      </c>
    </row>
    <row r="1300" spans="1:7" x14ac:dyDescent="0.2">
      <c r="A1300" s="2">
        <v>44069</v>
      </c>
      <c r="B1300" s="1">
        <f t="shared" si="40"/>
        <v>44044</v>
      </c>
      <c r="C1300" s="4" t="str">
        <f t="shared" si="41"/>
        <v>2020-08</v>
      </c>
      <c r="D1300" s="3">
        <v>126.52</v>
      </c>
      <c r="E1300" s="3">
        <v>12.77</v>
      </c>
      <c r="F1300" s="3">
        <v>303.91000000000003</v>
      </c>
      <c r="G1300" s="3">
        <v>2.6</v>
      </c>
    </row>
    <row r="1301" spans="1:7" x14ac:dyDescent="0.2">
      <c r="A1301" s="2">
        <v>44068</v>
      </c>
      <c r="B1301" s="1">
        <f t="shared" si="40"/>
        <v>44044</v>
      </c>
      <c r="C1301" s="4" t="str">
        <f t="shared" si="41"/>
        <v>2020-08</v>
      </c>
      <c r="D1301" s="3">
        <v>124.83</v>
      </c>
      <c r="E1301" s="3">
        <v>12.75</v>
      </c>
      <c r="F1301" s="3">
        <v>280.82</v>
      </c>
      <c r="G1301" s="3">
        <v>2.67</v>
      </c>
    </row>
    <row r="1302" spans="1:7" x14ac:dyDescent="0.2">
      <c r="A1302" s="2">
        <v>44067</v>
      </c>
      <c r="B1302" s="1">
        <f t="shared" si="40"/>
        <v>44044</v>
      </c>
      <c r="C1302" s="4" t="str">
        <f t="shared" si="41"/>
        <v>2020-08</v>
      </c>
      <c r="D1302" s="3">
        <v>125.86</v>
      </c>
      <c r="E1302" s="3">
        <v>12.72</v>
      </c>
      <c r="F1302" s="3">
        <v>271.39</v>
      </c>
      <c r="G1302" s="3">
        <v>2.67</v>
      </c>
    </row>
    <row r="1303" spans="1:7" x14ac:dyDescent="0.2">
      <c r="A1303" s="2">
        <v>44064</v>
      </c>
      <c r="B1303" s="1">
        <f t="shared" si="40"/>
        <v>44044</v>
      </c>
      <c r="C1303" s="4" t="str">
        <f t="shared" si="41"/>
        <v>2020-08</v>
      </c>
      <c r="D1303" s="3">
        <v>124.37</v>
      </c>
      <c r="E1303" s="3">
        <v>12.68</v>
      </c>
      <c r="F1303" s="3">
        <v>267.01</v>
      </c>
      <c r="G1303" s="3">
        <v>2.65</v>
      </c>
    </row>
    <row r="1304" spans="1:7" x14ac:dyDescent="0.2">
      <c r="A1304" s="2">
        <v>44063</v>
      </c>
      <c r="B1304" s="1">
        <f t="shared" si="40"/>
        <v>44044</v>
      </c>
      <c r="C1304" s="4" t="str">
        <f t="shared" si="41"/>
        <v>2020-08</v>
      </c>
      <c r="D1304" s="3">
        <v>118.28</v>
      </c>
      <c r="E1304" s="3">
        <v>12.14</v>
      </c>
      <c r="F1304" s="3">
        <v>269.01</v>
      </c>
      <c r="G1304" s="3">
        <v>2.62</v>
      </c>
    </row>
    <row r="1305" spans="1:7" x14ac:dyDescent="0.2">
      <c r="A1305" s="2">
        <v>44062</v>
      </c>
      <c r="B1305" s="1">
        <f t="shared" si="40"/>
        <v>44044</v>
      </c>
      <c r="C1305" s="4" t="str">
        <f t="shared" si="41"/>
        <v>2020-08</v>
      </c>
      <c r="D1305" s="3">
        <v>115.71</v>
      </c>
      <c r="E1305" s="3">
        <v>12.14</v>
      </c>
      <c r="F1305" s="3">
        <v>262.58999999999997</v>
      </c>
      <c r="G1305" s="3">
        <v>2.59</v>
      </c>
    </row>
    <row r="1306" spans="1:7" x14ac:dyDescent="0.2">
      <c r="A1306" s="2">
        <v>44061</v>
      </c>
      <c r="B1306" s="1">
        <f t="shared" si="40"/>
        <v>44044</v>
      </c>
      <c r="C1306" s="4" t="str">
        <f t="shared" si="41"/>
        <v>2020-08</v>
      </c>
      <c r="D1306" s="3">
        <v>115.56</v>
      </c>
      <c r="E1306" s="3">
        <v>12.26</v>
      </c>
      <c r="F1306" s="3">
        <v>262.33999999999997</v>
      </c>
      <c r="G1306" s="3">
        <v>2.59</v>
      </c>
    </row>
    <row r="1307" spans="1:7" x14ac:dyDescent="0.2">
      <c r="A1307" s="2">
        <v>44060</v>
      </c>
      <c r="B1307" s="1">
        <f t="shared" si="40"/>
        <v>44044</v>
      </c>
      <c r="C1307" s="4" t="str">
        <f t="shared" si="41"/>
        <v>2020-08</v>
      </c>
      <c r="D1307" s="3">
        <v>114.61</v>
      </c>
      <c r="E1307" s="3">
        <v>12.34</v>
      </c>
      <c r="F1307" s="3">
        <v>261.16000000000003</v>
      </c>
      <c r="G1307" s="3">
        <v>2.57</v>
      </c>
    </row>
    <row r="1308" spans="1:7" x14ac:dyDescent="0.2">
      <c r="A1308" s="2">
        <v>44057</v>
      </c>
      <c r="B1308" s="1">
        <f t="shared" si="40"/>
        <v>44044</v>
      </c>
      <c r="C1308" s="4" t="str">
        <f t="shared" si="41"/>
        <v>2020-08</v>
      </c>
      <c r="D1308" s="3">
        <v>114.91</v>
      </c>
      <c r="E1308" s="3">
        <v>11.56</v>
      </c>
      <c r="F1308" s="3">
        <v>261.24</v>
      </c>
      <c r="G1308" s="3">
        <v>2.61</v>
      </c>
    </row>
    <row r="1309" spans="1:7" x14ac:dyDescent="0.2">
      <c r="A1309" s="2">
        <v>44056</v>
      </c>
      <c r="B1309" s="1">
        <f t="shared" si="40"/>
        <v>44044</v>
      </c>
      <c r="C1309" s="4" t="str">
        <f t="shared" si="41"/>
        <v>2020-08</v>
      </c>
      <c r="D1309" s="3">
        <v>115.01</v>
      </c>
      <c r="E1309" s="3">
        <v>11.44</v>
      </c>
      <c r="F1309" s="3">
        <v>261.3</v>
      </c>
      <c r="G1309" s="3">
        <v>2.6</v>
      </c>
    </row>
    <row r="1310" spans="1:7" x14ac:dyDescent="0.2">
      <c r="A1310" s="2">
        <v>44055</v>
      </c>
      <c r="B1310" s="1">
        <f t="shared" si="40"/>
        <v>44044</v>
      </c>
      <c r="C1310" s="4" t="str">
        <f t="shared" si="41"/>
        <v>2020-08</v>
      </c>
      <c r="D1310" s="3">
        <v>113.01</v>
      </c>
      <c r="E1310" s="3">
        <v>11.44</v>
      </c>
      <c r="F1310" s="3">
        <v>259.89</v>
      </c>
      <c r="G1310" s="3">
        <v>2.6</v>
      </c>
    </row>
    <row r="1311" spans="1:7" x14ac:dyDescent="0.2">
      <c r="A1311" s="2">
        <v>44054</v>
      </c>
      <c r="B1311" s="1">
        <f t="shared" si="40"/>
        <v>44044</v>
      </c>
      <c r="C1311" s="4" t="str">
        <f t="shared" si="41"/>
        <v>2020-08</v>
      </c>
      <c r="D1311" s="3">
        <v>109.38</v>
      </c>
      <c r="E1311" s="3">
        <v>10.85</v>
      </c>
      <c r="F1311" s="3">
        <v>256.13</v>
      </c>
      <c r="G1311" s="3">
        <v>3.05</v>
      </c>
    </row>
    <row r="1312" spans="1:7" x14ac:dyDescent="0.2">
      <c r="A1312" s="2">
        <v>44053</v>
      </c>
      <c r="B1312" s="1">
        <f t="shared" si="40"/>
        <v>44044</v>
      </c>
      <c r="C1312" s="4" t="str">
        <f t="shared" si="41"/>
        <v>2020-08</v>
      </c>
      <c r="D1312" s="3">
        <v>112.73</v>
      </c>
      <c r="E1312" s="3">
        <v>11.17</v>
      </c>
      <c r="F1312" s="3">
        <v>263</v>
      </c>
      <c r="G1312" s="3">
        <v>3.02</v>
      </c>
    </row>
    <row r="1313" spans="1:7" x14ac:dyDescent="0.2">
      <c r="A1313" s="2">
        <v>44050</v>
      </c>
      <c r="B1313" s="1">
        <f t="shared" si="40"/>
        <v>44044</v>
      </c>
      <c r="C1313" s="4" t="str">
        <f t="shared" si="41"/>
        <v>2020-08</v>
      </c>
      <c r="D1313" s="3">
        <v>111.11</v>
      </c>
      <c r="E1313" s="3">
        <v>11.2</v>
      </c>
      <c r="F1313" s="3">
        <v>268.44</v>
      </c>
      <c r="G1313" s="3">
        <v>3.02</v>
      </c>
    </row>
    <row r="1314" spans="1:7" x14ac:dyDescent="0.2">
      <c r="A1314" s="2">
        <v>44049</v>
      </c>
      <c r="B1314" s="1">
        <f t="shared" si="40"/>
        <v>44044</v>
      </c>
      <c r="C1314" s="4" t="str">
        <f t="shared" si="41"/>
        <v>2020-08</v>
      </c>
      <c r="D1314" s="3">
        <v>113.9</v>
      </c>
      <c r="E1314" s="3">
        <v>11.34</v>
      </c>
      <c r="F1314" s="3">
        <v>265.27999999999997</v>
      </c>
      <c r="G1314" s="3">
        <v>3.01</v>
      </c>
    </row>
    <row r="1315" spans="1:7" x14ac:dyDescent="0.2">
      <c r="A1315" s="2">
        <v>44048</v>
      </c>
      <c r="B1315" s="1">
        <f t="shared" si="40"/>
        <v>44044</v>
      </c>
      <c r="C1315" s="4" t="str">
        <f t="shared" si="41"/>
        <v>2020-08</v>
      </c>
      <c r="D1315" s="3">
        <v>110.06</v>
      </c>
      <c r="E1315" s="3">
        <v>11.29</v>
      </c>
      <c r="F1315" s="3">
        <v>249.12</v>
      </c>
      <c r="G1315" s="3">
        <v>3.08</v>
      </c>
    </row>
    <row r="1316" spans="1:7" x14ac:dyDescent="0.2">
      <c r="A1316" s="2">
        <v>44047</v>
      </c>
      <c r="B1316" s="1">
        <f t="shared" si="40"/>
        <v>44044</v>
      </c>
      <c r="C1316" s="4" t="str">
        <f t="shared" si="41"/>
        <v>2020-08</v>
      </c>
      <c r="D1316" s="3">
        <v>109.67</v>
      </c>
      <c r="E1316" s="3">
        <v>11.23</v>
      </c>
      <c r="F1316" s="3">
        <v>249.83</v>
      </c>
      <c r="G1316" s="3">
        <v>3.03</v>
      </c>
    </row>
    <row r="1317" spans="1:7" x14ac:dyDescent="0.2">
      <c r="A1317" s="2">
        <v>44046</v>
      </c>
      <c r="B1317" s="1">
        <f t="shared" si="40"/>
        <v>44044</v>
      </c>
      <c r="C1317" s="4" t="str">
        <f t="shared" si="41"/>
        <v>2020-08</v>
      </c>
      <c r="D1317" s="3">
        <v>108.94</v>
      </c>
      <c r="E1317" s="3">
        <v>11.01</v>
      </c>
      <c r="F1317" s="3">
        <v>251.96</v>
      </c>
      <c r="G1317" s="3">
        <v>3.03</v>
      </c>
    </row>
    <row r="1318" spans="1:7" x14ac:dyDescent="0.2">
      <c r="A1318" s="2">
        <v>44043</v>
      </c>
      <c r="B1318" s="1">
        <f t="shared" si="40"/>
        <v>44013</v>
      </c>
      <c r="C1318" s="4" t="str">
        <f t="shared" si="41"/>
        <v>2020-07</v>
      </c>
      <c r="D1318" s="3">
        <v>106.26</v>
      </c>
      <c r="E1318" s="3">
        <v>10.61</v>
      </c>
      <c r="F1318" s="3">
        <v>253.67</v>
      </c>
      <c r="G1318" s="3">
        <v>3.03</v>
      </c>
    </row>
    <row r="1319" spans="1:7" x14ac:dyDescent="0.2">
      <c r="A1319" s="2">
        <v>44042</v>
      </c>
      <c r="B1319" s="1">
        <f t="shared" si="40"/>
        <v>44013</v>
      </c>
      <c r="C1319" s="4" t="str">
        <f t="shared" si="41"/>
        <v>2020-07</v>
      </c>
      <c r="D1319" s="3">
        <v>96.19</v>
      </c>
      <c r="E1319" s="3">
        <v>10.61</v>
      </c>
      <c r="F1319" s="3">
        <v>234.5</v>
      </c>
      <c r="G1319" s="3">
        <v>2.97</v>
      </c>
    </row>
    <row r="1320" spans="1:7" x14ac:dyDescent="0.2">
      <c r="A1320" s="2">
        <v>44041</v>
      </c>
      <c r="B1320" s="1">
        <f t="shared" si="40"/>
        <v>44013</v>
      </c>
      <c r="C1320" s="4" t="str">
        <f t="shared" si="41"/>
        <v>2020-07</v>
      </c>
      <c r="D1320" s="3">
        <v>95.04</v>
      </c>
      <c r="E1320" s="3">
        <v>10.47</v>
      </c>
      <c r="F1320" s="3">
        <v>233.29</v>
      </c>
      <c r="G1320" s="3">
        <v>2.96</v>
      </c>
    </row>
    <row r="1321" spans="1:7" x14ac:dyDescent="0.2">
      <c r="A1321" s="2">
        <v>44040</v>
      </c>
      <c r="B1321" s="1">
        <f t="shared" si="40"/>
        <v>44013</v>
      </c>
      <c r="C1321" s="4" t="str">
        <f t="shared" si="41"/>
        <v>2020-07</v>
      </c>
      <c r="D1321" s="3">
        <v>93.25</v>
      </c>
      <c r="E1321" s="3">
        <v>10.220000000000001</v>
      </c>
      <c r="F1321" s="3">
        <v>230.12</v>
      </c>
      <c r="G1321" s="3">
        <v>2.81</v>
      </c>
    </row>
    <row r="1322" spans="1:7" x14ac:dyDescent="0.2">
      <c r="A1322" s="2">
        <v>44039</v>
      </c>
      <c r="B1322" s="1">
        <f t="shared" si="40"/>
        <v>44013</v>
      </c>
      <c r="C1322" s="4" t="str">
        <f t="shared" si="41"/>
        <v>2020-07</v>
      </c>
      <c r="D1322" s="3">
        <v>94.81</v>
      </c>
      <c r="E1322" s="3">
        <v>10.42</v>
      </c>
      <c r="F1322" s="3">
        <v>233.5</v>
      </c>
      <c r="G1322" s="3">
        <v>2.85</v>
      </c>
    </row>
    <row r="1323" spans="1:7" x14ac:dyDescent="0.2">
      <c r="A1323" s="2">
        <v>44036</v>
      </c>
      <c r="B1323" s="1">
        <f t="shared" si="40"/>
        <v>44013</v>
      </c>
      <c r="C1323" s="4" t="str">
        <f t="shared" si="41"/>
        <v>2020-07</v>
      </c>
      <c r="D1323" s="3">
        <v>92.62</v>
      </c>
      <c r="E1323" s="3">
        <v>10.19</v>
      </c>
      <c r="F1323" s="3">
        <v>230.71</v>
      </c>
      <c r="G1323" s="3">
        <v>2.72</v>
      </c>
    </row>
    <row r="1324" spans="1:7" x14ac:dyDescent="0.2">
      <c r="A1324" s="2">
        <v>44035</v>
      </c>
      <c r="B1324" s="1">
        <f t="shared" si="40"/>
        <v>44013</v>
      </c>
      <c r="C1324" s="4" t="str">
        <f t="shared" si="41"/>
        <v>2020-07</v>
      </c>
      <c r="D1324" s="3">
        <v>92.85</v>
      </c>
      <c r="E1324" s="3">
        <v>10.130000000000001</v>
      </c>
      <c r="F1324" s="3">
        <v>232.6</v>
      </c>
      <c r="G1324" s="3">
        <v>2.76</v>
      </c>
    </row>
    <row r="1325" spans="1:7" x14ac:dyDescent="0.2">
      <c r="A1325" s="2">
        <v>44034</v>
      </c>
      <c r="B1325" s="1">
        <f t="shared" si="40"/>
        <v>44013</v>
      </c>
      <c r="C1325" s="4" t="str">
        <f t="shared" si="41"/>
        <v>2020-07</v>
      </c>
      <c r="D1325" s="3">
        <v>97.27</v>
      </c>
      <c r="E1325" s="3">
        <v>10.44</v>
      </c>
      <c r="F1325" s="3">
        <v>239.87</v>
      </c>
      <c r="G1325" s="3">
        <v>2.8</v>
      </c>
    </row>
    <row r="1326" spans="1:7" x14ac:dyDescent="0.2">
      <c r="A1326" s="2">
        <v>44033</v>
      </c>
      <c r="B1326" s="1">
        <f t="shared" si="40"/>
        <v>44013</v>
      </c>
      <c r="C1326" s="4" t="str">
        <f t="shared" si="41"/>
        <v>2020-07</v>
      </c>
      <c r="D1326" s="3">
        <v>97</v>
      </c>
      <c r="E1326" s="3">
        <v>10.33</v>
      </c>
      <c r="F1326" s="3">
        <v>241.75</v>
      </c>
      <c r="G1326" s="3">
        <v>2.81</v>
      </c>
    </row>
    <row r="1327" spans="1:7" x14ac:dyDescent="0.2">
      <c r="A1327" s="2">
        <v>44032</v>
      </c>
      <c r="B1327" s="1">
        <f t="shared" si="40"/>
        <v>44013</v>
      </c>
      <c r="C1327" s="4" t="str">
        <f t="shared" si="41"/>
        <v>2020-07</v>
      </c>
      <c r="D1327" s="3">
        <v>98.36</v>
      </c>
      <c r="E1327" s="3">
        <v>10.51</v>
      </c>
      <c r="F1327" s="3">
        <v>245.42</v>
      </c>
      <c r="G1327" s="3">
        <v>2.87</v>
      </c>
    </row>
    <row r="1328" spans="1:7" x14ac:dyDescent="0.2">
      <c r="A1328" s="2">
        <v>44029</v>
      </c>
      <c r="B1328" s="1">
        <f t="shared" si="40"/>
        <v>44013</v>
      </c>
      <c r="C1328" s="4" t="str">
        <f t="shared" si="41"/>
        <v>2020-07</v>
      </c>
      <c r="D1328" s="3">
        <v>96.33</v>
      </c>
      <c r="E1328" s="3">
        <v>10.199999999999999</v>
      </c>
      <c r="F1328" s="3">
        <v>242.03</v>
      </c>
      <c r="G1328" s="3">
        <v>2.84</v>
      </c>
    </row>
    <row r="1329" spans="1:7" x14ac:dyDescent="0.2">
      <c r="A1329" s="2">
        <v>44028</v>
      </c>
      <c r="B1329" s="1">
        <f t="shared" si="40"/>
        <v>44013</v>
      </c>
      <c r="C1329" s="4" t="str">
        <f t="shared" si="41"/>
        <v>2020-07</v>
      </c>
      <c r="D1329" s="3">
        <v>96.52</v>
      </c>
      <c r="E1329" s="3">
        <v>10.130000000000001</v>
      </c>
      <c r="F1329" s="3">
        <v>240.93</v>
      </c>
      <c r="G1329" s="3">
        <v>2.81</v>
      </c>
    </row>
    <row r="1330" spans="1:7" x14ac:dyDescent="0.2">
      <c r="A1330" s="2">
        <v>44027</v>
      </c>
      <c r="B1330" s="1">
        <f t="shared" si="40"/>
        <v>44013</v>
      </c>
      <c r="C1330" s="4" t="str">
        <f t="shared" si="41"/>
        <v>2020-07</v>
      </c>
      <c r="D1330" s="3">
        <v>97.73</v>
      </c>
      <c r="E1330" s="3">
        <v>10.23</v>
      </c>
      <c r="F1330" s="3">
        <v>240.28</v>
      </c>
      <c r="G1330" s="3">
        <v>2.79</v>
      </c>
    </row>
    <row r="1331" spans="1:7" x14ac:dyDescent="0.2">
      <c r="A1331" s="2">
        <v>44026</v>
      </c>
      <c r="B1331" s="1">
        <f t="shared" si="40"/>
        <v>44013</v>
      </c>
      <c r="C1331" s="4" t="str">
        <f t="shared" si="41"/>
        <v>2020-07</v>
      </c>
      <c r="D1331" s="3">
        <v>97.06</v>
      </c>
      <c r="E1331" s="3">
        <v>10.38</v>
      </c>
      <c r="F1331" s="3">
        <v>239.73</v>
      </c>
      <c r="G1331" s="3">
        <v>2.77</v>
      </c>
    </row>
    <row r="1332" spans="1:7" x14ac:dyDescent="0.2">
      <c r="A1332" s="2">
        <v>44025</v>
      </c>
      <c r="B1332" s="1">
        <f t="shared" si="40"/>
        <v>44013</v>
      </c>
      <c r="C1332" s="4" t="str">
        <f t="shared" si="41"/>
        <v>2020-07</v>
      </c>
      <c r="D1332" s="3">
        <v>95.48</v>
      </c>
      <c r="E1332" s="3">
        <v>10.050000000000001</v>
      </c>
      <c r="F1332" s="3">
        <v>239</v>
      </c>
      <c r="G1332" s="3">
        <v>2.71</v>
      </c>
    </row>
    <row r="1333" spans="1:7" x14ac:dyDescent="0.2">
      <c r="A1333" s="2">
        <v>44022</v>
      </c>
      <c r="B1333" s="1">
        <f t="shared" si="40"/>
        <v>44013</v>
      </c>
      <c r="C1333" s="4" t="str">
        <f t="shared" si="41"/>
        <v>2020-07</v>
      </c>
      <c r="D1333" s="3">
        <v>95.92</v>
      </c>
      <c r="E1333" s="3">
        <v>10.48</v>
      </c>
      <c r="F1333" s="3">
        <v>245.07</v>
      </c>
      <c r="G1333" s="3">
        <v>2.76</v>
      </c>
    </row>
    <row r="1334" spans="1:7" x14ac:dyDescent="0.2">
      <c r="A1334" s="2">
        <v>44021</v>
      </c>
      <c r="B1334" s="1">
        <f t="shared" si="40"/>
        <v>44013</v>
      </c>
      <c r="C1334" s="4" t="str">
        <f t="shared" si="41"/>
        <v>2020-07</v>
      </c>
      <c r="D1334" s="3">
        <v>95.68</v>
      </c>
      <c r="E1334" s="3">
        <v>10.51</v>
      </c>
      <c r="F1334" s="3">
        <v>244.5</v>
      </c>
      <c r="G1334" s="3">
        <v>2.77</v>
      </c>
    </row>
    <row r="1335" spans="1:7" x14ac:dyDescent="0.2">
      <c r="A1335" s="2">
        <v>44020</v>
      </c>
      <c r="B1335" s="1">
        <f t="shared" si="40"/>
        <v>44013</v>
      </c>
      <c r="C1335" s="4" t="str">
        <f t="shared" si="41"/>
        <v>2020-07</v>
      </c>
      <c r="D1335" s="3">
        <v>95.34</v>
      </c>
      <c r="E1335" s="3">
        <v>10.220000000000001</v>
      </c>
      <c r="F1335" s="3">
        <v>243.58</v>
      </c>
      <c r="G1335" s="3">
        <v>2.82</v>
      </c>
    </row>
    <row r="1336" spans="1:7" x14ac:dyDescent="0.2">
      <c r="A1336" s="2">
        <v>44019</v>
      </c>
      <c r="B1336" s="1">
        <f t="shared" si="40"/>
        <v>44013</v>
      </c>
      <c r="C1336" s="4" t="str">
        <f t="shared" si="41"/>
        <v>2020-07</v>
      </c>
      <c r="D1336" s="3">
        <v>93.17</v>
      </c>
      <c r="E1336" s="3">
        <v>9.8699999999999992</v>
      </c>
      <c r="F1336" s="3">
        <v>240.86</v>
      </c>
      <c r="G1336" s="3">
        <v>2.75</v>
      </c>
    </row>
    <row r="1337" spans="1:7" x14ac:dyDescent="0.2">
      <c r="A1337" s="2">
        <v>44018</v>
      </c>
      <c r="B1337" s="1">
        <f t="shared" si="40"/>
        <v>44013</v>
      </c>
      <c r="C1337" s="4" t="str">
        <f t="shared" si="41"/>
        <v>2020-07</v>
      </c>
      <c r="D1337" s="3">
        <v>93.46</v>
      </c>
      <c r="E1337" s="3">
        <v>9.84</v>
      </c>
      <c r="F1337" s="3">
        <v>240.28</v>
      </c>
      <c r="G1337" s="3">
        <v>2.8</v>
      </c>
    </row>
    <row r="1338" spans="1:7" x14ac:dyDescent="0.2">
      <c r="A1338" s="2">
        <v>44014</v>
      </c>
      <c r="B1338" s="1">
        <f t="shared" si="40"/>
        <v>44013</v>
      </c>
      <c r="C1338" s="4" t="str">
        <f t="shared" si="41"/>
        <v>2020-07</v>
      </c>
      <c r="D1338" s="3">
        <v>91.03</v>
      </c>
      <c r="E1338" s="3">
        <v>9.61</v>
      </c>
      <c r="F1338" s="3">
        <v>233.42</v>
      </c>
      <c r="G1338" s="3">
        <v>2.75</v>
      </c>
    </row>
    <row r="1339" spans="1:7" x14ac:dyDescent="0.2">
      <c r="A1339" s="2">
        <v>44013</v>
      </c>
      <c r="B1339" s="1">
        <f t="shared" si="40"/>
        <v>44013</v>
      </c>
      <c r="C1339" s="4" t="str">
        <f t="shared" si="41"/>
        <v>2020-07</v>
      </c>
      <c r="D1339" s="3">
        <v>91.03</v>
      </c>
      <c r="E1339" s="3">
        <v>9.5299999999999994</v>
      </c>
      <c r="F1339" s="3">
        <v>237.55</v>
      </c>
      <c r="G1339" s="3">
        <v>2.79</v>
      </c>
    </row>
    <row r="1340" spans="1:7" x14ac:dyDescent="0.2">
      <c r="A1340" s="2">
        <v>44012</v>
      </c>
      <c r="B1340" s="1">
        <f t="shared" si="40"/>
        <v>43983</v>
      </c>
      <c r="C1340" s="4" t="str">
        <f t="shared" si="41"/>
        <v>2020-06</v>
      </c>
      <c r="D1340" s="3">
        <v>91.2</v>
      </c>
      <c r="E1340" s="3">
        <v>9.5</v>
      </c>
      <c r="F1340" s="3">
        <v>227.07</v>
      </c>
      <c r="G1340" s="3">
        <v>2.84</v>
      </c>
    </row>
    <row r="1341" spans="1:7" x14ac:dyDescent="0.2">
      <c r="A1341" s="2">
        <v>44011</v>
      </c>
      <c r="B1341" s="1">
        <f t="shared" si="40"/>
        <v>43983</v>
      </c>
      <c r="C1341" s="4" t="str">
        <f t="shared" si="41"/>
        <v>2020-06</v>
      </c>
      <c r="D1341" s="3">
        <v>90.45</v>
      </c>
      <c r="E1341" s="3">
        <v>9.1999999999999993</v>
      </c>
      <c r="F1341" s="3">
        <v>220.64</v>
      </c>
      <c r="G1341" s="3">
        <v>2.82</v>
      </c>
    </row>
    <row r="1342" spans="1:7" x14ac:dyDescent="0.2">
      <c r="A1342" s="2">
        <v>44008</v>
      </c>
      <c r="B1342" s="1">
        <f t="shared" si="40"/>
        <v>43983</v>
      </c>
      <c r="C1342" s="4" t="str">
        <f t="shared" si="41"/>
        <v>2020-06</v>
      </c>
      <c r="D1342" s="3">
        <v>88.41</v>
      </c>
      <c r="E1342" s="3">
        <v>9.16</v>
      </c>
      <c r="F1342" s="3">
        <v>216.08</v>
      </c>
      <c r="G1342" s="3">
        <v>2.81</v>
      </c>
    </row>
    <row r="1343" spans="1:7" x14ac:dyDescent="0.2">
      <c r="A1343" s="2">
        <v>44007</v>
      </c>
      <c r="B1343" s="1">
        <f t="shared" si="40"/>
        <v>43983</v>
      </c>
      <c r="C1343" s="4" t="str">
        <f t="shared" si="41"/>
        <v>2020-06</v>
      </c>
      <c r="D1343" s="3">
        <v>91.21</v>
      </c>
      <c r="E1343" s="3">
        <v>9.49</v>
      </c>
      <c r="F1343" s="3">
        <v>235.68</v>
      </c>
      <c r="G1343" s="3">
        <v>3.1</v>
      </c>
    </row>
    <row r="1344" spans="1:7" x14ac:dyDescent="0.2">
      <c r="A1344" s="2">
        <v>44006</v>
      </c>
      <c r="B1344" s="1">
        <f t="shared" si="40"/>
        <v>43983</v>
      </c>
      <c r="C1344" s="4" t="str">
        <f t="shared" si="41"/>
        <v>2020-06</v>
      </c>
      <c r="D1344" s="3">
        <v>90.02</v>
      </c>
      <c r="E1344" s="3">
        <v>9.24</v>
      </c>
      <c r="F1344" s="3">
        <v>234.02</v>
      </c>
      <c r="G1344" s="3">
        <v>3.06</v>
      </c>
    </row>
    <row r="1345" spans="1:7" x14ac:dyDescent="0.2">
      <c r="A1345" s="2">
        <v>44005</v>
      </c>
      <c r="B1345" s="1">
        <f t="shared" si="40"/>
        <v>43983</v>
      </c>
      <c r="C1345" s="4" t="str">
        <f t="shared" si="41"/>
        <v>2020-06</v>
      </c>
      <c r="D1345" s="3">
        <v>91.63</v>
      </c>
      <c r="E1345" s="3">
        <v>9.4499999999999993</v>
      </c>
      <c r="F1345" s="3">
        <v>242.24</v>
      </c>
      <c r="G1345" s="3">
        <v>3.13</v>
      </c>
    </row>
    <row r="1346" spans="1:7" x14ac:dyDescent="0.2">
      <c r="A1346" s="2">
        <v>44004</v>
      </c>
      <c r="B1346" s="1">
        <f t="shared" si="40"/>
        <v>43983</v>
      </c>
      <c r="C1346" s="4" t="str">
        <f t="shared" si="41"/>
        <v>2020-06</v>
      </c>
      <c r="D1346" s="3">
        <v>89.72</v>
      </c>
      <c r="E1346" s="3">
        <v>9.5299999999999994</v>
      </c>
      <c r="F1346" s="3">
        <v>239.22</v>
      </c>
      <c r="G1346" s="3">
        <v>3.1</v>
      </c>
    </row>
    <row r="1347" spans="1:7" x14ac:dyDescent="0.2">
      <c r="A1347" s="2">
        <v>44001</v>
      </c>
      <c r="B1347" s="1">
        <f t="shared" ref="B1347:B1410" si="42">EOMONTH(A1347, -1)+1</f>
        <v>43983</v>
      </c>
      <c r="C1347" s="4" t="str">
        <f t="shared" ref="C1347:C1410" si="43">TEXT(A1347, "yyyy-mm")</f>
        <v>2020-06</v>
      </c>
      <c r="D1347" s="3">
        <v>87.43</v>
      </c>
      <c r="E1347" s="3">
        <v>9.26</v>
      </c>
      <c r="F1347" s="3">
        <v>238.79</v>
      </c>
      <c r="G1347" s="3">
        <v>3.23</v>
      </c>
    </row>
    <row r="1348" spans="1:7" x14ac:dyDescent="0.2">
      <c r="A1348" s="2">
        <v>44000</v>
      </c>
      <c r="B1348" s="1">
        <f t="shared" si="42"/>
        <v>43983</v>
      </c>
      <c r="C1348" s="4" t="str">
        <f t="shared" si="43"/>
        <v>2020-06</v>
      </c>
      <c r="D1348" s="3">
        <v>87.93</v>
      </c>
      <c r="E1348" s="3">
        <v>9.2200000000000006</v>
      </c>
      <c r="F1348" s="3">
        <v>235.94</v>
      </c>
      <c r="G1348" s="3">
        <v>3.14</v>
      </c>
    </row>
    <row r="1349" spans="1:7" x14ac:dyDescent="0.2">
      <c r="A1349" s="2">
        <v>43999</v>
      </c>
      <c r="B1349" s="1">
        <f t="shared" si="42"/>
        <v>43983</v>
      </c>
      <c r="C1349" s="4" t="str">
        <f t="shared" si="43"/>
        <v>2020-06</v>
      </c>
      <c r="D1349" s="3">
        <v>87.9</v>
      </c>
      <c r="E1349" s="3">
        <v>9.24</v>
      </c>
      <c r="F1349" s="3">
        <v>235.53</v>
      </c>
      <c r="G1349" s="3">
        <v>3.18</v>
      </c>
    </row>
    <row r="1350" spans="1:7" x14ac:dyDescent="0.2">
      <c r="A1350" s="2">
        <v>43998</v>
      </c>
      <c r="B1350" s="1">
        <f t="shared" si="42"/>
        <v>43983</v>
      </c>
      <c r="C1350" s="4" t="str">
        <f t="shared" si="43"/>
        <v>2020-06</v>
      </c>
      <c r="D1350" s="3">
        <v>88.02</v>
      </c>
      <c r="E1350" s="3">
        <v>9.07</v>
      </c>
      <c r="F1350" s="3">
        <v>235.65</v>
      </c>
      <c r="G1350" s="3">
        <v>3.12</v>
      </c>
    </row>
    <row r="1351" spans="1:7" x14ac:dyDescent="0.2">
      <c r="A1351" s="2">
        <v>43997</v>
      </c>
      <c r="B1351" s="1">
        <f t="shared" si="42"/>
        <v>43983</v>
      </c>
      <c r="C1351" s="4" t="str">
        <f t="shared" si="43"/>
        <v>2020-06</v>
      </c>
      <c r="D1351" s="3">
        <v>85.75</v>
      </c>
      <c r="E1351" s="3">
        <v>9.17</v>
      </c>
      <c r="F1351" s="3">
        <v>232.5</v>
      </c>
      <c r="G1351" s="3">
        <v>3.13</v>
      </c>
    </row>
    <row r="1352" spans="1:7" x14ac:dyDescent="0.2">
      <c r="A1352" s="2">
        <v>43994</v>
      </c>
      <c r="B1352" s="1">
        <f t="shared" si="42"/>
        <v>43983</v>
      </c>
      <c r="C1352" s="4" t="str">
        <f t="shared" si="43"/>
        <v>2020-06</v>
      </c>
      <c r="D1352" s="3">
        <v>84.7</v>
      </c>
      <c r="E1352" s="3">
        <v>8.93</v>
      </c>
      <c r="F1352" s="3">
        <v>228.58</v>
      </c>
      <c r="G1352" s="3">
        <v>2.92</v>
      </c>
    </row>
    <row r="1353" spans="1:7" x14ac:dyDescent="0.2">
      <c r="A1353" s="2">
        <v>43993</v>
      </c>
      <c r="B1353" s="1">
        <f t="shared" si="42"/>
        <v>43983</v>
      </c>
      <c r="C1353" s="4" t="str">
        <f t="shared" si="43"/>
        <v>2020-06</v>
      </c>
      <c r="D1353" s="3">
        <v>83.98</v>
      </c>
      <c r="E1353" s="3">
        <v>8.8000000000000007</v>
      </c>
      <c r="F1353" s="3">
        <v>224.43</v>
      </c>
      <c r="G1353" s="3">
        <v>2.8</v>
      </c>
    </row>
    <row r="1354" spans="1:7" x14ac:dyDescent="0.2">
      <c r="A1354" s="2">
        <v>43992</v>
      </c>
      <c r="B1354" s="1">
        <f t="shared" si="42"/>
        <v>43983</v>
      </c>
      <c r="C1354" s="4" t="str">
        <f t="shared" si="43"/>
        <v>2020-06</v>
      </c>
      <c r="D1354" s="3">
        <v>88.21</v>
      </c>
      <c r="E1354" s="3">
        <v>9.3699999999999992</v>
      </c>
      <c r="F1354" s="3">
        <v>236.73</v>
      </c>
      <c r="G1354" s="3">
        <v>2.91</v>
      </c>
    </row>
    <row r="1355" spans="1:7" x14ac:dyDescent="0.2">
      <c r="A1355" s="2">
        <v>43991</v>
      </c>
      <c r="B1355" s="1">
        <f t="shared" si="42"/>
        <v>43983</v>
      </c>
      <c r="C1355" s="4" t="str">
        <f t="shared" si="43"/>
        <v>2020-06</v>
      </c>
      <c r="D1355" s="3">
        <v>86</v>
      </c>
      <c r="E1355" s="3">
        <v>9.0500000000000007</v>
      </c>
      <c r="F1355" s="3">
        <v>238.67</v>
      </c>
      <c r="G1355" s="3">
        <v>2.96</v>
      </c>
    </row>
    <row r="1356" spans="1:7" x14ac:dyDescent="0.2">
      <c r="A1356" s="2">
        <v>43990</v>
      </c>
      <c r="B1356" s="1">
        <f t="shared" si="42"/>
        <v>43983</v>
      </c>
      <c r="C1356" s="4" t="str">
        <f t="shared" si="43"/>
        <v>2020-06</v>
      </c>
      <c r="D1356" s="3">
        <v>83.37</v>
      </c>
      <c r="E1356" s="3">
        <v>8.81</v>
      </c>
      <c r="F1356" s="3">
        <v>231.4</v>
      </c>
      <c r="G1356" s="3">
        <v>2.97</v>
      </c>
    </row>
    <row r="1357" spans="1:7" x14ac:dyDescent="0.2">
      <c r="A1357" s="2">
        <v>43987</v>
      </c>
      <c r="B1357" s="1">
        <f t="shared" si="42"/>
        <v>43983</v>
      </c>
      <c r="C1357" s="4" t="str">
        <f t="shared" si="43"/>
        <v>2020-06</v>
      </c>
      <c r="D1357" s="3">
        <v>82.88</v>
      </c>
      <c r="E1357" s="3">
        <v>8.92</v>
      </c>
      <c r="F1357" s="3">
        <v>230.77</v>
      </c>
      <c r="G1357" s="3">
        <v>2.86</v>
      </c>
    </row>
    <row r="1358" spans="1:7" x14ac:dyDescent="0.2">
      <c r="A1358" s="2">
        <v>43986</v>
      </c>
      <c r="B1358" s="1">
        <f t="shared" si="42"/>
        <v>43983</v>
      </c>
      <c r="C1358" s="4" t="str">
        <f t="shared" si="43"/>
        <v>2020-06</v>
      </c>
      <c r="D1358" s="3">
        <v>80.58</v>
      </c>
      <c r="E1358" s="3">
        <v>8.77</v>
      </c>
      <c r="F1358" s="3">
        <v>226.29</v>
      </c>
      <c r="G1358" s="3">
        <v>2.78</v>
      </c>
    </row>
    <row r="1359" spans="1:7" x14ac:dyDescent="0.2">
      <c r="A1359" s="2">
        <v>43985</v>
      </c>
      <c r="B1359" s="1">
        <f t="shared" si="42"/>
        <v>43983</v>
      </c>
      <c r="C1359" s="4" t="str">
        <f t="shared" si="43"/>
        <v>2020-06</v>
      </c>
      <c r="D1359" s="3">
        <v>81.28</v>
      </c>
      <c r="E1359" s="3">
        <v>8.77</v>
      </c>
      <c r="F1359" s="3">
        <v>230.16</v>
      </c>
      <c r="G1359" s="3">
        <v>2.77</v>
      </c>
    </row>
    <row r="1360" spans="1:7" x14ac:dyDescent="0.2">
      <c r="A1360" s="2">
        <v>43984</v>
      </c>
      <c r="B1360" s="1">
        <f t="shared" si="42"/>
        <v>43983</v>
      </c>
      <c r="C1360" s="4" t="str">
        <f t="shared" si="43"/>
        <v>2020-06</v>
      </c>
      <c r="D1360" s="3">
        <v>80.84</v>
      </c>
      <c r="E1360" s="3">
        <v>8.83</v>
      </c>
      <c r="F1360" s="3">
        <v>232.72</v>
      </c>
      <c r="G1360" s="3">
        <v>2.75</v>
      </c>
    </row>
    <row r="1361" spans="1:7" x14ac:dyDescent="0.2">
      <c r="A1361" s="2">
        <v>43983</v>
      </c>
      <c r="B1361" s="1">
        <f t="shared" si="42"/>
        <v>43983</v>
      </c>
      <c r="C1361" s="4" t="str">
        <f t="shared" si="43"/>
        <v>2020-06</v>
      </c>
      <c r="D1361" s="3">
        <v>80.459999999999994</v>
      </c>
      <c r="E1361" s="3">
        <v>8.81</v>
      </c>
      <c r="F1361" s="3">
        <v>231.91</v>
      </c>
      <c r="G1361" s="3">
        <v>2.66</v>
      </c>
    </row>
    <row r="1362" spans="1:7" x14ac:dyDescent="0.2">
      <c r="A1362" s="2">
        <v>43980</v>
      </c>
      <c r="B1362" s="1">
        <f t="shared" si="42"/>
        <v>43952</v>
      </c>
      <c r="C1362" s="4" t="str">
        <f t="shared" si="43"/>
        <v>2020-05</v>
      </c>
      <c r="D1362" s="3">
        <v>79.489999999999995</v>
      </c>
      <c r="E1362" s="3">
        <v>8.8800000000000008</v>
      </c>
      <c r="F1362" s="3">
        <v>225.09</v>
      </c>
      <c r="G1362" s="3">
        <v>2.6</v>
      </c>
    </row>
    <row r="1363" spans="1:7" x14ac:dyDescent="0.2">
      <c r="A1363" s="2">
        <v>43979</v>
      </c>
      <c r="B1363" s="1">
        <f t="shared" si="42"/>
        <v>43952</v>
      </c>
      <c r="C1363" s="4" t="str">
        <f t="shared" si="43"/>
        <v>2020-05</v>
      </c>
      <c r="D1363" s="3">
        <v>79.56</v>
      </c>
      <c r="E1363" s="3">
        <v>8.49</v>
      </c>
      <c r="F1363" s="3">
        <v>225.46</v>
      </c>
      <c r="G1363" s="3">
        <v>2.5299999999999998</v>
      </c>
    </row>
    <row r="1364" spans="1:7" x14ac:dyDescent="0.2">
      <c r="A1364" s="2">
        <v>43978</v>
      </c>
      <c r="B1364" s="1">
        <f t="shared" si="42"/>
        <v>43952</v>
      </c>
      <c r="C1364" s="4" t="str">
        <f t="shared" si="43"/>
        <v>2020-05</v>
      </c>
      <c r="D1364" s="3">
        <v>79.53</v>
      </c>
      <c r="E1364" s="3">
        <v>8.5299999999999994</v>
      </c>
      <c r="F1364" s="3">
        <v>229.14</v>
      </c>
      <c r="G1364" s="3">
        <v>2.59</v>
      </c>
    </row>
    <row r="1365" spans="1:7" x14ac:dyDescent="0.2">
      <c r="A1365" s="2">
        <v>43977</v>
      </c>
      <c r="B1365" s="1">
        <f t="shared" si="42"/>
        <v>43952</v>
      </c>
      <c r="C1365" s="4" t="str">
        <f t="shared" si="43"/>
        <v>2020-05</v>
      </c>
      <c r="D1365" s="3">
        <v>79.180000000000007</v>
      </c>
      <c r="E1365" s="3">
        <v>8.7200000000000006</v>
      </c>
      <c r="F1365" s="3">
        <v>232.2</v>
      </c>
      <c r="G1365" s="3">
        <v>2.5299999999999998</v>
      </c>
    </row>
    <row r="1366" spans="1:7" x14ac:dyDescent="0.2">
      <c r="A1366" s="2">
        <v>43973</v>
      </c>
      <c r="B1366" s="1">
        <f t="shared" si="42"/>
        <v>43952</v>
      </c>
      <c r="C1366" s="4" t="str">
        <f t="shared" si="43"/>
        <v>2020-05</v>
      </c>
      <c r="D1366" s="3">
        <v>79.72</v>
      </c>
      <c r="E1366" s="3">
        <v>9.0299999999999994</v>
      </c>
      <c r="F1366" s="3">
        <v>234.91</v>
      </c>
      <c r="G1366" s="3">
        <v>2.4700000000000002</v>
      </c>
    </row>
    <row r="1367" spans="1:7" x14ac:dyDescent="0.2">
      <c r="A1367" s="2">
        <v>43972</v>
      </c>
      <c r="B1367" s="1">
        <f t="shared" si="42"/>
        <v>43952</v>
      </c>
      <c r="C1367" s="4" t="str">
        <f t="shared" si="43"/>
        <v>2020-05</v>
      </c>
      <c r="D1367" s="3">
        <v>79.209999999999994</v>
      </c>
      <c r="E1367" s="3">
        <v>8.7799999999999994</v>
      </c>
      <c r="F1367" s="3">
        <v>231.39</v>
      </c>
      <c r="G1367" s="3">
        <v>2.52</v>
      </c>
    </row>
    <row r="1368" spans="1:7" x14ac:dyDescent="0.2">
      <c r="A1368" s="2">
        <v>43971</v>
      </c>
      <c r="B1368" s="1">
        <f t="shared" si="42"/>
        <v>43952</v>
      </c>
      <c r="C1368" s="4" t="str">
        <f t="shared" si="43"/>
        <v>2020-05</v>
      </c>
      <c r="D1368" s="3">
        <v>79.81</v>
      </c>
      <c r="E1368" s="3">
        <v>8.9700000000000006</v>
      </c>
      <c r="F1368" s="3">
        <v>229.97</v>
      </c>
      <c r="G1368" s="3">
        <v>2.56</v>
      </c>
    </row>
    <row r="1369" spans="1:7" x14ac:dyDescent="0.2">
      <c r="A1369" s="2">
        <v>43970</v>
      </c>
      <c r="B1369" s="1">
        <f t="shared" si="42"/>
        <v>43952</v>
      </c>
      <c r="C1369" s="4" t="str">
        <f t="shared" si="43"/>
        <v>2020-05</v>
      </c>
      <c r="D1369" s="3">
        <v>78.290000000000006</v>
      </c>
      <c r="E1369" s="3">
        <v>8.81</v>
      </c>
      <c r="F1369" s="3">
        <v>216.88</v>
      </c>
      <c r="G1369" s="3">
        <v>2.48</v>
      </c>
    </row>
    <row r="1370" spans="1:7" x14ac:dyDescent="0.2">
      <c r="A1370" s="2">
        <v>43969</v>
      </c>
      <c r="B1370" s="1">
        <f t="shared" si="42"/>
        <v>43952</v>
      </c>
      <c r="C1370" s="4" t="str">
        <f t="shared" si="43"/>
        <v>2020-05</v>
      </c>
      <c r="D1370" s="3">
        <v>78.739999999999995</v>
      </c>
      <c r="E1370" s="3">
        <v>8.75</v>
      </c>
      <c r="F1370" s="3">
        <v>213.19</v>
      </c>
      <c r="G1370" s="3">
        <v>2.44</v>
      </c>
    </row>
    <row r="1371" spans="1:7" x14ac:dyDescent="0.2">
      <c r="A1371" s="2">
        <v>43966</v>
      </c>
      <c r="B1371" s="1">
        <f t="shared" si="42"/>
        <v>43952</v>
      </c>
      <c r="C1371" s="4" t="str">
        <f t="shared" si="43"/>
        <v>2020-05</v>
      </c>
      <c r="D1371" s="3">
        <v>76.930000000000007</v>
      </c>
      <c r="E1371" s="3">
        <v>8.49</v>
      </c>
      <c r="F1371" s="3">
        <v>210.88</v>
      </c>
      <c r="G1371" s="3">
        <v>2.33</v>
      </c>
    </row>
    <row r="1372" spans="1:7" x14ac:dyDescent="0.2">
      <c r="A1372" s="2">
        <v>43965</v>
      </c>
      <c r="B1372" s="1">
        <f t="shared" si="42"/>
        <v>43952</v>
      </c>
      <c r="C1372" s="4" t="str">
        <f t="shared" si="43"/>
        <v>2020-05</v>
      </c>
      <c r="D1372" s="3">
        <v>77.39</v>
      </c>
      <c r="E1372" s="3">
        <v>8.0299999999999994</v>
      </c>
      <c r="F1372" s="3">
        <v>206.81</v>
      </c>
      <c r="G1372" s="3">
        <v>2.34</v>
      </c>
    </row>
    <row r="1373" spans="1:7" x14ac:dyDescent="0.2">
      <c r="A1373" s="2">
        <v>43964</v>
      </c>
      <c r="B1373" s="1">
        <f t="shared" si="42"/>
        <v>43952</v>
      </c>
      <c r="C1373" s="4" t="str">
        <f t="shared" si="43"/>
        <v>2020-05</v>
      </c>
      <c r="D1373" s="3">
        <v>76.91</v>
      </c>
      <c r="E1373" s="3">
        <v>7.78</v>
      </c>
      <c r="F1373" s="3">
        <v>205.1</v>
      </c>
      <c r="G1373" s="3">
        <v>2.33</v>
      </c>
    </row>
    <row r="1374" spans="1:7" x14ac:dyDescent="0.2">
      <c r="A1374" s="2">
        <v>43963</v>
      </c>
      <c r="B1374" s="1">
        <f t="shared" si="42"/>
        <v>43952</v>
      </c>
      <c r="C1374" s="4" t="str">
        <f t="shared" si="43"/>
        <v>2020-05</v>
      </c>
      <c r="D1374" s="3">
        <v>77.849999999999994</v>
      </c>
      <c r="E1374" s="3">
        <v>7.8</v>
      </c>
      <c r="F1374" s="3">
        <v>210.1</v>
      </c>
      <c r="G1374" s="3">
        <v>2.4</v>
      </c>
    </row>
    <row r="1375" spans="1:7" x14ac:dyDescent="0.2">
      <c r="A1375" s="2">
        <v>43962</v>
      </c>
      <c r="B1375" s="1">
        <f t="shared" si="42"/>
        <v>43952</v>
      </c>
      <c r="C1375" s="4" t="str">
        <f t="shared" si="43"/>
        <v>2020-05</v>
      </c>
      <c r="D1375" s="3">
        <v>78.75</v>
      </c>
      <c r="E1375" s="3">
        <v>8.07</v>
      </c>
      <c r="F1375" s="3">
        <v>213.18</v>
      </c>
      <c r="G1375" s="3">
        <v>2.57</v>
      </c>
    </row>
    <row r="1376" spans="1:7" x14ac:dyDescent="0.2">
      <c r="A1376" s="2">
        <v>43959</v>
      </c>
      <c r="B1376" s="1">
        <f t="shared" si="42"/>
        <v>43952</v>
      </c>
      <c r="C1376" s="4" t="str">
        <f t="shared" si="43"/>
        <v>2020-05</v>
      </c>
      <c r="D1376" s="3">
        <v>77.53</v>
      </c>
      <c r="E1376" s="3">
        <v>7.81</v>
      </c>
      <c r="F1376" s="3">
        <v>212.35</v>
      </c>
      <c r="G1376" s="3">
        <v>2.54</v>
      </c>
    </row>
    <row r="1377" spans="1:7" x14ac:dyDescent="0.2">
      <c r="A1377" s="2">
        <v>43958</v>
      </c>
      <c r="B1377" s="1">
        <f t="shared" si="42"/>
        <v>43952</v>
      </c>
      <c r="C1377" s="4" t="str">
        <f t="shared" si="43"/>
        <v>2020-05</v>
      </c>
      <c r="D1377" s="3">
        <v>75.94</v>
      </c>
      <c r="E1377" s="3">
        <v>7.62</v>
      </c>
      <c r="F1377" s="3">
        <v>211.26</v>
      </c>
      <c r="G1377" s="3">
        <v>2.2400000000000002</v>
      </c>
    </row>
    <row r="1378" spans="1:7" x14ac:dyDescent="0.2">
      <c r="A1378" s="2">
        <v>43957</v>
      </c>
      <c r="B1378" s="1">
        <f t="shared" si="42"/>
        <v>43952</v>
      </c>
      <c r="C1378" s="4" t="str">
        <f t="shared" si="43"/>
        <v>2020-05</v>
      </c>
      <c r="D1378" s="3">
        <v>75.16</v>
      </c>
      <c r="E1378" s="3">
        <v>7.44</v>
      </c>
      <c r="F1378" s="3">
        <v>208.47</v>
      </c>
      <c r="G1378" s="3">
        <v>2.2000000000000002</v>
      </c>
    </row>
    <row r="1379" spans="1:7" x14ac:dyDescent="0.2">
      <c r="A1379" s="2">
        <v>43956</v>
      </c>
      <c r="B1379" s="1">
        <f t="shared" si="42"/>
        <v>43952</v>
      </c>
      <c r="C1379" s="4" t="str">
        <f t="shared" si="43"/>
        <v>2020-05</v>
      </c>
      <c r="D1379" s="3">
        <v>74.39</v>
      </c>
      <c r="E1379" s="3">
        <v>7.34</v>
      </c>
      <c r="F1379" s="3">
        <v>207.07</v>
      </c>
      <c r="G1379" s="3">
        <v>2.25</v>
      </c>
    </row>
    <row r="1380" spans="1:7" x14ac:dyDescent="0.2">
      <c r="A1380" s="2">
        <v>43955</v>
      </c>
      <c r="B1380" s="1">
        <f t="shared" si="42"/>
        <v>43952</v>
      </c>
      <c r="C1380" s="4" t="str">
        <f t="shared" si="43"/>
        <v>2020-05</v>
      </c>
      <c r="D1380" s="3">
        <v>73.290000000000006</v>
      </c>
      <c r="E1380" s="3">
        <v>7.28</v>
      </c>
      <c r="F1380" s="3">
        <v>205.26</v>
      </c>
      <c r="G1380" s="3">
        <v>2.23</v>
      </c>
    </row>
    <row r="1381" spans="1:7" x14ac:dyDescent="0.2">
      <c r="A1381" s="2">
        <v>43952</v>
      </c>
      <c r="B1381" s="1">
        <f t="shared" si="42"/>
        <v>43952</v>
      </c>
      <c r="C1381" s="4" t="str">
        <f t="shared" si="43"/>
        <v>2020-05</v>
      </c>
      <c r="D1381" s="3">
        <v>72.27</v>
      </c>
      <c r="E1381" s="3">
        <v>7.07</v>
      </c>
      <c r="F1381" s="3">
        <v>202.27</v>
      </c>
      <c r="G1381" s="3">
        <v>2.2200000000000002</v>
      </c>
    </row>
    <row r="1382" spans="1:7" x14ac:dyDescent="0.2">
      <c r="A1382" s="2">
        <v>43951</v>
      </c>
      <c r="B1382" s="1">
        <f t="shared" si="42"/>
        <v>43922</v>
      </c>
      <c r="C1382" s="4" t="str">
        <f t="shared" si="43"/>
        <v>2020-04</v>
      </c>
      <c r="D1382" s="3">
        <v>73.45</v>
      </c>
      <c r="E1382" s="3">
        <v>7.31</v>
      </c>
      <c r="F1382" s="3">
        <v>204.71</v>
      </c>
      <c r="G1382" s="3">
        <v>2.29</v>
      </c>
    </row>
    <row r="1383" spans="1:7" x14ac:dyDescent="0.2">
      <c r="A1383" s="2">
        <v>43950</v>
      </c>
      <c r="B1383" s="1">
        <f t="shared" si="42"/>
        <v>43922</v>
      </c>
      <c r="C1383" s="4" t="str">
        <f t="shared" si="43"/>
        <v>2020-04</v>
      </c>
      <c r="D1383" s="3">
        <v>71.930000000000007</v>
      </c>
      <c r="E1383" s="3">
        <v>7.46</v>
      </c>
      <c r="F1383" s="3">
        <v>194.19</v>
      </c>
      <c r="G1383" s="3">
        <v>2.35</v>
      </c>
    </row>
    <row r="1384" spans="1:7" x14ac:dyDescent="0.2">
      <c r="A1384" s="2">
        <v>43949</v>
      </c>
      <c r="B1384" s="1">
        <f t="shared" si="42"/>
        <v>43922</v>
      </c>
      <c r="C1384" s="4" t="str">
        <f t="shared" si="43"/>
        <v>2020-04</v>
      </c>
      <c r="D1384" s="3">
        <v>69.650000000000006</v>
      </c>
      <c r="E1384" s="3">
        <v>7.28</v>
      </c>
      <c r="F1384" s="3">
        <v>182.91</v>
      </c>
      <c r="G1384" s="3">
        <v>2.2799999999999998</v>
      </c>
    </row>
    <row r="1385" spans="1:7" x14ac:dyDescent="0.2">
      <c r="A1385" s="2">
        <v>43948</v>
      </c>
      <c r="B1385" s="1">
        <f t="shared" si="42"/>
        <v>43922</v>
      </c>
      <c r="C1385" s="4" t="str">
        <f t="shared" si="43"/>
        <v>2020-04</v>
      </c>
      <c r="D1385" s="3">
        <v>70.790000000000006</v>
      </c>
      <c r="E1385" s="3">
        <v>7.43</v>
      </c>
      <c r="F1385" s="3">
        <v>187.5</v>
      </c>
      <c r="G1385" s="3">
        <v>2.2200000000000002</v>
      </c>
    </row>
    <row r="1386" spans="1:7" x14ac:dyDescent="0.2">
      <c r="A1386" s="2">
        <v>43945</v>
      </c>
      <c r="B1386" s="1">
        <f t="shared" si="42"/>
        <v>43922</v>
      </c>
      <c r="C1386" s="4" t="str">
        <f t="shared" si="43"/>
        <v>2020-04</v>
      </c>
      <c r="D1386" s="3">
        <v>70.739999999999995</v>
      </c>
      <c r="E1386" s="3">
        <v>7.24</v>
      </c>
      <c r="F1386" s="3">
        <v>190.07</v>
      </c>
      <c r="G1386" s="3">
        <v>2.17</v>
      </c>
    </row>
    <row r="1387" spans="1:7" x14ac:dyDescent="0.2">
      <c r="A1387" s="2">
        <v>43944</v>
      </c>
      <c r="B1387" s="1">
        <f t="shared" si="42"/>
        <v>43922</v>
      </c>
      <c r="C1387" s="4" t="str">
        <f t="shared" si="43"/>
        <v>2020-04</v>
      </c>
      <c r="D1387" s="3">
        <v>68.760000000000005</v>
      </c>
      <c r="E1387" s="3">
        <v>7.1</v>
      </c>
      <c r="F1387" s="3">
        <v>185.13</v>
      </c>
      <c r="G1387" s="3">
        <v>2.16</v>
      </c>
    </row>
    <row r="1388" spans="1:7" x14ac:dyDescent="0.2">
      <c r="A1388" s="2">
        <v>43943</v>
      </c>
      <c r="B1388" s="1">
        <f t="shared" si="42"/>
        <v>43922</v>
      </c>
      <c r="C1388" s="4" t="str">
        <f t="shared" si="43"/>
        <v>2020-04</v>
      </c>
      <c r="D1388" s="3">
        <v>69.03</v>
      </c>
      <c r="E1388" s="3">
        <v>7.15</v>
      </c>
      <c r="F1388" s="3">
        <v>182.28</v>
      </c>
      <c r="G1388" s="3">
        <v>2.15</v>
      </c>
    </row>
    <row r="1389" spans="1:7" x14ac:dyDescent="0.2">
      <c r="A1389" s="2">
        <v>43942</v>
      </c>
      <c r="B1389" s="1">
        <f t="shared" si="42"/>
        <v>43922</v>
      </c>
      <c r="C1389" s="4" t="str">
        <f t="shared" si="43"/>
        <v>2020-04</v>
      </c>
      <c r="D1389" s="3">
        <v>67.09</v>
      </c>
      <c r="E1389" s="3">
        <v>6.74</v>
      </c>
      <c r="F1389" s="3">
        <v>170.8</v>
      </c>
      <c r="G1389" s="3">
        <v>2.1</v>
      </c>
    </row>
    <row r="1390" spans="1:7" x14ac:dyDescent="0.2">
      <c r="A1390" s="2">
        <v>43941</v>
      </c>
      <c r="B1390" s="1">
        <f t="shared" si="42"/>
        <v>43922</v>
      </c>
      <c r="C1390" s="4" t="str">
        <f t="shared" si="43"/>
        <v>2020-04</v>
      </c>
      <c r="D1390" s="3">
        <v>69.23</v>
      </c>
      <c r="E1390" s="3">
        <v>7.18</v>
      </c>
      <c r="F1390" s="3">
        <v>178.24</v>
      </c>
      <c r="G1390" s="3">
        <v>2.17</v>
      </c>
    </row>
    <row r="1391" spans="1:7" x14ac:dyDescent="0.2">
      <c r="A1391" s="2">
        <v>43938</v>
      </c>
      <c r="B1391" s="1">
        <f t="shared" si="42"/>
        <v>43922</v>
      </c>
      <c r="C1391" s="4" t="str">
        <f t="shared" si="43"/>
        <v>2020-04</v>
      </c>
      <c r="D1391" s="3">
        <v>70.7</v>
      </c>
      <c r="E1391" s="3">
        <v>7.31</v>
      </c>
      <c r="F1391" s="3">
        <v>179.24</v>
      </c>
      <c r="G1391" s="3">
        <v>2.1800000000000002</v>
      </c>
    </row>
    <row r="1392" spans="1:7" x14ac:dyDescent="0.2">
      <c r="A1392" s="2">
        <v>43937</v>
      </c>
      <c r="B1392" s="1">
        <f t="shared" si="42"/>
        <v>43922</v>
      </c>
      <c r="C1392" s="4" t="str">
        <f t="shared" si="43"/>
        <v>2020-04</v>
      </c>
      <c r="D1392" s="3">
        <v>71.67</v>
      </c>
      <c r="E1392" s="3">
        <v>7.37</v>
      </c>
      <c r="F1392" s="3">
        <v>176.25</v>
      </c>
      <c r="G1392" s="3">
        <v>2.16</v>
      </c>
    </row>
    <row r="1393" spans="1:7" x14ac:dyDescent="0.2">
      <c r="A1393" s="2">
        <v>43936</v>
      </c>
      <c r="B1393" s="1">
        <f t="shared" si="42"/>
        <v>43922</v>
      </c>
      <c r="C1393" s="4" t="str">
        <f t="shared" si="43"/>
        <v>2020-04</v>
      </c>
      <c r="D1393" s="3">
        <v>71.11</v>
      </c>
      <c r="E1393" s="3">
        <v>7.02</v>
      </c>
      <c r="F1393" s="3">
        <v>176.97</v>
      </c>
      <c r="G1393" s="3">
        <v>2.16</v>
      </c>
    </row>
    <row r="1394" spans="1:7" x14ac:dyDescent="0.2">
      <c r="A1394" s="2">
        <v>43935</v>
      </c>
      <c r="B1394" s="1">
        <f t="shared" si="42"/>
        <v>43922</v>
      </c>
      <c r="C1394" s="4" t="str">
        <f t="shared" si="43"/>
        <v>2020-04</v>
      </c>
      <c r="D1394" s="3">
        <v>71.760000000000005</v>
      </c>
      <c r="E1394" s="3">
        <v>7.1</v>
      </c>
      <c r="F1394" s="3">
        <v>178.17</v>
      </c>
      <c r="G1394" s="3">
        <v>2.19</v>
      </c>
    </row>
    <row r="1395" spans="1:7" x14ac:dyDescent="0.2">
      <c r="A1395" s="2">
        <v>43934</v>
      </c>
      <c r="B1395" s="1">
        <f t="shared" si="42"/>
        <v>43922</v>
      </c>
      <c r="C1395" s="4" t="str">
        <f t="shared" si="43"/>
        <v>2020-04</v>
      </c>
      <c r="D1395" s="3">
        <v>68.31</v>
      </c>
      <c r="E1395" s="3">
        <v>6.75</v>
      </c>
      <c r="F1395" s="3">
        <v>174.79</v>
      </c>
      <c r="G1395" s="3">
        <v>2.13</v>
      </c>
    </row>
    <row r="1396" spans="1:7" x14ac:dyDescent="0.2">
      <c r="A1396" s="2">
        <v>43930</v>
      </c>
      <c r="B1396" s="1">
        <f t="shared" si="42"/>
        <v>43922</v>
      </c>
      <c r="C1396" s="4" t="str">
        <f t="shared" si="43"/>
        <v>2020-04</v>
      </c>
      <c r="D1396" s="3">
        <v>67</v>
      </c>
      <c r="E1396" s="3">
        <v>6.57</v>
      </c>
      <c r="F1396" s="3">
        <v>175.19</v>
      </c>
      <c r="G1396" s="3">
        <v>2.15</v>
      </c>
    </row>
    <row r="1397" spans="1:7" x14ac:dyDescent="0.2">
      <c r="A1397" s="2">
        <v>43929</v>
      </c>
      <c r="B1397" s="1">
        <f t="shared" si="42"/>
        <v>43922</v>
      </c>
      <c r="C1397" s="4" t="str">
        <f t="shared" si="43"/>
        <v>2020-04</v>
      </c>
      <c r="D1397" s="3">
        <v>66.52</v>
      </c>
      <c r="E1397" s="3">
        <v>6.67</v>
      </c>
      <c r="F1397" s="3">
        <v>174.28</v>
      </c>
      <c r="G1397" s="3">
        <v>2.09</v>
      </c>
    </row>
    <row r="1398" spans="1:7" x14ac:dyDescent="0.2">
      <c r="A1398" s="2">
        <v>43928</v>
      </c>
      <c r="B1398" s="1">
        <f t="shared" si="42"/>
        <v>43922</v>
      </c>
      <c r="C1398" s="4" t="str">
        <f t="shared" si="43"/>
        <v>2020-04</v>
      </c>
      <c r="D1398" s="3">
        <v>64.86</v>
      </c>
      <c r="E1398" s="3">
        <v>6.48</v>
      </c>
      <c r="F1398" s="3">
        <v>168.83</v>
      </c>
      <c r="G1398" s="3">
        <v>2.0299999999999998</v>
      </c>
    </row>
    <row r="1399" spans="1:7" x14ac:dyDescent="0.2">
      <c r="A1399" s="2">
        <v>43927</v>
      </c>
      <c r="B1399" s="1">
        <f t="shared" si="42"/>
        <v>43922</v>
      </c>
      <c r="C1399" s="4" t="str">
        <f t="shared" si="43"/>
        <v>2020-04</v>
      </c>
      <c r="D1399" s="3">
        <v>65.62</v>
      </c>
      <c r="E1399" s="3">
        <v>6.71</v>
      </c>
      <c r="F1399" s="3">
        <v>165.55</v>
      </c>
      <c r="G1399" s="3">
        <v>2.02</v>
      </c>
    </row>
    <row r="1400" spans="1:7" x14ac:dyDescent="0.2">
      <c r="A1400" s="2">
        <v>43924</v>
      </c>
      <c r="B1400" s="1">
        <f t="shared" si="42"/>
        <v>43922</v>
      </c>
      <c r="C1400" s="4" t="str">
        <f t="shared" si="43"/>
        <v>2020-04</v>
      </c>
      <c r="D1400" s="3">
        <v>60.35</v>
      </c>
      <c r="E1400" s="3">
        <v>6.1</v>
      </c>
      <c r="F1400" s="3">
        <v>154.18</v>
      </c>
      <c r="G1400" s="3">
        <v>2.02</v>
      </c>
    </row>
    <row r="1401" spans="1:7" x14ac:dyDescent="0.2">
      <c r="A1401" s="2">
        <v>43923</v>
      </c>
      <c r="B1401" s="1">
        <f t="shared" si="42"/>
        <v>43922</v>
      </c>
      <c r="C1401" s="4" t="str">
        <f t="shared" si="43"/>
        <v>2020-04</v>
      </c>
      <c r="D1401" s="3">
        <v>61.23</v>
      </c>
      <c r="E1401" s="3">
        <v>6.39</v>
      </c>
      <c r="F1401" s="3">
        <v>158.19</v>
      </c>
      <c r="G1401" s="3">
        <v>2.09</v>
      </c>
    </row>
    <row r="1402" spans="1:7" x14ac:dyDescent="0.2">
      <c r="A1402" s="2">
        <v>43922</v>
      </c>
      <c r="B1402" s="1">
        <f t="shared" si="42"/>
        <v>43922</v>
      </c>
      <c r="C1402" s="4" t="str">
        <f t="shared" si="43"/>
        <v>2020-04</v>
      </c>
      <c r="D1402" s="3">
        <v>60.23</v>
      </c>
      <c r="E1402" s="3">
        <v>6.08</v>
      </c>
      <c r="F1402" s="3">
        <v>159.6</v>
      </c>
      <c r="G1402" s="3">
        <v>2.0499999999999998</v>
      </c>
    </row>
    <row r="1403" spans="1:7" x14ac:dyDescent="0.2">
      <c r="A1403" s="2">
        <v>43921</v>
      </c>
      <c r="B1403" s="1">
        <f t="shared" si="42"/>
        <v>43891</v>
      </c>
      <c r="C1403" s="4" t="str">
        <f t="shared" si="43"/>
        <v>2020-03</v>
      </c>
      <c r="D1403" s="3">
        <v>63.57</v>
      </c>
      <c r="E1403" s="3">
        <v>6.59</v>
      </c>
      <c r="F1403" s="3">
        <v>166.8</v>
      </c>
      <c r="G1403" s="3">
        <v>2.13</v>
      </c>
    </row>
    <row r="1404" spans="1:7" x14ac:dyDescent="0.2">
      <c r="A1404" s="2">
        <v>43920</v>
      </c>
      <c r="B1404" s="1">
        <f t="shared" si="42"/>
        <v>43891</v>
      </c>
      <c r="C1404" s="4" t="str">
        <f t="shared" si="43"/>
        <v>2020-03</v>
      </c>
      <c r="D1404" s="3">
        <v>63.7</v>
      </c>
      <c r="E1404" s="3">
        <v>6.64</v>
      </c>
      <c r="F1404" s="3">
        <v>165.95</v>
      </c>
      <c r="G1404" s="3">
        <v>2.09</v>
      </c>
    </row>
    <row r="1405" spans="1:7" x14ac:dyDescent="0.2">
      <c r="A1405" s="2">
        <v>43917</v>
      </c>
      <c r="B1405" s="1">
        <f t="shared" si="42"/>
        <v>43891</v>
      </c>
      <c r="C1405" s="4" t="str">
        <f t="shared" si="43"/>
        <v>2020-03</v>
      </c>
      <c r="D1405" s="3">
        <v>61.94</v>
      </c>
      <c r="E1405" s="3">
        <v>6.32</v>
      </c>
      <c r="F1405" s="3">
        <v>156.79</v>
      </c>
      <c r="G1405" s="3">
        <v>2.04</v>
      </c>
    </row>
    <row r="1406" spans="1:7" x14ac:dyDescent="0.2">
      <c r="A1406" s="2">
        <v>43916</v>
      </c>
      <c r="B1406" s="1">
        <f t="shared" si="42"/>
        <v>43891</v>
      </c>
      <c r="C1406" s="4" t="str">
        <f t="shared" si="43"/>
        <v>2020-03</v>
      </c>
      <c r="D1406" s="3">
        <v>64.61</v>
      </c>
      <c r="E1406" s="3">
        <v>6.43</v>
      </c>
      <c r="F1406" s="3">
        <v>163.34</v>
      </c>
      <c r="G1406" s="3">
        <v>2.17</v>
      </c>
    </row>
    <row r="1407" spans="1:7" x14ac:dyDescent="0.2">
      <c r="A1407" s="2">
        <v>43915</v>
      </c>
      <c r="B1407" s="1">
        <f t="shared" si="42"/>
        <v>43891</v>
      </c>
      <c r="C1407" s="4" t="str">
        <f t="shared" si="43"/>
        <v>2020-03</v>
      </c>
      <c r="D1407" s="3">
        <v>61.38</v>
      </c>
      <c r="E1407" s="3">
        <v>6.14</v>
      </c>
      <c r="F1407" s="3">
        <v>156.21</v>
      </c>
      <c r="G1407" s="3">
        <v>2.0699999999999998</v>
      </c>
    </row>
    <row r="1408" spans="1:7" x14ac:dyDescent="0.2">
      <c r="A1408" s="2">
        <v>43914</v>
      </c>
      <c r="B1408" s="1">
        <f t="shared" si="42"/>
        <v>43891</v>
      </c>
      <c r="C1408" s="4" t="str">
        <f t="shared" si="43"/>
        <v>2020-03</v>
      </c>
      <c r="D1408" s="3">
        <v>61.72</v>
      </c>
      <c r="E1408" s="3">
        <v>6.23</v>
      </c>
      <c r="F1408" s="3">
        <v>160.97999999999999</v>
      </c>
      <c r="G1408" s="3">
        <v>1.88</v>
      </c>
    </row>
    <row r="1409" spans="1:7" x14ac:dyDescent="0.2">
      <c r="A1409" s="2">
        <v>43913</v>
      </c>
      <c r="B1409" s="1">
        <f t="shared" si="42"/>
        <v>43891</v>
      </c>
      <c r="C1409" s="4" t="str">
        <f t="shared" si="43"/>
        <v>2020-03</v>
      </c>
      <c r="D1409" s="3">
        <v>56.09</v>
      </c>
      <c r="E1409" s="3">
        <v>5.32</v>
      </c>
      <c r="F1409" s="3">
        <v>148.1</v>
      </c>
      <c r="G1409" s="3">
        <v>1.68</v>
      </c>
    </row>
    <row r="1410" spans="1:7" x14ac:dyDescent="0.2">
      <c r="A1410" s="2">
        <v>43910</v>
      </c>
      <c r="B1410" s="1">
        <f t="shared" si="42"/>
        <v>43891</v>
      </c>
      <c r="C1410" s="4" t="str">
        <f t="shared" si="43"/>
        <v>2020-03</v>
      </c>
      <c r="D1410" s="3">
        <v>57.31</v>
      </c>
      <c r="E1410" s="3">
        <v>5.14</v>
      </c>
      <c r="F1410" s="3">
        <v>149.72999999999999</v>
      </c>
      <c r="G1410" s="3">
        <v>1.69</v>
      </c>
    </row>
    <row r="1411" spans="1:7" x14ac:dyDescent="0.2">
      <c r="A1411" s="2">
        <v>43909</v>
      </c>
      <c r="B1411" s="1">
        <f t="shared" ref="B1411:B1474" si="44">EOMONTH(A1411, -1)+1</f>
        <v>43891</v>
      </c>
      <c r="C1411" s="4" t="str">
        <f t="shared" ref="C1411:C1474" si="45">TEXT(A1411, "yyyy-mm")</f>
        <v>2020-03</v>
      </c>
      <c r="D1411" s="3">
        <v>61.2</v>
      </c>
      <c r="E1411" s="3">
        <v>5.32</v>
      </c>
      <c r="F1411" s="3">
        <v>153.13</v>
      </c>
      <c r="G1411" s="3">
        <v>1.61</v>
      </c>
    </row>
    <row r="1412" spans="1:7" x14ac:dyDescent="0.2">
      <c r="A1412" s="2">
        <v>43908</v>
      </c>
      <c r="B1412" s="1">
        <f t="shared" si="44"/>
        <v>43891</v>
      </c>
      <c r="C1412" s="4" t="str">
        <f t="shared" si="45"/>
        <v>2020-03</v>
      </c>
      <c r="D1412" s="3">
        <v>61.67</v>
      </c>
      <c r="E1412" s="3">
        <v>5.07</v>
      </c>
      <c r="F1412" s="3">
        <v>146.96</v>
      </c>
      <c r="G1412" s="3">
        <v>1.6</v>
      </c>
    </row>
    <row r="1413" spans="1:7" x14ac:dyDescent="0.2">
      <c r="A1413" s="2">
        <v>43907</v>
      </c>
      <c r="B1413" s="1">
        <f t="shared" si="44"/>
        <v>43891</v>
      </c>
      <c r="C1413" s="4" t="str">
        <f t="shared" si="45"/>
        <v>2020-03</v>
      </c>
      <c r="D1413" s="3">
        <v>63.22</v>
      </c>
      <c r="E1413" s="3">
        <v>5.43</v>
      </c>
      <c r="F1413" s="3">
        <v>149.41999999999999</v>
      </c>
      <c r="G1413" s="3">
        <v>1.91</v>
      </c>
    </row>
    <row r="1414" spans="1:7" x14ac:dyDescent="0.2">
      <c r="A1414" s="2">
        <v>43906</v>
      </c>
      <c r="B1414" s="1">
        <f t="shared" si="44"/>
        <v>43891</v>
      </c>
      <c r="C1414" s="4" t="str">
        <f t="shared" si="45"/>
        <v>2020-03</v>
      </c>
      <c r="D1414" s="3">
        <v>60.55</v>
      </c>
      <c r="E1414" s="3">
        <v>4.91</v>
      </c>
      <c r="F1414" s="3">
        <v>146.01</v>
      </c>
      <c r="G1414" s="3">
        <v>1.74</v>
      </c>
    </row>
    <row r="1415" spans="1:7" x14ac:dyDescent="0.2">
      <c r="A1415" s="2">
        <v>43903</v>
      </c>
      <c r="B1415" s="1">
        <f t="shared" si="44"/>
        <v>43891</v>
      </c>
      <c r="C1415" s="4" t="str">
        <f t="shared" si="45"/>
        <v>2020-03</v>
      </c>
      <c r="D1415" s="3">
        <v>69.489999999999995</v>
      </c>
      <c r="E1415" s="3">
        <v>6.02</v>
      </c>
      <c r="F1415" s="3">
        <v>170.28</v>
      </c>
      <c r="G1415" s="3">
        <v>2.29</v>
      </c>
    </row>
    <row r="1416" spans="1:7" x14ac:dyDescent="0.2">
      <c r="A1416" s="2">
        <v>43902</v>
      </c>
      <c r="B1416" s="1">
        <f t="shared" si="44"/>
        <v>43891</v>
      </c>
      <c r="C1416" s="4" t="str">
        <f t="shared" si="45"/>
        <v>2020-03</v>
      </c>
      <c r="D1416" s="3">
        <v>62.06</v>
      </c>
      <c r="E1416" s="3">
        <v>5.41</v>
      </c>
      <c r="F1416" s="3">
        <v>154.47</v>
      </c>
      <c r="G1416" s="3">
        <v>2.2200000000000002</v>
      </c>
    </row>
    <row r="1417" spans="1:7" x14ac:dyDescent="0.2">
      <c r="A1417" s="2">
        <v>43901</v>
      </c>
      <c r="B1417" s="1">
        <f t="shared" si="44"/>
        <v>43891</v>
      </c>
      <c r="C1417" s="4" t="str">
        <f t="shared" si="45"/>
        <v>2020-03</v>
      </c>
      <c r="D1417" s="3">
        <v>68.86</v>
      </c>
      <c r="E1417" s="3">
        <v>6.16</v>
      </c>
      <c r="F1417" s="3">
        <v>170.24</v>
      </c>
      <c r="G1417" s="3">
        <v>2.42</v>
      </c>
    </row>
    <row r="1418" spans="1:7" x14ac:dyDescent="0.2">
      <c r="A1418" s="2">
        <v>43900</v>
      </c>
      <c r="B1418" s="1">
        <f t="shared" si="44"/>
        <v>43891</v>
      </c>
      <c r="C1418" s="4" t="str">
        <f t="shared" si="45"/>
        <v>2020-03</v>
      </c>
      <c r="D1418" s="3">
        <v>71.34</v>
      </c>
      <c r="E1418" s="3">
        <v>6.53</v>
      </c>
      <c r="F1418" s="3">
        <v>178.19</v>
      </c>
      <c r="G1418" s="3">
        <v>2.44</v>
      </c>
    </row>
    <row r="1419" spans="1:7" x14ac:dyDescent="0.2">
      <c r="A1419" s="2">
        <v>43899</v>
      </c>
      <c r="B1419" s="1">
        <f t="shared" si="44"/>
        <v>43891</v>
      </c>
      <c r="C1419" s="4" t="str">
        <f t="shared" si="45"/>
        <v>2020-03</v>
      </c>
      <c r="D1419" s="3">
        <v>66.540000000000006</v>
      </c>
      <c r="E1419" s="3">
        <v>6.14</v>
      </c>
      <c r="F1419" s="3">
        <v>169.5</v>
      </c>
      <c r="G1419" s="3">
        <v>2.2999999999999998</v>
      </c>
    </row>
    <row r="1420" spans="1:7" x14ac:dyDescent="0.2">
      <c r="A1420" s="2">
        <v>43896</v>
      </c>
      <c r="B1420" s="1">
        <f t="shared" si="44"/>
        <v>43891</v>
      </c>
      <c r="C1420" s="4" t="str">
        <f t="shared" si="45"/>
        <v>2020-03</v>
      </c>
      <c r="D1420" s="3">
        <v>72.260000000000005</v>
      </c>
      <c r="E1420" s="3">
        <v>6.65</v>
      </c>
      <c r="F1420" s="3">
        <v>181.09</v>
      </c>
      <c r="G1420" s="3">
        <v>2.5299999999999998</v>
      </c>
    </row>
    <row r="1421" spans="1:7" x14ac:dyDescent="0.2">
      <c r="A1421" s="2">
        <v>43895</v>
      </c>
      <c r="B1421" s="1">
        <f t="shared" si="44"/>
        <v>43891</v>
      </c>
      <c r="C1421" s="4" t="str">
        <f t="shared" si="45"/>
        <v>2020-03</v>
      </c>
      <c r="D1421" s="3">
        <v>73.23</v>
      </c>
      <c r="E1421" s="3">
        <v>6.83</v>
      </c>
      <c r="F1421" s="3">
        <v>185.17</v>
      </c>
      <c r="G1421" s="3">
        <v>2.59</v>
      </c>
    </row>
    <row r="1422" spans="1:7" x14ac:dyDescent="0.2">
      <c r="A1422" s="2">
        <v>43894</v>
      </c>
      <c r="B1422" s="1">
        <f t="shared" si="44"/>
        <v>43891</v>
      </c>
      <c r="C1422" s="4" t="str">
        <f t="shared" si="45"/>
        <v>2020-03</v>
      </c>
      <c r="D1422" s="3">
        <v>75.69</v>
      </c>
      <c r="E1422" s="3">
        <v>7.11</v>
      </c>
      <c r="F1422" s="3">
        <v>191.76</v>
      </c>
      <c r="G1422" s="3">
        <v>2.67</v>
      </c>
    </row>
    <row r="1423" spans="1:7" x14ac:dyDescent="0.2">
      <c r="A1423" s="2">
        <v>43893</v>
      </c>
      <c r="B1423" s="1">
        <f t="shared" si="44"/>
        <v>43891</v>
      </c>
      <c r="C1423" s="4" t="str">
        <f t="shared" si="45"/>
        <v>2020-03</v>
      </c>
      <c r="D1423" s="3">
        <v>72.33</v>
      </c>
      <c r="E1423" s="3">
        <v>6.65</v>
      </c>
      <c r="F1423" s="3">
        <v>185.89</v>
      </c>
      <c r="G1423" s="3">
        <v>2.61</v>
      </c>
    </row>
    <row r="1424" spans="1:7" x14ac:dyDescent="0.2">
      <c r="A1424" s="2">
        <v>43892</v>
      </c>
      <c r="B1424" s="1">
        <f t="shared" si="44"/>
        <v>43891</v>
      </c>
      <c r="C1424" s="4" t="str">
        <f t="shared" si="45"/>
        <v>2020-03</v>
      </c>
      <c r="D1424" s="3">
        <v>74.7</v>
      </c>
      <c r="E1424" s="3">
        <v>6.91</v>
      </c>
      <c r="F1424" s="3">
        <v>196.44</v>
      </c>
      <c r="G1424" s="3">
        <v>2.62</v>
      </c>
    </row>
    <row r="1425" spans="1:7" x14ac:dyDescent="0.2">
      <c r="A1425" s="2">
        <v>43889</v>
      </c>
      <c r="B1425" s="1">
        <f t="shared" si="44"/>
        <v>43862</v>
      </c>
      <c r="C1425" s="4" t="str">
        <f t="shared" si="45"/>
        <v>2020-02</v>
      </c>
      <c r="D1425" s="3">
        <v>68.34</v>
      </c>
      <c r="E1425" s="3">
        <v>6.75</v>
      </c>
      <c r="F1425" s="3">
        <v>192.47</v>
      </c>
      <c r="G1425" s="3">
        <v>2.54</v>
      </c>
    </row>
    <row r="1426" spans="1:7" x14ac:dyDescent="0.2">
      <c r="A1426" s="2">
        <v>43888</v>
      </c>
      <c r="B1426" s="1">
        <f t="shared" si="44"/>
        <v>43862</v>
      </c>
      <c r="C1426" s="4" t="str">
        <f t="shared" si="45"/>
        <v>2020-02</v>
      </c>
      <c r="D1426" s="3">
        <v>68.38</v>
      </c>
      <c r="E1426" s="3">
        <v>6.32</v>
      </c>
      <c r="F1426" s="3">
        <v>189.75</v>
      </c>
      <c r="G1426" s="3">
        <v>2.58</v>
      </c>
    </row>
    <row r="1427" spans="1:7" x14ac:dyDescent="0.2">
      <c r="A1427" s="2">
        <v>43887</v>
      </c>
      <c r="B1427" s="1">
        <f t="shared" si="44"/>
        <v>43862</v>
      </c>
      <c r="C1427" s="4" t="str">
        <f t="shared" si="45"/>
        <v>2020-02</v>
      </c>
      <c r="D1427" s="3">
        <v>73.16</v>
      </c>
      <c r="E1427" s="3">
        <v>6.69</v>
      </c>
      <c r="F1427" s="3">
        <v>197.2</v>
      </c>
      <c r="G1427" s="3">
        <v>2.65</v>
      </c>
    </row>
    <row r="1428" spans="1:7" x14ac:dyDescent="0.2">
      <c r="A1428" s="2">
        <v>43886</v>
      </c>
      <c r="B1428" s="1">
        <f t="shared" si="44"/>
        <v>43862</v>
      </c>
      <c r="C1428" s="4" t="str">
        <f t="shared" si="45"/>
        <v>2020-02</v>
      </c>
      <c r="D1428" s="3">
        <v>72.02</v>
      </c>
      <c r="E1428" s="3">
        <v>6.55</v>
      </c>
      <c r="F1428" s="3">
        <v>196.77</v>
      </c>
      <c r="G1428" s="3">
        <v>2.64</v>
      </c>
    </row>
    <row r="1429" spans="1:7" x14ac:dyDescent="0.2">
      <c r="A1429" s="2">
        <v>43885</v>
      </c>
      <c r="B1429" s="1">
        <f t="shared" si="44"/>
        <v>43862</v>
      </c>
      <c r="C1429" s="4" t="str">
        <f t="shared" si="45"/>
        <v>2020-02</v>
      </c>
      <c r="D1429" s="3">
        <v>74.55</v>
      </c>
      <c r="E1429" s="3">
        <v>6.83</v>
      </c>
      <c r="F1429" s="3">
        <v>200.72</v>
      </c>
      <c r="G1429" s="3">
        <v>2.7</v>
      </c>
    </row>
    <row r="1430" spans="1:7" x14ac:dyDescent="0.2">
      <c r="A1430" s="2">
        <v>43882</v>
      </c>
      <c r="B1430" s="1">
        <f t="shared" si="44"/>
        <v>43862</v>
      </c>
      <c r="C1430" s="4" t="str">
        <f t="shared" si="45"/>
        <v>2020-02</v>
      </c>
      <c r="D1430" s="3">
        <v>78.260000000000005</v>
      </c>
      <c r="E1430" s="3">
        <v>7.35</v>
      </c>
      <c r="F1430" s="3">
        <v>210.18</v>
      </c>
      <c r="G1430" s="3">
        <v>2.77</v>
      </c>
    </row>
    <row r="1431" spans="1:7" x14ac:dyDescent="0.2">
      <c r="A1431" s="2">
        <v>43881</v>
      </c>
      <c r="B1431" s="1">
        <f t="shared" si="44"/>
        <v>43862</v>
      </c>
      <c r="C1431" s="4" t="str">
        <f t="shared" si="45"/>
        <v>2020-02</v>
      </c>
      <c r="D1431" s="3">
        <v>80.08</v>
      </c>
      <c r="E1431" s="3">
        <v>7.72</v>
      </c>
      <c r="F1431" s="3">
        <v>214.58</v>
      </c>
      <c r="G1431" s="3">
        <v>2.79</v>
      </c>
    </row>
    <row r="1432" spans="1:7" x14ac:dyDescent="0.2">
      <c r="A1432" s="2">
        <v>43880</v>
      </c>
      <c r="B1432" s="1">
        <f t="shared" si="44"/>
        <v>43862</v>
      </c>
      <c r="C1432" s="4" t="str">
        <f t="shared" si="45"/>
        <v>2020-02</v>
      </c>
      <c r="D1432" s="3">
        <v>80.91</v>
      </c>
      <c r="E1432" s="3">
        <v>7.87</v>
      </c>
      <c r="F1432" s="3">
        <v>217.49</v>
      </c>
      <c r="G1432" s="3">
        <v>2.76</v>
      </c>
    </row>
    <row r="1433" spans="1:7" x14ac:dyDescent="0.2">
      <c r="A1433" s="2">
        <v>43879</v>
      </c>
      <c r="B1433" s="1">
        <f t="shared" si="44"/>
        <v>43862</v>
      </c>
      <c r="C1433" s="4" t="str">
        <f t="shared" si="45"/>
        <v>2020-02</v>
      </c>
      <c r="D1433" s="3">
        <v>79.75</v>
      </c>
      <c r="E1433" s="3">
        <v>7.41</v>
      </c>
      <c r="F1433" s="3">
        <v>217.8</v>
      </c>
      <c r="G1433" s="3">
        <v>2.75</v>
      </c>
    </row>
    <row r="1434" spans="1:7" x14ac:dyDescent="0.2">
      <c r="A1434" s="2">
        <v>43875</v>
      </c>
      <c r="B1434" s="1">
        <f t="shared" si="44"/>
        <v>43862</v>
      </c>
      <c r="C1434" s="4" t="str">
        <f t="shared" si="45"/>
        <v>2020-02</v>
      </c>
      <c r="D1434" s="3">
        <v>81.239999999999995</v>
      </c>
      <c r="E1434" s="3">
        <v>7.24</v>
      </c>
      <c r="F1434" s="3">
        <v>214.18</v>
      </c>
      <c r="G1434" s="3">
        <v>2.8</v>
      </c>
    </row>
    <row r="1435" spans="1:7" x14ac:dyDescent="0.2">
      <c r="A1435" s="2">
        <v>43874</v>
      </c>
      <c r="B1435" s="1">
        <f t="shared" si="44"/>
        <v>43862</v>
      </c>
      <c r="C1435" s="4" t="str">
        <f t="shared" si="45"/>
        <v>2020-02</v>
      </c>
      <c r="D1435" s="3">
        <v>81.22</v>
      </c>
      <c r="E1435" s="3">
        <v>6.77</v>
      </c>
      <c r="F1435" s="3">
        <v>213.14</v>
      </c>
      <c r="G1435" s="3">
        <v>2.87</v>
      </c>
    </row>
    <row r="1436" spans="1:7" x14ac:dyDescent="0.2">
      <c r="A1436" s="2">
        <v>43873</v>
      </c>
      <c r="B1436" s="1">
        <f t="shared" si="44"/>
        <v>43862</v>
      </c>
      <c r="C1436" s="4" t="str">
        <f t="shared" si="45"/>
        <v>2020-02</v>
      </c>
      <c r="D1436" s="3">
        <v>81.8</v>
      </c>
      <c r="E1436" s="3">
        <v>6.81</v>
      </c>
      <c r="F1436" s="3">
        <v>210.76</v>
      </c>
      <c r="G1436" s="3">
        <v>2.9</v>
      </c>
    </row>
    <row r="1437" spans="1:7" x14ac:dyDescent="0.2">
      <c r="A1437" s="2">
        <v>43872</v>
      </c>
      <c r="B1437" s="1">
        <f t="shared" si="44"/>
        <v>43862</v>
      </c>
      <c r="C1437" s="4" t="str">
        <f t="shared" si="45"/>
        <v>2020-02</v>
      </c>
      <c r="D1437" s="3">
        <v>79.900000000000006</v>
      </c>
      <c r="E1437" s="3">
        <v>6.7</v>
      </c>
      <c r="F1437" s="3">
        <v>207.19</v>
      </c>
      <c r="G1437" s="3">
        <v>2.9</v>
      </c>
    </row>
    <row r="1438" spans="1:7" x14ac:dyDescent="0.2">
      <c r="A1438" s="2">
        <v>43871</v>
      </c>
      <c r="B1438" s="1">
        <f t="shared" si="44"/>
        <v>43862</v>
      </c>
      <c r="C1438" s="4" t="str">
        <f t="shared" si="45"/>
        <v>2020-02</v>
      </c>
      <c r="D1438" s="3">
        <v>80.39</v>
      </c>
      <c r="E1438" s="3">
        <v>6.57</v>
      </c>
      <c r="F1438" s="3">
        <v>213.06</v>
      </c>
      <c r="G1438" s="3">
        <v>2.91</v>
      </c>
    </row>
    <row r="1439" spans="1:7" x14ac:dyDescent="0.2">
      <c r="A1439" s="2">
        <v>43868</v>
      </c>
      <c r="B1439" s="1">
        <f t="shared" si="44"/>
        <v>43862</v>
      </c>
      <c r="C1439" s="4" t="str">
        <f t="shared" si="45"/>
        <v>2020-02</v>
      </c>
      <c r="D1439" s="3">
        <v>80.010000000000005</v>
      </c>
      <c r="E1439" s="3">
        <v>6.29</v>
      </c>
      <c r="F1439" s="3">
        <v>212.33</v>
      </c>
      <c r="G1439" s="3">
        <v>2.76</v>
      </c>
    </row>
    <row r="1440" spans="1:7" x14ac:dyDescent="0.2">
      <c r="A1440" s="2">
        <v>43867</v>
      </c>
      <c r="B1440" s="1">
        <f t="shared" si="44"/>
        <v>43862</v>
      </c>
      <c r="C1440" s="4" t="str">
        <f t="shared" si="45"/>
        <v>2020-02</v>
      </c>
      <c r="D1440" s="3">
        <v>81.3</v>
      </c>
      <c r="E1440" s="3">
        <v>6.36</v>
      </c>
      <c r="F1440" s="3">
        <v>210.85</v>
      </c>
      <c r="G1440" s="3">
        <v>2.83</v>
      </c>
    </row>
    <row r="1441" spans="1:7" x14ac:dyDescent="0.2">
      <c r="A1441" s="2">
        <v>43866</v>
      </c>
      <c r="B1441" s="1">
        <f t="shared" si="44"/>
        <v>43862</v>
      </c>
      <c r="C1441" s="4" t="str">
        <f t="shared" si="45"/>
        <v>2020-02</v>
      </c>
      <c r="D1441" s="3">
        <v>80.36</v>
      </c>
      <c r="E1441" s="3">
        <v>6.27</v>
      </c>
      <c r="F1441" s="3">
        <v>210.11</v>
      </c>
      <c r="G1441" s="3">
        <v>2.95</v>
      </c>
    </row>
    <row r="1442" spans="1:7" x14ac:dyDescent="0.2">
      <c r="A1442" s="2">
        <v>43865</v>
      </c>
      <c r="B1442" s="1">
        <f t="shared" si="44"/>
        <v>43862</v>
      </c>
      <c r="C1442" s="4" t="str">
        <f t="shared" si="45"/>
        <v>2020-02</v>
      </c>
      <c r="D1442" s="3">
        <v>79.709999999999994</v>
      </c>
      <c r="E1442" s="3">
        <v>6.18</v>
      </c>
      <c r="F1442" s="3">
        <v>209.83</v>
      </c>
      <c r="G1442" s="3">
        <v>2.92</v>
      </c>
    </row>
    <row r="1443" spans="1:7" x14ac:dyDescent="0.2">
      <c r="A1443" s="2">
        <v>43864</v>
      </c>
      <c r="B1443" s="1">
        <f t="shared" si="44"/>
        <v>43862</v>
      </c>
      <c r="C1443" s="4" t="str">
        <f t="shared" si="45"/>
        <v>2020-02</v>
      </c>
      <c r="D1443" s="3">
        <v>77.17</v>
      </c>
      <c r="E1443" s="3">
        <v>6.01</v>
      </c>
      <c r="F1443" s="3">
        <v>204.19</v>
      </c>
      <c r="G1443" s="3">
        <v>2.87</v>
      </c>
    </row>
    <row r="1444" spans="1:7" x14ac:dyDescent="0.2">
      <c r="A1444" s="2">
        <v>43861</v>
      </c>
      <c r="B1444" s="1">
        <f t="shared" si="44"/>
        <v>43831</v>
      </c>
      <c r="C1444" s="4" t="str">
        <f t="shared" si="45"/>
        <v>2020-01</v>
      </c>
      <c r="D1444" s="3">
        <v>77.38</v>
      </c>
      <c r="E1444" s="3">
        <v>5.91</v>
      </c>
      <c r="F1444" s="3">
        <v>201.91</v>
      </c>
      <c r="G1444" s="3">
        <v>2.8</v>
      </c>
    </row>
    <row r="1445" spans="1:7" x14ac:dyDescent="0.2">
      <c r="A1445" s="2">
        <v>43860</v>
      </c>
      <c r="B1445" s="1">
        <f t="shared" si="44"/>
        <v>43831</v>
      </c>
      <c r="C1445" s="4" t="str">
        <f t="shared" si="45"/>
        <v>2020-01</v>
      </c>
      <c r="D1445" s="3">
        <v>80.97</v>
      </c>
      <c r="E1445" s="3">
        <v>6.15</v>
      </c>
      <c r="F1445" s="3">
        <v>209.53</v>
      </c>
      <c r="G1445" s="3">
        <v>2.88</v>
      </c>
    </row>
    <row r="1446" spans="1:7" x14ac:dyDescent="0.2">
      <c r="A1446" s="2">
        <v>43859</v>
      </c>
      <c r="B1446" s="1">
        <f t="shared" si="44"/>
        <v>43831</v>
      </c>
      <c r="C1446" s="4" t="str">
        <f t="shared" si="45"/>
        <v>2020-01</v>
      </c>
      <c r="D1446" s="3">
        <v>81.09</v>
      </c>
      <c r="E1446" s="3">
        <v>6.14</v>
      </c>
      <c r="F1446" s="3">
        <v>223.23</v>
      </c>
      <c r="G1446" s="3">
        <v>2.88</v>
      </c>
    </row>
    <row r="1447" spans="1:7" x14ac:dyDescent="0.2">
      <c r="A1447" s="2">
        <v>43858</v>
      </c>
      <c r="B1447" s="1">
        <f t="shared" si="44"/>
        <v>43831</v>
      </c>
      <c r="C1447" s="4" t="str">
        <f t="shared" si="45"/>
        <v>2020-01</v>
      </c>
      <c r="D1447" s="3">
        <v>79.42</v>
      </c>
      <c r="E1447" s="3">
        <v>6.2</v>
      </c>
      <c r="F1447" s="3">
        <v>217.79</v>
      </c>
      <c r="G1447" s="3">
        <v>2.88</v>
      </c>
    </row>
    <row r="1448" spans="1:7" x14ac:dyDescent="0.2">
      <c r="A1448" s="2">
        <v>43857</v>
      </c>
      <c r="B1448" s="1">
        <f t="shared" si="44"/>
        <v>43831</v>
      </c>
      <c r="C1448" s="4" t="str">
        <f t="shared" si="45"/>
        <v>2020-01</v>
      </c>
      <c r="D1448" s="3">
        <v>77.239999999999995</v>
      </c>
      <c r="E1448" s="3">
        <v>6.01</v>
      </c>
      <c r="F1448" s="3">
        <v>214.87</v>
      </c>
      <c r="G1448" s="3">
        <v>2.87</v>
      </c>
    </row>
    <row r="1449" spans="1:7" x14ac:dyDescent="0.2">
      <c r="A1449" s="2">
        <v>43854</v>
      </c>
      <c r="B1449" s="1">
        <f t="shared" si="44"/>
        <v>43831</v>
      </c>
      <c r="C1449" s="4" t="str">
        <f t="shared" si="45"/>
        <v>2020-01</v>
      </c>
      <c r="D1449" s="3">
        <v>79.58</v>
      </c>
      <c r="E1449" s="3">
        <v>6.26</v>
      </c>
      <c r="F1449" s="3">
        <v>217.94</v>
      </c>
      <c r="G1449" s="3">
        <v>2.89</v>
      </c>
    </row>
    <row r="1450" spans="1:7" x14ac:dyDescent="0.2">
      <c r="A1450" s="2">
        <v>43853</v>
      </c>
      <c r="B1450" s="1">
        <f t="shared" si="44"/>
        <v>43831</v>
      </c>
      <c r="C1450" s="4" t="str">
        <f t="shared" si="45"/>
        <v>2020-01</v>
      </c>
      <c r="D1450" s="3">
        <v>79.81</v>
      </c>
      <c r="E1450" s="3">
        <v>6.32</v>
      </c>
      <c r="F1450" s="3">
        <v>219.76</v>
      </c>
      <c r="G1450" s="3">
        <v>2.88</v>
      </c>
    </row>
    <row r="1451" spans="1:7" x14ac:dyDescent="0.2">
      <c r="A1451" s="2">
        <v>43852</v>
      </c>
      <c r="B1451" s="1">
        <f t="shared" si="44"/>
        <v>43831</v>
      </c>
      <c r="C1451" s="4" t="str">
        <f t="shared" si="45"/>
        <v>2020-01</v>
      </c>
      <c r="D1451" s="3">
        <v>79.430000000000007</v>
      </c>
      <c r="E1451" s="3">
        <v>6.25</v>
      </c>
      <c r="F1451" s="3">
        <v>221.32</v>
      </c>
      <c r="G1451" s="3">
        <v>2.91</v>
      </c>
    </row>
    <row r="1452" spans="1:7" x14ac:dyDescent="0.2">
      <c r="A1452" s="2">
        <v>43851</v>
      </c>
      <c r="B1452" s="1">
        <f t="shared" si="44"/>
        <v>43831</v>
      </c>
      <c r="C1452" s="4" t="str">
        <f t="shared" si="45"/>
        <v>2020-01</v>
      </c>
      <c r="D1452" s="3">
        <v>79.14</v>
      </c>
      <c r="E1452" s="3">
        <v>6.2</v>
      </c>
      <c r="F1452" s="3">
        <v>221.44</v>
      </c>
      <c r="G1452" s="3">
        <v>2.86</v>
      </c>
    </row>
    <row r="1453" spans="1:7" x14ac:dyDescent="0.2">
      <c r="A1453" s="2">
        <v>43847</v>
      </c>
      <c r="B1453" s="1">
        <f t="shared" si="44"/>
        <v>43831</v>
      </c>
      <c r="C1453" s="4" t="str">
        <f t="shared" si="45"/>
        <v>2020-01</v>
      </c>
      <c r="D1453" s="3">
        <v>79.680000000000007</v>
      </c>
      <c r="E1453" s="3">
        <v>6.23</v>
      </c>
      <c r="F1453" s="3">
        <v>222.14</v>
      </c>
      <c r="G1453" s="3">
        <v>2.87</v>
      </c>
    </row>
    <row r="1454" spans="1:7" x14ac:dyDescent="0.2">
      <c r="A1454" s="2">
        <v>43846</v>
      </c>
      <c r="B1454" s="1">
        <f t="shared" si="44"/>
        <v>43831</v>
      </c>
      <c r="C1454" s="4" t="str">
        <f t="shared" si="45"/>
        <v>2020-01</v>
      </c>
      <c r="D1454" s="3">
        <v>78.81</v>
      </c>
      <c r="E1454" s="3">
        <v>6.22</v>
      </c>
      <c r="F1454" s="3">
        <v>221.77</v>
      </c>
      <c r="G1454" s="3">
        <v>2.86</v>
      </c>
    </row>
    <row r="1455" spans="1:7" x14ac:dyDescent="0.2">
      <c r="A1455" s="2">
        <v>43845</v>
      </c>
      <c r="B1455" s="1">
        <f t="shared" si="44"/>
        <v>43831</v>
      </c>
      <c r="C1455" s="4" t="str">
        <f t="shared" si="45"/>
        <v>2020-01</v>
      </c>
      <c r="D1455" s="3">
        <v>77.84</v>
      </c>
      <c r="E1455" s="3">
        <v>6.14</v>
      </c>
      <c r="F1455" s="3">
        <v>221.15</v>
      </c>
      <c r="G1455" s="3">
        <v>2.77</v>
      </c>
    </row>
    <row r="1456" spans="1:7" x14ac:dyDescent="0.2">
      <c r="A1456" s="2">
        <v>43844</v>
      </c>
      <c r="B1456" s="1">
        <f t="shared" si="44"/>
        <v>43831</v>
      </c>
      <c r="C1456" s="4" t="str">
        <f t="shared" si="45"/>
        <v>2020-01</v>
      </c>
      <c r="D1456" s="3">
        <v>78.17</v>
      </c>
      <c r="E1456" s="3">
        <v>6.18</v>
      </c>
      <c r="F1456" s="3">
        <v>219.06</v>
      </c>
      <c r="G1456" s="3">
        <v>2.7</v>
      </c>
    </row>
    <row r="1457" spans="1:7" x14ac:dyDescent="0.2">
      <c r="A1457" s="2">
        <v>43843</v>
      </c>
      <c r="B1457" s="1">
        <f t="shared" si="44"/>
        <v>43831</v>
      </c>
      <c r="C1457" s="4" t="str">
        <f t="shared" si="45"/>
        <v>2020-01</v>
      </c>
      <c r="D1457" s="3">
        <v>79.239999999999995</v>
      </c>
      <c r="E1457" s="3">
        <v>6.3</v>
      </c>
      <c r="F1457" s="3">
        <v>221.91</v>
      </c>
      <c r="G1457" s="3">
        <v>2.85</v>
      </c>
    </row>
    <row r="1458" spans="1:7" x14ac:dyDescent="0.2">
      <c r="A1458" s="2">
        <v>43840</v>
      </c>
      <c r="B1458" s="1">
        <f t="shared" si="44"/>
        <v>43831</v>
      </c>
      <c r="C1458" s="4" t="str">
        <f t="shared" si="45"/>
        <v>2020-01</v>
      </c>
      <c r="D1458" s="3">
        <v>77.58</v>
      </c>
      <c r="E1458" s="3">
        <v>6.11</v>
      </c>
      <c r="F1458" s="3">
        <v>218.06</v>
      </c>
      <c r="G1458" s="3">
        <v>2.61</v>
      </c>
    </row>
    <row r="1459" spans="1:7" x14ac:dyDescent="0.2">
      <c r="A1459" s="2">
        <v>43839</v>
      </c>
      <c r="B1459" s="1">
        <f t="shared" si="44"/>
        <v>43831</v>
      </c>
      <c r="C1459" s="4" t="str">
        <f t="shared" si="45"/>
        <v>2020-01</v>
      </c>
      <c r="D1459" s="3">
        <v>77.41</v>
      </c>
      <c r="E1459" s="3">
        <v>6.08</v>
      </c>
      <c r="F1459" s="3">
        <v>218.3</v>
      </c>
      <c r="G1459" s="3">
        <v>2.3199999999999998</v>
      </c>
    </row>
    <row r="1460" spans="1:7" x14ac:dyDescent="0.2">
      <c r="A1460" s="2">
        <v>43838</v>
      </c>
      <c r="B1460" s="1">
        <f t="shared" si="44"/>
        <v>43831</v>
      </c>
      <c r="C1460" s="4" t="str">
        <f t="shared" si="45"/>
        <v>2020-01</v>
      </c>
      <c r="D1460" s="3">
        <v>75.8</v>
      </c>
      <c r="E1460" s="3">
        <v>6.01</v>
      </c>
      <c r="F1460" s="3">
        <v>215.22</v>
      </c>
      <c r="G1460" s="3">
        <v>2.31</v>
      </c>
    </row>
    <row r="1461" spans="1:7" x14ac:dyDescent="0.2">
      <c r="A1461" s="2">
        <v>43837</v>
      </c>
      <c r="B1461" s="1">
        <f t="shared" si="44"/>
        <v>43831</v>
      </c>
      <c r="C1461" s="4" t="str">
        <f t="shared" si="45"/>
        <v>2020-01</v>
      </c>
      <c r="D1461" s="3">
        <v>74.599999999999994</v>
      </c>
      <c r="E1461" s="3">
        <v>6</v>
      </c>
      <c r="F1461" s="3">
        <v>213.06</v>
      </c>
      <c r="G1461" s="3">
        <v>2.31</v>
      </c>
    </row>
    <row r="1462" spans="1:7" x14ac:dyDescent="0.2">
      <c r="A1462" s="2">
        <v>43836</v>
      </c>
      <c r="B1462" s="1">
        <f t="shared" si="44"/>
        <v>43831</v>
      </c>
      <c r="C1462" s="4" t="str">
        <f t="shared" si="45"/>
        <v>2020-01</v>
      </c>
      <c r="D1462" s="3">
        <v>74.95</v>
      </c>
      <c r="E1462" s="3">
        <v>5.93</v>
      </c>
      <c r="F1462" s="3">
        <v>212.6</v>
      </c>
      <c r="G1462" s="3">
        <v>2.33</v>
      </c>
    </row>
    <row r="1463" spans="1:7" x14ac:dyDescent="0.2">
      <c r="A1463" s="2">
        <v>43833</v>
      </c>
      <c r="B1463" s="1">
        <f t="shared" si="44"/>
        <v>43831</v>
      </c>
      <c r="C1463" s="4" t="str">
        <f t="shared" si="45"/>
        <v>2020-01</v>
      </c>
      <c r="D1463" s="3">
        <v>74.36</v>
      </c>
      <c r="E1463" s="3">
        <v>5.9</v>
      </c>
      <c r="F1463" s="3">
        <v>208.67</v>
      </c>
      <c r="G1463" s="3">
        <v>2.34</v>
      </c>
    </row>
    <row r="1464" spans="1:7" x14ac:dyDescent="0.2">
      <c r="A1464" s="2">
        <v>43832</v>
      </c>
      <c r="B1464" s="1">
        <f t="shared" si="44"/>
        <v>43831</v>
      </c>
      <c r="C1464" s="4" t="str">
        <f t="shared" si="45"/>
        <v>2020-01</v>
      </c>
      <c r="D1464" s="3">
        <v>75.09</v>
      </c>
      <c r="E1464" s="3">
        <v>6</v>
      </c>
      <c r="F1464" s="3">
        <v>209.78</v>
      </c>
      <c r="G1464" s="3">
        <v>2.36</v>
      </c>
    </row>
    <row r="1465" spans="1:7" x14ac:dyDescent="0.2">
      <c r="A1465" s="2">
        <v>43830</v>
      </c>
      <c r="B1465" s="1">
        <f t="shared" si="44"/>
        <v>43800</v>
      </c>
      <c r="C1465" s="4" t="str">
        <f t="shared" si="45"/>
        <v>2019-12</v>
      </c>
      <c r="D1465" s="3">
        <v>73.41</v>
      </c>
      <c r="E1465" s="3">
        <v>5.88</v>
      </c>
      <c r="F1465" s="3">
        <v>205.25</v>
      </c>
      <c r="G1465" s="3">
        <v>2.4</v>
      </c>
    </row>
    <row r="1466" spans="1:7" x14ac:dyDescent="0.2">
      <c r="A1466" s="2">
        <v>43829</v>
      </c>
      <c r="B1466" s="1">
        <f t="shared" si="44"/>
        <v>43800</v>
      </c>
      <c r="C1466" s="4" t="str">
        <f t="shared" si="45"/>
        <v>2019-12</v>
      </c>
      <c r="D1466" s="3">
        <v>72.88</v>
      </c>
      <c r="E1466" s="3">
        <v>5.81</v>
      </c>
      <c r="F1466" s="3">
        <v>204.41</v>
      </c>
      <c r="G1466" s="3">
        <v>2.4</v>
      </c>
    </row>
    <row r="1467" spans="1:7" x14ac:dyDescent="0.2">
      <c r="A1467" s="2">
        <v>43826</v>
      </c>
      <c r="B1467" s="1">
        <f t="shared" si="44"/>
        <v>43800</v>
      </c>
      <c r="C1467" s="4" t="str">
        <f t="shared" si="45"/>
        <v>2019-12</v>
      </c>
      <c r="D1467" s="3">
        <v>72.45</v>
      </c>
      <c r="E1467" s="3">
        <v>5.92</v>
      </c>
      <c r="F1467" s="3">
        <v>208.1</v>
      </c>
      <c r="G1467" s="3">
        <v>2.41</v>
      </c>
    </row>
    <row r="1468" spans="1:7" x14ac:dyDescent="0.2">
      <c r="A1468" s="2">
        <v>43825</v>
      </c>
      <c r="B1468" s="1">
        <f t="shared" si="44"/>
        <v>43800</v>
      </c>
      <c r="C1468" s="4" t="str">
        <f t="shared" si="45"/>
        <v>2019-12</v>
      </c>
      <c r="D1468" s="3">
        <v>72.48</v>
      </c>
      <c r="E1468" s="3">
        <v>5.98</v>
      </c>
      <c r="F1468" s="3">
        <v>207.79</v>
      </c>
      <c r="G1468" s="3">
        <v>2.38</v>
      </c>
    </row>
    <row r="1469" spans="1:7" x14ac:dyDescent="0.2">
      <c r="A1469" s="2">
        <v>43823</v>
      </c>
      <c r="B1469" s="1">
        <f t="shared" si="44"/>
        <v>43800</v>
      </c>
      <c r="C1469" s="4" t="str">
        <f t="shared" si="45"/>
        <v>2019-12</v>
      </c>
      <c r="D1469" s="3">
        <v>71.069999999999993</v>
      </c>
      <c r="E1469" s="3">
        <v>5.97</v>
      </c>
      <c r="F1469" s="3">
        <v>205.12</v>
      </c>
      <c r="G1469" s="3">
        <v>2.39</v>
      </c>
    </row>
    <row r="1470" spans="1:7" x14ac:dyDescent="0.2">
      <c r="A1470" s="2">
        <v>43822</v>
      </c>
      <c r="B1470" s="1">
        <f t="shared" si="44"/>
        <v>43800</v>
      </c>
      <c r="C1470" s="4" t="str">
        <f t="shared" si="45"/>
        <v>2019-12</v>
      </c>
      <c r="D1470" s="3">
        <v>71</v>
      </c>
      <c r="E1470" s="3">
        <v>5.97</v>
      </c>
      <c r="F1470" s="3">
        <v>206.18</v>
      </c>
      <c r="G1470" s="3">
        <v>2.42</v>
      </c>
    </row>
    <row r="1471" spans="1:7" x14ac:dyDescent="0.2">
      <c r="A1471" s="2">
        <v>43819</v>
      </c>
      <c r="B1471" s="1">
        <f t="shared" si="44"/>
        <v>43800</v>
      </c>
      <c r="C1471" s="4" t="str">
        <f t="shared" si="45"/>
        <v>2019-12</v>
      </c>
      <c r="D1471" s="3">
        <v>69.86</v>
      </c>
      <c r="E1471" s="3">
        <v>5.98</v>
      </c>
      <c r="F1471" s="3">
        <v>206.3</v>
      </c>
      <c r="G1471" s="3">
        <v>2.4700000000000002</v>
      </c>
    </row>
    <row r="1472" spans="1:7" x14ac:dyDescent="0.2">
      <c r="A1472" s="2">
        <v>43818</v>
      </c>
      <c r="B1472" s="1">
        <f t="shared" si="44"/>
        <v>43800</v>
      </c>
      <c r="C1472" s="4" t="str">
        <f t="shared" si="45"/>
        <v>2019-12</v>
      </c>
      <c r="D1472" s="3">
        <v>70.010000000000005</v>
      </c>
      <c r="E1472" s="3">
        <v>5.89</v>
      </c>
      <c r="F1472" s="3">
        <v>206.06</v>
      </c>
      <c r="G1472" s="3">
        <v>2.27</v>
      </c>
    </row>
    <row r="1473" spans="1:7" x14ac:dyDescent="0.2">
      <c r="A1473" s="2">
        <v>43817</v>
      </c>
      <c r="B1473" s="1">
        <f t="shared" si="44"/>
        <v>43800</v>
      </c>
      <c r="C1473" s="4" t="str">
        <f t="shared" si="45"/>
        <v>2019-12</v>
      </c>
      <c r="D1473" s="3">
        <v>69.94</v>
      </c>
      <c r="E1473" s="3">
        <v>5.74</v>
      </c>
      <c r="F1473" s="3">
        <v>202.5</v>
      </c>
      <c r="G1473" s="3">
        <v>2.25</v>
      </c>
    </row>
    <row r="1474" spans="1:7" x14ac:dyDescent="0.2">
      <c r="A1474" s="2">
        <v>43816</v>
      </c>
      <c r="B1474" s="1">
        <f t="shared" si="44"/>
        <v>43800</v>
      </c>
      <c r="C1474" s="4" t="str">
        <f t="shared" si="45"/>
        <v>2019-12</v>
      </c>
      <c r="D1474" s="3">
        <v>70.099999999999994</v>
      </c>
      <c r="E1474" s="3">
        <v>5.71</v>
      </c>
      <c r="F1474" s="3">
        <v>198.39</v>
      </c>
      <c r="G1474" s="3">
        <v>2.25</v>
      </c>
    </row>
    <row r="1475" spans="1:7" x14ac:dyDescent="0.2">
      <c r="A1475" s="2">
        <v>43815</v>
      </c>
      <c r="B1475" s="1">
        <f t="shared" ref="B1475:B1538" si="46">EOMONTH(A1475, -1)+1</f>
        <v>43800</v>
      </c>
      <c r="C1475" s="4" t="str">
        <f t="shared" ref="C1475:C1538" si="47">TEXT(A1475, "yyyy-mm")</f>
        <v>2019-12</v>
      </c>
      <c r="D1475" s="3">
        <v>69.97</v>
      </c>
      <c r="E1475" s="3">
        <v>5.63</v>
      </c>
      <c r="F1475" s="3">
        <v>197.92</v>
      </c>
      <c r="G1475" s="3">
        <v>2.25</v>
      </c>
    </row>
    <row r="1476" spans="1:7" x14ac:dyDescent="0.2">
      <c r="A1476" s="2">
        <v>43812</v>
      </c>
      <c r="B1476" s="1">
        <f t="shared" si="46"/>
        <v>43800</v>
      </c>
      <c r="C1476" s="4" t="str">
        <f t="shared" si="47"/>
        <v>2019-12</v>
      </c>
      <c r="D1476" s="3">
        <v>68.790000000000006</v>
      </c>
      <c r="E1476" s="3">
        <v>5.6</v>
      </c>
      <c r="F1476" s="3">
        <v>194.11</v>
      </c>
      <c r="G1476" s="3">
        <v>2.21</v>
      </c>
    </row>
    <row r="1477" spans="1:7" x14ac:dyDescent="0.2">
      <c r="A1477" s="2">
        <v>43811</v>
      </c>
      <c r="B1477" s="1">
        <f t="shared" si="46"/>
        <v>43800</v>
      </c>
      <c r="C1477" s="4" t="str">
        <f t="shared" si="47"/>
        <v>2019-12</v>
      </c>
      <c r="D1477" s="3">
        <v>67.87</v>
      </c>
      <c r="E1477" s="3">
        <v>5.6</v>
      </c>
      <c r="F1477" s="3">
        <v>196.75</v>
      </c>
      <c r="G1477" s="3">
        <v>2.2000000000000002</v>
      </c>
    </row>
    <row r="1478" spans="1:7" x14ac:dyDescent="0.2">
      <c r="A1478" s="2">
        <v>43810</v>
      </c>
      <c r="B1478" s="1">
        <f t="shared" si="46"/>
        <v>43800</v>
      </c>
      <c r="C1478" s="4" t="str">
        <f t="shared" si="47"/>
        <v>2019-12</v>
      </c>
      <c r="D1478" s="3">
        <v>67.69</v>
      </c>
      <c r="E1478" s="3">
        <v>5.43</v>
      </c>
      <c r="F1478" s="3">
        <v>202.26</v>
      </c>
      <c r="G1478" s="3">
        <v>2.17</v>
      </c>
    </row>
    <row r="1479" spans="1:7" x14ac:dyDescent="0.2">
      <c r="A1479" s="2">
        <v>43809</v>
      </c>
      <c r="B1479" s="1">
        <f t="shared" si="46"/>
        <v>43800</v>
      </c>
      <c r="C1479" s="4" t="str">
        <f t="shared" si="47"/>
        <v>2019-12</v>
      </c>
      <c r="D1479" s="3">
        <v>67.12</v>
      </c>
      <c r="E1479" s="3">
        <v>5.35</v>
      </c>
      <c r="F1479" s="3">
        <v>200.87</v>
      </c>
      <c r="G1479" s="3">
        <v>2.2000000000000002</v>
      </c>
    </row>
    <row r="1480" spans="1:7" x14ac:dyDescent="0.2">
      <c r="A1480" s="2">
        <v>43808</v>
      </c>
      <c r="B1480" s="1">
        <f t="shared" si="46"/>
        <v>43800</v>
      </c>
      <c r="C1480" s="4" t="str">
        <f t="shared" si="47"/>
        <v>2019-12</v>
      </c>
      <c r="D1480" s="3">
        <v>66.73</v>
      </c>
      <c r="E1480" s="3">
        <v>5.3</v>
      </c>
      <c r="F1480" s="3">
        <v>201.34</v>
      </c>
      <c r="G1480" s="3">
        <v>2.2000000000000002</v>
      </c>
    </row>
    <row r="1481" spans="1:7" x14ac:dyDescent="0.2">
      <c r="A1481" s="2">
        <v>43805</v>
      </c>
      <c r="B1481" s="1">
        <f t="shared" si="46"/>
        <v>43800</v>
      </c>
      <c r="C1481" s="4" t="str">
        <f t="shared" si="47"/>
        <v>2019-12</v>
      </c>
      <c r="D1481" s="3">
        <v>67.680000000000007</v>
      </c>
      <c r="E1481" s="3">
        <v>5.3</v>
      </c>
      <c r="F1481" s="3">
        <v>201.05</v>
      </c>
      <c r="G1481" s="3">
        <v>2.16</v>
      </c>
    </row>
    <row r="1482" spans="1:7" x14ac:dyDescent="0.2">
      <c r="A1482" s="2">
        <v>43804</v>
      </c>
      <c r="B1482" s="1">
        <f t="shared" si="46"/>
        <v>43800</v>
      </c>
      <c r="C1482" s="4" t="str">
        <f t="shared" si="47"/>
        <v>2019-12</v>
      </c>
      <c r="D1482" s="3">
        <v>66.400000000000006</v>
      </c>
      <c r="E1482" s="3">
        <v>5.22</v>
      </c>
      <c r="F1482" s="3">
        <v>199.36</v>
      </c>
      <c r="G1482" s="3">
        <v>2.15</v>
      </c>
    </row>
    <row r="1483" spans="1:7" x14ac:dyDescent="0.2">
      <c r="A1483" s="2">
        <v>43803</v>
      </c>
      <c r="B1483" s="1">
        <f t="shared" si="46"/>
        <v>43800</v>
      </c>
      <c r="C1483" s="4" t="str">
        <f t="shared" si="47"/>
        <v>2019-12</v>
      </c>
      <c r="D1483" s="3">
        <v>65.44</v>
      </c>
      <c r="E1483" s="3">
        <v>5.24</v>
      </c>
      <c r="F1483" s="3">
        <v>198.71</v>
      </c>
      <c r="G1483" s="3">
        <v>2.16</v>
      </c>
    </row>
    <row r="1484" spans="1:7" x14ac:dyDescent="0.2">
      <c r="A1484" s="2">
        <v>43802</v>
      </c>
      <c r="B1484" s="1">
        <f t="shared" si="46"/>
        <v>43800</v>
      </c>
      <c r="C1484" s="4" t="str">
        <f t="shared" si="47"/>
        <v>2019-12</v>
      </c>
      <c r="D1484" s="3">
        <v>64.86</v>
      </c>
      <c r="E1484" s="3">
        <v>5.19</v>
      </c>
      <c r="F1484" s="3">
        <v>198.82</v>
      </c>
      <c r="G1484" s="3">
        <v>2.16</v>
      </c>
    </row>
    <row r="1485" spans="1:7" x14ac:dyDescent="0.2">
      <c r="A1485" s="2">
        <v>43801</v>
      </c>
      <c r="B1485" s="1">
        <f t="shared" si="46"/>
        <v>43800</v>
      </c>
      <c r="C1485" s="4" t="str">
        <f t="shared" si="47"/>
        <v>2019-12</v>
      </c>
      <c r="D1485" s="3">
        <v>66.040000000000006</v>
      </c>
      <c r="E1485" s="3">
        <v>5.23</v>
      </c>
      <c r="F1485" s="3">
        <v>199.7</v>
      </c>
      <c r="G1485" s="3">
        <v>2.15</v>
      </c>
    </row>
    <row r="1486" spans="1:7" x14ac:dyDescent="0.2">
      <c r="A1486" s="2">
        <v>43798</v>
      </c>
      <c r="B1486" s="1">
        <f t="shared" si="46"/>
        <v>43770</v>
      </c>
      <c r="C1486" s="4" t="str">
        <f t="shared" si="47"/>
        <v>2019-11</v>
      </c>
      <c r="D1486" s="3">
        <v>66.81</v>
      </c>
      <c r="E1486" s="3">
        <v>5.42</v>
      </c>
      <c r="F1486" s="3">
        <v>201.64</v>
      </c>
      <c r="G1486" s="3">
        <v>2.13</v>
      </c>
    </row>
    <row r="1487" spans="1:7" x14ac:dyDescent="0.2">
      <c r="A1487" s="2">
        <v>43796</v>
      </c>
      <c r="B1487" s="1">
        <f t="shared" si="46"/>
        <v>43770</v>
      </c>
      <c r="C1487" s="4" t="str">
        <f t="shared" si="47"/>
        <v>2019-11</v>
      </c>
      <c r="D1487" s="3">
        <v>66.959999999999994</v>
      </c>
      <c r="E1487" s="3">
        <v>5.46</v>
      </c>
      <c r="F1487" s="3">
        <v>202</v>
      </c>
      <c r="G1487" s="3">
        <v>2.15</v>
      </c>
    </row>
    <row r="1488" spans="1:7" x14ac:dyDescent="0.2">
      <c r="A1488" s="2">
        <v>43795</v>
      </c>
      <c r="B1488" s="1">
        <f t="shared" si="46"/>
        <v>43770</v>
      </c>
      <c r="C1488" s="4" t="str">
        <f t="shared" si="47"/>
        <v>2019-11</v>
      </c>
      <c r="D1488" s="3">
        <v>66.069999999999993</v>
      </c>
      <c r="E1488" s="3">
        <v>5.43</v>
      </c>
      <c r="F1488" s="3">
        <v>198.97</v>
      </c>
      <c r="G1488" s="3">
        <v>2.15</v>
      </c>
    </row>
    <row r="1489" spans="1:7" x14ac:dyDescent="0.2">
      <c r="A1489" s="2">
        <v>43794</v>
      </c>
      <c r="B1489" s="1">
        <f t="shared" si="46"/>
        <v>43770</v>
      </c>
      <c r="C1489" s="4" t="str">
        <f t="shared" si="47"/>
        <v>2019-11</v>
      </c>
      <c r="D1489" s="3">
        <v>66.59</v>
      </c>
      <c r="E1489" s="3">
        <v>5.53</v>
      </c>
      <c r="F1489" s="3">
        <v>199.79</v>
      </c>
      <c r="G1489" s="3">
        <v>2.13</v>
      </c>
    </row>
    <row r="1490" spans="1:7" x14ac:dyDescent="0.2">
      <c r="A1490" s="2">
        <v>43791</v>
      </c>
      <c r="B1490" s="1">
        <f t="shared" si="46"/>
        <v>43770</v>
      </c>
      <c r="C1490" s="4" t="str">
        <f t="shared" si="47"/>
        <v>2019-11</v>
      </c>
      <c r="D1490" s="3">
        <v>65.45</v>
      </c>
      <c r="E1490" s="3">
        <v>5.27</v>
      </c>
      <c r="F1490" s="3">
        <v>198.82</v>
      </c>
      <c r="G1490" s="3">
        <v>2.1</v>
      </c>
    </row>
    <row r="1491" spans="1:7" x14ac:dyDescent="0.2">
      <c r="A1491" s="2">
        <v>43790</v>
      </c>
      <c r="B1491" s="1">
        <f t="shared" si="46"/>
        <v>43770</v>
      </c>
      <c r="C1491" s="4" t="str">
        <f t="shared" si="47"/>
        <v>2019-11</v>
      </c>
      <c r="D1491" s="3">
        <v>65.5</v>
      </c>
      <c r="E1491" s="3">
        <v>5.25</v>
      </c>
      <c r="F1491" s="3">
        <v>197.93</v>
      </c>
      <c r="G1491" s="3">
        <v>2.1</v>
      </c>
    </row>
    <row r="1492" spans="1:7" x14ac:dyDescent="0.2">
      <c r="A1492" s="2">
        <v>43789</v>
      </c>
      <c r="B1492" s="1">
        <f t="shared" si="46"/>
        <v>43770</v>
      </c>
      <c r="C1492" s="4" t="str">
        <f t="shared" si="47"/>
        <v>2019-11</v>
      </c>
      <c r="D1492" s="3">
        <v>65.8</v>
      </c>
      <c r="E1492" s="3">
        <v>5.28</v>
      </c>
      <c r="F1492" s="3">
        <v>197.51</v>
      </c>
      <c r="G1492" s="3">
        <v>2.11</v>
      </c>
    </row>
    <row r="1493" spans="1:7" x14ac:dyDescent="0.2">
      <c r="A1493" s="2">
        <v>43788</v>
      </c>
      <c r="B1493" s="1">
        <f t="shared" si="46"/>
        <v>43770</v>
      </c>
      <c r="C1493" s="4" t="str">
        <f t="shared" si="47"/>
        <v>2019-11</v>
      </c>
      <c r="D1493" s="3">
        <v>66.569999999999993</v>
      </c>
      <c r="E1493" s="3">
        <v>5.2</v>
      </c>
      <c r="F1493" s="3">
        <v>199.32</v>
      </c>
      <c r="G1493" s="3">
        <v>2.15</v>
      </c>
    </row>
    <row r="1494" spans="1:7" x14ac:dyDescent="0.2">
      <c r="A1494" s="2">
        <v>43787</v>
      </c>
      <c r="B1494" s="1">
        <f t="shared" si="46"/>
        <v>43770</v>
      </c>
      <c r="C1494" s="4" t="str">
        <f t="shared" si="47"/>
        <v>2019-11</v>
      </c>
      <c r="D1494" s="3">
        <v>66.78</v>
      </c>
      <c r="E1494" s="3">
        <v>5.31</v>
      </c>
      <c r="F1494" s="3">
        <v>197.4</v>
      </c>
      <c r="G1494" s="3">
        <v>2.19</v>
      </c>
    </row>
    <row r="1495" spans="1:7" x14ac:dyDescent="0.2">
      <c r="A1495" s="2">
        <v>43784</v>
      </c>
      <c r="B1495" s="1">
        <f t="shared" si="46"/>
        <v>43770</v>
      </c>
      <c r="C1495" s="4" t="str">
        <f t="shared" si="47"/>
        <v>2019-11</v>
      </c>
      <c r="D1495" s="3">
        <v>66.44</v>
      </c>
      <c r="E1495" s="3">
        <v>5.0999999999999996</v>
      </c>
      <c r="F1495" s="3">
        <v>195.1</v>
      </c>
      <c r="G1495" s="3">
        <v>2.2200000000000002</v>
      </c>
    </row>
    <row r="1496" spans="1:7" x14ac:dyDescent="0.2">
      <c r="A1496" s="2">
        <v>43783</v>
      </c>
      <c r="B1496" s="1">
        <f t="shared" si="46"/>
        <v>43770</v>
      </c>
      <c r="C1496" s="4" t="str">
        <f t="shared" si="47"/>
        <v>2019-11</v>
      </c>
      <c r="D1496" s="3">
        <v>65.66</v>
      </c>
      <c r="E1496" s="3">
        <v>5.24</v>
      </c>
      <c r="F1496" s="3">
        <v>193.15</v>
      </c>
      <c r="G1496" s="3">
        <v>2.16</v>
      </c>
    </row>
    <row r="1497" spans="1:7" x14ac:dyDescent="0.2">
      <c r="A1497" s="2">
        <v>43782</v>
      </c>
      <c r="B1497" s="1">
        <f t="shared" si="46"/>
        <v>43770</v>
      </c>
      <c r="C1497" s="4" t="str">
        <f t="shared" si="47"/>
        <v>2019-11</v>
      </c>
      <c r="D1497" s="3">
        <v>66.12</v>
      </c>
      <c r="E1497" s="3">
        <v>5.21</v>
      </c>
      <c r="F1497" s="3">
        <v>193.19</v>
      </c>
      <c r="G1497" s="3">
        <v>2.15</v>
      </c>
    </row>
    <row r="1498" spans="1:7" x14ac:dyDescent="0.2">
      <c r="A1498" s="2">
        <v>43781</v>
      </c>
      <c r="B1498" s="1">
        <f t="shared" si="46"/>
        <v>43770</v>
      </c>
      <c r="C1498" s="4" t="str">
        <f t="shared" si="47"/>
        <v>2019-11</v>
      </c>
      <c r="D1498" s="3">
        <v>65.489999999999995</v>
      </c>
      <c r="E1498" s="3">
        <v>5.24</v>
      </c>
      <c r="F1498" s="3">
        <v>194.47</v>
      </c>
      <c r="G1498" s="3">
        <v>2.15</v>
      </c>
    </row>
    <row r="1499" spans="1:7" x14ac:dyDescent="0.2">
      <c r="A1499" s="2">
        <v>43780</v>
      </c>
      <c r="B1499" s="1">
        <f t="shared" si="46"/>
        <v>43770</v>
      </c>
      <c r="C1499" s="4" t="str">
        <f t="shared" si="47"/>
        <v>2019-11</v>
      </c>
      <c r="D1499" s="3">
        <v>65.55</v>
      </c>
      <c r="E1499" s="3">
        <v>5.2</v>
      </c>
      <c r="F1499" s="3">
        <v>189.61</v>
      </c>
      <c r="G1499" s="3">
        <v>2.14</v>
      </c>
    </row>
    <row r="1500" spans="1:7" x14ac:dyDescent="0.2">
      <c r="A1500" s="2">
        <v>43777</v>
      </c>
      <c r="B1500" s="1">
        <f t="shared" si="46"/>
        <v>43770</v>
      </c>
      <c r="C1500" s="4" t="str">
        <f t="shared" si="47"/>
        <v>2019-11</v>
      </c>
      <c r="D1500" s="3">
        <v>65.040000000000006</v>
      </c>
      <c r="E1500" s="3">
        <v>5.19</v>
      </c>
      <c r="F1500" s="3">
        <v>190.84</v>
      </c>
      <c r="G1500" s="3">
        <v>2.13</v>
      </c>
    </row>
    <row r="1501" spans="1:7" x14ac:dyDescent="0.2">
      <c r="A1501" s="2">
        <v>43776</v>
      </c>
      <c r="B1501" s="1">
        <f t="shared" si="46"/>
        <v>43770</v>
      </c>
      <c r="C1501" s="4" t="str">
        <f t="shared" si="47"/>
        <v>2019-11</v>
      </c>
      <c r="D1501" s="3">
        <v>64.86</v>
      </c>
      <c r="E1501" s="3">
        <v>5.21</v>
      </c>
      <c r="F1501" s="3">
        <v>190.42</v>
      </c>
      <c r="G1501" s="3">
        <v>2.09</v>
      </c>
    </row>
    <row r="1502" spans="1:7" x14ac:dyDescent="0.2">
      <c r="A1502" s="2">
        <v>43775</v>
      </c>
      <c r="B1502" s="1">
        <f t="shared" si="46"/>
        <v>43770</v>
      </c>
      <c r="C1502" s="4" t="str">
        <f t="shared" si="47"/>
        <v>2019-11</v>
      </c>
      <c r="D1502" s="3">
        <v>64.31</v>
      </c>
      <c r="E1502" s="3">
        <v>5.19</v>
      </c>
      <c r="F1502" s="3">
        <v>191.55</v>
      </c>
      <c r="G1502" s="3">
        <v>2.0699999999999998</v>
      </c>
    </row>
    <row r="1503" spans="1:7" x14ac:dyDescent="0.2">
      <c r="A1503" s="2">
        <v>43774</v>
      </c>
      <c r="B1503" s="1">
        <f t="shared" si="46"/>
        <v>43770</v>
      </c>
      <c r="C1503" s="4" t="str">
        <f t="shared" si="47"/>
        <v>2019-11</v>
      </c>
      <c r="D1503" s="3">
        <v>64.28</v>
      </c>
      <c r="E1503" s="3">
        <v>5.24</v>
      </c>
      <c r="F1503" s="3">
        <v>194.32</v>
      </c>
      <c r="G1503" s="3">
        <v>2.08</v>
      </c>
    </row>
    <row r="1504" spans="1:7" x14ac:dyDescent="0.2">
      <c r="A1504" s="2">
        <v>43773</v>
      </c>
      <c r="B1504" s="1">
        <f t="shared" si="46"/>
        <v>43770</v>
      </c>
      <c r="C1504" s="4" t="str">
        <f t="shared" si="47"/>
        <v>2019-11</v>
      </c>
      <c r="D1504" s="3">
        <v>64.38</v>
      </c>
      <c r="E1504" s="3">
        <v>5.26</v>
      </c>
      <c r="F1504" s="3">
        <v>194.72</v>
      </c>
      <c r="G1504" s="3">
        <v>2.0499999999999998</v>
      </c>
    </row>
    <row r="1505" spans="1:7" x14ac:dyDescent="0.2">
      <c r="A1505" s="2">
        <v>43770</v>
      </c>
      <c r="B1505" s="1">
        <f t="shared" si="46"/>
        <v>43770</v>
      </c>
      <c r="C1505" s="4" t="str">
        <f t="shared" si="47"/>
        <v>2019-11</v>
      </c>
      <c r="D1505" s="3">
        <v>63.96</v>
      </c>
      <c r="E1505" s="3">
        <v>5.0599999999999996</v>
      </c>
      <c r="F1505" s="3">
        <v>193.62</v>
      </c>
      <c r="G1505" s="3">
        <v>2.0499999999999998</v>
      </c>
    </row>
    <row r="1506" spans="1:7" x14ac:dyDescent="0.2">
      <c r="A1506" s="2">
        <v>43769</v>
      </c>
      <c r="B1506" s="1">
        <f t="shared" si="46"/>
        <v>43739</v>
      </c>
      <c r="C1506" s="4" t="str">
        <f t="shared" si="47"/>
        <v>2019-10</v>
      </c>
      <c r="D1506" s="3">
        <v>62.19</v>
      </c>
      <c r="E1506" s="3">
        <v>5.03</v>
      </c>
      <c r="F1506" s="3">
        <v>191.65</v>
      </c>
      <c r="G1506" s="3">
        <v>2.0699999999999998</v>
      </c>
    </row>
    <row r="1507" spans="1:7" x14ac:dyDescent="0.2">
      <c r="A1507" s="2">
        <v>43768</v>
      </c>
      <c r="B1507" s="1">
        <f t="shared" si="46"/>
        <v>43739</v>
      </c>
      <c r="C1507" s="4" t="str">
        <f t="shared" si="47"/>
        <v>2019-10</v>
      </c>
      <c r="D1507" s="3">
        <v>60.82</v>
      </c>
      <c r="E1507" s="3">
        <v>5.08</v>
      </c>
      <c r="F1507" s="3">
        <v>188.25</v>
      </c>
      <c r="G1507" s="3">
        <v>2.04</v>
      </c>
    </row>
    <row r="1508" spans="1:7" x14ac:dyDescent="0.2">
      <c r="A1508" s="2">
        <v>43767</v>
      </c>
      <c r="B1508" s="1">
        <f t="shared" si="46"/>
        <v>43739</v>
      </c>
      <c r="C1508" s="4" t="str">
        <f t="shared" si="47"/>
        <v>2019-10</v>
      </c>
      <c r="D1508" s="3">
        <v>60.82</v>
      </c>
      <c r="E1508" s="3">
        <v>5.07</v>
      </c>
      <c r="F1508" s="3">
        <v>189.31</v>
      </c>
      <c r="G1508" s="3">
        <v>2.1</v>
      </c>
    </row>
    <row r="1509" spans="1:7" x14ac:dyDescent="0.2">
      <c r="A1509" s="2">
        <v>43766</v>
      </c>
      <c r="B1509" s="1">
        <f t="shared" si="46"/>
        <v>43739</v>
      </c>
      <c r="C1509" s="4" t="str">
        <f t="shared" si="47"/>
        <v>2019-10</v>
      </c>
      <c r="D1509" s="3">
        <v>62.26</v>
      </c>
      <c r="E1509" s="3">
        <v>5.17</v>
      </c>
      <c r="F1509" s="3">
        <v>189.4</v>
      </c>
      <c r="G1509" s="3">
        <v>2.12</v>
      </c>
    </row>
    <row r="1510" spans="1:7" x14ac:dyDescent="0.2">
      <c r="A1510" s="2">
        <v>43763</v>
      </c>
      <c r="B1510" s="1">
        <f t="shared" si="46"/>
        <v>43739</v>
      </c>
      <c r="C1510" s="4" t="str">
        <f t="shared" si="47"/>
        <v>2019-10</v>
      </c>
      <c r="D1510" s="3">
        <v>61.65</v>
      </c>
      <c r="E1510" s="3">
        <v>5.1100000000000003</v>
      </c>
      <c r="F1510" s="3">
        <v>187.89</v>
      </c>
      <c r="G1510" s="3">
        <v>2.09</v>
      </c>
    </row>
    <row r="1511" spans="1:7" x14ac:dyDescent="0.2">
      <c r="A1511" s="2">
        <v>43762</v>
      </c>
      <c r="B1511" s="1">
        <f t="shared" si="46"/>
        <v>43739</v>
      </c>
      <c r="C1511" s="4" t="str">
        <f t="shared" si="47"/>
        <v>2019-10</v>
      </c>
      <c r="D1511" s="3">
        <v>60.9</v>
      </c>
      <c r="E1511" s="3">
        <v>4.92</v>
      </c>
      <c r="F1511" s="3">
        <v>186.38</v>
      </c>
      <c r="G1511" s="3">
        <v>2.06</v>
      </c>
    </row>
    <row r="1512" spans="1:7" x14ac:dyDescent="0.2">
      <c r="A1512" s="2">
        <v>43761</v>
      </c>
      <c r="B1512" s="1">
        <f t="shared" si="46"/>
        <v>43739</v>
      </c>
      <c r="C1512" s="4" t="str">
        <f t="shared" si="47"/>
        <v>2019-10</v>
      </c>
      <c r="D1512" s="3">
        <v>60.8</v>
      </c>
      <c r="E1512" s="3">
        <v>4.88</v>
      </c>
      <c r="F1512" s="3">
        <v>186.15</v>
      </c>
      <c r="G1512" s="3">
        <v>2</v>
      </c>
    </row>
    <row r="1513" spans="1:7" x14ac:dyDescent="0.2">
      <c r="A1513" s="2">
        <v>43760</v>
      </c>
      <c r="B1513" s="1">
        <f t="shared" si="46"/>
        <v>43739</v>
      </c>
      <c r="C1513" s="4" t="str">
        <f t="shared" si="47"/>
        <v>2019-10</v>
      </c>
      <c r="D1513" s="3">
        <v>59.99</v>
      </c>
      <c r="E1513" s="3">
        <v>4.8899999999999997</v>
      </c>
      <c r="F1513" s="3">
        <v>182.34</v>
      </c>
      <c r="G1513" s="3">
        <v>1.99</v>
      </c>
    </row>
    <row r="1514" spans="1:7" x14ac:dyDescent="0.2">
      <c r="A1514" s="2">
        <v>43759</v>
      </c>
      <c r="B1514" s="1">
        <f t="shared" si="46"/>
        <v>43739</v>
      </c>
      <c r="C1514" s="4" t="str">
        <f t="shared" si="47"/>
        <v>2019-10</v>
      </c>
      <c r="D1514" s="3">
        <v>60.13</v>
      </c>
      <c r="E1514" s="3">
        <v>4.9000000000000004</v>
      </c>
      <c r="F1514" s="3">
        <v>189.76</v>
      </c>
      <c r="G1514" s="3">
        <v>1.97</v>
      </c>
    </row>
    <row r="1515" spans="1:7" x14ac:dyDescent="0.2">
      <c r="A1515" s="2">
        <v>43756</v>
      </c>
      <c r="B1515" s="1">
        <f t="shared" si="46"/>
        <v>43739</v>
      </c>
      <c r="C1515" s="4" t="str">
        <f t="shared" si="47"/>
        <v>2019-10</v>
      </c>
      <c r="D1515" s="3">
        <v>59.1</v>
      </c>
      <c r="E1515" s="3">
        <v>4.76</v>
      </c>
      <c r="F1515" s="3">
        <v>185.85</v>
      </c>
      <c r="G1515" s="3">
        <v>1.92</v>
      </c>
    </row>
    <row r="1516" spans="1:7" x14ac:dyDescent="0.2">
      <c r="A1516" s="2">
        <v>43755</v>
      </c>
      <c r="B1516" s="1">
        <f t="shared" si="46"/>
        <v>43739</v>
      </c>
      <c r="C1516" s="4" t="str">
        <f t="shared" si="47"/>
        <v>2019-10</v>
      </c>
      <c r="D1516" s="3">
        <v>58.82</v>
      </c>
      <c r="E1516" s="3">
        <v>4.8600000000000003</v>
      </c>
      <c r="F1516" s="3">
        <v>190.39</v>
      </c>
      <c r="G1516" s="3">
        <v>1.96</v>
      </c>
    </row>
    <row r="1517" spans="1:7" x14ac:dyDescent="0.2">
      <c r="A1517" s="2">
        <v>43754</v>
      </c>
      <c r="B1517" s="1">
        <f t="shared" si="46"/>
        <v>43739</v>
      </c>
      <c r="C1517" s="4" t="str">
        <f t="shared" si="47"/>
        <v>2019-10</v>
      </c>
      <c r="D1517" s="3">
        <v>58.59</v>
      </c>
      <c r="E1517" s="3">
        <v>4.8600000000000003</v>
      </c>
      <c r="F1517" s="3">
        <v>189.55</v>
      </c>
      <c r="G1517" s="3">
        <v>1.94</v>
      </c>
    </row>
    <row r="1518" spans="1:7" x14ac:dyDescent="0.2">
      <c r="A1518" s="2">
        <v>43753</v>
      </c>
      <c r="B1518" s="1">
        <f t="shared" si="46"/>
        <v>43739</v>
      </c>
      <c r="C1518" s="4" t="str">
        <f t="shared" si="47"/>
        <v>2019-10</v>
      </c>
      <c r="D1518" s="3">
        <v>58.83</v>
      </c>
      <c r="E1518" s="3">
        <v>4.91</v>
      </c>
      <c r="F1518" s="3">
        <v>188.89</v>
      </c>
      <c r="G1518" s="3">
        <v>1.88</v>
      </c>
    </row>
    <row r="1519" spans="1:7" x14ac:dyDescent="0.2">
      <c r="A1519" s="2">
        <v>43752</v>
      </c>
      <c r="B1519" s="1">
        <f t="shared" si="46"/>
        <v>43739</v>
      </c>
      <c r="C1519" s="4" t="str">
        <f t="shared" si="47"/>
        <v>2019-10</v>
      </c>
      <c r="D1519" s="3">
        <v>58.97</v>
      </c>
      <c r="E1519" s="3">
        <v>4.66</v>
      </c>
      <c r="F1519" s="3">
        <v>183.28</v>
      </c>
      <c r="G1519" s="3">
        <v>1.88</v>
      </c>
    </row>
    <row r="1520" spans="1:7" x14ac:dyDescent="0.2">
      <c r="A1520" s="2">
        <v>43749</v>
      </c>
      <c r="B1520" s="1">
        <f t="shared" si="46"/>
        <v>43739</v>
      </c>
      <c r="C1520" s="4" t="str">
        <f t="shared" si="47"/>
        <v>2019-10</v>
      </c>
      <c r="D1520" s="3">
        <v>59.05</v>
      </c>
      <c r="E1520" s="3">
        <v>4.6500000000000004</v>
      </c>
      <c r="F1520" s="3">
        <v>184.19</v>
      </c>
      <c r="G1520" s="3">
        <v>1.88</v>
      </c>
    </row>
    <row r="1521" spans="1:7" x14ac:dyDescent="0.2">
      <c r="A1521" s="2">
        <v>43748</v>
      </c>
      <c r="B1521" s="1">
        <f t="shared" si="46"/>
        <v>43739</v>
      </c>
      <c r="C1521" s="4" t="str">
        <f t="shared" si="47"/>
        <v>2019-10</v>
      </c>
      <c r="D1521" s="3">
        <v>57.52</v>
      </c>
      <c r="E1521" s="3">
        <v>4.58</v>
      </c>
      <c r="F1521" s="3">
        <v>180.03</v>
      </c>
      <c r="G1521" s="3">
        <v>1.9</v>
      </c>
    </row>
    <row r="1522" spans="1:7" x14ac:dyDescent="0.2">
      <c r="A1522" s="2">
        <v>43747</v>
      </c>
      <c r="B1522" s="1">
        <f t="shared" si="46"/>
        <v>43739</v>
      </c>
      <c r="C1522" s="4" t="str">
        <f t="shared" si="47"/>
        <v>2019-10</v>
      </c>
      <c r="D1522" s="3">
        <v>56.76</v>
      </c>
      <c r="E1522" s="3">
        <v>4.5199999999999996</v>
      </c>
      <c r="F1522" s="3">
        <v>179.85</v>
      </c>
      <c r="G1522" s="3">
        <v>1.9</v>
      </c>
    </row>
    <row r="1523" spans="1:7" x14ac:dyDescent="0.2">
      <c r="A1523" s="2">
        <v>43746</v>
      </c>
      <c r="B1523" s="1">
        <f t="shared" si="46"/>
        <v>43739</v>
      </c>
      <c r="C1523" s="4" t="str">
        <f t="shared" si="47"/>
        <v>2019-10</v>
      </c>
      <c r="D1523" s="3">
        <v>56.1</v>
      </c>
      <c r="E1523" s="3">
        <v>4.43</v>
      </c>
      <c r="F1523" s="3">
        <v>177.75</v>
      </c>
      <c r="G1523" s="3">
        <v>1.9</v>
      </c>
    </row>
    <row r="1524" spans="1:7" x14ac:dyDescent="0.2">
      <c r="A1524" s="2">
        <v>43745</v>
      </c>
      <c r="B1524" s="1">
        <f t="shared" si="46"/>
        <v>43739</v>
      </c>
      <c r="C1524" s="4" t="str">
        <f t="shared" si="47"/>
        <v>2019-10</v>
      </c>
      <c r="D1524" s="3">
        <v>56.77</v>
      </c>
      <c r="E1524" s="3">
        <v>4.6100000000000003</v>
      </c>
      <c r="F1524" s="3">
        <v>179.68</v>
      </c>
      <c r="G1524" s="3">
        <v>1.94</v>
      </c>
    </row>
    <row r="1525" spans="1:7" x14ac:dyDescent="0.2">
      <c r="A1525" s="2">
        <v>43742</v>
      </c>
      <c r="B1525" s="1">
        <f t="shared" si="46"/>
        <v>43739</v>
      </c>
      <c r="C1525" s="4" t="str">
        <f t="shared" si="47"/>
        <v>2019-10</v>
      </c>
      <c r="D1525" s="3">
        <v>56.75</v>
      </c>
      <c r="E1525" s="3">
        <v>4.55</v>
      </c>
      <c r="F1525" s="3">
        <v>180.45</v>
      </c>
      <c r="G1525" s="3">
        <v>1.94</v>
      </c>
    </row>
    <row r="1526" spans="1:7" x14ac:dyDescent="0.2">
      <c r="A1526" s="2">
        <v>43741</v>
      </c>
      <c r="B1526" s="1">
        <f t="shared" si="46"/>
        <v>43739</v>
      </c>
      <c r="C1526" s="4" t="str">
        <f t="shared" si="47"/>
        <v>2019-10</v>
      </c>
      <c r="D1526" s="3">
        <v>55.21</v>
      </c>
      <c r="E1526" s="3">
        <v>4.53</v>
      </c>
      <c r="F1526" s="3">
        <v>179.38</v>
      </c>
      <c r="G1526" s="3">
        <v>1.92</v>
      </c>
    </row>
    <row r="1527" spans="1:7" x14ac:dyDescent="0.2">
      <c r="A1527" s="2">
        <v>43740</v>
      </c>
      <c r="B1527" s="1">
        <f t="shared" si="46"/>
        <v>43739</v>
      </c>
      <c r="C1527" s="4" t="str">
        <f t="shared" si="47"/>
        <v>2019-10</v>
      </c>
      <c r="D1527" s="3">
        <v>54.74</v>
      </c>
      <c r="E1527" s="3">
        <v>4.33</v>
      </c>
      <c r="F1527" s="3">
        <v>174.6</v>
      </c>
      <c r="G1527" s="3">
        <v>1.93</v>
      </c>
    </row>
    <row r="1528" spans="1:7" x14ac:dyDescent="0.2">
      <c r="A1528" s="2">
        <v>43739</v>
      </c>
      <c r="B1528" s="1">
        <f t="shared" si="46"/>
        <v>43739</v>
      </c>
      <c r="C1528" s="4" t="str">
        <f t="shared" si="47"/>
        <v>2019-10</v>
      </c>
      <c r="D1528" s="3">
        <v>56.15</v>
      </c>
      <c r="E1528" s="3">
        <v>4.3499999999999996</v>
      </c>
      <c r="F1528" s="3">
        <v>175.81</v>
      </c>
      <c r="G1528" s="3">
        <v>1.94</v>
      </c>
    </row>
    <row r="1529" spans="1:7" x14ac:dyDescent="0.2">
      <c r="A1529" s="2">
        <v>43738</v>
      </c>
      <c r="B1529" s="1">
        <f t="shared" si="46"/>
        <v>43709</v>
      </c>
      <c r="C1529" s="4" t="str">
        <f t="shared" si="47"/>
        <v>2019-09</v>
      </c>
      <c r="D1529" s="3">
        <v>55.99</v>
      </c>
      <c r="E1529" s="3">
        <v>4.3499999999999996</v>
      </c>
      <c r="F1529" s="3">
        <v>178.08</v>
      </c>
      <c r="G1529" s="3">
        <v>1.92</v>
      </c>
    </row>
    <row r="1530" spans="1:7" x14ac:dyDescent="0.2">
      <c r="A1530" s="2">
        <v>43735</v>
      </c>
      <c r="B1530" s="1">
        <f t="shared" si="46"/>
        <v>43709</v>
      </c>
      <c r="C1530" s="4" t="str">
        <f t="shared" si="47"/>
        <v>2019-09</v>
      </c>
      <c r="D1530" s="3">
        <v>54.71</v>
      </c>
      <c r="E1530" s="3">
        <v>4.29</v>
      </c>
      <c r="F1530" s="3">
        <v>177.1</v>
      </c>
      <c r="G1530" s="3">
        <v>1.91</v>
      </c>
    </row>
    <row r="1531" spans="1:7" x14ac:dyDescent="0.2">
      <c r="A1531" s="2">
        <v>43734</v>
      </c>
      <c r="B1531" s="1">
        <f t="shared" si="46"/>
        <v>43709</v>
      </c>
      <c r="C1531" s="4" t="str">
        <f t="shared" si="47"/>
        <v>2019-09</v>
      </c>
      <c r="D1531" s="3">
        <v>54.97</v>
      </c>
      <c r="E1531" s="3">
        <v>4.43</v>
      </c>
      <c r="F1531" s="3">
        <v>180.11</v>
      </c>
      <c r="G1531" s="3">
        <v>1.88</v>
      </c>
    </row>
    <row r="1532" spans="1:7" x14ac:dyDescent="0.2">
      <c r="A1532" s="2">
        <v>43733</v>
      </c>
      <c r="B1532" s="1">
        <f t="shared" si="46"/>
        <v>43709</v>
      </c>
      <c r="C1532" s="4" t="str">
        <f t="shared" si="47"/>
        <v>2019-09</v>
      </c>
      <c r="D1532" s="3">
        <v>55.26</v>
      </c>
      <c r="E1532" s="3">
        <v>4.46</v>
      </c>
      <c r="F1532" s="3">
        <v>182.8</v>
      </c>
      <c r="G1532" s="3">
        <v>1.93</v>
      </c>
    </row>
    <row r="1533" spans="1:7" x14ac:dyDescent="0.2">
      <c r="A1533" s="2">
        <v>43732</v>
      </c>
      <c r="B1533" s="1">
        <f t="shared" si="46"/>
        <v>43709</v>
      </c>
      <c r="C1533" s="4" t="str">
        <f t="shared" si="47"/>
        <v>2019-09</v>
      </c>
      <c r="D1533" s="3">
        <v>54.42</v>
      </c>
      <c r="E1533" s="3">
        <v>4.3099999999999996</v>
      </c>
      <c r="F1533" s="3">
        <v>181.28</v>
      </c>
      <c r="G1533" s="3">
        <v>1.96</v>
      </c>
    </row>
    <row r="1534" spans="1:7" x14ac:dyDescent="0.2">
      <c r="A1534" s="2">
        <v>43731</v>
      </c>
      <c r="B1534" s="1">
        <f t="shared" si="46"/>
        <v>43709</v>
      </c>
      <c r="C1534" s="4" t="str">
        <f t="shared" si="47"/>
        <v>2019-09</v>
      </c>
      <c r="D1534" s="3">
        <v>54.68</v>
      </c>
      <c r="E1534" s="3">
        <v>4.37</v>
      </c>
      <c r="F1534" s="3">
        <v>186.82</v>
      </c>
      <c r="G1534" s="3">
        <v>1.96</v>
      </c>
    </row>
    <row r="1535" spans="1:7" x14ac:dyDescent="0.2">
      <c r="A1535" s="2">
        <v>43728</v>
      </c>
      <c r="B1535" s="1">
        <f t="shared" si="46"/>
        <v>43709</v>
      </c>
      <c r="C1535" s="4" t="str">
        <f t="shared" si="47"/>
        <v>2019-09</v>
      </c>
      <c r="D1535" s="3">
        <v>54.43</v>
      </c>
      <c r="E1535" s="3">
        <v>4.32</v>
      </c>
      <c r="F1535" s="3">
        <v>189.93</v>
      </c>
      <c r="G1535" s="3">
        <v>1.98</v>
      </c>
    </row>
    <row r="1536" spans="1:7" x14ac:dyDescent="0.2">
      <c r="A1536" s="2">
        <v>43727</v>
      </c>
      <c r="B1536" s="1">
        <f t="shared" si="46"/>
        <v>43709</v>
      </c>
      <c r="C1536" s="4" t="str">
        <f t="shared" si="47"/>
        <v>2019-09</v>
      </c>
      <c r="D1536" s="3">
        <v>55.24</v>
      </c>
      <c r="E1536" s="3">
        <v>4.42</v>
      </c>
      <c r="F1536" s="3">
        <v>190.14</v>
      </c>
      <c r="G1536" s="3">
        <v>1.96</v>
      </c>
    </row>
    <row r="1537" spans="1:7" x14ac:dyDescent="0.2">
      <c r="A1537" s="2">
        <v>43726</v>
      </c>
      <c r="B1537" s="1">
        <f t="shared" si="46"/>
        <v>43709</v>
      </c>
      <c r="C1537" s="4" t="str">
        <f t="shared" si="47"/>
        <v>2019-09</v>
      </c>
      <c r="D1537" s="3">
        <v>55.69</v>
      </c>
      <c r="E1537" s="3">
        <v>4.5</v>
      </c>
      <c r="F1537" s="3">
        <v>188.14</v>
      </c>
      <c r="G1537" s="3">
        <v>1.97</v>
      </c>
    </row>
    <row r="1538" spans="1:7" x14ac:dyDescent="0.2">
      <c r="A1538" s="2">
        <v>43725</v>
      </c>
      <c r="B1538" s="1">
        <f t="shared" si="46"/>
        <v>43709</v>
      </c>
      <c r="C1538" s="4" t="str">
        <f t="shared" si="47"/>
        <v>2019-09</v>
      </c>
      <c r="D1538" s="3">
        <v>55.18</v>
      </c>
      <c r="E1538" s="3">
        <v>4.53</v>
      </c>
      <c r="F1538" s="3">
        <v>188.08</v>
      </c>
      <c r="G1538" s="3">
        <v>1.95</v>
      </c>
    </row>
    <row r="1539" spans="1:7" x14ac:dyDescent="0.2">
      <c r="A1539" s="2">
        <v>43724</v>
      </c>
      <c r="B1539" s="1">
        <f t="shared" ref="B1539:B1602" si="48">EOMONTH(A1539, -1)+1</f>
        <v>43709</v>
      </c>
      <c r="C1539" s="4" t="str">
        <f t="shared" ref="C1539:C1602" si="49">TEXT(A1539, "yyyy-mm")</f>
        <v>2019-09</v>
      </c>
      <c r="D1539" s="3">
        <v>54.98</v>
      </c>
      <c r="E1539" s="3">
        <v>4.51</v>
      </c>
      <c r="F1539" s="3">
        <v>186.22</v>
      </c>
      <c r="G1539" s="3">
        <v>1.93</v>
      </c>
    </row>
    <row r="1540" spans="1:7" x14ac:dyDescent="0.2">
      <c r="A1540" s="2">
        <v>43721</v>
      </c>
      <c r="B1540" s="1">
        <f t="shared" si="48"/>
        <v>43709</v>
      </c>
      <c r="C1540" s="4" t="str">
        <f t="shared" si="49"/>
        <v>2019-09</v>
      </c>
      <c r="D1540" s="3">
        <v>54.69</v>
      </c>
      <c r="E1540" s="3">
        <v>4.55</v>
      </c>
      <c r="F1540" s="3">
        <v>187.19</v>
      </c>
      <c r="G1540" s="3">
        <v>1.91</v>
      </c>
    </row>
    <row r="1541" spans="1:7" x14ac:dyDescent="0.2">
      <c r="A1541" s="2">
        <v>43720</v>
      </c>
      <c r="B1541" s="1">
        <f t="shared" si="48"/>
        <v>43709</v>
      </c>
      <c r="C1541" s="4" t="str">
        <f t="shared" si="49"/>
        <v>2019-09</v>
      </c>
      <c r="D1541" s="3">
        <v>55.77</v>
      </c>
      <c r="E1541" s="3">
        <v>4.6100000000000003</v>
      </c>
      <c r="F1541" s="3">
        <v>187.47</v>
      </c>
      <c r="G1541" s="3">
        <v>1.9</v>
      </c>
    </row>
    <row r="1542" spans="1:7" x14ac:dyDescent="0.2">
      <c r="A1542" s="2">
        <v>43719</v>
      </c>
      <c r="B1542" s="1">
        <f t="shared" si="48"/>
        <v>43709</v>
      </c>
      <c r="C1542" s="4" t="str">
        <f t="shared" si="49"/>
        <v>2019-09</v>
      </c>
      <c r="D1542" s="3">
        <v>55.9</v>
      </c>
      <c r="E1542" s="3">
        <v>4.6100000000000003</v>
      </c>
      <c r="F1542" s="3">
        <v>188.49</v>
      </c>
      <c r="G1542" s="3">
        <v>1.91</v>
      </c>
    </row>
    <row r="1543" spans="1:7" x14ac:dyDescent="0.2">
      <c r="A1543" s="2">
        <v>43718</v>
      </c>
      <c r="B1543" s="1">
        <f t="shared" si="48"/>
        <v>43709</v>
      </c>
      <c r="C1543" s="4" t="str">
        <f t="shared" si="49"/>
        <v>2019-09</v>
      </c>
      <c r="D1543" s="3">
        <v>54.18</v>
      </c>
      <c r="E1543" s="3">
        <v>4.58</v>
      </c>
      <c r="F1543" s="3">
        <v>186.17</v>
      </c>
      <c r="G1543" s="3">
        <v>1.93</v>
      </c>
    </row>
    <row r="1544" spans="1:7" x14ac:dyDescent="0.2">
      <c r="A1544" s="2">
        <v>43717</v>
      </c>
      <c r="B1544" s="1">
        <f t="shared" si="48"/>
        <v>43709</v>
      </c>
      <c r="C1544" s="4" t="str">
        <f t="shared" si="49"/>
        <v>2019-09</v>
      </c>
      <c r="D1544" s="3">
        <v>53.54</v>
      </c>
      <c r="E1544" s="3">
        <v>4.51</v>
      </c>
      <c r="F1544" s="3">
        <v>188.76</v>
      </c>
      <c r="G1544" s="3">
        <v>1.94</v>
      </c>
    </row>
    <row r="1545" spans="1:7" x14ac:dyDescent="0.2">
      <c r="A1545" s="2">
        <v>43714</v>
      </c>
      <c r="B1545" s="1">
        <f t="shared" si="48"/>
        <v>43709</v>
      </c>
      <c r="C1545" s="4" t="str">
        <f t="shared" si="49"/>
        <v>2019-09</v>
      </c>
      <c r="D1545" s="3">
        <v>53.32</v>
      </c>
      <c r="E1545" s="3">
        <v>4.47</v>
      </c>
      <c r="F1545" s="3">
        <v>187.49</v>
      </c>
      <c r="G1545" s="3">
        <v>1.92</v>
      </c>
    </row>
    <row r="1546" spans="1:7" x14ac:dyDescent="0.2">
      <c r="A1546" s="2">
        <v>43713</v>
      </c>
      <c r="B1546" s="1">
        <f t="shared" si="48"/>
        <v>43709</v>
      </c>
      <c r="C1546" s="4" t="str">
        <f t="shared" si="49"/>
        <v>2019-09</v>
      </c>
      <c r="D1546" s="3">
        <v>53.32</v>
      </c>
      <c r="E1546" s="3">
        <v>4.49</v>
      </c>
      <c r="F1546" s="3">
        <v>190.9</v>
      </c>
      <c r="G1546" s="3">
        <v>1.89</v>
      </c>
    </row>
    <row r="1547" spans="1:7" x14ac:dyDescent="0.2">
      <c r="A1547" s="2">
        <v>43712</v>
      </c>
      <c r="B1547" s="1">
        <f t="shared" si="48"/>
        <v>43709</v>
      </c>
      <c r="C1547" s="4" t="str">
        <f t="shared" si="49"/>
        <v>2019-09</v>
      </c>
      <c r="D1547" s="3">
        <v>52.3</v>
      </c>
      <c r="E1547" s="3">
        <v>4.22</v>
      </c>
      <c r="F1547" s="3">
        <v>187.14</v>
      </c>
      <c r="G1547" s="3">
        <v>1.86</v>
      </c>
    </row>
    <row r="1548" spans="1:7" x14ac:dyDescent="0.2">
      <c r="A1548" s="2">
        <v>43711</v>
      </c>
      <c r="B1548" s="1">
        <f t="shared" si="48"/>
        <v>43709</v>
      </c>
      <c r="C1548" s="4" t="str">
        <f t="shared" si="49"/>
        <v>2019-09</v>
      </c>
      <c r="D1548" s="3">
        <v>51.43</v>
      </c>
      <c r="E1548" s="3">
        <v>4.0999999999999996</v>
      </c>
      <c r="F1548" s="3">
        <v>182.39</v>
      </c>
      <c r="G1548" s="3">
        <v>1.84</v>
      </c>
    </row>
    <row r="1549" spans="1:7" x14ac:dyDescent="0.2">
      <c r="A1549" s="2">
        <v>43707</v>
      </c>
      <c r="B1549" s="1">
        <f t="shared" si="48"/>
        <v>43678</v>
      </c>
      <c r="C1549" s="4" t="str">
        <f t="shared" si="49"/>
        <v>2019-08</v>
      </c>
      <c r="D1549" s="3">
        <v>52.19</v>
      </c>
      <c r="E1549" s="3">
        <v>4.1900000000000004</v>
      </c>
      <c r="F1549" s="3">
        <v>185.67</v>
      </c>
      <c r="G1549" s="3">
        <v>1.89</v>
      </c>
    </row>
    <row r="1550" spans="1:7" x14ac:dyDescent="0.2">
      <c r="A1550" s="2">
        <v>43706</v>
      </c>
      <c r="B1550" s="1">
        <f t="shared" si="48"/>
        <v>43678</v>
      </c>
      <c r="C1550" s="4" t="str">
        <f t="shared" si="49"/>
        <v>2019-08</v>
      </c>
      <c r="D1550" s="3">
        <v>52.25</v>
      </c>
      <c r="E1550" s="3">
        <v>4.18</v>
      </c>
      <c r="F1550" s="3">
        <v>185.57</v>
      </c>
      <c r="G1550" s="3">
        <v>1.96</v>
      </c>
    </row>
    <row r="1551" spans="1:7" x14ac:dyDescent="0.2">
      <c r="A1551" s="2">
        <v>43705</v>
      </c>
      <c r="B1551" s="1">
        <f t="shared" si="48"/>
        <v>43678</v>
      </c>
      <c r="C1551" s="4" t="str">
        <f t="shared" si="49"/>
        <v>2019-08</v>
      </c>
      <c r="D1551" s="3">
        <v>51.38</v>
      </c>
      <c r="E1551" s="3">
        <v>4.03</v>
      </c>
      <c r="F1551" s="3">
        <v>181.76</v>
      </c>
      <c r="G1551" s="3">
        <v>1.94</v>
      </c>
    </row>
    <row r="1552" spans="1:7" x14ac:dyDescent="0.2">
      <c r="A1552" s="2">
        <v>43704</v>
      </c>
      <c r="B1552" s="1">
        <f t="shared" si="48"/>
        <v>43678</v>
      </c>
      <c r="C1552" s="4" t="str">
        <f t="shared" si="49"/>
        <v>2019-08</v>
      </c>
      <c r="D1552" s="3">
        <v>51.04</v>
      </c>
      <c r="E1552" s="3">
        <v>4.05</v>
      </c>
      <c r="F1552" s="3">
        <v>181.3</v>
      </c>
      <c r="G1552" s="3">
        <v>1.91</v>
      </c>
    </row>
    <row r="1553" spans="1:7" x14ac:dyDescent="0.2">
      <c r="A1553" s="2">
        <v>43703</v>
      </c>
      <c r="B1553" s="1">
        <f t="shared" si="48"/>
        <v>43678</v>
      </c>
      <c r="C1553" s="4" t="str">
        <f t="shared" si="49"/>
        <v>2019-08</v>
      </c>
      <c r="D1553" s="3">
        <v>51.62</v>
      </c>
      <c r="E1553" s="3">
        <v>4.1399999999999997</v>
      </c>
      <c r="F1553" s="3">
        <v>180.36</v>
      </c>
      <c r="G1553" s="3">
        <v>1.93</v>
      </c>
    </row>
    <row r="1554" spans="1:7" x14ac:dyDescent="0.2">
      <c r="A1554" s="2">
        <v>43700</v>
      </c>
      <c r="B1554" s="1">
        <f t="shared" si="48"/>
        <v>43678</v>
      </c>
      <c r="C1554" s="4" t="str">
        <f t="shared" si="49"/>
        <v>2019-08</v>
      </c>
      <c r="D1554" s="3">
        <v>50.66</v>
      </c>
      <c r="E1554" s="3">
        <v>4.0599999999999996</v>
      </c>
      <c r="F1554" s="3">
        <v>177.75</v>
      </c>
      <c r="G1554" s="3">
        <v>1.94</v>
      </c>
    </row>
    <row r="1555" spans="1:7" x14ac:dyDescent="0.2">
      <c r="A1555" s="2">
        <v>43699</v>
      </c>
      <c r="B1555" s="1">
        <f t="shared" si="48"/>
        <v>43678</v>
      </c>
      <c r="C1555" s="4" t="str">
        <f t="shared" si="49"/>
        <v>2019-08</v>
      </c>
      <c r="D1555" s="3">
        <v>53.12</v>
      </c>
      <c r="E1555" s="3">
        <v>4.29</v>
      </c>
      <c r="F1555" s="3">
        <v>182.04</v>
      </c>
      <c r="G1555" s="3">
        <v>2</v>
      </c>
    </row>
    <row r="1556" spans="1:7" x14ac:dyDescent="0.2">
      <c r="A1556" s="2">
        <v>43698</v>
      </c>
      <c r="B1556" s="1">
        <f t="shared" si="48"/>
        <v>43678</v>
      </c>
      <c r="C1556" s="4" t="str">
        <f t="shared" si="49"/>
        <v>2019-08</v>
      </c>
      <c r="D1556" s="3">
        <v>53.16</v>
      </c>
      <c r="E1556" s="3">
        <v>4.28</v>
      </c>
      <c r="F1556" s="3">
        <v>183.55</v>
      </c>
      <c r="G1556" s="3">
        <v>2</v>
      </c>
    </row>
    <row r="1557" spans="1:7" x14ac:dyDescent="0.2">
      <c r="A1557" s="2">
        <v>43697</v>
      </c>
      <c r="B1557" s="1">
        <f t="shared" si="48"/>
        <v>43678</v>
      </c>
      <c r="C1557" s="4" t="str">
        <f t="shared" si="49"/>
        <v>2019-08</v>
      </c>
      <c r="D1557" s="3">
        <v>52.59</v>
      </c>
      <c r="E1557" s="3">
        <v>4.2</v>
      </c>
      <c r="F1557" s="3">
        <v>183.81</v>
      </c>
      <c r="G1557" s="3">
        <v>1.99</v>
      </c>
    </row>
    <row r="1558" spans="1:7" x14ac:dyDescent="0.2">
      <c r="A1558" s="2">
        <v>43696</v>
      </c>
      <c r="B1558" s="1">
        <f t="shared" si="48"/>
        <v>43678</v>
      </c>
      <c r="C1558" s="4" t="str">
        <f t="shared" si="49"/>
        <v>2019-08</v>
      </c>
      <c r="D1558" s="3">
        <v>52.59</v>
      </c>
      <c r="E1558" s="3">
        <v>4.2699999999999996</v>
      </c>
      <c r="F1558" s="3">
        <v>186.17</v>
      </c>
      <c r="G1558" s="3">
        <v>1.96</v>
      </c>
    </row>
    <row r="1559" spans="1:7" x14ac:dyDescent="0.2">
      <c r="A1559" s="2">
        <v>43693</v>
      </c>
      <c r="B1559" s="1">
        <f t="shared" si="48"/>
        <v>43678</v>
      </c>
      <c r="C1559" s="4" t="str">
        <f t="shared" si="49"/>
        <v>2019-08</v>
      </c>
      <c r="D1559" s="3">
        <v>51.63</v>
      </c>
      <c r="E1559" s="3">
        <v>3.99</v>
      </c>
      <c r="F1559" s="3">
        <v>183.7</v>
      </c>
      <c r="G1559" s="3">
        <v>1.93</v>
      </c>
    </row>
    <row r="1560" spans="1:7" x14ac:dyDescent="0.2">
      <c r="A1560" s="2">
        <v>43692</v>
      </c>
      <c r="B1560" s="1">
        <f t="shared" si="48"/>
        <v>43678</v>
      </c>
      <c r="C1560" s="4" t="str">
        <f t="shared" si="49"/>
        <v>2019-08</v>
      </c>
      <c r="D1560" s="3">
        <v>50.44</v>
      </c>
      <c r="E1560" s="3">
        <v>3.72</v>
      </c>
      <c r="F1560" s="3">
        <v>182.59</v>
      </c>
      <c r="G1560" s="3">
        <v>1.63</v>
      </c>
    </row>
    <row r="1561" spans="1:7" x14ac:dyDescent="0.2">
      <c r="A1561" s="2">
        <v>43691</v>
      </c>
      <c r="B1561" s="1">
        <f t="shared" si="48"/>
        <v>43678</v>
      </c>
      <c r="C1561" s="4" t="str">
        <f t="shared" si="49"/>
        <v>2019-08</v>
      </c>
      <c r="D1561" s="3">
        <v>50.69</v>
      </c>
      <c r="E1561" s="3">
        <v>3.75</v>
      </c>
      <c r="F1561" s="3">
        <v>179.71</v>
      </c>
      <c r="G1561" s="3">
        <v>1.68</v>
      </c>
    </row>
    <row r="1562" spans="1:7" x14ac:dyDescent="0.2">
      <c r="A1562" s="2">
        <v>43690</v>
      </c>
      <c r="B1562" s="1">
        <f t="shared" si="48"/>
        <v>43678</v>
      </c>
      <c r="C1562" s="4" t="str">
        <f t="shared" si="49"/>
        <v>2019-08</v>
      </c>
      <c r="D1562" s="3">
        <v>52.24</v>
      </c>
      <c r="E1562" s="3">
        <v>3.9</v>
      </c>
      <c r="F1562" s="3">
        <v>188.45</v>
      </c>
      <c r="G1562" s="3">
        <v>1.7</v>
      </c>
    </row>
    <row r="1563" spans="1:7" x14ac:dyDescent="0.2">
      <c r="A1563" s="2">
        <v>43689</v>
      </c>
      <c r="B1563" s="1">
        <f t="shared" si="48"/>
        <v>43678</v>
      </c>
      <c r="C1563" s="4" t="str">
        <f t="shared" si="49"/>
        <v>2019-08</v>
      </c>
      <c r="D1563" s="3">
        <v>50.12</v>
      </c>
      <c r="E1563" s="3">
        <v>3.79</v>
      </c>
      <c r="F1563" s="3">
        <v>185.37</v>
      </c>
      <c r="G1563" s="3">
        <v>1.7</v>
      </c>
    </row>
    <row r="1564" spans="1:7" x14ac:dyDescent="0.2">
      <c r="A1564" s="2">
        <v>43686</v>
      </c>
      <c r="B1564" s="1">
        <f t="shared" si="48"/>
        <v>43678</v>
      </c>
      <c r="C1564" s="4" t="str">
        <f t="shared" si="49"/>
        <v>2019-08</v>
      </c>
      <c r="D1564" s="3">
        <v>50.25</v>
      </c>
      <c r="E1564" s="3">
        <v>3.85</v>
      </c>
      <c r="F1564" s="3">
        <v>187.85</v>
      </c>
      <c r="G1564" s="3">
        <v>1.71</v>
      </c>
    </row>
    <row r="1565" spans="1:7" x14ac:dyDescent="0.2">
      <c r="A1565" s="2">
        <v>43685</v>
      </c>
      <c r="B1565" s="1">
        <f t="shared" si="48"/>
        <v>43678</v>
      </c>
      <c r="C1565" s="4" t="str">
        <f t="shared" si="49"/>
        <v>2019-08</v>
      </c>
      <c r="D1565" s="3">
        <v>50.86</v>
      </c>
      <c r="E1565" s="3">
        <v>3.96</v>
      </c>
      <c r="F1565" s="3">
        <v>190.16</v>
      </c>
      <c r="G1565" s="3">
        <v>1.8</v>
      </c>
    </row>
    <row r="1566" spans="1:7" x14ac:dyDescent="0.2">
      <c r="A1566" s="2">
        <v>43684</v>
      </c>
      <c r="B1566" s="1">
        <f t="shared" si="48"/>
        <v>43678</v>
      </c>
      <c r="C1566" s="4" t="str">
        <f t="shared" si="49"/>
        <v>2019-08</v>
      </c>
      <c r="D1566" s="3">
        <v>49.76</v>
      </c>
      <c r="E1566" s="3">
        <v>3.85</v>
      </c>
      <c r="F1566" s="3">
        <v>185.15</v>
      </c>
      <c r="G1566" s="3">
        <v>1.79</v>
      </c>
    </row>
    <row r="1567" spans="1:7" x14ac:dyDescent="0.2">
      <c r="A1567" s="2">
        <v>43683</v>
      </c>
      <c r="B1567" s="1">
        <f t="shared" si="48"/>
        <v>43678</v>
      </c>
      <c r="C1567" s="4" t="str">
        <f t="shared" si="49"/>
        <v>2019-08</v>
      </c>
      <c r="D1567" s="3">
        <v>49.25</v>
      </c>
      <c r="E1567" s="3">
        <v>3.81</v>
      </c>
      <c r="F1567" s="3">
        <v>184.51</v>
      </c>
      <c r="G1567" s="3">
        <v>1.76</v>
      </c>
    </row>
    <row r="1568" spans="1:7" x14ac:dyDescent="0.2">
      <c r="A1568" s="2">
        <v>43682</v>
      </c>
      <c r="B1568" s="1">
        <f t="shared" si="48"/>
        <v>43678</v>
      </c>
      <c r="C1568" s="4" t="str">
        <f t="shared" si="49"/>
        <v>2019-08</v>
      </c>
      <c r="D1568" s="3">
        <v>48.34</v>
      </c>
      <c r="E1568" s="3">
        <v>3.77</v>
      </c>
      <c r="F1568" s="3">
        <v>181.73</v>
      </c>
      <c r="G1568" s="3">
        <v>1.63</v>
      </c>
    </row>
    <row r="1569" spans="1:7" x14ac:dyDescent="0.2">
      <c r="A1569" s="2">
        <v>43679</v>
      </c>
      <c r="B1569" s="1">
        <f t="shared" si="48"/>
        <v>43678</v>
      </c>
      <c r="C1569" s="4" t="str">
        <f t="shared" si="49"/>
        <v>2019-08</v>
      </c>
      <c r="D1569" s="3">
        <v>51.01</v>
      </c>
      <c r="E1569" s="3">
        <v>4.03</v>
      </c>
      <c r="F1569" s="3">
        <v>189.02</v>
      </c>
      <c r="G1569" s="3">
        <v>1.7</v>
      </c>
    </row>
    <row r="1570" spans="1:7" x14ac:dyDescent="0.2">
      <c r="A1570" s="2">
        <v>43678</v>
      </c>
      <c r="B1570" s="1">
        <f t="shared" si="48"/>
        <v>43678</v>
      </c>
      <c r="C1570" s="4" t="str">
        <f t="shared" si="49"/>
        <v>2019-08</v>
      </c>
      <c r="D1570" s="3">
        <v>52.11</v>
      </c>
      <c r="E1570" s="3">
        <v>4.12</v>
      </c>
      <c r="F1570" s="3">
        <v>192.73</v>
      </c>
      <c r="G1570" s="3">
        <v>1.81</v>
      </c>
    </row>
    <row r="1571" spans="1:7" x14ac:dyDescent="0.2">
      <c r="A1571" s="2">
        <v>43677</v>
      </c>
      <c r="B1571" s="1">
        <f t="shared" si="48"/>
        <v>43647</v>
      </c>
      <c r="C1571" s="4" t="str">
        <f t="shared" si="49"/>
        <v>2019-07</v>
      </c>
      <c r="D1571" s="3">
        <v>53.26</v>
      </c>
      <c r="E1571" s="3">
        <v>4.22</v>
      </c>
      <c r="F1571" s="3">
        <v>194.23</v>
      </c>
      <c r="G1571" s="3">
        <v>1.83</v>
      </c>
    </row>
    <row r="1572" spans="1:7" x14ac:dyDescent="0.2">
      <c r="A1572" s="2">
        <v>43676</v>
      </c>
      <c r="B1572" s="1">
        <f t="shared" si="48"/>
        <v>43647</v>
      </c>
      <c r="C1572" s="4" t="str">
        <f t="shared" si="49"/>
        <v>2019-07</v>
      </c>
      <c r="D1572" s="3">
        <v>52.2</v>
      </c>
      <c r="E1572" s="3">
        <v>4.3899999999999997</v>
      </c>
      <c r="F1572" s="3">
        <v>197.04</v>
      </c>
      <c r="G1572" s="3">
        <v>1.85</v>
      </c>
    </row>
    <row r="1573" spans="1:7" x14ac:dyDescent="0.2">
      <c r="A1573" s="2">
        <v>43675</v>
      </c>
      <c r="B1573" s="1">
        <f t="shared" si="48"/>
        <v>43647</v>
      </c>
      <c r="C1573" s="4" t="str">
        <f t="shared" si="49"/>
        <v>2019-07</v>
      </c>
      <c r="D1573" s="3">
        <v>52.42</v>
      </c>
      <c r="E1573" s="3">
        <v>4.37</v>
      </c>
      <c r="F1573" s="3">
        <v>195.94</v>
      </c>
      <c r="G1573" s="3">
        <v>1.87</v>
      </c>
    </row>
    <row r="1574" spans="1:7" x14ac:dyDescent="0.2">
      <c r="A1574" s="2">
        <v>43672</v>
      </c>
      <c r="B1574" s="1">
        <f t="shared" si="48"/>
        <v>43647</v>
      </c>
      <c r="C1574" s="4" t="str">
        <f t="shared" si="49"/>
        <v>2019-07</v>
      </c>
      <c r="D1574" s="3">
        <v>51.94</v>
      </c>
      <c r="E1574" s="3">
        <v>4.38</v>
      </c>
      <c r="F1574" s="3">
        <v>199.75</v>
      </c>
      <c r="G1574" s="3">
        <v>1.87</v>
      </c>
    </row>
    <row r="1575" spans="1:7" x14ac:dyDescent="0.2">
      <c r="A1575" s="2">
        <v>43671</v>
      </c>
      <c r="B1575" s="1">
        <f t="shared" si="48"/>
        <v>43647</v>
      </c>
      <c r="C1575" s="4" t="str">
        <f t="shared" si="49"/>
        <v>2019-07</v>
      </c>
      <c r="D1575" s="3">
        <v>51.76</v>
      </c>
      <c r="E1575" s="3">
        <v>4.33</v>
      </c>
      <c r="F1575" s="3">
        <v>200.71</v>
      </c>
      <c r="G1575" s="3">
        <v>1.89</v>
      </c>
    </row>
    <row r="1576" spans="1:7" x14ac:dyDescent="0.2">
      <c r="A1576" s="2">
        <v>43670</v>
      </c>
      <c r="B1576" s="1">
        <f t="shared" si="48"/>
        <v>43647</v>
      </c>
      <c r="C1576" s="4" t="str">
        <f t="shared" si="49"/>
        <v>2019-07</v>
      </c>
      <c r="D1576" s="3">
        <v>52.17</v>
      </c>
      <c r="E1576" s="3">
        <v>4.47</v>
      </c>
      <c r="F1576" s="3">
        <v>204.66</v>
      </c>
      <c r="G1576" s="3">
        <v>1.93</v>
      </c>
    </row>
    <row r="1577" spans="1:7" x14ac:dyDescent="0.2">
      <c r="A1577" s="2">
        <v>43669</v>
      </c>
      <c r="B1577" s="1">
        <f t="shared" si="48"/>
        <v>43647</v>
      </c>
      <c r="C1577" s="4" t="str">
        <f t="shared" si="49"/>
        <v>2019-07</v>
      </c>
      <c r="D1577" s="3">
        <v>52.21</v>
      </c>
      <c r="E1577" s="3">
        <v>4.3899999999999997</v>
      </c>
      <c r="F1577" s="3">
        <v>202.36</v>
      </c>
      <c r="G1577" s="3">
        <v>1.91</v>
      </c>
    </row>
    <row r="1578" spans="1:7" x14ac:dyDescent="0.2">
      <c r="A1578" s="2">
        <v>43668</v>
      </c>
      <c r="B1578" s="1">
        <f t="shared" si="48"/>
        <v>43647</v>
      </c>
      <c r="C1578" s="4" t="str">
        <f t="shared" si="49"/>
        <v>2019-07</v>
      </c>
      <c r="D1578" s="3">
        <v>51.81</v>
      </c>
      <c r="E1578" s="3">
        <v>4.28</v>
      </c>
      <c r="F1578" s="3">
        <v>202.32</v>
      </c>
      <c r="G1578" s="3">
        <v>1.95</v>
      </c>
    </row>
    <row r="1579" spans="1:7" x14ac:dyDescent="0.2">
      <c r="A1579" s="2">
        <v>43665</v>
      </c>
      <c r="B1579" s="1">
        <f t="shared" si="48"/>
        <v>43647</v>
      </c>
      <c r="C1579" s="4" t="str">
        <f t="shared" si="49"/>
        <v>2019-07</v>
      </c>
      <c r="D1579" s="3">
        <v>50.65</v>
      </c>
      <c r="E1579" s="3">
        <v>4.21</v>
      </c>
      <c r="F1579" s="3">
        <v>198.36</v>
      </c>
      <c r="G1579" s="3">
        <v>1.9</v>
      </c>
    </row>
    <row r="1580" spans="1:7" x14ac:dyDescent="0.2">
      <c r="A1580" s="2">
        <v>43664</v>
      </c>
      <c r="B1580" s="1">
        <f t="shared" si="48"/>
        <v>43647</v>
      </c>
      <c r="C1580" s="4" t="str">
        <f t="shared" si="49"/>
        <v>2019-07</v>
      </c>
      <c r="D1580" s="3">
        <v>51.42</v>
      </c>
      <c r="E1580" s="3">
        <v>4.25</v>
      </c>
      <c r="F1580" s="3">
        <v>200.78</v>
      </c>
      <c r="G1580" s="3">
        <v>1.86</v>
      </c>
    </row>
    <row r="1581" spans="1:7" x14ac:dyDescent="0.2">
      <c r="A1581" s="2">
        <v>43663</v>
      </c>
      <c r="B1581" s="1">
        <f t="shared" si="48"/>
        <v>43647</v>
      </c>
      <c r="C1581" s="4" t="str">
        <f t="shared" si="49"/>
        <v>2019-07</v>
      </c>
      <c r="D1581" s="3">
        <v>50.84</v>
      </c>
      <c r="E1581" s="3">
        <v>4.24</v>
      </c>
      <c r="F1581" s="3">
        <v>201.8</v>
      </c>
      <c r="G1581" s="3">
        <v>1.88</v>
      </c>
    </row>
    <row r="1582" spans="1:7" x14ac:dyDescent="0.2">
      <c r="A1582" s="2">
        <v>43662</v>
      </c>
      <c r="B1582" s="1">
        <f t="shared" si="48"/>
        <v>43647</v>
      </c>
      <c r="C1582" s="4" t="str">
        <f t="shared" si="49"/>
        <v>2019-07</v>
      </c>
      <c r="D1582" s="3">
        <v>51.13</v>
      </c>
      <c r="E1582" s="3">
        <v>4.18</v>
      </c>
      <c r="F1582" s="3">
        <v>203.84</v>
      </c>
      <c r="G1582" s="3">
        <v>1.92</v>
      </c>
    </row>
    <row r="1583" spans="1:7" x14ac:dyDescent="0.2">
      <c r="A1583" s="2">
        <v>43661</v>
      </c>
      <c r="B1583" s="1">
        <f t="shared" si="48"/>
        <v>43647</v>
      </c>
      <c r="C1583" s="4" t="str">
        <f t="shared" si="49"/>
        <v>2019-07</v>
      </c>
      <c r="D1583" s="3">
        <v>51.3</v>
      </c>
      <c r="E1583" s="3">
        <v>4.18</v>
      </c>
      <c r="F1583" s="3">
        <v>203.91</v>
      </c>
      <c r="G1583" s="3">
        <v>1.87</v>
      </c>
    </row>
    <row r="1584" spans="1:7" x14ac:dyDescent="0.2">
      <c r="A1584" s="2">
        <v>43658</v>
      </c>
      <c r="B1584" s="1">
        <f t="shared" si="48"/>
        <v>43647</v>
      </c>
      <c r="C1584" s="4" t="str">
        <f t="shared" si="49"/>
        <v>2019-07</v>
      </c>
      <c r="D1584" s="3">
        <v>50.83</v>
      </c>
      <c r="E1584" s="3">
        <v>4.1900000000000004</v>
      </c>
      <c r="F1584" s="3">
        <v>204.87</v>
      </c>
      <c r="G1584" s="3">
        <v>1.86</v>
      </c>
    </row>
    <row r="1585" spans="1:7" x14ac:dyDescent="0.2">
      <c r="A1585" s="2">
        <v>43657</v>
      </c>
      <c r="B1585" s="1">
        <f t="shared" si="48"/>
        <v>43647</v>
      </c>
      <c r="C1585" s="4" t="str">
        <f t="shared" si="49"/>
        <v>2019-07</v>
      </c>
      <c r="D1585" s="3">
        <v>50.44</v>
      </c>
      <c r="E1585" s="3">
        <v>4.16</v>
      </c>
      <c r="F1585" s="3">
        <v>201.23</v>
      </c>
      <c r="G1585" s="3">
        <v>1.89</v>
      </c>
    </row>
    <row r="1586" spans="1:7" x14ac:dyDescent="0.2">
      <c r="A1586" s="2">
        <v>43656</v>
      </c>
      <c r="B1586" s="1">
        <f t="shared" si="48"/>
        <v>43647</v>
      </c>
      <c r="C1586" s="4" t="str">
        <f t="shared" si="49"/>
        <v>2019-07</v>
      </c>
      <c r="D1586" s="3">
        <v>50.81</v>
      </c>
      <c r="E1586" s="3">
        <v>4</v>
      </c>
      <c r="F1586" s="3">
        <v>202.73</v>
      </c>
      <c r="G1586" s="3">
        <v>1.92</v>
      </c>
    </row>
    <row r="1587" spans="1:7" x14ac:dyDescent="0.2">
      <c r="A1587" s="2">
        <v>43655</v>
      </c>
      <c r="B1587" s="1">
        <f t="shared" si="48"/>
        <v>43647</v>
      </c>
      <c r="C1587" s="4" t="str">
        <f t="shared" si="49"/>
        <v>2019-07</v>
      </c>
      <c r="D1587" s="3">
        <v>50.31</v>
      </c>
      <c r="E1587" s="3">
        <v>3.93</v>
      </c>
      <c r="F1587" s="3">
        <v>199.21</v>
      </c>
      <c r="G1587" s="3">
        <v>1.87</v>
      </c>
    </row>
    <row r="1588" spans="1:7" x14ac:dyDescent="0.2">
      <c r="A1588" s="2">
        <v>43654</v>
      </c>
      <c r="B1588" s="1">
        <f t="shared" si="48"/>
        <v>43647</v>
      </c>
      <c r="C1588" s="4" t="str">
        <f t="shared" si="49"/>
        <v>2019-07</v>
      </c>
      <c r="D1588" s="3">
        <v>50.01</v>
      </c>
      <c r="E1588" s="3">
        <v>3.93</v>
      </c>
      <c r="F1588" s="3">
        <v>195.76</v>
      </c>
      <c r="G1588" s="3">
        <v>1.86</v>
      </c>
    </row>
    <row r="1589" spans="1:7" x14ac:dyDescent="0.2">
      <c r="A1589" s="2">
        <v>43651</v>
      </c>
      <c r="B1589" s="1">
        <f t="shared" si="48"/>
        <v>43647</v>
      </c>
      <c r="C1589" s="4" t="str">
        <f t="shared" si="49"/>
        <v>2019-07</v>
      </c>
      <c r="D1589" s="3">
        <v>51.06</v>
      </c>
      <c r="E1589" s="3">
        <v>4.01</v>
      </c>
      <c r="F1589" s="3">
        <v>196.4</v>
      </c>
      <c r="G1589" s="3">
        <v>1.86</v>
      </c>
    </row>
    <row r="1590" spans="1:7" x14ac:dyDescent="0.2">
      <c r="A1590" s="2">
        <v>43649</v>
      </c>
      <c r="B1590" s="1">
        <f t="shared" si="48"/>
        <v>43647</v>
      </c>
      <c r="C1590" s="4" t="str">
        <f t="shared" si="49"/>
        <v>2019-07</v>
      </c>
      <c r="D1590" s="3">
        <v>51.1</v>
      </c>
      <c r="E1590" s="3">
        <v>4.07</v>
      </c>
      <c r="F1590" s="3">
        <v>197.2</v>
      </c>
      <c r="G1590" s="3">
        <v>1.89</v>
      </c>
    </row>
    <row r="1591" spans="1:7" x14ac:dyDescent="0.2">
      <c r="A1591" s="2">
        <v>43648</v>
      </c>
      <c r="B1591" s="1">
        <f t="shared" si="48"/>
        <v>43647</v>
      </c>
      <c r="C1591" s="4" t="str">
        <f t="shared" si="49"/>
        <v>2019-07</v>
      </c>
      <c r="D1591" s="3">
        <v>50.68</v>
      </c>
      <c r="E1591" s="3">
        <v>4.0599999999999996</v>
      </c>
      <c r="F1591" s="3">
        <v>195</v>
      </c>
      <c r="G1591" s="3">
        <v>1.91</v>
      </c>
    </row>
    <row r="1592" spans="1:7" x14ac:dyDescent="0.2">
      <c r="A1592" s="2">
        <v>43647</v>
      </c>
      <c r="B1592" s="1">
        <f t="shared" si="48"/>
        <v>43647</v>
      </c>
      <c r="C1592" s="4" t="str">
        <f t="shared" si="49"/>
        <v>2019-07</v>
      </c>
      <c r="D1592" s="3">
        <v>50.39</v>
      </c>
      <c r="E1592" s="3">
        <v>4.1500000000000004</v>
      </c>
      <c r="F1592" s="3">
        <v>193</v>
      </c>
      <c r="G1592" s="3">
        <v>1.93</v>
      </c>
    </row>
    <row r="1593" spans="1:7" x14ac:dyDescent="0.2">
      <c r="A1593" s="2">
        <v>43644</v>
      </c>
      <c r="B1593" s="1">
        <f t="shared" si="48"/>
        <v>43617</v>
      </c>
      <c r="C1593" s="4" t="str">
        <f t="shared" si="49"/>
        <v>2019-06</v>
      </c>
      <c r="D1593" s="3">
        <v>49.48</v>
      </c>
      <c r="E1593" s="3">
        <v>4.1100000000000003</v>
      </c>
      <c r="F1593" s="3">
        <v>193</v>
      </c>
      <c r="G1593" s="3">
        <v>1.94</v>
      </c>
    </row>
    <row r="1594" spans="1:7" x14ac:dyDescent="0.2">
      <c r="A1594" s="2">
        <v>43643</v>
      </c>
      <c r="B1594" s="1">
        <f t="shared" si="48"/>
        <v>43617</v>
      </c>
      <c r="C1594" s="4" t="str">
        <f t="shared" si="49"/>
        <v>2019-06</v>
      </c>
      <c r="D1594" s="3">
        <v>49.94</v>
      </c>
      <c r="E1594" s="3">
        <v>4.08</v>
      </c>
      <c r="F1594" s="3">
        <v>189.5</v>
      </c>
      <c r="G1594" s="3">
        <v>1.92</v>
      </c>
    </row>
    <row r="1595" spans="1:7" x14ac:dyDescent="0.2">
      <c r="A1595" s="2">
        <v>43642</v>
      </c>
      <c r="B1595" s="1">
        <f t="shared" si="48"/>
        <v>43617</v>
      </c>
      <c r="C1595" s="4" t="str">
        <f t="shared" si="49"/>
        <v>2019-06</v>
      </c>
      <c r="D1595" s="3">
        <v>49.95</v>
      </c>
      <c r="E1595" s="3">
        <v>3.98</v>
      </c>
      <c r="F1595" s="3">
        <v>187.66</v>
      </c>
      <c r="G1595" s="3">
        <v>1.92</v>
      </c>
    </row>
    <row r="1596" spans="1:7" x14ac:dyDescent="0.2">
      <c r="A1596" s="2">
        <v>43641</v>
      </c>
      <c r="B1596" s="1">
        <f t="shared" si="48"/>
        <v>43617</v>
      </c>
      <c r="C1596" s="4" t="str">
        <f t="shared" si="49"/>
        <v>2019-06</v>
      </c>
      <c r="D1596" s="3">
        <v>48.89</v>
      </c>
      <c r="E1596" s="3">
        <v>3.79</v>
      </c>
      <c r="F1596" s="3">
        <v>188.84</v>
      </c>
      <c r="G1596" s="3">
        <v>1.91</v>
      </c>
    </row>
    <row r="1597" spans="1:7" x14ac:dyDescent="0.2">
      <c r="A1597" s="2">
        <v>43640</v>
      </c>
      <c r="B1597" s="1">
        <f t="shared" si="48"/>
        <v>43617</v>
      </c>
      <c r="C1597" s="4" t="str">
        <f t="shared" si="49"/>
        <v>2019-06</v>
      </c>
      <c r="D1597" s="3">
        <v>49.65</v>
      </c>
      <c r="E1597" s="3">
        <v>3.82</v>
      </c>
      <c r="F1597" s="3">
        <v>192.6</v>
      </c>
      <c r="G1597" s="3">
        <v>1.94</v>
      </c>
    </row>
    <row r="1598" spans="1:7" x14ac:dyDescent="0.2">
      <c r="A1598" s="2">
        <v>43637</v>
      </c>
      <c r="B1598" s="1">
        <f t="shared" si="48"/>
        <v>43617</v>
      </c>
      <c r="C1598" s="4" t="str">
        <f t="shared" si="49"/>
        <v>2019-06</v>
      </c>
      <c r="D1598" s="3">
        <v>49.7</v>
      </c>
      <c r="E1598" s="3">
        <v>3.79</v>
      </c>
      <c r="F1598" s="3">
        <v>191.14</v>
      </c>
      <c r="G1598" s="3">
        <v>1.91</v>
      </c>
    </row>
    <row r="1599" spans="1:7" x14ac:dyDescent="0.2">
      <c r="A1599" s="2">
        <v>43636</v>
      </c>
      <c r="B1599" s="1">
        <f t="shared" si="48"/>
        <v>43617</v>
      </c>
      <c r="C1599" s="4" t="str">
        <f t="shared" si="49"/>
        <v>2019-06</v>
      </c>
      <c r="D1599" s="3">
        <v>49.87</v>
      </c>
      <c r="E1599" s="3">
        <v>3.85</v>
      </c>
      <c r="F1599" s="3">
        <v>189.53</v>
      </c>
      <c r="G1599" s="3">
        <v>1.9</v>
      </c>
    </row>
    <row r="1600" spans="1:7" x14ac:dyDescent="0.2">
      <c r="A1600" s="2">
        <v>43635</v>
      </c>
      <c r="B1600" s="1">
        <f t="shared" si="48"/>
        <v>43617</v>
      </c>
      <c r="C1600" s="4" t="str">
        <f t="shared" si="49"/>
        <v>2019-06</v>
      </c>
      <c r="D1600" s="3">
        <v>49.47</v>
      </c>
      <c r="E1600" s="3">
        <v>3.83</v>
      </c>
      <c r="F1600" s="3">
        <v>187.48</v>
      </c>
      <c r="G1600" s="3">
        <v>1.87</v>
      </c>
    </row>
    <row r="1601" spans="1:7" x14ac:dyDescent="0.2">
      <c r="A1601" s="2">
        <v>43634</v>
      </c>
      <c r="B1601" s="1">
        <f t="shared" si="48"/>
        <v>43617</v>
      </c>
      <c r="C1601" s="4" t="str">
        <f t="shared" si="49"/>
        <v>2019-06</v>
      </c>
      <c r="D1601" s="3">
        <v>49.61</v>
      </c>
      <c r="E1601" s="3">
        <v>3.82</v>
      </c>
      <c r="F1601" s="3">
        <v>188.47</v>
      </c>
      <c r="G1601" s="3">
        <v>1.84</v>
      </c>
    </row>
    <row r="1602" spans="1:7" x14ac:dyDescent="0.2">
      <c r="A1602" s="2">
        <v>43633</v>
      </c>
      <c r="B1602" s="1">
        <f t="shared" si="48"/>
        <v>43617</v>
      </c>
      <c r="C1602" s="4" t="str">
        <f t="shared" si="49"/>
        <v>2019-06</v>
      </c>
      <c r="D1602" s="3">
        <v>48.47</v>
      </c>
      <c r="E1602" s="3">
        <v>3.63</v>
      </c>
      <c r="F1602" s="3">
        <v>189.01</v>
      </c>
      <c r="G1602" s="3">
        <v>1.8</v>
      </c>
    </row>
    <row r="1603" spans="1:7" x14ac:dyDescent="0.2">
      <c r="A1603" s="2">
        <v>43630</v>
      </c>
      <c r="B1603" s="1">
        <f t="shared" ref="B1603:B1666" si="50">EOMONTH(A1603, -1)+1</f>
        <v>43617</v>
      </c>
      <c r="C1603" s="4" t="str">
        <f t="shared" ref="C1603:C1666" si="51">TEXT(A1603, "yyyy-mm")</f>
        <v>2019-06</v>
      </c>
      <c r="D1603" s="3">
        <v>48.19</v>
      </c>
      <c r="E1603" s="3">
        <v>3.62</v>
      </c>
      <c r="F1603" s="3">
        <v>181.33</v>
      </c>
      <c r="G1603" s="3">
        <v>1.75</v>
      </c>
    </row>
    <row r="1604" spans="1:7" x14ac:dyDescent="0.2">
      <c r="A1604" s="2">
        <v>43629</v>
      </c>
      <c r="B1604" s="1">
        <f t="shared" si="50"/>
        <v>43617</v>
      </c>
      <c r="C1604" s="4" t="str">
        <f t="shared" si="51"/>
        <v>2019-06</v>
      </c>
      <c r="D1604" s="3">
        <v>48.54</v>
      </c>
      <c r="E1604" s="3">
        <v>3.71</v>
      </c>
      <c r="F1604" s="3">
        <v>177.47</v>
      </c>
      <c r="G1604" s="3">
        <v>1.74</v>
      </c>
    </row>
    <row r="1605" spans="1:7" x14ac:dyDescent="0.2">
      <c r="A1605" s="2">
        <v>43628</v>
      </c>
      <c r="B1605" s="1">
        <f t="shared" si="50"/>
        <v>43617</v>
      </c>
      <c r="C1605" s="4" t="str">
        <f t="shared" si="51"/>
        <v>2019-06</v>
      </c>
      <c r="D1605" s="3">
        <v>48.55</v>
      </c>
      <c r="E1605" s="3">
        <v>3.66</v>
      </c>
      <c r="F1605" s="3">
        <v>175.04</v>
      </c>
      <c r="G1605" s="3">
        <v>1.82</v>
      </c>
    </row>
    <row r="1606" spans="1:7" x14ac:dyDescent="0.2">
      <c r="A1606" s="2">
        <v>43627</v>
      </c>
      <c r="B1606" s="1">
        <f t="shared" si="50"/>
        <v>43617</v>
      </c>
      <c r="C1606" s="4" t="str">
        <f t="shared" si="51"/>
        <v>2019-06</v>
      </c>
      <c r="D1606" s="3">
        <v>48.7</v>
      </c>
      <c r="E1606" s="3">
        <v>3.77</v>
      </c>
      <c r="F1606" s="3">
        <v>178.1</v>
      </c>
      <c r="G1606" s="3">
        <v>1.84</v>
      </c>
    </row>
    <row r="1607" spans="1:7" x14ac:dyDescent="0.2">
      <c r="A1607" s="2">
        <v>43626</v>
      </c>
      <c r="B1607" s="1">
        <f t="shared" si="50"/>
        <v>43617</v>
      </c>
      <c r="C1607" s="4" t="str">
        <f t="shared" si="51"/>
        <v>2019-06</v>
      </c>
      <c r="D1607" s="3">
        <v>48.15</v>
      </c>
      <c r="E1607" s="3">
        <v>3.71</v>
      </c>
      <c r="F1607" s="3">
        <v>174.82</v>
      </c>
      <c r="G1607" s="3">
        <v>1.85</v>
      </c>
    </row>
    <row r="1608" spans="1:7" x14ac:dyDescent="0.2">
      <c r="A1608" s="2">
        <v>43623</v>
      </c>
      <c r="B1608" s="1">
        <f t="shared" si="50"/>
        <v>43617</v>
      </c>
      <c r="C1608" s="4" t="str">
        <f t="shared" si="51"/>
        <v>2019-06</v>
      </c>
      <c r="D1608" s="3">
        <v>47.54</v>
      </c>
      <c r="E1608" s="3">
        <v>3.64</v>
      </c>
      <c r="F1608" s="3">
        <v>173.35</v>
      </c>
      <c r="G1608" s="3">
        <v>1.84</v>
      </c>
    </row>
    <row r="1609" spans="1:7" x14ac:dyDescent="0.2">
      <c r="A1609" s="2">
        <v>43622</v>
      </c>
      <c r="B1609" s="1">
        <f t="shared" si="50"/>
        <v>43617</v>
      </c>
      <c r="C1609" s="4" t="str">
        <f t="shared" si="51"/>
        <v>2019-06</v>
      </c>
      <c r="D1609" s="3">
        <v>46.31</v>
      </c>
      <c r="E1609" s="3">
        <v>3.59</v>
      </c>
      <c r="F1609" s="3">
        <v>168.33</v>
      </c>
      <c r="G1609" s="3">
        <v>1.83</v>
      </c>
    </row>
    <row r="1610" spans="1:7" x14ac:dyDescent="0.2">
      <c r="A1610" s="2">
        <v>43621</v>
      </c>
      <c r="B1610" s="1">
        <f t="shared" si="50"/>
        <v>43617</v>
      </c>
      <c r="C1610" s="4" t="str">
        <f t="shared" si="51"/>
        <v>2019-06</v>
      </c>
      <c r="D1610" s="3">
        <v>45.64</v>
      </c>
      <c r="E1610" s="3">
        <v>3.53</v>
      </c>
      <c r="F1610" s="3">
        <v>168.17</v>
      </c>
      <c r="G1610" s="3">
        <v>1.89</v>
      </c>
    </row>
    <row r="1611" spans="1:7" x14ac:dyDescent="0.2">
      <c r="A1611" s="2">
        <v>43620</v>
      </c>
      <c r="B1611" s="1">
        <f t="shared" si="50"/>
        <v>43617</v>
      </c>
      <c r="C1611" s="4" t="str">
        <f t="shared" si="51"/>
        <v>2019-06</v>
      </c>
      <c r="D1611" s="3">
        <v>44.91</v>
      </c>
      <c r="E1611" s="3">
        <v>3.58</v>
      </c>
      <c r="F1611" s="3">
        <v>167.5</v>
      </c>
      <c r="G1611" s="3">
        <v>1.9</v>
      </c>
    </row>
    <row r="1612" spans="1:7" x14ac:dyDescent="0.2">
      <c r="A1612" s="2">
        <v>43619</v>
      </c>
      <c r="B1612" s="1">
        <f t="shared" si="50"/>
        <v>43617</v>
      </c>
      <c r="C1612" s="4" t="str">
        <f t="shared" si="51"/>
        <v>2019-06</v>
      </c>
      <c r="D1612" s="3">
        <v>43.33</v>
      </c>
      <c r="E1612" s="3">
        <v>3.34</v>
      </c>
      <c r="F1612" s="3">
        <v>164.15</v>
      </c>
      <c r="G1612" s="3">
        <v>1.93</v>
      </c>
    </row>
    <row r="1613" spans="1:7" x14ac:dyDescent="0.2">
      <c r="A1613" s="2">
        <v>43616</v>
      </c>
      <c r="B1613" s="1">
        <f t="shared" si="50"/>
        <v>43586</v>
      </c>
      <c r="C1613" s="4" t="str">
        <f t="shared" si="51"/>
        <v>2019-05</v>
      </c>
      <c r="D1613" s="3">
        <v>43.77</v>
      </c>
      <c r="E1613" s="3">
        <v>3.39</v>
      </c>
      <c r="F1613" s="3">
        <v>177.47</v>
      </c>
      <c r="G1613" s="3">
        <v>1.9</v>
      </c>
    </row>
    <row r="1614" spans="1:7" x14ac:dyDescent="0.2">
      <c r="A1614" s="2">
        <v>43615</v>
      </c>
      <c r="B1614" s="1">
        <f t="shared" si="50"/>
        <v>43586</v>
      </c>
      <c r="C1614" s="4" t="str">
        <f t="shared" si="51"/>
        <v>2019-05</v>
      </c>
      <c r="D1614" s="3">
        <v>44.58</v>
      </c>
      <c r="E1614" s="3">
        <v>3.48</v>
      </c>
      <c r="F1614" s="3">
        <v>183.01</v>
      </c>
      <c r="G1614" s="3">
        <v>1.93</v>
      </c>
    </row>
    <row r="1615" spans="1:7" x14ac:dyDescent="0.2">
      <c r="A1615" s="2">
        <v>43614</v>
      </c>
      <c r="B1615" s="1">
        <f t="shared" si="50"/>
        <v>43586</v>
      </c>
      <c r="C1615" s="4" t="str">
        <f t="shared" si="51"/>
        <v>2019-05</v>
      </c>
      <c r="D1615" s="3">
        <v>44.35</v>
      </c>
      <c r="E1615" s="3">
        <v>3.51</v>
      </c>
      <c r="F1615" s="3">
        <v>182.19</v>
      </c>
      <c r="G1615" s="3">
        <v>1.92</v>
      </c>
    </row>
    <row r="1616" spans="1:7" x14ac:dyDescent="0.2">
      <c r="A1616" s="2">
        <v>43613</v>
      </c>
      <c r="B1616" s="1">
        <f t="shared" si="50"/>
        <v>43586</v>
      </c>
      <c r="C1616" s="4" t="str">
        <f t="shared" si="51"/>
        <v>2019-05</v>
      </c>
      <c r="D1616" s="3">
        <v>44.56</v>
      </c>
      <c r="E1616" s="3">
        <v>3.58</v>
      </c>
      <c r="F1616" s="3">
        <v>184.31</v>
      </c>
      <c r="G1616" s="3">
        <v>1.97</v>
      </c>
    </row>
    <row r="1617" spans="1:7" x14ac:dyDescent="0.2">
      <c r="A1617" s="2">
        <v>43609</v>
      </c>
      <c r="B1617" s="1">
        <f t="shared" si="50"/>
        <v>43586</v>
      </c>
      <c r="C1617" s="4" t="str">
        <f t="shared" si="51"/>
        <v>2019-05</v>
      </c>
      <c r="D1617" s="3">
        <v>44.74</v>
      </c>
      <c r="E1617" s="3">
        <v>3.63</v>
      </c>
      <c r="F1617" s="3">
        <v>181.06</v>
      </c>
      <c r="G1617" s="3">
        <v>1.99</v>
      </c>
    </row>
    <row r="1618" spans="1:7" x14ac:dyDescent="0.2">
      <c r="A1618" s="2">
        <v>43608</v>
      </c>
      <c r="B1618" s="1">
        <f t="shared" si="50"/>
        <v>43586</v>
      </c>
      <c r="C1618" s="4" t="str">
        <f t="shared" si="51"/>
        <v>2019-05</v>
      </c>
      <c r="D1618" s="3">
        <v>44.92</v>
      </c>
      <c r="E1618" s="3">
        <v>3.68</v>
      </c>
      <c r="F1618" s="3">
        <v>180.87</v>
      </c>
      <c r="G1618" s="3">
        <v>1.99</v>
      </c>
    </row>
    <row r="1619" spans="1:7" x14ac:dyDescent="0.2">
      <c r="A1619" s="2">
        <v>43607</v>
      </c>
      <c r="B1619" s="1">
        <f t="shared" si="50"/>
        <v>43586</v>
      </c>
      <c r="C1619" s="4" t="str">
        <f t="shared" si="51"/>
        <v>2019-05</v>
      </c>
      <c r="D1619" s="3">
        <v>45.7</v>
      </c>
      <c r="E1619" s="3">
        <v>3.81</v>
      </c>
      <c r="F1619" s="3">
        <v>185.32</v>
      </c>
      <c r="G1619" s="3">
        <v>2.02</v>
      </c>
    </row>
    <row r="1620" spans="1:7" x14ac:dyDescent="0.2">
      <c r="A1620" s="2">
        <v>43606</v>
      </c>
      <c r="B1620" s="1">
        <f t="shared" si="50"/>
        <v>43586</v>
      </c>
      <c r="C1620" s="4" t="str">
        <f t="shared" si="51"/>
        <v>2019-05</v>
      </c>
      <c r="D1620" s="3">
        <v>46.65</v>
      </c>
      <c r="E1620" s="3">
        <v>3.88</v>
      </c>
      <c r="F1620" s="3">
        <v>184.82</v>
      </c>
      <c r="G1620" s="3">
        <v>2.0099999999999998</v>
      </c>
    </row>
    <row r="1621" spans="1:7" x14ac:dyDescent="0.2">
      <c r="A1621" s="2">
        <v>43605</v>
      </c>
      <c r="B1621" s="1">
        <f t="shared" si="50"/>
        <v>43586</v>
      </c>
      <c r="C1621" s="4" t="str">
        <f t="shared" si="51"/>
        <v>2019-05</v>
      </c>
      <c r="D1621" s="3">
        <v>45.77</v>
      </c>
      <c r="E1621" s="3">
        <v>3.79</v>
      </c>
      <c r="F1621" s="3">
        <v>182.72</v>
      </c>
      <c r="G1621" s="3">
        <v>1.99</v>
      </c>
    </row>
    <row r="1622" spans="1:7" x14ac:dyDescent="0.2">
      <c r="A1622" s="2">
        <v>43602</v>
      </c>
      <c r="B1622" s="1">
        <f t="shared" si="50"/>
        <v>43586</v>
      </c>
      <c r="C1622" s="4" t="str">
        <f t="shared" si="51"/>
        <v>2019-05</v>
      </c>
      <c r="D1622" s="3">
        <v>47.25</v>
      </c>
      <c r="E1622" s="3">
        <v>3.91</v>
      </c>
      <c r="F1622" s="3">
        <v>185.3</v>
      </c>
      <c r="G1622" s="3">
        <v>1.99</v>
      </c>
    </row>
    <row r="1623" spans="1:7" x14ac:dyDescent="0.2">
      <c r="A1623" s="2">
        <v>43601</v>
      </c>
      <c r="B1623" s="1">
        <f t="shared" si="50"/>
        <v>43586</v>
      </c>
      <c r="C1623" s="4" t="str">
        <f t="shared" si="51"/>
        <v>2019-05</v>
      </c>
      <c r="D1623" s="3">
        <v>47.52</v>
      </c>
      <c r="E1623" s="3">
        <v>4</v>
      </c>
      <c r="F1623" s="3">
        <v>186.99</v>
      </c>
      <c r="G1623" s="3">
        <v>2</v>
      </c>
    </row>
    <row r="1624" spans="1:7" x14ac:dyDescent="0.2">
      <c r="A1624" s="2">
        <v>43600</v>
      </c>
      <c r="B1624" s="1">
        <f t="shared" si="50"/>
        <v>43586</v>
      </c>
      <c r="C1624" s="4" t="str">
        <f t="shared" si="51"/>
        <v>2019-05</v>
      </c>
      <c r="D1624" s="3">
        <v>47.73</v>
      </c>
      <c r="E1624" s="3">
        <v>3.99</v>
      </c>
      <c r="F1624" s="3">
        <v>186.27</v>
      </c>
      <c r="G1624" s="3">
        <v>2.04</v>
      </c>
    </row>
    <row r="1625" spans="1:7" x14ac:dyDescent="0.2">
      <c r="A1625" s="2">
        <v>43599</v>
      </c>
      <c r="B1625" s="1">
        <f t="shared" si="50"/>
        <v>43586</v>
      </c>
      <c r="C1625" s="4" t="str">
        <f t="shared" si="51"/>
        <v>2019-05</v>
      </c>
      <c r="D1625" s="3">
        <v>47.17</v>
      </c>
      <c r="E1625" s="3">
        <v>4.05</v>
      </c>
      <c r="F1625" s="3">
        <v>180.73</v>
      </c>
      <c r="G1625" s="3">
        <v>1.99</v>
      </c>
    </row>
    <row r="1626" spans="1:7" x14ac:dyDescent="0.2">
      <c r="A1626" s="2">
        <v>43598</v>
      </c>
      <c r="B1626" s="1">
        <f t="shared" si="50"/>
        <v>43586</v>
      </c>
      <c r="C1626" s="4" t="str">
        <f t="shared" si="51"/>
        <v>2019-05</v>
      </c>
      <c r="D1626" s="3">
        <v>46.43</v>
      </c>
      <c r="E1626" s="3">
        <v>3.96</v>
      </c>
      <c r="F1626" s="3">
        <v>181.54</v>
      </c>
      <c r="G1626" s="3">
        <v>1.97</v>
      </c>
    </row>
    <row r="1627" spans="1:7" x14ac:dyDescent="0.2">
      <c r="A1627" s="2">
        <v>43595</v>
      </c>
      <c r="B1627" s="1">
        <f t="shared" si="50"/>
        <v>43586</v>
      </c>
      <c r="C1627" s="4" t="str">
        <f t="shared" si="51"/>
        <v>2019-05</v>
      </c>
      <c r="D1627" s="3">
        <v>49.3</v>
      </c>
      <c r="E1627" s="3">
        <v>4.22</v>
      </c>
      <c r="F1627" s="3">
        <v>188.34</v>
      </c>
      <c r="G1627" s="3">
        <v>2.0099999999999998</v>
      </c>
    </row>
    <row r="1628" spans="1:7" x14ac:dyDescent="0.2">
      <c r="A1628" s="2">
        <v>43594</v>
      </c>
      <c r="B1628" s="1">
        <f t="shared" si="50"/>
        <v>43586</v>
      </c>
      <c r="C1628" s="4" t="str">
        <f t="shared" si="51"/>
        <v>2019-05</v>
      </c>
      <c r="D1628" s="3">
        <v>50.18</v>
      </c>
      <c r="E1628" s="3">
        <v>4.25</v>
      </c>
      <c r="F1628" s="3">
        <v>188.65</v>
      </c>
      <c r="G1628" s="3">
        <v>2.1</v>
      </c>
    </row>
    <row r="1629" spans="1:7" x14ac:dyDescent="0.2">
      <c r="A1629" s="2">
        <v>43593</v>
      </c>
      <c r="B1629" s="1">
        <f t="shared" si="50"/>
        <v>43586</v>
      </c>
      <c r="C1629" s="4" t="str">
        <f t="shared" si="51"/>
        <v>2019-05</v>
      </c>
      <c r="D1629" s="3">
        <v>50.73</v>
      </c>
      <c r="E1629" s="3">
        <v>4.3499999999999996</v>
      </c>
      <c r="F1629" s="3">
        <v>189.54</v>
      </c>
      <c r="G1629" s="3">
        <v>2.13</v>
      </c>
    </row>
    <row r="1630" spans="1:7" x14ac:dyDescent="0.2">
      <c r="A1630" s="2">
        <v>43592</v>
      </c>
      <c r="B1630" s="1">
        <f t="shared" si="50"/>
        <v>43586</v>
      </c>
      <c r="C1630" s="4" t="str">
        <f t="shared" si="51"/>
        <v>2019-05</v>
      </c>
      <c r="D1630" s="3">
        <v>50.72</v>
      </c>
      <c r="E1630" s="3">
        <v>4.33</v>
      </c>
      <c r="F1630" s="3">
        <v>189.77</v>
      </c>
      <c r="G1630" s="3">
        <v>2.21</v>
      </c>
    </row>
    <row r="1631" spans="1:7" x14ac:dyDescent="0.2">
      <c r="A1631" s="2">
        <v>43591</v>
      </c>
      <c r="B1631" s="1">
        <f t="shared" si="50"/>
        <v>43586</v>
      </c>
      <c r="C1631" s="4" t="str">
        <f t="shared" si="51"/>
        <v>2019-05</v>
      </c>
      <c r="D1631" s="3">
        <v>52.12</v>
      </c>
      <c r="E1631" s="3">
        <v>4.5</v>
      </c>
      <c r="F1631" s="3">
        <v>193.88</v>
      </c>
      <c r="G1631" s="3">
        <v>2.25</v>
      </c>
    </row>
    <row r="1632" spans="1:7" x14ac:dyDescent="0.2">
      <c r="A1632" s="2">
        <v>43588</v>
      </c>
      <c r="B1632" s="1">
        <f t="shared" si="50"/>
        <v>43586</v>
      </c>
      <c r="C1632" s="4" t="str">
        <f t="shared" si="51"/>
        <v>2019-05</v>
      </c>
      <c r="D1632" s="3">
        <v>52.94</v>
      </c>
      <c r="E1632" s="3">
        <v>4.58</v>
      </c>
      <c r="F1632" s="3">
        <v>195.47</v>
      </c>
      <c r="G1632" s="3">
        <v>2.25</v>
      </c>
    </row>
    <row r="1633" spans="1:7" x14ac:dyDescent="0.2">
      <c r="A1633" s="2">
        <v>43587</v>
      </c>
      <c r="B1633" s="1">
        <f t="shared" si="50"/>
        <v>43586</v>
      </c>
      <c r="C1633" s="4" t="str">
        <f t="shared" si="51"/>
        <v>2019-05</v>
      </c>
      <c r="D1633" s="3">
        <v>52.29</v>
      </c>
      <c r="E1633" s="3">
        <v>4.58</v>
      </c>
      <c r="F1633" s="3">
        <v>192.53</v>
      </c>
      <c r="G1633" s="3">
        <v>2.2400000000000002</v>
      </c>
    </row>
    <row r="1634" spans="1:7" x14ac:dyDescent="0.2">
      <c r="A1634" s="2">
        <v>43586</v>
      </c>
      <c r="B1634" s="1">
        <f t="shared" si="50"/>
        <v>43586</v>
      </c>
      <c r="C1634" s="4" t="str">
        <f t="shared" si="51"/>
        <v>2019-05</v>
      </c>
      <c r="D1634" s="3">
        <v>52.63</v>
      </c>
      <c r="E1634" s="3">
        <v>4.51</v>
      </c>
      <c r="F1634" s="3">
        <v>193.03</v>
      </c>
      <c r="G1634" s="3">
        <v>2.29</v>
      </c>
    </row>
    <row r="1635" spans="1:7" x14ac:dyDescent="0.2">
      <c r="A1635" s="2">
        <v>43585</v>
      </c>
      <c r="B1635" s="1">
        <f t="shared" si="50"/>
        <v>43556</v>
      </c>
      <c r="C1635" s="4" t="str">
        <f t="shared" si="51"/>
        <v>2019-04</v>
      </c>
      <c r="D1635" s="3">
        <v>50.17</v>
      </c>
      <c r="E1635" s="3">
        <v>4.53</v>
      </c>
      <c r="F1635" s="3">
        <v>193.4</v>
      </c>
      <c r="G1635" s="3">
        <v>2.2400000000000002</v>
      </c>
    </row>
    <row r="1636" spans="1:7" x14ac:dyDescent="0.2">
      <c r="A1636" s="2">
        <v>43584</v>
      </c>
      <c r="B1636" s="1">
        <f t="shared" si="50"/>
        <v>43556</v>
      </c>
      <c r="C1636" s="4" t="str">
        <f t="shared" si="51"/>
        <v>2019-04</v>
      </c>
      <c r="D1636" s="3">
        <v>51.15</v>
      </c>
      <c r="E1636" s="3">
        <v>4.4800000000000004</v>
      </c>
      <c r="F1636" s="3">
        <v>194.78</v>
      </c>
      <c r="G1636" s="3">
        <v>2.23</v>
      </c>
    </row>
    <row r="1637" spans="1:7" x14ac:dyDescent="0.2">
      <c r="A1637" s="2">
        <v>43581</v>
      </c>
      <c r="B1637" s="1">
        <f t="shared" si="50"/>
        <v>43556</v>
      </c>
      <c r="C1637" s="4" t="str">
        <f t="shared" si="51"/>
        <v>2019-04</v>
      </c>
      <c r="D1637" s="3">
        <v>51.08</v>
      </c>
      <c r="E1637" s="3">
        <v>4.45</v>
      </c>
      <c r="F1637" s="3">
        <v>191.49</v>
      </c>
      <c r="G1637" s="3">
        <v>2.2200000000000002</v>
      </c>
    </row>
    <row r="1638" spans="1:7" x14ac:dyDescent="0.2">
      <c r="A1638" s="2">
        <v>43580</v>
      </c>
      <c r="B1638" s="1">
        <f t="shared" si="50"/>
        <v>43556</v>
      </c>
      <c r="C1638" s="4" t="str">
        <f t="shared" si="51"/>
        <v>2019-04</v>
      </c>
      <c r="D1638" s="3">
        <v>51.32</v>
      </c>
      <c r="E1638" s="3">
        <v>4.67</v>
      </c>
      <c r="F1638" s="3">
        <v>193.26</v>
      </c>
      <c r="G1638" s="3">
        <v>2.23</v>
      </c>
    </row>
    <row r="1639" spans="1:7" x14ac:dyDescent="0.2">
      <c r="A1639" s="2">
        <v>43579</v>
      </c>
      <c r="B1639" s="1">
        <f t="shared" si="50"/>
        <v>43556</v>
      </c>
      <c r="C1639" s="4" t="str">
        <f t="shared" si="51"/>
        <v>2019-04</v>
      </c>
      <c r="D1639" s="3">
        <v>51.79</v>
      </c>
      <c r="E1639" s="3">
        <v>4.78</v>
      </c>
      <c r="F1639" s="3">
        <v>182.58</v>
      </c>
      <c r="G1639" s="3">
        <v>2.2200000000000002</v>
      </c>
    </row>
    <row r="1640" spans="1:7" x14ac:dyDescent="0.2">
      <c r="A1640" s="2">
        <v>43578</v>
      </c>
      <c r="B1640" s="1">
        <f t="shared" si="50"/>
        <v>43556</v>
      </c>
      <c r="C1640" s="4" t="str">
        <f t="shared" si="51"/>
        <v>2019-04</v>
      </c>
      <c r="D1640" s="3">
        <v>51.87</v>
      </c>
      <c r="E1640" s="3">
        <v>4.7699999999999996</v>
      </c>
      <c r="F1640" s="3">
        <v>183.78</v>
      </c>
      <c r="G1640" s="3">
        <v>2.2200000000000002</v>
      </c>
    </row>
    <row r="1641" spans="1:7" x14ac:dyDescent="0.2">
      <c r="A1641" s="2">
        <v>43577</v>
      </c>
      <c r="B1641" s="1">
        <f t="shared" si="50"/>
        <v>43556</v>
      </c>
      <c r="C1641" s="4" t="str">
        <f t="shared" si="51"/>
        <v>2019-04</v>
      </c>
      <c r="D1641" s="3">
        <v>51.13</v>
      </c>
      <c r="E1641" s="3">
        <v>4.71</v>
      </c>
      <c r="F1641" s="3">
        <v>181.44</v>
      </c>
      <c r="G1641" s="3">
        <v>2.2000000000000002</v>
      </c>
    </row>
    <row r="1642" spans="1:7" x14ac:dyDescent="0.2">
      <c r="A1642" s="2">
        <v>43573</v>
      </c>
      <c r="B1642" s="1">
        <f t="shared" si="50"/>
        <v>43556</v>
      </c>
      <c r="C1642" s="4" t="str">
        <f t="shared" si="51"/>
        <v>2019-04</v>
      </c>
      <c r="D1642" s="3">
        <v>50.97</v>
      </c>
      <c r="E1642" s="3">
        <v>4.66</v>
      </c>
      <c r="F1642" s="3">
        <v>178.28</v>
      </c>
      <c r="G1642" s="3">
        <v>2.2000000000000002</v>
      </c>
    </row>
    <row r="1643" spans="1:7" x14ac:dyDescent="0.2">
      <c r="A1643" s="2">
        <v>43572</v>
      </c>
      <c r="B1643" s="1">
        <f t="shared" si="50"/>
        <v>43556</v>
      </c>
      <c r="C1643" s="4" t="str">
        <f t="shared" si="51"/>
        <v>2019-04</v>
      </c>
      <c r="D1643" s="3">
        <v>50.78</v>
      </c>
      <c r="E1643" s="3">
        <v>4.68</v>
      </c>
      <c r="F1643" s="3">
        <v>178.78</v>
      </c>
      <c r="G1643" s="3">
        <v>2.21</v>
      </c>
    </row>
    <row r="1644" spans="1:7" x14ac:dyDescent="0.2">
      <c r="A1644" s="2">
        <v>43571</v>
      </c>
      <c r="B1644" s="1">
        <f t="shared" si="50"/>
        <v>43556</v>
      </c>
      <c r="C1644" s="4" t="str">
        <f t="shared" si="51"/>
        <v>2019-04</v>
      </c>
      <c r="D1644" s="3">
        <v>49.81</v>
      </c>
      <c r="E1644" s="3">
        <v>4.71</v>
      </c>
      <c r="F1644" s="3">
        <v>178.87</v>
      </c>
      <c r="G1644" s="3">
        <v>2.2000000000000002</v>
      </c>
    </row>
    <row r="1645" spans="1:7" x14ac:dyDescent="0.2">
      <c r="A1645" s="2">
        <v>43570</v>
      </c>
      <c r="B1645" s="1">
        <f t="shared" si="50"/>
        <v>43556</v>
      </c>
      <c r="C1645" s="4" t="str">
        <f t="shared" si="51"/>
        <v>2019-04</v>
      </c>
      <c r="D1645" s="3">
        <v>49.81</v>
      </c>
      <c r="E1645" s="3">
        <v>4.62</v>
      </c>
      <c r="F1645" s="3">
        <v>179.65</v>
      </c>
      <c r="G1645" s="3">
        <v>2.2000000000000002</v>
      </c>
    </row>
    <row r="1646" spans="1:7" x14ac:dyDescent="0.2">
      <c r="A1646" s="2">
        <v>43567</v>
      </c>
      <c r="B1646" s="1">
        <f t="shared" si="50"/>
        <v>43556</v>
      </c>
      <c r="C1646" s="4" t="str">
        <f t="shared" si="51"/>
        <v>2019-04</v>
      </c>
      <c r="D1646" s="3">
        <v>49.72</v>
      </c>
      <c r="E1646" s="3">
        <v>4.75</v>
      </c>
      <c r="F1646" s="3">
        <v>179.1</v>
      </c>
      <c r="G1646" s="3">
        <v>2.2000000000000002</v>
      </c>
    </row>
    <row r="1647" spans="1:7" x14ac:dyDescent="0.2">
      <c r="A1647" s="2">
        <v>43566</v>
      </c>
      <c r="B1647" s="1">
        <f t="shared" si="50"/>
        <v>43556</v>
      </c>
      <c r="C1647" s="4" t="str">
        <f t="shared" si="51"/>
        <v>2019-04</v>
      </c>
      <c r="D1647" s="3">
        <v>49.74</v>
      </c>
      <c r="E1647" s="3">
        <v>4.79</v>
      </c>
      <c r="F1647" s="3">
        <v>177.51</v>
      </c>
      <c r="G1647" s="3">
        <v>2.2000000000000002</v>
      </c>
    </row>
    <row r="1648" spans="1:7" x14ac:dyDescent="0.2">
      <c r="A1648" s="2">
        <v>43565</v>
      </c>
      <c r="B1648" s="1">
        <f t="shared" si="50"/>
        <v>43556</v>
      </c>
      <c r="C1648" s="4" t="str">
        <f t="shared" si="51"/>
        <v>2019-04</v>
      </c>
      <c r="D1648" s="3">
        <v>50.16</v>
      </c>
      <c r="E1648" s="3">
        <v>4.8</v>
      </c>
      <c r="F1648" s="3">
        <v>177.82</v>
      </c>
      <c r="G1648" s="3">
        <v>2.19</v>
      </c>
    </row>
    <row r="1649" spans="1:7" x14ac:dyDescent="0.2">
      <c r="A1649" s="2">
        <v>43564</v>
      </c>
      <c r="B1649" s="1">
        <f t="shared" si="50"/>
        <v>43556</v>
      </c>
      <c r="C1649" s="4" t="str">
        <f t="shared" si="51"/>
        <v>2019-04</v>
      </c>
      <c r="D1649" s="3">
        <v>49.88</v>
      </c>
      <c r="E1649" s="3">
        <v>4.7300000000000004</v>
      </c>
      <c r="F1649" s="3">
        <v>177.58</v>
      </c>
      <c r="G1649" s="3">
        <v>2.2000000000000002</v>
      </c>
    </row>
    <row r="1650" spans="1:7" x14ac:dyDescent="0.2">
      <c r="A1650" s="2">
        <v>43563</v>
      </c>
      <c r="B1650" s="1">
        <f t="shared" si="50"/>
        <v>43556</v>
      </c>
      <c r="C1650" s="4" t="str">
        <f t="shared" si="51"/>
        <v>2019-04</v>
      </c>
      <c r="D1650" s="3">
        <v>50.03</v>
      </c>
      <c r="E1650" s="3">
        <v>4.79</v>
      </c>
      <c r="F1650" s="3">
        <v>174.93</v>
      </c>
      <c r="G1650" s="3">
        <v>2.2000000000000002</v>
      </c>
    </row>
    <row r="1651" spans="1:7" x14ac:dyDescent="0.2">
      <c r="A1651" s="2">
        <v>43560</v>
      </c>
      <c r="B1651" s="1">
        <f t="shared" si="50"/>
        <v>43556</v>
      </c>
      <c r="C1651" s="4" t="str">
        <f t="shared" si="51"/>
        <v>2019-04</v>
      </c>
      <c r="D1651" s="3">
        <v>49.25</v>
      </c>
      <c r="E1651" s="3">
        <v>4.7699999999999996</v>
      </c>
      <c r="F1651" s="3">
        <v>175.72</v>
      </c>
      <c r="G1651" s="3">
        <v>2.2000000000000002</v>
      </c>
    </row>
    <row r="1652" spans="1:7" x14ac:dyDescent="0.2">
      <c r="A1652" s="2">
        <v>43559</v>
      </c>
      <c r="B1652" s="1">
        <f t="shared" si="50"/>
        <v>43556</v>
      </c>
      <c r="C1652" s="4" t="str">
        <f t="shared" si="51"/>
        <v>2019-04</v>
      </c>
      <c r="D1652" s="3">
        <v>48.92</v>
      </c>
      <c r="E1652" s="3">
        <v>4.71</v>
      </c>
      <c r="F1652" s="3">
        <v>176.02</v>
      </c>
      <c r="G1652" s="3">
        <v>2.2000000000000002</v>
      </c>
    </row>
    <row r="1653" spans="1:7" x14ac:dyDescent="0.2">
      <c r="A1653" s="2">
        <v>43558</v>
      </c>
      <c r="B1653" s="1">
        <f t="shared" si="50"/>
        <v>43556</v>
      </c>
      <c r="C1653" s="4" t="str">
        <f t="shared" si="51"/>
        <v>2019-04</v>
      </c>
      <c r="D1653" s="3">
        <v>48.84</v>
      </c>
      <c r="E1653" s="3">
        <v>4.72</v>
      </c>
      <c r="F1653" s="3">
        <v>173.54</v>
      </c>
      <c r="G1653" s="3">
        <v>2.2000000000000002</v>
      </c>
    </row>
    <row r="1654" spans="1:7" x14ac:dyDescent="0.2">
      <c r="A1654" s="2">
        <v>43557</v>
      </c>
      <c r="B1654" s="1">
        <f t="shared" si="50"/>
        <v>43556</v>
      </c>
      <c r="C1654" s="4" t="str">
        <f t="shared" si="51"/>
        <v>2019-04</v>
      </c>
      <c r="D1654" s="3">
        <v>48.51</v>
      </c>
      <c r="E1654" s="3">
        <v>4.58</v>
      </c>
      <c r="F1654" s="3">
        <v>174.2</v>
      </c>
      <c r="G1654" s="3">
        <v>2.2000000000000002</v>
      </c>
    </row>
    <row r="1655" spans="1:7" x14ac:dyDescent="0.2">
      <c r="A1655" s="2">
        <v>43556</v>
      </c>
      <c r="B1655" s="1">
        <f t="shared" si="50"/>
        <v>43556</v>
      </c>
      <c r="C1655" s="4" t="str">
        <f t="shared" si="51"/>
        <v>2019-04</v>
      </c>
      <c r="D1655" s="3">
        <v>47.81</v>
      </c>
      <c r="E1655" s="3">
        <v>4.5599999999999996</v>
      </c>
      <c r="F1655" s="3">
        <v>168.7</v>
      </c>
      <c r="G1655" s="3">
        <v>2.19</v>
      </c>
    </row>
    <row r="1656" spans="1:7" x14ac:dyDescent="0.2">
      <c r="A1656" s="2">
        <v>43553</v>
      </c>
      <c r="B1656" s="1">
        <f t="shared" si="50"/>
        <v>43525</v>
      </c>
      <c r="C1656" s="4" t="str">
        <f t="shared" si="51"/>
        <v>2019-03</v>
      </c>
      <c r="D1656" s="3">
        <v>47.49</v>
      </c>
      <c r="E1656" s="3">
        <v>4.49</v>
      </c>
      <c r="F1656" s="3">
        <v>166.69</v>
      </c>
      <c r="G1656" s="3">
        <v>2.11</v>
      </c>
    </row>
    <row r="1657" spans="1:7" x14ac:dyDescent="0.2">
      <c r="A1657" s="2">
        <v>43552</v>
      </c>
      <c r="B1657" s="1">
        <f t="shared" si="50"/>
        <v>43525</v>
      </c>
      <c r="C1657" s="4" t="str">
        <f t="shared" si="51"/>
        <v>2019-03</v>
      </c>
      <c r="D1657" s="3">
        <v>47.18</v>
      </c>
      <c r="E1657" s="3">
        <v>4.43</v>
      </c>
      <c r="F1657" s="3">
        <v>165.55</v>
      </c>
      <c r="G1657" s="3">
        <v>2.1</v>
      </c>
    </row>
    <row r="1658" spans="1:7" x14ac:dyDescent="0.2">
      <c r="A1658" s="2">
        <v>43551</v>
      </c>
      <c r="B1658" s="1">
        <f t="shared" si="50"/>
        <v>43525</v>
      </c>
      <c r="C1658" s="4" t="str">
        <f t="shared" si="51"/>
        <v>2019-03</v>
      </c>
      <c r="D1658" s="3">
        <v>47.12</v>
      </c>
      <c r="E1658" s="3">
        <v>4.41</v>
      </c>
      <c r="F1658" s="3">
        <v>165.87</v>
      </c>
      <c r="G1658" s="3">
        <v>2.1</v>
      </c>
    </row>
    <row r="1659" spans="1:7" x14ac:dyDescent="0.2">
      <c r="A1659" s="2">
        <v>43550</v>
      </c>
      <c r="B1659" s="1">
        <f t="shared" si="50"/>
        <v>43525</v>
      </c>
      <c r="C1659" s="4" t="str">
        <f t="shared" si="51"/>
        <v>2019-03</v>
      </c>
      <c r="D1659" s="3">
        <v>46.7</v>
      </c>
      <c r="E1659" s="3">
        <v>4.42</v>
      </c>
      <c r="F1659" s="3">
        <v>167.68</v>
      </c>
      <c r="G1659" s="3">
        <v>2.09</v>
      </c>
    </row>
    <row r="1660" spans="1:7" x14ac:dyDescent="0.2">
      <c r="A1660" s="2">
        <v>43549</v>
      </c>
      <c r="B1660" s="1">
        <f t="shared" si="50"/>
        <v>43525</v>
      </c>
      <c r="C1660" s="4" t="str">
        <f t="shared" si="51"/>
        <v>2019-03</v>
      </c>
      <c r="D1660" s="3">
        <v>47.19</v>
      </c>
      <c r="E1660" s="3">
        <v>4.34</v>
      </c>
      <c r="F1660" s="3">
        <v>166.29</v>
      </c>
      <c r="G1660" s="3">
        <v>2.09</v>
      </c>
    </row>
    <row r="1661" spans="1:7" x14ac:dyDescent="0.2">
      <c r="A1661" s="2">
        <v>43546</v>
      </c>
      <c r="B1661" s="1">
        <f t="shared" si="50"/>
        <v>43525</v>
      </c>
      <c r="C1661" s="4" t="str">
        <f t="shared" si="51"/>
        <v>2019-03</v>
      </c>
      <c r="D1661" s="3">
        <v>47.76</v>
      </c>
      <c r="E1661" s="3">
        <v>4.4400000000000004</v>
      </c>
      <c r="F1661" s="3">
        <v>164.34</v>
      </c>
      <c r="G1661" s="3">
        <v>2.06</v>
      </c>
    </row>
    <row r="1662" spans="1:7" x14ac:dyDescent="0.2">
      <c r="A1662" s="2">
        <v>43545</v>
      </c>
      <c r="B1662" s="1">
        <f t="shared" si="50"/>
        <v>43525</v>
      </c>
      <c r="C1662" s="4" t="str">
        <f t="shared" si="51"/>
        <v>2019-03</v>
      </c>
      <c r="D1662" s="3">
        <v>48.77</v>
      </c>
      <c r="E1662" s="3">
        <v>4.5999999999999996</v>
      </c>
      <c r="F1662" s="3">
        <v>166.08</v>
      </c>
      <c r="G1662" s="3">
        <v>2.0699999999999998</v>
      </c>
    </row>
    <row r="1663" spans="1:7" x14ac:dyDescent="0.2">
      <c r="A1663" s="2">
        <v>43544</v>
      </c>
      <c r="B1663" s="1">
        <f t="shared" si="50"/>
        <v>43525</v>
      </c>
      <c r="C1663" s="4" t="str">
        <f t="shared" si="51"/>
        <v>2019-03</v>
      </c>
      <c r="D1663" s="3">
        <v>47.04</v>
      </c>
      <c r="E1663" s="3">
        <v>4.3600000000000003</v>
      </c>
      <c r="F1663" s="3">
        <v>165.44</v>
      </c>
      <c r="G1663" s="3">
        <v>2.0499999999999998</v>
      </c>
    </row>
    <row r="1664" spans="1:7" x14ac:dyDescent="0.2">
      <c r="A1664" s="2">
        <v>43543</v>
      </c>
      <c r="B1664" s="1">
        <f t="shared" si="50"/>
        <v>43525</v>
      </c>
      <c r="C1664" s="4" t="str">
        <f t="shared" si="51"/>
        <v>2019-03</v>
      </c>
      <c r="D1664" s="3">
        <v>46.63</v>
      </c>
      <c r="E1664" s="3">
        <v>4.3899999999999997</v>
      </c>
      <c r="F1664" s="3">
        <v>161.57</v>
      </c>
      <c r="G1664" s="3">
        <v>2.0299999999999998</v>
      </c>
    </row>
    <row r="1665" spans="1:7" x14ac:dyDescent="0.2">
      <c r="A1665" s="2">
        <v>43542</v>
      </c>
      <c r="B1665" s="1">
        <f t="shared" si="50"/>
        <v>43525</v>
      </c>
      <c r="C1665" s="4" t="str">
        <f t="shared" si="51"/>
        <v>2019-03</v>
      </c>
      <c r="D1665" s="3">
        <v>47.01</v>
      </c>
      <c r="E1665" s="3">
        <v>4.22</v>
      </c>
      <c r="F1665" s="3">
        <v>160.47</v>
      </c>
      <c r="G1665" s="3">
        <v>2.0299999999999998</v>
      </c>
    </row>
    <row r="1666" spans="1:7" x14ac:dyDescent="0.2">
      <c r="A1666" s="2">
        <v>43539</v>
      </c>
      <c r="B1666" s="1">
        <f t="shared" si="50"/>
        <v>43525</v>
      </c>
      <c r="C1666" s="4" t="str">
        <f t="shared" si="51"/>
        <v>2019-03</v>
      </c>
      <c r="D1666" s="3">
        <v>46.53</v>
      </c>
      <c r="E1666" s="3">
        <v>4.25</v>
      </c>
      <c r="F1666" s="3">
        <v>165.98</v>
      </c>
      <c r="G1666" s="3">
        <v>2.0099999999999998</v>
      </c>
    </row>
    <row r="1667" spans="1:7" x14ac:dyDescent="0.2">
      <c r="A1667" s="2">
        <v>43538</v>
      </c>
      <c r="B1667" s="1">
        <f t="shared" ref="B1667:B1730" si="52">EOMONTH(A1667, -1)+1</f>
        <v>43525</v>
      </c>
      <c r="C1667" s="4" t="str">
        <f t="shared" ref="C1667:C1730" si="53">TEXT(A1667, "yyyy-mm")</f>
        <v>2019-03</v>
      </c>
      <c r="D1667" s="3">
        <v>45.93</v>
      </c>
      <c r="E1667" s="3">
        <v>4.1399999999999997</v>
      </c>
      <c r="F1667" s="3">
        <v>170.17</v>
      </c>
      <c r="G1667" s="3">
        <v>2</v>
      </c>
    </row>
    <row r="1668" spans="1:7" x14ac:dyDescent="0.2">
      <c r="A1668" s="2">
        <v>43537</v>
      </c>
      <c r="B1668" s="1">
        <f t="shared" si="52"/>
        <v>43525</v>
      </c>
      <c r="C1668" s="4" t="str">
        <f t="shared" si="53"/>
        <v>2019-03</v>
      </c>
      <c r="D1668" s="3">
        <v>45.43</v>
      </c>
      <c r="E1668" s="3">
        <v>4.22</v>
      </c>
      <c r="F1668" s="3">
        <v>173.37</v>
      </c>
      <c r="G1668" s="3">
        <v>1.98</v>
      </c>
    </row>
    <row r="1669" spans="1:7" x14ac:dyDescent="0.2">
      <c r="A1669" s="2">
        <v>43536</v>
      </c>
      <c r="B1669" s="1">
        <f t="shared" si="52"/>
        <v>43525</v>
      </c>
      <c r="C1669" s="4" t="str">
        <f t="shared" si="53"/>
        <v>2019-03</v>
      </c>
      <c r="D1669" s="3">
        <v>45.23</v>
      </c>
      <c r="E1669" s="3">
        <v>4.0599999999999996</v>
      </c>
      <c r="F1669" s="3">
        <v>171.92</v>
      </c>
      <c r="G1669" s="3">
        <v>1.96</v>
      </c>
    </row>
    <row r="1670" spans="1:7" x14ac:dyDescent="0.2">
      <c r="A1670" s="2">
        <v>43535</v>
      </c>
      <c r="B1670" s="1">
        <f t="shared" si="52"/>
        <v>43525</v>
      </c>
      <c r="C1670" s="4" t="str">
        <f t="shared" si="53"/>
        <v>2019-03</v>
      </c>
      <c r="D1670" s="3">
        <v>44.73</v>
      </c>
      <c r="E1670" s="3">
        <v>4.03</v>
      </c>
      <c r="F1670" s="3">
        <v>172.07</v>
      </c>
      <c r="G1670" s="3">
        <v>1.95</v>
      </c>
    </row>
    <row r="1671" spans="1:7" x14ac:dyDescent="0.2">
      <c r="A1671" s="2">
        <v>43532</v>
      </c>
      <c r="B1671" s="1">
        <f t="shared" si="52"/>
        <v>43525</v>
      </c>
      <c r="C1671" s="4" t="str">
        <f t="shared" si="53"/>
        <v>2019-03</v>
      </c>
      <c r="D1671" s="3">
        <v>43.23</v>
      </c>
      <c r="E1671" s="3">
        <v>3.77</v>
      </c>
      <c r="F1671" s="3">
        <v>169.6</v>
      </c>
      <c r="G1671" s="3">
        <v>1.95</v>
      </c>
    </row>
    <row r="1672" spans="1:7" x14ac:dyDescent="0.2">
      <c r="A1672" s="2">
        <v>43531</v>
      </c>
      <c r="B1672" s="1">
        <f t="shared" si="52"/>
        <v>43525</v>
      </c>
      <c r="C1672" s="4" t="str">
        <f t="shared" si="53"/>
        <v>2019-03</v>
      </c>
      <c r="D1672" s="3">
        <v>43.13</v>
      </c>
      <c r="E1672" s="3">
        <v>3.73</v>
      </c>
      <c r="F1672" s="3">
        <v>169.13</v>
      </c>
      <c r="G1672" s="3">
        <v>1.95</v>
      </c>
    </row>
    <row r="1673" spans="1:7" x14ac:dyDescent="0.2">
      <c r="A1673" s="2">
        <v>43530</v>
      </c>
      <c r="B1673" s="1">
        <f t="shared" si="52"/>
        <v>43525</v>
      </c>
      <c r="C1673" s="4" t="str">
        <f t="shared" si="53"/>
        <v>2019-03</v>
      </c>
      <c r="D1673" s="3">
        <v>43.63</v>
      </c>
      <c r="E1673" s="3">
        <v>3.8</v>
      </c>
      <c r="F1673" s="3">
        <v>172.51</v>
      </c>
      <c r="G1673" s="3">
        <v>1.92</v>
      </c>
    </row>
    <row r="1674" spans="1:7" x14ac:dyDescent="0.2">
      <c r="A1674" s="2">
        <v>43529</v>
      </c>
      <c r="B1674" s="1">
        <f t="shared" si="52"/>
        <v>43525</v>
      </c>
      <c r="C1674" s="4" t="str">
        <f t="shared" si="53"/>
        <v>2019-03</v>
      </c>
      <c r="D1674" s="3">
        <v>43.88</v>
      </c>
      <c r="E1674" s="3">
        <v>3.91</v>
      </c>
      <c r="F1674" s="3">
        <v>171.26</v>
      </c>
      <c r="G1674" s="3">
        <v>1.98</v>
      </c>
    </row>
    <row r="1675" spans="1:7" x14ac:dyDescent="0.2">
      <c r="A1675" s="2">
        <v>43528</v>
      </c>
      <c r="B1675" s="1">
        <f t="shared" si="52"/>
        <v>43525</v>
      </c>
      <c r="C1675" s="4" t="str">
        <f t="shared" si="53"/>
        <v>2019-03</v>
      </c>
      <c r="D1675" s="3">
        <v>43.96</v>
      </c>
      <c r="E1675" s="3">
        <v>3.92</v>
      </c>
      <c r="F1675" s="3">
        <v>167.37</v>
      </c>
      <c r="G1675" s="3">
        <v>1.96</v>
      </c>
    </row>
    <row r="1676" spans="1:7" x14ac:dyDescent="0.2">
      <c r="A1676" s="2">
        <v>43525</v>
      </c>
      <c r="B1676" s="1">
        <f t="shared" si="52"/>
        <v>43525</v>
      </c>
      <c r="C1676" s="4" t="str">
        <f t="shared" si="53"/>
        <v>2019-03</v>
      </c>
      <c r="D1676" s="3">
        <v>43.74</v>
      </c>
      <c r="E1676" s="3">
        <v>3.91</v>
      </c>
      <c r="F1676" s="3">
        <v>162.28</v>
      </c>
      <c r="G1676" s="3">
        <v>1.96</v>
      </c>
    </row>
    <row r="1677" spans="1:7" x14ac:dyDescent="0.2">
      <c r="A1677" s="2">
        <v>43524</v>
      </c>
      <c r="B1677" s="1">
        <f t="shared" si="52"/>
        <v>43497</v>
      </c>
      <c r="C1677" s="4" t="str">
        <f t="shared" si="53"/>
        <v>2019-02</v>
      </c>
      <c r="D1677" s="3">
        <v>43.29</v>
      </c>
      <c r="E1677" s="3">
        <v>3.86</v>
      </c>
      <c r="F1677" s="3">
        <v>161.44999999999999</v>
      </c>
      <c r="G1677" s="3">
        <v>1.91</v>
      </c>
    </row>
    <row r="1678" spans="1:7" x14ac:dyDescent="0.2">
      <c r="A1678" s="2">
        <v>43523</v>
      </c>
      <c r="B1678" s="1">
        <f t="shared" si="52"/>
        <v>43497</v>
      </c>
      <c r="C1678" s="4" t="str">
        <f t="shared" si="53"/>
        <v>2019-02</v>
      </c>
      <c r="D1678" s="3">
        <v>43.72</v>
      </c>
      <c r="E1678" s="3">
        <v>3.89</v>
      </c>
      <c r="F1678" s="3">
        <v>162.81</v>
      </c>
      <c r="G1678" s="3">
        <v>1.91</v>
      </c>
    </row>
    <row r="1679" spans="1:7" x14ac:dyDescent="0.2">
      <c r="A1679" s="2">
        <v>43522</v>
      </c>
      <c r="B1679" s="1">
        <f t="shared" si="52"/>
        <v>43497</v>
      </c>
      <c r="C1679" s="4" t="str">
        <f t="shared" si="53"/>
        <v>2019-02</v>
      </c>
      <c r="D1679" s="3">
        <v>43.58</v>
      </c>
      <c r="E1679" s="3">
        <v>3.93</v>
      </c>
      <c r="F1679" s="3">
        <v>164.13</v>
      </c>
      <c r="G1679" s="3">
        <v>1.94</v>
      </c>
    </row>
    <row r="1680" spans="1:7" x14ac:dyDescent="0.2">
      <c r="A1680" s="2">
        <v>43521</v>
      </c>
      <c r="B1680" s="1">
        <f t="shared" si="52"/>
        <v>43497</v>
      </c>
      <c r="C1680" s="4" t="str">
        <f t="shared" si="53"/>
        <v>2019-02</v>
      </c>
      <c r="D1680" s="3">
        <v>43.56</v>
      </c>
      <c r="E1680" s="3">
        <v>3.97</v>
      </c>
      <c r="F1680" s="3">
        <v>164.62</v>
      </c>
      <c r="G1680" s="3">
        <v>1.97</v>
      </c>
    </row>
    <row r="1681" spans="1:7" x14ac:dyDescent="0.2">
      <c r="A1681" s="2">
        <v>43518</v>
      </c>
      <c r="B1681" s="1">
        <f t="shared" si="52"/>
        <v>43497</v>
      </c>
      <c r="C1681" s="4" t="str">
        <f t="shared" si="53"/>
        <v>2019-02</v>
      </c>
      <c r="D1681" s="3">
        <v>43.24</v>
      </c>
      <c r="E1681" s="3">
        <v>3.98</v>
      </c>
      <c r="F1681" s="3">
        <v>161.88999999999999</v>
      </c>
      <c r="G1681" s="3">
        <v>1.97</v>
      </c>
    </row>
    <row r="1682" spans="1:7" x14ac:dyDescent="0.2">
      <c r="A1682" s="2">
        <v>43517</v>
      </c>
      <c r="B1682" s="1">
        <f t="shared" si="52"/>
        <v>43497</v>
      </c>
      <c r="C1682" s="4" t="str">
        <f t="shared" si="53"/>
        <v>2019-02</v>
      </c>
      <c r="D1682" s="3">
        <v>42.77</v>
      </c>
      <c r="E1682" s="3">
        <v>3.89</v>
      </c>
      <c r="F1682" s="3">
        <v>160.04</v>
      </c>
      <c r="G1682" s="3">
        <v>1.93</v>
      </c>
    </row>
    <row r="1683" spans="1:7" x14ac:dyDescent="0.2">
      <c r="A1683" s="2">
        <v>43516</v>
      </c>
      <c r="B1683" s="1">
        <f t="shared" si="52"/>
        <v>43497</v>
      </c>
      <c r="C1683" s="4" t="str">
        <f t="shared" si="53"/>
        <v>2019-02</v>
      </c>
      <c r="D1683" s="3">
        <v>43.01</v>
      </c>
      <c r="E1683" s="3">
        <v>3.96</v>
      </c>
      <c r="F1683" s="3">
        <v>162.56</v>
      </c>
      <c r="G1683" s="3">
        <v>1.92</v>
      </c>
    </row>
    <row r="1684" spans="1:7" x14ac:dyDescent="0.2">
      <c r="A1684" s="2">
        <v>43515</v>
      </c>
      <c r="B1684" s="1">
        <f t="shared" si="52"/>
        <v>43497</v>
      </c>
      <c r="C1684" s="4" t="str">
        <f t="shared" si="53"/>
        <v>2019-02</v>
      </c>
      <c r="D1684" s="3">
        <v>42.73</v>
      </c>
      <c r="E1684" s="3">
        <v>3.92</v>
      </c>
      <c r="F1684" s="3">
        <v>162.29</v>
      </c>
      <c r="G1684" s="3">
        <v>2</v>
      </c>
    </row>
    <row r="1685" spans="1:7" x14ac:dyDescent="0.2">
      <c r="A1685" s="2">
        <v>43511</v>
      </c>
      <c r="B1685" s="1">
        <f t="shared" si="52"/>
        <v>43497</v>
      </c>
      <c r="C1685" s="4" t="str">
        <f t="shared" si="53"/>
        <v>2019-02</v>
      </c>
      <c r="D1685" s="3">
        <v>42.61</v>
      </c>
      <c r="E1685" s="3">
        <v>3.93</v>
      </c>
      <c r="F1685" s="3">
        <v>162.5</v>
      </c>
      <c r="G1685" s="3">
        <v>1.98</v>
      </c>
    </row>
    <row r="1686" spans="1:7" x14ac:dyDescent="0.2">
      <c r="A1686" s="2">
        <v>43510</v>
      </c>
      <c r="B1686" s="1">
        <f t="shared" si="52"/>
        <v>43497</v>
      </c>
      <c r="C1686" s="4" t="str">
        <f t="shared" si="53"/>
        <v>2019-02</v>
      </c>
      <c r="D1686" s="3">
        <v>42.7</v>
      </c>
      <c r="E1686" s="3">
        <v>3.86</v>
      </c>
      <c r="F1686" s="3">
        <v>163.95</v>
      </c>
      <c r="G1686" s="3">
        <v>1.62</v>
      </c>
    </row>
    <row r="1687" spans="1:7" x14ac:dyDescent="0.2">
      <c r="A1687" s="2">
        <v>43509</v>
      </c>
      <c r="B1687" s="1">
        <f t="shared" si="52"/>
        <v>43497</v>
      </c>
      <c r="C1687" s="4" t="str">
        <f t="shared" si="53"/>
        <v>2019-02</v>
      </c>
      <c r="D1687" s="3">
        <v>42.55</v>
      </c>
      <c r="E1687" s="3">
        <v>3.82</v>
      </c>
      <c r="F1687" s="3">
        <v>164.07</v>
      </c>
      <c r="G1687" s="3">
        <v>1.64</v>
      </c>
    </row>
    <row r="1688" spans="1:7" x14ac:dyDescent="0.2">
      <c r="A1688" s="2">
        <v>43508</v>
      </c>
      <c r="B1688" s="1">
        <f t="shared" si="52"/>
        <v>43497</v>
      </c>
      <c r="C1688" s="4" t="str">
        <f t="shared" si="53"/>
        <v>2019-02</v>
      </c>
      <c r="D1688" s="3">
        <v>42.72</v>
      </c>
      <c r="E1688" s="3">
        <v>3.78</v>
      </c>
      <c r="F1688" s="3">
        <v>165.04</v>
      </c>
      <c r="G1688" s="3">
        <v>1.62</v>
      </c>
    </row>
    <row r="1689" spans="1:7" x14ac:dyDescent="0.2">
      <c r="A1689" s="2">
        <v>43507</v>
      </c>
      <c r="B1689" s="1">
        <f t="shared" si="52"/>
        <v>43497</v>
      </c>
      <c r="C1689" s="4" t="str">
        <f t="shared" si="53"/>
        <v>2019-02</v>
      </c>
      <c r="D1689" s="3">
        <v>42.36</v>
      </c>
      <c r="E1689" s="3">
        <v>3.66</v>
      </c>
      <c r="F1689" s="3">
        <v>165.79</v>
      </c>
      <c r="G1689" s="3">
        <v>1.55</v>
      </c>
    </row>
    <row r="1690" spans="1:7" x14ac:dyDescent="0.2">
      <c r="A1690" s="2">
        <v>43504</v>
      </c>
      <c r="B1690" s="1">
        <f t="shared" si="52"/>
        <v>43497</v>
      </c>
      <c r="C1690" s="4" t="str">
        <f t="shared" si="53"/>
        <v>2019-02</v>
      </c>
      <c r="D1690" s="3">
        <v>42.6</v>
      </c>
      <c r="E1690" s="3">
        <v>3.7</v>
      </c>
      <c r="F1690" s="3">
        <v>167.33</v>
      </c>
      <c r="G1690" s="3">
        <v>1.54</v>
      </c>
    </row>
    <row r="1691" spans="1:7" x14ac:dyDescent="0.2">
      <c r="A1691" s="2">
        <v>43503</v>
      </c>
      <c r="B1691" s="1">
        <f t="shared" si="52"/>
        <v>43497</v>
      </c>
      <c r="C1691" s="4" t="str">
        <f t="shared" si="53"/>
        <v>2019-02</v>
      </c>
      <c r="D1691" s="3">
        <v>42.74</v>
      </c>
      <c r="E1691" s="3">
        <v>3.69</v>
      </c>
      <c r="F1691" s="3">
        <v>166.38</v>
      </c>
      <c r="G1691" s="3">
        <v>1.54</v>
      </c>
    </row>
    <row r="1692" spans="1:7" x14ac:dyDescent="0.2">
      <c r="A1692" s="2">
        <v>43502</v>
      </c>
      <c r="B1692" s="1">
        <f t="shared" si="52"/>
        <v>43497</v>
      </c>
      <c r="C1692" s="4" t="str">
        <f t="shared" si="53"/>
        <v>2019-02</v>
      </c>
      <c r="D1692" s="3">
        <v>43.56</v>
      </c>
      <c r="E1692" s="3">
        <v>3.83</v>
      </c>
      <c r="F1692" s="3">
        <v>170.49</v>
      </c>
      <c r="G1692" s="3">
        <v>1.57</v>
      </c>
    </row>
    <row r="1693" spans="1:7" x14ac:dyDescent="0.2">
      <c r="A1693" s="2">
        <v>43501</v>
      </c>
      <c r="B1693" s="1">
        <f t="shared" si="52"/>
        <v>43497</v>
      </c>
      <c r="C1693" s="4" t="str">
        <f t="shared" si="53"/>
        <v>2019-02</v>
      </c>
      <c r="D1693" s="3">
        <v>43.55</v>
      </c>
      <c r="E1693" s="3">
        <v>3.75</v>
      </c>
      <c r="F1693" s="3">
        <v>171.16</v>
      </c>
      <c r="G1693" s="3">
        <v>1.57</v>
      </c>
    </row>
    <row r="1694" spans="1:7" x14ac:dyDescent="0.2">
      <c r="A1694" s="2">
        <v>43500</v>
      </c>
      <c r="B1694" s="1">
        <f t="shared" si="52"/>
        <v>43497</v>
      </c>
      <c r="C1694" s="4" t="str">
        <f t="shared" si="53"/>
        <v>2019-02</v>
      </c>
      <c r="D1694" s="3">
        <v>42.81</v>
      </c>
      <c r="E1694" s="3">
        <v>3.73</v>
      </c>
      <c r="F1694" s="3">
        <v>169.25</v>
      </c>
      <c r="G1694" s="3">
        <v>1.53</v>
      </c>
    </row>
    <row r="1695" spans="1:7" x14ac:dyDescent="0.2">
      <c r="A1695" s="2">
        <v>43497</v>
      </c>
      <c r="B1695" s="1">
        <f t="shared" si="52"/>
        <v>43497</v>
      </c>
      <c r="C1695" s="4" t="str">
        <f t="shared" si="53"/>
        <v>2019-02</v>
      </c>
      <c r="D1695" s="3">
        <v>41.63</v>
      </c>
      <c r="E1695" s="3">
        <v>3.62</v>
      </c>
      <c r="F1695" s="3">
        <v>165.71</v>
      </c>
      <c r="G1695" s="3">
        <v>1.53</v>
      </c>
    </row>
    <row r="1696" spans="1:7" x14ac:dyDescent="0.2">
      <c r="A1696" s="2">
        <v>43496</v>
      </c>
      <c r="B1696" s="1">
        <f t="shared" si="52"/>
        <v>43466</v>
      </c>
      <c r="C1696" s="4" t="str">
        <f t="shared" si="53"/>
        <v>2019-01</v>
      </c>
      <c r="D1696" s="3">
        <v>41.61</v>
      </c>
      <c r="E1696" s="3">
        <v>3.59</v>
      </c>
      <c r="F1696" s="3">
        <v>166.69</v>
      </c>
      <c r="G1696" s="3">
        <v>1.51</v>
      </c>
    </row>
    <row r="1697" spans="1:7" x14ac:dyDescent="0.2">
      <c r="A1697" s="2">
        <v>43495</v>
      </c>
      <c r="B1697" s="1">
        <f t="shared" si="52"/>
        <v>43466</v>
      </c>
      <c r="C1697" s="4" t="str">
        <f t="shared" si="53"/>
        <v>2019-01</v>
      </c>
      <c r="D1697" s="3">
        <v>41.31</v>
      </c>
      <c r="E1697" s="3">
        <v>3.43</v>
      </c>
      <c r="F1697" s="3">
        <v>150.41999999999999</v>
      </c>
      <c r="G1697" s="3">
        <v>1.51</v>
      </c>
    </row>
    <row r="1698" spans="1:7" x14ac:dyDescent="0.2">
      <c r="A1698" s="2">
        <v>43494</v>
      </c>
      <c r="B1698" s="1">
        <f t="shared" si="52"/>
        <v>43466</v>
      </c>
      <c r="C1698" s="4" t="str">
        <f t="shared" si="53"/>
        <v>2019-01</v>
      </c>
      <c r="D1698" s="3">
        <v>38.67</v>
      </c>
      <c r="E1698" s="3">
        <v>3.29</v>
      </c>
      <c r="F1698" s="3">
        <v>144.19</v>
      </c>
      <c r="G1698" s="3">
        <v>1.5</v>
      </c>
    </row>
    <row r="1699" spans="1:7" x14ac:dyDescent="0.2">
      <c r="A1699" s="2">
        <v>43493</v>
      </c>
      <c r="B1699" s="1">
        <f t="shared" si="52"/>
        <v>43466</v>
      </c>
      <c r="C1699" s="4" t="str">
        <f t="shared" si="53"/>
        <v>2019-01</v>
      </c>
      <c r="D1699" s="3">
        <v>39.08</v>
      </c>
      <c r="E1699" s="3">
        <v>3.45</v>
      </c>
      <c r="F1699" s="3">
        <v>147.47</v>
      </c>
      <c r="G1699" s="3">
        <v>1.48</v>
      </c>
    </row>
    <row r="1700" spans="1:7" x14ac:dyDescent="0.2">
      <c r="A1700" s="2">
        <v>43490</v>
      </c>
      <c r="B1700" s="1">
        <f t="shared" si="52"/>
        <v>43466</v>
      </c>
      <c r="C1700" s="4" t="str">
        <f t="shared" si="53"/>
        <v>2019-01</v>
      </c>
      <c r="D1700" s="3">
        <v>39.44</v>
      </c>
      <c r="E1700" s="3">
        <v>4</v>
      </c>
      <c r="F1700" s="3">
        <v>149.01</v>
      </c>
      <c r="G1700" s="3">
        <v>1.5</v>
      </c>
    </row>
    <row r="1701" spans="1:7" x14ac:dyDescent="0.2">
      <c r="A1701" s="2">
        <v>43489</v>
      </c>
      <c r="B1701" s="1">
        <f t="shared" si="52"/>
        <v>43466</v>
      </c>
      <c r="C1701" s="4" t="str">
        <f t="shared" si="53"/>
        <v>2019-01</v>
      </c>
      <c r="D1701" s="3">
        <v>38.18</v>
      </c>
      <c r="E1701" s="3">
        <v>3.95</v>
      </c>
      <c r="F1701" s="3">
        <v>145.83000000000001</v>
      </c>
      <c r="G1701" s="3">
        <v>1.5</v>
      </c>
    </row>
    <row r="1702" spans="1:7" x14ac:dyDescent="0.2">
      <c r="A1702" s="2">
        <v>43488</v>
      </c>
      <c r="B1702" s="1">
        <f t="shared" si="52"/>
        <v>43466</v>
      </c>
      <c r="C1702" s="4" t="str">
        <f t="shared" si="53"/>
        <v>2019-01</v>
      </c>
      <c r="D1702" s="3">
        <v>38.479999999999997</v>
      </c>
      <c r="E1702" s="3">
        <v>3.73</v>
      </c>
      <c r="F1702" s="3">
        <v>144.30000000000001</v>
      </c>
      <c r="G1702" s="3">
        <v>1.49</v>
      </c>
    </row>
    <row r="1703" spans="1:7" x14ac:dyDescent="0.2">
      <c r="A1703" s="2">
        <v>43487</v>
      </c>
      <c r="B1703" s="1">
        <f t="shared" si="52"/>
        <v>43466</v>
      </c>
      <c r="C1703" s="4" t="str">
        <f t="shared" si="53"/>
        <v>2019-01</v>
      </c>
      <c r="D1703" s="3">
        <v>38.33</v>
      </c>
      <c r="E1703" s="3">
        <v>3.72</v>
      </c>
      <c r="F1703" s="3">
        <v>147.57</v>
      </c>
      <c r="G1703" s="3">
        <v>1.47</v>
      </c>
    </row>
    <row r="1704" spans="1:7" x14ac:dyDescent="0.2">
      <c r="A1704" s="2">
        <v>43483</v>
      </c>
      <c r="B1704" s="1">
        <f t="shared" si="52"/>
        <v>43466</v>
      </c>
      <c r="C1704" s="4" t="str">
        <f t="shared" si="53"/>
        <v>2019-01</v>
      </c>
      <c r="D1704" s="3">
        <v>39.21</v>
      </c>
      <c r="E1704" s="3">
        <v>3.92</v>
      </c>
      <c r="F1704" s="3">
        <v>150.04</v>
      </c>
      <c r="G1704" s="3">
        <v>1.5</v>
      </c>
    </row>
    <row r="1705" spans="1:7" x14ac:dyDescent="0.2">
      <c r="A1705" s="2">
        <v>43482</v>
      </c>
      <c r="B1705" s="1">
        <f t="shared" si="52"/>
        <v>43466</v>
      </c>
      <c r="C1705" s="4" t="str">
        <f t="shared" si="53"/>
        <v>2019-01</v>
      </c>
      <c r="D1705" s="3">
        <v>38.97</v>
      </c>
      <c r="E1705" s="3">
        <v>3.79</v>
      </c>
      <c r="F1705" s="3">
        <v>148.30000000000001</v>
      </c>
      <c r="G1705" s="3">
        <v>1.48</v>
      </c>
    </row>
    <row r="1706" spans="1:7" x14ac:dyDescent="0.2">
      <c r="A1706" s="2">
        <v>43481</v>
      </c>
      <c r="B1706" s="1">
        <f t="shared" si="52"/>
        <v>43466</v>
      </c>
      <c r="C1706" s="4" t="str">
        <f t="shared" si="53"/>
        <v>2019-01</v>
      </c>
      <c r="D1706" s="3">
        <v>38.74</v>
      </c>
      <c r="E1706" s="3">
        <v>3.72</v>
      </c>
      <c r="F1706" s="3">
        <v>147.54</v>
      </c>
      <c r="G1706" s="3">
        <v>1.5</v>
      </c>
    </row>
    <row r="1707" spans="1:7" x14ac:dyDescent="0.2">
      <c r="A1707" s="2">
        <v>43480</v>
      </c>
      <c r="B1707" s="1">
        <f t="shared" si="52"/>
        <v>43466</v>
      </c>
      <c r="C1707" s="4" t="str">
        <f t="shared" si="53"/>
        <v>2019-01</v>
      </c>
      <c r="D1707" s="3">
        <v>38.270000000000003</v>
      </c>
      <c r="E1707" s="3">
        <v>3.75</v>
      </c>
      <c r="F1707" s="3">
        <v>148.94999999999999</v>
      </c>
      <c r="G1707" s="3">
        <v>1.51</v>
      </c>
    </row>
    <row r="1708" spans="1:7" x14ac:dyDescent="0.2">
      <c r="A1708" s="2">
        <v>43479</v>
      </c>
      <c r="B1708" s="1">
        <f t="shared" si="52"/>
        <v>43466</v>
      </c>
      <c r="C1708" s="4" t="str">
        <f t="shared" si="53"/>
        <v>2019-01</v>
      </c>
      <c r="D1708" s="3">
        <v>37.5</v>
      </c>
      <c r="E1708" s="3">
        <v>3.76</v>
      </c>
      <c r="F1708" s="3">
        <v>145.38999999999999</v>
      </c>
      <c r="G1708" s="3">
        <v>1.53</v>
      </c>
    </row>
    <row r="1709" spans="1:7" x14ac:dyDescent="0.2">
      <c r="A1709" s="2">
        <v>43476</v>
      </c>
      <c r="B1709" s="1">
        <f t="shared" si="52"/>
        <v>43466</v>
      </c>
      <c r="C1709" s="4" t="str">
        <f t="shared" si="53"/>
        <v>2019-01</v>
      </c>
      <c r="D1709" s="3">
        <v>38.07</v>
      </c>
      <c r="E1709" s="3">
        <v>3.72</v>
      </c>
      <c r="F1709" s="3">
        <v>143.80000000000001</v>
      </c>
      <c r="G1709" s="3">
        <v>1.5</v>
      </c>
    </row>
    <row r="1710" spans="1:7" x14ac:dyDescent="0.2">
      <c r="A1710" s="2">
        <v>43475</v>
      </c>
      <c r="B1710" s="1">
        <f t="shared" si="52"/>
        <v>43466</v>
      </c>
      <c r="C1710" s="4" t="str">
        <f t="shared" si="53"/>
        <v>2019-01</v>
      </c>
      <c r="D1710" s="3">
        <v>38.450000000000003</v>
      </c>
      <c r="E1710" s="3">
        <v>3.63</v>
      </c>
      <c r="F1710" s="3">
        <v>144.19999999999999</v>
      </c>
      <c r="G1710" s="3">
        <v>1.55</v>
      </c>
    </row>
    <row r="1711" spans="1:7" x14ac:dyDescent="0.2">
      <c r="A1711" s="2">
        <v>43474</v>
      </c>
      <c r="B1711" s="1">
        <f t="shared" si="52"/>
        <v>43466</v>
      </c>
      <c r="C1711" s="4" t="str">
        <f t="shared" si="53"/>
        <v>2019-01</v>
      </c>
      <c r="D1711" s="3">
        <v>38.33</v>
      </c>
      <c r="E1711" s="3">
        <v>3.56</v>
      </c>
      <c r="F1711" s="3">
        <v>144.22999999999999</v>
      </c>
      <c r="G1711" s="3">
        <v>1.55</v>
      </c>
    </row>
    <row r="1712" spans="1:7" x14ac:dyDescent="0.2">
      <c r="A1712" s="2">
        <v>43473</v>
      </c>
      <c r="B1712" s="1">
        <f t="shared" si="52"/>
        <v>43466</v>
      </c>
      <c r="C1712" s="4" t="str">
        <f t="shared" si="53"/>
        <v>2019-01</v>
      </c>
      <c r="D1712" s="3">
        <v>37.69</v>
      </c>
      <c r="E1712" s="3">
        <v>3.5</v>
      </c>
      <c r="F1712" s="3">
        <v>142.53</v>
      </c>
      <c r="G1712" s="3">
        <v>1.56</v>
      </c>
    </row>
    <row r="1713" spans="1:7" x14ac:dyDescent="0.2">
      <c r="A1713" s="2">
        <v>43472</v>
      </c>
      <c r="B1713" s="1">
        <f t="shared" si="52"/>
        <v>43466</v>
      </c>
      <c r="C1713" s="4" t="str">
        <f t="shared" si="53"/>
        <v>2019-01</v>
      </c>
      <c r="D1713" s="3">
        <v>36.979999999999997</v>
      </c>
      <c r="E1713" s="3">
        <v>3.59</v>
      </c>
      <c r="F1713" s="3">
        <v>138.05000000000001</v>
      </c>
      <c r="G1713" s="3">
        <v>1.57</v>
      </c>
    </row>
    <row r="1714" spans="1:7" x14ac:dyDescent="0.2">
      <c r="A1714" s="2">
        <v>43469</v>
      </c>
      <c r="B1714" s="1">
        <f t="shared" si="52"/>
        <v>43466</v>
      </c>
      <c r="C1714" s="4" t="str">
        <f t="shared" si="53"/>
        <v>2019-01</v>
      </c>
      <c r="D1714" s="3">
        <v>37.07</v>
      </c>
      <c r="E1714" s="3">
        <v>3.4</v>
      </c>
      <c r="F1714" s="3">
        <v>137.94999999999999</v>
      </c>
      <c r="G1714" s="3">
        <v>1.56</v>
      </c>
    </row>
    <row r="1715" spans="1:7" x14ac:dyDescent="0.2">
      <c r="A1715" s="2">
        <v>43468</v>
      </c>
      <c r="B1715" s="1">
        <f t="shared" si="52"/>
        <v>43466</v>
      </c>
      <c r="C1715" s="4" t="str">
        <f t="shared" si="53"/>
        <v>2019-01</v>
      </c>
      <c r="D1715" s="3">
        <v>35.549999999999997</v>
      </c>
      <c r="E1715" s="3">
        <v>3.2</v>
      </c>
      <c r="F1715" s="3">
        <v>131.74</v>
      </c>
      <c r="G1715" s="3">
        <v>1.57</v>
      </c>
    </row>
    <row r="1716" spans="1:7" x14ac:dyDescent="0.2">
      <c r="A1716" s="2">
        <v>43467</v>
      </c>
      <c r="B1716" s="1">
        <f t="shared" si="52"/>
        <v>43466</v>
      </c>
      <c r="C1716" s="4" t="str">
        <f t="shared" si="53"/>
        <v>2019-01</v>
      </c>
      <c r="D1716" s="3">
        <v>39.479999999999997</v>
      </c>
      <c r="E1716" s="3">
        <v>3.41</v>
      </c>
      <c r="F1716" s="3">
        <v>135.68</v>
      </c>
      <c r="G1716" s="3">
        <v>1.51</v>
      </c>
    </row>
    <row r="1717" spans="1:7" x14ac:dyDescent="0.2">
      <c r="A1717" s="2">
        <v>43465</v>
      </c>
      <c r="B1717" s="1">
        <f t="shared" si="52"/>
        <v>43435</v>
      </c>
      <c r="C1717" s="4" t="str">
        <f t="shared" si="53"/>
        <v>2018-12</v>
      </c>
      <c r="D1717" s="3">
        <v>39.44</v>
      </c>
      <c r="E1717" s="3">
        <v>3.34</v>
      </c>
      <c r="F1717" s="3">
        <v>131.09</v>
      </c>
      <c r="G1717" s="3">
        <v>1.38</v>
      </c>
    </row>
    <row r="1718" spans="1:7" x14ac:dyDescent="0.2">
      <c r="A1718" s="2">
        <v>43462</v>
      </c>
      <c r="B1718" s="1">
        <f t="shared" si="52"/>
        <v>43435</v>
      </c>
      <c r="C1718" s="4" t="str">
        <f t="shared" si="53"/>
        <v>2018-12</v>
      </c>
      <c r="D1718" s="3">
        <v>39.06</v>
      </c>
      <c r="E1718" s="3">
        <v>3.34</v>
      </c>
      <c r="F1718" s="3">
        <v>133.19999999999999</v>
      </c>
      <c r="G1718" s="3">
        <v>1.39</v>
      </c>
    </row>
    <row r="1719" spans="1:7" x14ac:dyDescent="0.2">
      <c r="A1719" s="2">
        <v>43461</v>
      </c>
      <c r="B1719" s="1">
        <f t="shared" si="52"/>
        <v>43435</v>
      </c>
      <c r="C1719" s="4" t="str">
        <f t="shared" si="53"/>
        <v>2018-12</v>
      </c>
      <c r="D1719" s="3">
        <v>39.04</v>
      </c>
      <c r="E1719" s="3">
        <v>3.28</v>
      </c>
      <c r="F1719" s="3">
        <v>134.52000000000001</v>
      </c>
      <c r="G1719" s="3">
        <v>1.4</v>
      </c>
    </row>
    <row r="1720" spans="1:7" x14ac:dyDescent="0.2">
      <c r="A1720" s="2">
        <v>43460</v>
      </c>
      <c r="B1720" s="1">
        <f t="shared" si="52"/>
        <v>43435</v>
      </c>
      <c r="C1720" s="4" t="str">
        <f t="shared" si="53"/>
        <v>2018-12</v>
      </c>
      <c r="D1720" s="3">
        <v>39.29</v>
      </c>
      <c r="E1720" s="3">
        <v>3.33</v>
      </c>
      <c r="F1720" s="3">
        <v>134.18</v>
      </c>
      <c r="G1720" s="3">
        <v>1.41</v>
      </c>
    </row>
    <row r="1721" spans="1:7" x14ac:dyDescent="0.2">
      <c r="A1721" s="2">
        <v>43458</v>
      </c>
      <c r="B1721" s="1">
        <f t="shared" si="52"/>
        <v>43435</v>
      </c>
      <c r="C1721" s="4" t="str">
        <f t="shared" si="53"/>
        <v>2018-12</v>
      </c>
      <c r="D1721" s="3">
        <v>36.71</v>
      </c>
      <c r="E1721" s="3">
        <v>3.18</v>
      </c>
      <c r="F1721" s="3">
        <v>124.06</v>
      </c>
      <c r="G1721" s="3">
        <v>1.41</v>
      </c>
    </row>
    <row r="1722" spans="1:7" x14ac:dyDescent="0.2">
      <c r="A1722" s="2">
        <v>43455</v>
      </c>
      <c r="B1722" s="1">
        <f t="shared" si="52"/>
        <v>43435</v>
      </c>
      <c r="C1722" s="4" t="str">
        <f t="shared" si="53"/>
        <v>2018-12</v>
      </c>
      <c r="D1722" s="3">
        <v>37.68</v>
      </c>
      <c r="E1722" s="3">
        <v>3.24</v>
      </c>
      <c r="F1722" s="3">
        <v>124.95</v>
      </c>
      <c r="G1722" s="3">
        <v>1.4</v>
      </c>
    </row>
    <row r="1723" spans="1:7" x14ac:dyDescent="0.2">
      <c r="A1723" s="2">
        <v>43454</v>
      </c>
      <c r="B1723" s="1">
        <f t="shared" si="52"/>
        <v>43435</v>
      </c>
      <c r="C1723" s="4" t="str">
        <f t="shared" si="53"/>
        <v>2018-12</v>
      </c>
      <c r="D1723" s="3">
        <v>39.21</v>
      </c>
      <c r="E1723" s="3">
        <v>3.38</v>
      </c>
      <c r="F1723" s="3">
        <v>133.4</v>
      </c>
      <c r="G1723" s="3">
        <v>1.49</v>
      </c>
    </row>
    <row r="1724" spans="1:7" x14ac:dyDescent="0.2">
      <c r="A1724" s="2">
        <v>43453</v>
      </c>
      <c r="B1724" s="1">
        <f t="shared" si="52"/>
        <v>43435</v>
      </c>
      <c r="C1724" s="4" t="str">
        <f t="shared" si="53"/>
        <v>2018-12</v>
      </c>
      <c r="D1724" s="3">
        <v>40.22</v>
      </c>
      <c r="E1724" s="3">
        <v>3.46</v>
      </c>
      <c r="F1724" s="3">
        <v>133.24</v>
      </c>
      <c r="G1724" s="3">
        <v>1.49</v>
      </c>
    </row>
    <row r="1725" spans="1:7" x14ac:dyDescent="0.2">
      <c r="A1725" s="2">
        <v>43452</v>
      </c>
      <c r="B1725" s="1">
        <f t="shared" si="52"/>
        <v>43435</v>
      </c>
      <c r="C1725" s="4" t="str">
        <f t="shared" si="53"/>
        <v>2018-12</v>
      </c>
      <c r="D1725" s="3">
        <v>41.52</v>
      </c>
      <c r="E1725" s="3">
        <v>3.67</v>
      </c>
      <c r="F1725" s="3">
        <v>143.66</v>
      </c>
      <c r="G1725" s="3">
        <v>1.51</v>
      </c>
    </row>
    <row r="1726" spans="1:7" x14ac:dyDescent="0.2">
      <c r="A1726" s="2">
        <v>43451</v>
      </c>
      <c r="B1726" s="1">
        <f t="shared" si="52"/>
        <v>43435</v>
      </c>
      <c r="C1726" s="4" t="str">
        <f t="shared" si="53"/>
        <v>2018-12</v>
      </c>
      <c r="D1726" s="3">
        <v>40.99</v>
      </c>
      <c r="E1726" s="3">
        <v>3.59</v>
      </c>
      <c r="F1726" s="3">
        <v>140.19</v>
      </c>
      <c r="G1726" s="3">
        <v>1.54</v>
      </c>
    </row>
    <row r="1727" spans="1:7" x14ac:dyDescent="0.2">
      <c r="A1727" s="2">
        <v>43448</v>
      </c>
      <c r="B1727" s="1">
        <f t="shared" si="52"/>
        <v>43435</v>
      </c>
      <c r="C1727" s="4" t="str">
        <f t="shared" si="53"/>
        <v>2018-12</v>
      </c>
      <c r="D1727" s="3">
        <v>41.37</v>
      </c>
      <c r="E1727" s="3">
        <v>3.66</v>
      </c>
      <c r="F1727" s="3">
        <v>144.06</v>
      </c>
      <c r="G1727" s="3">
        <v>1.67</v>
      </c>
    </row>
    <row r="1728" spans="1:7" x14ac:dyDescent="0.2">
      <c r="A1728" s="2">
        <v>43447</v>
      </c>
      <c r="B1728" s="1">
        <f t="shared" si="52"/>
        <v>43435</v>
      </c>
      <c r="C1728" s="4" t="str">
        <f t="shared" si="53"/>
        <v>2018-12</v>
      </c>
      <c r="D1728" s="3">
        <v>42.74</v>
      </c>
      <c r="E1728" s="3">
        <v>3.72</v>
      </c>
      <c r="F1728" s="3">
        <v>145.01</v>
      </c>
      <c r="G1728" s="3">
        <v>1.63</v>
      </c>
    </row>
    <row r="1729" spans="1:7" x14ac:dyDescent="0.2">
      <c r="A1729" s="2">
        <v>43446</v>
      </c>
      <c r="B1729" s="1">
        <f t="shared" si="52"/>
        <v>43435</v>
      </c>
      <c r="C1729" s="4" t="str">
        <f t="shared" si="53"/>
        <v>2018-12</v>
      </c>
      <c r="D1729" s="3">
        <v>42.28</v>
      </c>
      <c r="E1729" s="3">
        <v>3.72</v>
      </c>
      <c r="F1729" s="3">
        <v>144.5</v>
      </c>
      <c r="G1729" s="3">
        <v>1.6</v>
      </c>
    </row>
    <row r="1730" spans="1:7" x14ac:dyDescent="0.2">
      <c r="A1730" s="2">
        <v>43445</v>
      </c>
      <c r="B1730" s="1">
        <f t="shared" si="52"/>
        <v>43435</v>
      </c>
      <c r="C1730" s="4" t="str">
        <f t="shared" si="53"/>
        <v>2018-12</v>
      </c>
      <c r="D1730" s="3">
        <v>42.16</v>
      </c>
      <c r="E1730" s="3">
        <v>3.7</v>
      </c>
      <c r="F1730" s="3">
        <v>142.08000000000001</v>
      </c>
      <c r="G1730" s="3">
        <v>1.65</v>
      </c>
    </row>
    <row r="1731" spans="1:7" x14ac:dyDescent="0.2">
      <c r="A1731" s="2">
        <v>43444</v>
      </c>
      <c r="B1731" s="1">
        <f t="shared" ref="B1731:B1794" si="54">EOMONTH(A1731, -1)+1</f>
        <v>43435</v>
      </c>
      <c r="C1731" s="4" t="str">
        <f t="shared" ref="C1731:C1794" si="55">TEXT(A1731, "yyyy-mm")</f>
        <v>2018-12</v>
      </c>
      <c r="D1731" s="3">
        <v>42.4</v>
      </c>
      <c r="E1731" s="3">
        <v>3.8</v>
      </c>
      <c r="F1731" s="3">
        <v>141.85</v>
      </c>
      <c r="G1731" s="3">
        <v>1.64</v>
      </c>
    </row>
    <row r="1732" spans="1:7" x14ac:dyDescent="0.2">
      <c r="A1732" s="2">
        <v>43441</v>
      </c>
      <c r="B1732" s="1">
        <f t="shared" si="54"/>
        <v>43435</v>
      </c>
      <c r="C1732" s="4" t="str">
        <f t="shared" si="55"/>
        <v>2018-12</v>
      </c>
      <c r="D1732" s="3">
        <v>42.12</v>
      </c>
      <c r="E1732" s="3">
        <v>3.69</v>
      </c>
      <c r="F1732" s="3">
        <v>137.41999999999999</v>
      </c>
      <c r="G1732" s="3">
        <v>1.63</v>
      </c>
    </row>
    <row r="1733" spans="1:7" x14ac:dyDescent="0.2">
      <c r="A1733" s="2">
        <v>43440</v>
      </c>
      <c r="B1733" s="1">
        <f t="shared" si="54"/>
        <v>43435</v>
      </c>
      <c r="C1733" s="4" t="str">
        <f t="shared" si="55"/>
        <v>2018-12</v>
      </c>
      <c r="D1733" s="3">
        <v>43.68</v>
      </c>
      <c r="E1733" s="3">
        <v>3.96</v>
      </c>
      <c r="F1733" s="3">
        <v>139.63</v>
      </c>
      <c r="G1733" s="3">
        <v>1.59</v>
      </c>
    </row>
    <row r="1734" spans="1:7" x14ac:dyDescent="0.2">
      <c r="A1734" s="2">
        <v>43438</v>
      </c>
      <c r="B1734" s="1">
        <f t="shared" si="54"/>
        <v>43435</v>
      </c>
      <c r="C1734" s="4" t="str">
        <f t="shared" si="55"/>
        <v>2018-12</v>
      </c>
      <c r="D1734" s="3">
        <v>44.17</v>
      </c>
      <c r="E1734" s="3">
        <v>3.93</v>
      </c>
      <c r="F1734" s="3">
        <v>137.93</v>
      </c>
      <c r="G1734" s="3">
        <v>1.48</v>
      </c>
    </row>
    <row r="1735" spans="1:7" x14ac:dyDescent="0.2">
      <c r="A1735" s="2">
        <v>43437</v>
      </c>
      <c r="B1735" s="1">
        <f t="shared" si="54"/>
        <v>43435</v>
      </c>
      <c r="C1735" s="4" t="str">
        <f t="shared" si="55"/>
        <v>2018-12</v>
      </c>
      <c r="D1735" s="3">
        <v>46.21</v>
      </c>
      <c r="E1735" s="3">
        <v>4.25</v>
      </c>
      <c r="F1735" s="3">
        <v>141.09</v>
      </c>
      <c r="G1735" s="3">
        <v>1.5</v>
      </c>
    </row>
    <row r="1736" spans="1:7" x14ac:dyDescent="0.2">
      <c r="A1736" s="2">
        <v>43434</v>
      </c>
      <c r="B1736" s="1">
        <f t="shared" si="54"/>
        <v>43405</v>
      </c>
      <c r="C1736" s="4" t="str">
        <f t="shared" si="55"/>
        <v>2018-11</v>
      </c>
      <c r="D1736" s="3">
        <v>44.65</v>
      </c>
      <c r="E1736" s="3">
        <v>4.09</v>
      </c>
      <c r="F1736" s="3">
        <v>140.61000000000001</v>
      </c>
      <c r="G1736" s="3">
        <v>1.49</v>
      </c>
    </row>
    <row r="1737" spans="1:7" x14ac:dyDescent="0.2">
      <c r="A1737" s="2">
        <v>43433</v>
      </c>
      <c r="B1737" s="1">
        <f t="shared" si="54"/>
        <v>43405</v>
      </c>
      <c r="C1737" s="4" t="str">
        <f t="shared" si="55"/>
        <v>2018-11</v>
      </c>
      <c r="D1737" s="3">
        <v>44.89</v>
      </c>
      <c r="E1737" s="3">
        <v>3.93</v>
      </c>
      <c r="F1737" s="3">
        <v>138.68</v>
      </c>
      <c r="G1737" s="3">
        <v>1.45</v>
      </c>
    </row>
    <row r="1738" spans="1:7" x14ac:dyDescent="0.2">
      <c r="A1738" s="2">
        <v>43432</v>
      </c>
      <c r="B1738" s="1">
        <f t="shared" si="54"/>
        <v>43405</v>
      </c>
      <c r="C1738" s="4" t="str">
        <f t="shared" si="55"/>
        <v>2018-11</v>
      </c>
      <c r="D1738" s="3">
        <v>45.24</v>
      </c>
      <c r="E1738" s="3">
        <v>4</v>
      </c>
      <c r="F1738" s="3">
        <v>136.76</v>
      </c>
      <c r="G1738" s="3">
        <v>1.41</v>
      </c>
    </row>
    <row r="1739" spans="1:7" x14ac:dyDescent="0.2">
      <c r="A1739" s="2">
        <v>43431</v>
      </c>
      <c r="B1739" s="1">
        <f t="shared" si="54"/>
        <v>43405</v>
      </c>
      <c r="C1739" s="4" t="str">
        <f t="shared" si="55"/>
        <v>2018-11</v>
      </c>
      <c r="D1739" s="3">
        <v>43.56</v>
      </c>
      <c r="E1739" s="3">
        <v>3.84</v>
      </c>
      <c r="F1739" s="3">
        <v>135</v>
      </c>
      <c r="G1739" s="3">
        <v>1.39</v>
      </c>
    </row>
    <row r="1740" spans="1:7" x14ac:dyDescent="0.2">
      <c r="A1740" s="2">
        <v>43430</v>
      </c>
      <c r="B1740" s="1">
        <f t="shared" si="54"/>
        <v>43405</v>
      </c>
      <c r="C1740" s="4" t="str">
        <f t="shared" si="55"/>
        <v>2018-11</v>
      </c>
      <c r="D1740" s="3">
        <v>43.66</v>
      </c>
      <c r="E1740" s="3">
        <v>3.83</v>
      </c>
      <c r="F1740" s="3">
        <v>136.38</v>
      </c>
      <c r="G1740" s="3">
        <v>1.35</v>
      </c>
    </row>
    <row r="1741" spans="1:7" x14ac:dyDescent="0.2">
      <c r="A1741" s="2">
        <v>43427</v>
      </c>
      <c r="B1741" s="1">
        <f t="shared" si="54"/>
        <v>43405</v>
      </c>
      <c r="C1741" s="4" t="str">
        <f t="shared" si="55"/>
        <v>2018-11</v>
      </c>
      <c r="D1741" s="3">
        <v>43.07</v>
      </c>
      <c r="E1741" s="3">
        <v>3.63</v>
      </c>
      <c r="F1741" s="3">
        <v>131.72999999999999</v>
      </c>
      <c r="G1741" s="3">
        <v>1.4</v>
      </c>
    </row>
    <row r="1742" spans="1:7" x14ac:dyDescent="0.2">
      <c r="A1742" s="2">
        <v>43425</v>
      </c>
      <c r="B1742" s="1">
        <f t="shared" si="54"/>
        <v>43405</v>
      </c>
      <c r="C1742" s="4" t="str">
        <f t="shared" si="55"/>
        <v>2018-11</v>
      </c>
      <c r="D1742" s="3">
        <v>44.2</v>
      </c>
      <c r="E1742" s="3">
        <v>3.62</v>
      </c>
      <c r="F1742" s="3">
        <v>134.82</v>
      </c>
      <c r="G1742" s="3">
        <v>1.35</v>
      </c>
    </row>
    <row r="1743" spans="1:7" x14ac:dyDescent="0.2">
      <c r="A1743" s="2">
        <v>43424</v>
      </c>
      <c r="B1743" s="1">
        <f t="shared" si="54"/>
        <v>43405</v>
      </c>
      <c r="C1743" s="4" t="str">
        <f t="shared" si="55"/>
        <v>2018-11</v>
      </c>
      <c r="D1743" s="3">
        <v>44.25</v>
      </c>
      <c r="E1743" s="3">
        <v>3.73</v>
      </c>
      <c r="F1743" s="3">
        <v>132.43</v>
      </c>
      <c r="G1743" s="3">
        <v>1.34</v>
      </c>
    </row>
    <row r="1744" spans="1:7" x14ac:dyDescent="0.2">
      <c r="A1744" s="2">
        <v>43423</v>
      </c>
      <c r="B1744" s="1">
        <f t="shared" si="54"/>
        <v>43405</v>
      </c>
      <c r="C1744" s="4" t="str">
        <f t="shared" si="55"/>
        <v>2018-11</v>
      </c>
      <c r="D1744" s="3">
        <v>46.47</v>
      </c>
      <c r="E1744" s="3">
        <v>3.62</v>
      </c>
      <c r="F1744" s="3">
        <v>131.55000000000001</v>
      </c>
      <c r="G1744" s="3">
        <v>1.38</v>
      </c>
    </row>
    <row r="1745" spans="1:7" x14ac:dyDescent="0.2">
      <c r="A1745" s="2">
        <v>43420</v>
      </c>
      <c r="B1745" s="1">
        <f t="shared" si="54"/>
        <v>43405</v>
      </c>
      <c r="C1745" s="4" t="str">
        <f t="shared" si="55"/>
        <v>2018-11</v>
      </c>
      <c r="D1745" s="3">
        <v>48.38</v>
      </c>
      <c r="E1745" s="3">
        <v>4.1100000000000003</v>
      </c>
      <c r="F1745" s="3">
        <v>139.53</v>
      </c>
      <c r="G1745" s="3">
        <v>1.43</v>
      </c>
    </row>
    <row r="1746" spans="1:7" x14ac:dyDescent="0.2">
      <c r="A1746" s="2">
        <v>43419</v>
      </c>
      <c r="B1746" s="1">
        <f t="shared" si="54"/>
        <v>43405</v>
      </c>
      <c r="C1746" s="4" t="str">
        <f t="shared" si="55"/>
        <v>2018-11</v>
      </c>
      <c r="D1746" s="3">
        <v>47.85</v>
      </c>
      <c r="E1746" s="3">
        <v>5.0599999999999996</v>
      </c>
      <c r="F1746" s="3">
        <v>143.85</v>
      </c>
      <c r="G1746" s="3">
        <v>1.24</v>
      </c>
    </row>
    <row r="1747" spans="1:7" x14ac:dyDescent="0.2">
      <c r="A1747" s="2">
        <v>43418</v>
      </c>
      <c r="B1747" s="1">
        <f t="shared" si="54"/>
        <v>43405</v>
      </c>
      <c r="C1747" s="4" t="str">
        <f t="shared" si="55"/>
        <v>2018-11</v>
      </c>
      <c r="D1747" s="3">
        <v>46.7</v>
      </c>
      <c r="E1747" s="3">
        <v>4.93</v>
      </c>
      <c r="F1747" s="3">
        <v>144.22</v>
      </c>
      <c r="G1747" s="3">
        <v>1.21</v>
      </c>
    </row>
    <row r="1748" spans="1:7" x14ac:dyDescent="0.2">
      <c r="A1748" s="2">
        <v>43417</v>
      </c>
      <c r="B1748" s="1">
        <f t="shared" si="54"/>
        <v>43405</v>
      </c>
      <c r="C1748" s="4" t="str">
        <f t="shared" si="55"/>
        <v>2018-11</v>
      </c>
      <c r="D1748" s="3">
        <v>48.06</v>
      </c>
      <c r="E1748" s="3">
        <v>4.9800000000000004</v>
      </c>
      <c r="F1748" s="3">
        <v>142.16</v>
      </c>
      <c r="G1748" s="3">
        <v>1.17</v>
      </c>
    </row>
    <row r="1749" spans="1:7" x14ac:dyDescent="0.2">
      <c r="A1749" s="2">
        <v>43416</v>
      </c>
      <c r="B1749" s="1">
        <f t="shared" si="54"/>
        <v>43405</v>
      </c>
      <c r="C1749" s="4" t="str">
        <f t="shared" si="55"/>
        <v>2018-11</v>
      </c>
      <c r="D1749" s="3">
        <v>48.54</v>
      </c>
      <c r="E1749" s="3">
        <v>4.74</v>
      </c>
      <c r="F1749" s="3">
        <v>141.55000000000001</v>
      </c>
      <c r="G1749" s="3">
        <v>1.18</v>
      </c>
    </row>
    <row r="1750" spans="1:7" x14ac:dyDescent="0.2">
      <c r="A1750" s="2">
        <v>43413</v>
      </c>
      <c r="B1750" s="1">
        <f t="shared" si="54"/>
        <v>43405</v>
      </c>
      <c r="C1750" s="4" t="str">
        <f t="shared" si="55"/>
        <v>2018-11</v>
      </c>
      <c r="D1750" s="3">
        <v>51.12</v>
      </c>
      <c r="E1750" s="3">
        <v>5.14</v>
      </c>
      <c r="F1750" s="3">
        <v>144.96</v>
      </c>
      <c r="G1750" s="3">
        <v>1.21</v>
      </c>
    </row>
    <row r="1751" spans="1:7" x14ac:dyDescent="0.2">
      <c r="A1751" s="2">
        <v>43412</v>
      </c>
      <c r="B1751" s="1">
        <f t="shared" si="54"/>
        <v>43405</v>
      </c>
      <c r="C1751" s="4" t="str">
        <f t="shared" si="55"/>
        <v>2018-11</v>
      </c>
      <c r="D1751" s="3">
        <v>52.12</v>
      </c>
      <c r="E1751" s="3">
        <v>5.15</v>
      </c>
      <c r="F1751" s="3">
        <v>147.87</v>
      </c>
      <c r="G1751" s="3">
        <v>1.17</v>
      </c>
    </row>
    <row r="1752" spans="1:7" x14ac:dyDescent="0.2">
      <c r="A1752" s="2">
        <v>43411</v>
      </c>
      <c r="B1752" s="1">
        <f t="shared" si="54"/>
        <v>43405</v>
      </c>
      <c r="C1752" s="4" t="str">
        <f t="shared" si="55"/>
        <v>2018-11</v>
      </c>
      <c r="D1752" s="3">
        <v>52.49</v>
      </c>
      <c r="E1752" s="3">
        <v>5.34</v>
      </c>
      <c r="F1752" s="3">
        <v>151.53</v>
      </c>
      <c r="G1752" s="3">
        <v>1.21</v>
      </c>
    </row>
    <row r="1753" spans="1:7" x14ac:dyDescent="0.2">
      <c r="A1753" s="2">
        <v>43410</v>
      </c>
      <c r="B1753" s="1">
        <f t="shared" si="54"/>
        <v>43405</v>
      </c>
      <c r="C1753" s="4" t="str">
        <f t="shared" si="55"/>
        <v>2018-11</v>
      </c>
      <c r="D1753" s="3">
        <v>50.94</v>
      </c>
      <c r="E1753" s="3">
        <v>5.28</v>
      </c>
      <c r="F1753" s="3">
        <v>149.94</v>
      </c>
      <c r="G1753" s="3">
        <v>1.24</v>
      </c>
    </row>
    <row r="1754" spans="1:7" x14ac:dyDescent="0.2">
      <c r="A1754" s="2">
        <v>43409</v>
      </c>
      <c r="B1754" s="1">
        <f t="shared" si="54"/>
        <v>43405</v>
      </c>
      <c r="C1754" s="4" t="str">
        <f t="shared" si="55"/>
        <v>2018-11</v>
      </c>
      <c r="D1754" s="3">
        <v>50.4</v>
      </c>
      <c r="E1754" s="3">
        <v>5.29</v>
      </c>
      <c r="F1754" s="3">
        <v>148.68</v>
      </c>
      <c r="G1754" s="3">
        <v>1.24</v>
      </c>
    </row>
    <row r="1755" spans="1:7" x14ac:dyDescent="0.2">
      <c r="A1755" s="2">
        <v>43406</v>
      </c>
      <c r="B1755" s="1">
        <f t="shared" si="54"/>
        <v>43405</v>
      </c>
      <c r="C1755" s="4" t="str">
        <f t="shared" si="55"/>
        <v>2018-11</v>
      </c>
      <c r="D1755" s="3">
        <v>51.87</v>
      </c>
      <c r="E1755" s="3">
        <v>5.37</v>
      </c>
      <c r="F1755" s="3">
        <v>150.35</v>
      </c>
      <c r="G1755" s="3">
        <v>1.38</v>
      </c>
    </row>
    <row r="1756" spans="1:7" x14ac:dyDescent="0.2">
      <c r="A1756" s="2">
        <v>43405</v>
      </c>
      <c r="B1756" s="1">
        <f t="shared" si="54"/>
        <v>43405</v>
      </c>
      <c r="C1756" s="4" t="str">
        <f t="shared" si="55"/>
        <v>2018-11</v>
      </c>
      <c r="D1756" s="3">
        <v>55.56</v>
      </c>
      <c r="E1756" s="3">
        <v>5.45</v>
      </c>
      <c r="F1756" s="3">
        <v>151.75</v>
      </c>
      <c r="G1756" s="3">
        <v>1.38</v>
      </c>
    </row>
    <row r="1757" spans="1:7" x14ac:dyDescent="0.2">
      <c r="A1757" s="2">
        <v>43404</v>
      </c>
      <c r="B1757" s="1">
        <f t="shared" si="54"/>
        <v>43374</v>
      </c>
      <c r="C1757" s="4" t="str">
        <f t="shared" si="55"/>
        <v>2018-10</v>
      </c>
      <c r="D1757" s="3">
        <v>54.72</v>
      </c>
      <c r="E1757" s="3">
        <v>5.27</v>
      </c>
      <c r="F1757" s="3">
        <v>151.79</v>
      </c>
      <c r="G1757" s="3">
        <v>1.31</v>
      </c>
    </row>
    <row r="1758" spans="1:7" x14ac:dyDescent="0.2">
      <c r="A1758" s="2">
        <v>43403</v>
      </c>
      <c r="B1758" s="1">
        <f t="shared" si="54"/>
        <v>43374</v>
      </c>
      <c r="C1758" s="4" t="str">
        <f t="shared" si="55"/>
        <v>2018-10</v>
      </c>
      <c r="D1758" s="3">
        <v>53.33</v>
      </c>
      <c r="E1758" s="3">
        <v>5.08</v>
      </c>
      <c r="F1758" s="3">
        <v>146.22</v>
      </c>
      <c r="G1758" s="3">
        <v>1.3</v>
      </c>
    </row>
    <row r="1759" spans="1:7" x14ac:dyDescent="0.2">
      <c r="A1759" s="2">
        <v>43402</v>
      </c>
      <c r="B1759" s="1">
        <f t="shared" si="54"/>
        <v>43374</v>
      </c>
      <c r="C1759" s="4" t="str">
        <f t="shared" si="55"/>
        <v>2018-10</v>
      </c>
      <c r="D1759" s="3">
        <v>53.06</v>
      </c>
      <c r="E1759" s="3">
        <v>4.6399999999999997</v>
      </c>
      <c r="F1759" s="3">
        <v>142.09</v>
      </c>
      <c r="G1759" s="3">
        <v>1.33</v>
      </c>
    </row>
    <row r="1760" spans="1:7" x14ac:dyDescent="0.2">
      <c r="A1760" s="2">
        <v>43399</v>
      </c>
      <c r="B1760" s="1">
        <f t="shared" si="54"/>
        <v>43374</v>
      </c>
      <c r="C1760" s="4" t="str">
        <f t="shared" si="55"/>
        <v>2018-10</v>
      </c>
      <c r="D1760" s="3">
        <v>54.08</v>
      </c>
      <c r="E1760" s="3">
        <v>4.96</v>
      </c>
      <c r="F1760" s="3">
        <v>145.37</v>
      </c>
      <c r="G1760" s="3">
        <v>1.44</v>
      </c>
    </row>
    <row r="1761" spans="1:7" x14ac:dyDescent="0.2">
      <c r="A1761" s="2">
        <v>43398</v>
      </c>
      <c r="B1761" s="1">
        <f t="shared" si="54"/>
        <v>43374</v>
      </c>
      <c r="C1761" s="4" t="str">
        <f t="shared" si="55"/>
        <v>2018-10</v>
      </c>
      <c r="D1761" s="3">
        <v>54.95</v>
      </c>
      <c r="E1761" s="3">
        <v>5.2</v>
      </c>
      <c r="F1761" s="3">
        <v>150.94999999999999</v>
      </c>
      <c r="G1761" s="3">
        <v>1.48</v>
      </c>
    </row>
    <row r="1762" spans="1:7" x14ac:dyDescent="0.2">
      <c r="A1762" s="2">
        <v>43397</v>
      </c>
      <c r="B1762" s="1">
        <f t="shared" si="54"/>
        <v>43374</v>
      </c>
      <c r="C1762" s="4" t="str">
        <f t="shared" si="55"/>
        <v>2018-10</v>
      </c>
      <c r="D1762" s="3">
        <v>53.77</v>
      </c>
      <c r="E1762" s="3">
        <v>4.99</v>
      </c>
      <c r="F1762" s="3">
        <v>146.04</v>
      </c>
      <c r="G1762" s="3">
        <v>1.47</v>
      </c>
    </row>
    <row r="1763" spans="1:7" x14ac:dyDescent="0.2">
      <c r="A1763" s="2">
        <v>43396</v>
      </c>
      <c r="B1763" s="1">
        <f t="shared" si="54"/>
        <v>43374</v>
      </c>
      <c r="C1763" s="4" t="str">
        <f t="shared" si="55"/>
        <v>2018-10</v>
      </c>
      <c r="D1763" s="3">
        <v>55.68</v>
      </c>
      <c r="E1763" s="3">
        <v>5.53</v>
      </c>
      <c r="F1763" s="3">
        <v>154.38999999999999</v>
      </c>
      <c r="G1763" s="3">
        <v>1.47</v>
      </c>
    </row>
    <row r="1764" spans="1:7" x14ac:dyDescent="0.2">
      <c r="A1764" s="2">
        <v>43395</v>
      </c>
      <c r="B1764" s="1">
        <f t="shared" si="54"/>
        <v>43374</v>
      </c>
      <c r="C1764" s="4" t="str">
        <f t="shared" si="55"/>
        <v>2018-10</v>
      </c>
      <c r="D1764" s="3">
        <v>55.16</v>
      </c>
      <c r="E1764" s="3">
        <v>5.78</v>
      </c>
      <c r="F1764" s="3">
        <v>154.78</v>
      </c>
      <c r="G1764" s="3">
        <v>1.47</v>
      </c>
    </row>
    <row r="1765" spans="1:7" x14ac:dyDescent="0.2">
      <c r="A1765" s="2">
        <v>43392</v>
      </c>
      <c r="B1765" s="1">
        <f t="shared" si="54"/>
        <v>43374</v>
      </c>
      <c r="C1765" s="4" t="str">
        <f t="shared" si="55"/>
        <v>2018-10</v>
      </c>
      <c r="D1765" s="3">
        <v>54.83</v>
      </c>
      <c r="E1765" s="3">
        <v>5.73</v>
      </c>
      <c r="F1765" s="3">
        <v>154.05000000000001</v>
      </c>
      <c r="G1765" s="3">
        <v>1.41</v>
      </c>
    </row>
    <row r="1766" spans="1:7" x14ac:dyDescent="0.2">
      <c r="A1766" s="2">
        <v>43391</v>
      </c>
      <c r="B1766" s="1">
        <f t="shared" si="54"/>
        <v>43374</v>
      </c>
      <c r="C1766" s="4" t="str">
        <f t="shared" si="55"/>
        <v>2018-10</v>
      </c>
      <c r="D1766" s="3">
        <v>54.01</v>
      </c>
      <c r="E1766" s="3">
        <v>5.99</v>
      </c>
      <c r="F1766" s="3">
        <v>154.91999999999999</v>
      </c>
      <c r="G1766" s="3">
        <v>1.34</v>
      </c>
    </row>
    <row r="1767" spans="1:7" x14ac:dyDescent="0.2">
      <c r="A1767" s="2">
        <v>43390</v>
      </c>
      <c r="B1767" s="1">
        <f t="shared" si="54"/>
        <v>43374</v>
      </c>
      <c r="C1767" s="4" t="str">
        <f t="shared" si="55"/>
        <v>2018-10</v>
      </c>
      <c r="D1767" s="3">
        <v>55.3</v>
      </c>
      <c r="E1767" s="3">
        <v>6.08</v>
      </c>
      <c r="F1767" s="3">
        <v>159.41999999999999</v>
      </c>
      <c r="G1767" s="3">
        <v>1.36</v>
      </c>
    </row>
    <row r="1768" spans="1:7" x14ac:dyDescent="0.2">
      <c r="A1768" s="2">
        <v>43389</v>
      </c>
      <c r="B1768" s="1">
        <f t="shared" si="54"/>
        <v>43374</v>
      </c>
      <c r="C1768" s="4" t="str">
        <f t="shared" si="55"/>
        <v>2018-10</v>
      </c>
      <c r="D1768" s="3">
        <v>55.54</v>
      </c>
      <c r="E1768" s="3">
        <v>6.15</v>
      </c>
      <c r="F1768" s="3">
        <v>158.78</v>
      </c>
      <c r="G1768" s="3">
        <v>1.33</v>
      </c>
    </row>
    <row r="1769" spans="1:7" x14ac:dyDescent="0.2">
      <c r="A1769" s="2">
        <v>43388</v>
      </c>
      <c r="B1769" s="1">
        <f t="shared" si="54"/>
        <v>43374</v>
      </c>
      <c r="C1769" s="4" t="str">
        <f t="shared" si="55"/>
        <v>2018-10</v>
      </c>
      <c r="D1769" s="3">
        <v>54.34</v>
      </c>
      <c r="E1769" s="3">
        <v>5.88</v>
      </c>
      <c r="F1769" s="3">
        <v>153.52000000000001</v>
      </c>
      <c r="G1769" s="3">
        <v>1.38</v>
      </c>
    </row>
    <row r="1770" spans="1:7" x14ac:dyDescent="0.2">
      <c r="A1770" s="2">
        <v>43385</v>
      </c>
      <c r="B1770" s="1">
        <f t="shared" si="54"/>
        <v>43374</v>
      </c>
      <c r="C1770" s="4" t="str">
        <f t="shared" si="55"/>
        <v>2018-10</v>
      </c>
      <c r="D1770" s="3">
        <v>55.53</v>
      </c>
      <c r="E1770" s="3">
        <v>6.16</v>
      </c>
      <c r="F1770" s="3">
        <v>153.74</v>
      </c>
      <c r="G1770" s="3">
        <v>1.31</v>
      </c>
    </row>
    <row r="1771" spans="1:7" x14ac:dyDescent="0.2">
      <c r="A1771" s="2">
        <v>43384</v>
      </c>
      <c r="B1771" s="1">
        <f t="shared" si="54"/>
        <v>43374</v>
      </c>
      <c r="C1771" s="4" t="str">
        <f t="shared" si="55"/>
        <v>2018-10</v>
      </c>
      <c r="D1771" s="3">
        <v>53.61</v>
      </c>
      <c r="E1771" s="3">
        <v>5.88</v>
      </c>
      <c r="F1771" s="3">
        <v>153.35</v>
      </c>
      <c r="G1771" s="3">
        <v>1.31</v>
      </c>
    </row>
    <row r="1772" spans="1:7" x14ac:dyDescent="0.2">
      <c r="A1772" s="2">
        <v>43383</v>
      </c>
      <c r="B1772" s="1">
        <f t="shared" si="54"/>
        <v>43374</v>
      </c>
      <c r="C1772" s="4" t="str">
        <f t="shared" si="55"/>
        <v>2018-10</v>
      </c>
      <c r="D1772" s="3">
        <v>54.09</v>
      </c>
      <c r="E1772" s="3">
        <v>6.14</v>
      </c>
      <c r="F1772" s="3">
        <v>151.38</v>
      </c>
      <c r="G1772" s="3">
        <v>1.28</v>
      </c>
    </row>
    <row r="1773" spans="1:7" x14ac:dyDescent="0.2">
      <c r="A1773" s="2">
        <v>43382</v>
      </c>
      <c r="B1773" s="1">
        <f t="shared" si="54"/>
        <v>43374</v>
      </c>
      <c r="C1773" s="4" t="str">
        <f t="shared" si="55"/>
        <v>2018-10</v>
      </c>
      <c r="D1773" s="3">
        <v>56.72</v>
      </c>
      <c r="E1773" s="3">
        <v>6.64</v>
      </c>
      <c r="F1773" s="3">
        <v>157.9</v>
      </c>
      <c r="G1773" s="3">
        <v>1.25</v>
      </c>
    </row>
    <row r="1774" spans="1:7" x14ac:dyDescent="0.2">
      <c r="A1774" s="2">
        <v>43381</v>
      </c>
      <c r="B1774" s="1">
        <f t="shared" si="54"/>
        <v>43374</v>
      </c>
      <c r="C1774" s="4" t="str">
        <f t="shared" si="55"/>
        <v>2018-10</v>
      </c>
      <c r="D1774" s="3">
        <v>55.94</v>
      </c>
      <c r="E1774" s="3">
        <v>6.64</v>
      </c>
      <c r="F1774" s="3">
        <v>157.25</v>
      </c>
      <c r="G1774" s="3">
        <v>1.48</v>
      </c>
    </row>
    <row r="1775" spans="1:7" x14ac:dyDescent="0.2">
      <c r="A1775" s="2">
        <v>43378</v>
      </c>
      <c r="B1775" s="1">
        <f t="shared" si="54"/>
        <v>43374</v>
      </c>
      <c r="C1775" s="4" t="str">
        <f t="shared" si="55"/>
        <v>2018-10</v>
      </c>
      <c r="D1775" s="3">
        <v>56.07</v>
      </c>
      <c r="E1775" s="3">
        <v>6.75</v>
      </c>
      <c r="F1775" s="3">
        <v>157.33000000000001</v>
      </c>
      <c r="G1775" s="3">
        <v>1.24</v>
      </c>
    </row>
    <row r="1776" spans="1:7" x14ac:dyDescent="0.2">
      <c r="A1776" s="2">
        <v>43377</v>
      </c>
      <c r="B1776" s="1">
        <f t="shared" si="54"/>
        <v>43374</v>
      </c>
      <c r="C1776" s="4" t="str">
        <f t="shared" si="55"/>
        <v>2018-10</v>
      </c>
      <c r="D1776" s="3">
        <v>57</v>
      </c>
      <c r="E1776" s="3">
        <v>6.98</v>
      </c>
      <c r="F1776" s="3">
        <v>158.85</v>
      </c>
      <c r="G1776" s="3">
        <v>1.26</v>
      </c>
    </row>
    <row r="1777" spans="1:7" x14ac:dyDescent="0.2">
      <c r="A1777" s="2">
        <v>43376</v>
      </c>
      <c r="B1777" s="1">
        <f t="shared" si="54"/>
        <v>43374</v>
      </c>
      <c r="C1777" s="4" t="str">
        <f t="shared" si="55"/>
        <v>2018-10</v>
      </c>
      <c r="D1777" s="3">
        <v>58.02</v>
      </c>
      <c r="E1777" s="3">
        <v>7.17</v>
      </c>
      <c r="F1777" s="3">
        <v>162.43</v>
      </c>
      <c r="G1777" s="3">
        <v>2.14</v>
      </c>
    </row>
    <row r="1778" spans="1:7" x14ac:dyDescent="0.2">
      <c r="A1778" s="2">
        <v>43375</v>
      </c>
      <c r="B1778" s="1">
        <f t="shared" si="54"/>
        <v>43374</v>
      </c>
      <c r="C1778" s="4" t="str">
        <f t="shared" si="55"/>
        <v>2018-10</v>
      </c>
      <c r="D1778" s="3">
        <v>57.32</v>
      </c>
      <c r="E1778" s="3">
        <v>7.16</v>
      </c>
      <c r="F1778" s="3">
        <v>159.33000000000001</v>
      </c>
      <c r="G1778" s="3">
        <v>2.15</v>
      </c>
    </row>
    <row r="1779" spans="1:7" x14ac:dyDescent="0.2">
      <c r="A1779" s="2">
        <v>43374</v>
      </c>
      <c r="B1779" s="1">
        <f t="shared" si="54"/>
        <v>43374</v>
      </c>
      <c r="C1779" s="4" t="str">
        <f t="shared" si="55"/>
        <v>2018-10</v>
      </c>
      <c r="D1779" s="3">
        <v>56.82</v>
      </c>
      <c r="E1779" s="3">
        <v>7.23</v>
      </c>
      <c r="F1779" s="3">
        <v>162.44</v>
      </c>
      <c r="G1779" s="3">
        <v>2.15</v>
      </c>
    </row>
    <row r="1780" spans="1:7" x14ac:dyDescent="0.2">
      <c r="A1780" s="2">
        <v>43371</v>
      </c>
      <c r="B1780" s="1">
        <f t="shared" si="54"/>
        <v>43344</v>
      </c>
      <c r="C1780" s="4" t="str">
        <f t="shared" si="55"/>
        <v>2018-09</v>
      </c>
      <c r="D1780" s="3">
        <v>56.44</v>
      </c>
      <c r="E1780" s="3">
        <v>7.03</v>
      </c>
      <c r="F1780" s="3">
        <v>164.46</v>
      </c>
      <c r="G1780" s="3">
        <v>2.06</v>
      </c>
    </row>
    <row r="1781" spans="1:7" x14ac:dyDescent="0.2">
      <c r="A1781" s="2">
        <v>43370</v>
      </c>
      <c r="B1781" s="1">
        <f t="shared" si="54"/>
        <v>43344</v>
      </c>
      <c r="C1781" s="4" t="str">
        <f t="shared" si="55"/>
        <v>2018-09</v>
      </c>
      <c r="D1781" s="3">
        <v>56.24</v>
      </c>
      <c r="E1781" s="3">
        <v>6.69</v>
      </c>
      <c r="F1781" s="3">
        <v>168.84</v>
      </c>
      <c r="G1781" s="3">
        <v>2.06</v>
      </c>
    </row>
    <row r="1782" spans="1:7" x14ac:dyDescent="0.2">
      <c r="A1782" s="2">
        <v>43369</v>
      </c>
      <c r="B1782" s="1">
        <f t="shared" si="54"/>
        <v>43344</v>
      </c>
      <c r="C1782" s="4" t="str">
        <f t="shared" si="55"/>
        <v>2018-09</v>
      </c>
      <c r="D1782" s="3">
        <v>55.11</v>
      </c>
      <c r="E1782" s="3">
        <v>6.67</v>
      </c>
      <c r="F1782" s="3">
        <v>166.95</v>
      </c>
      <c r="G1782" s="3">
        <v>2.1</v>
      </c>
    </row>
    <row r="1783" spans="1:7" x14ac:dyDescent="0.2">
      <c r="A1783" s="2">
        <v>43368</v>
      </c>
      <c r="B1783" s="1">
        <f t="shared" si="54"/>
        <v>43344</v>
      </c>
      <c r="C1783" s="4" t="str">
        <f t="shared" si="55"/>
        <v>2018-09</v>
      </c>
      <c r="D1783" s="3">
        <v>55.55</v>
      </c>
      <c r="E1783" s="3">
        <v>6.71</v>
      </c>
      <c r="F1783" s="3">
        <v>164.91</v>
      </c>
      <c r="G1783" s="3">
        <v>2.13</v>
      </c>
    </row>
    <row r="1784" spans="1:7" x14ac:dyDescent="0.2">
      <c r="A1784" s="2">
        <v>43367</v>
      </c>
      <c r="B1784" s="1">
        <f t="shared" si="54"/>
        <v>43344</v>
      </c>
      <c r="C1784" s="4" t="str">
        <f t="shared" si="55"/>
        <v>2018-09</v>
      </c>
      <c r="D1784" s="3">
        <v>55.2</v>
      </c>
      <c r="E1784" s="3">
        <v>6.64</v>
      </c>
      <c r="F1784" s="3">
        <v>165.41</v>
      </c>
      <c r="G1784" s="3">
        <v>1.99</v>
      </c>
    </row>
    <row r="1785" spans="1:7" x14ac:dyDescent="0.2">
      <c r="A1785" s="2">
        <v>43364</v>
      </c>
      <c r="B1785" s="1">
        <f t="shared" si="54"/>
        <v>43344</v>
      </c>
      <c r="C1785" s="4" t="str">
        <f t="shared" si="55"/>
        <v>2018-09</v>
      </c>
      <c r="D1785" s="3">
        <v>54.42</v>
      </c>
      <c r="E1785" s="3">
        <v>6.59</v>
      </c>
      <c r="F1785" s="3">
        <v>162.93</v>
      </c>
      <c r="G1785" s="3">
        <v>2.0699999999999998</v>
      </c>
    </row>
    <row r="1786" spans="1:7" x14ac:dyDescent="0.2">
      <c r="A1786" s="2">
        <v>43363</v>
      </c>
      <c r="B1786" s="1">
        <f t="shared" si="54"/>
        <v>43344</v>
      </c>
      <c r="C1786" s="4" t="str">
        <f t="shared" si="55"/>
        <v>2018-09</v>
      </c>
      <c r="D1786" s="3">
        <v>55.01</v>
      </c>
      <c r="E1786" s="3">
        <v>6.66</v>
      </c>
      <c r="F1786" s="3">
        <v>166.02</v>
      </c>
      <c r="G1786" s="3">
        <v>2.12</v>
      </c>
    </row>
    <row r="1787" spans="1:7" x14ac:dyDescent="0.2">
      <c r="A1787" s="2">
        <v>43362</v>
      </c>
      <c r="B1787" s="1">
        <f t="shared" si="54"/>
        <v>43344</v>
      </c>
      <c r="C1787" s="4" t="str">
        <f t="shared" si="55"/>
        <v>2018-09</v>
      </c>
      <c r="D1787" s="3">
        <v>54.59</v>
      </c>
      <c r="E1787" s="3">
        <v>6.8</v>
      </c>
      <c r="F1787" s="3">
        <v>163.06</v>
      </c>
      <c r="G1787" s="3">
        <v>2.0699999999999998</v>
      </c>
    </row>
    <row r="1788" spans="1:7" x14ac:dyDescent="0.2">
      <c r="A1788" s="2">
        <v>43361</v>
      </c>
      <c r="B1788" s="1">
        <f t="shared" si="54"/>
        <v>43344</v>
      </c>
      <c r="C1788" s="4" t="str">
        <f t="shared" si="55"/>
        <v>2018-09</v>
      </c>
      <c r="D1788" s="3">
        <v>54.56</v>
      </c>
      <c r="E1788" s="3">
        <v>6.78</v>
      </c>
      <c r="F1788" s="3">
        <v>160.30000000000001</v>
      </c>
      <c r="G1788" s="3">
        <v>2.06</v>
      </c>
    </row>
    <row r="1789" spans="1:7" x14ac:dyDescent="0.2">
      <c r="A1789" s="2">
        <v>43360</v>
      </c>
      <c r="B1789" s="1">
        <f t="shared" si="54"/>
        <v>43344</v>
      </c>
      <c r="C1789" s="4" t="str">
        <f t="shared" si="55"/>
        <v>2018-09</v>
      </c>
      <c r="D1789" s="3">
        <v>54.47</v>
      </c>
      <c r="E1789" s="3">
        <v>6.85</v>
      </c>
      <c r="F1789" s="3">
        <v>160.58000000000001</v>
      </c>
      <c r="G1789" s="3">
        <v>2.0499999999999998</v>
      </c>
    </row>
    <row r="1790" spans="1:7" x14ac:dyDescent="0.2">
      <c r="A1790" s="2">
        <v>43357</v>
      </c>
      <c r="B1790" s="1">
        <f t="shared" si="54"/>
        <v>43344</v>
      </c>
      <c r="C1790" s="4" t="str">
        <f t="shared" si="55"/>
        <v>2018-09</v>
      </c>
      <c r="D1790" s="3">
        <v>55.96</v>
      </c>
      <c r="E1790" s="3">
        <v>6.91</v>
      </c>
      <c r="F1790" s="3">
        <v>162.32</v>
      </c>
      <c r="G1790" s="3">
        <v>2.0099999999999998</v>
      </c>
    </row>
    <row r="1791" spans="1:7" x14ac:dyDescent="0.2">
      <c r="A1791" s="2">
        <v>43356</v>
      </c>
      <c r="B1791" s="1">
        <f t="shared" si="54"/>
        <v>43344</v>
      </c>
      <c r="C1791" s="4" t="str">
        <f t="shared" si="55"/>
        <v>2018-09</v>
      </c>
      <c r="D1791" s="3">
        <v>56.6</v>
      </c>
      <c r="E1791" s="3">
        <v>6.78</v>
      </c>
      <c r="F1791" s="3">
        <v>161.36000000000001</v>
      </c>
      <c r="G1791" s="3">
        <v>2</v>
      </c>
    </row>
    <row r="1792" spans="1:7" x14ac:dyDescent="0.2">
      <c r="A1792" s="2">
        <v>43355</v>
      </c>
      <c r="B1792" s="1">
        <f t="shared" si="54"/>
        <v>43344</v>
      </c>
      <c r="C1792" s="4" t="str">
        <f t="shared" si="55"/>
        <v>2018-09</v>
      </c>
      <c r="D1792" s="3">
        <v>55.27</v>
      </c>
      <c r="E1792" s="3">
        <v>6.71</v>
      </c>
      <c r="F1792" s="3">
        <v>162</v>
      </c>
      <c r="G1792" s="3">
        <v>1.98</v>
      </c>
    </row>
    <row r="1793" spans="1:7" x14ac:dyDescent="0.2">
      <c r="A1793" s="2">
        <v>43354</v>
      </c>
      <c r="B1793" s="1">
        <f t="shared" si="54"/>
        <v>43344</v>
      </c>
      <c r="C1793" s="4" t="str">
        <f t="shared" si="55"/>
        <v>2018-09</v>
      </c>
      <c r="D1793" s="3">
        <v>55.96</v>
      </c>
      <c r="E1793" s="3">
        <v>6.82</v>
      </c>
      <c r="F1793" s="3">
        <v>165.94</v>
      </c>
      <c r="G1793" s="3">
        <v>1.98</v>
      </c>
    </row>
    <row r="1794" spans="1:7" x14ac:dyDescent="0.2">
      <c r="A1794" s="2">
        <v>43353</v>
      </c>
      <c r="B1794" s="1">
        <f t="shared" si="54"/>
        <v>43344</v>
      </c>
      <c r="C1794" s="4" t="str">
        <f t="shared" si="55"/>
        <v>2018-09</v>
      </c>
      <c r="D1794" s="3">
        <v>54.58</v>
      </c>
      <c r="E1794" s="3">
        <v>6.87</v>
      </c>
      <c r="F1794" s="3">
        <v>164.18</v>
      </c>
      <c r="G1794" s="3">
        <v>2</v>
      </c>
    </row>
    <row r="1795" spans="1:7" x14ac:dyDescent="0.2">
      <c r="A1795" s="2">
        <v>43350</v>
      </c>
      <c r="B1795" s="1">
        <f t="shared" ref="B1795:B1858" si="56">EOMONTH(A1795, -1)+1</f>
        <v>43344</v>
      </c>
      <c r="C1795" s="4" t="str">
        <f t="shared" ref="C1795:C1858" si="57">TEXT(A1795, "yyyy-mm")</f>
        <v>2018-09</v>
      </c>
      <c r="D1795" s="3">
        <v>55.33</v>
      </c>
      <c r="E1795" s="3">
        <v>6.8</v>
      </c>
      <c r="F1795" s="3">
        <v>163.04</v>
      </c>
      <c r="G1795" s="3">
        <v>2.02</v>
      </c>
    </row>
    <row r="1796" spans="1:7" x14ac:dyDescent="0.2">
      <c r="A1796" s="2">
        <v>43349</v>
      </c>
      <c r="B1796" s="1">
        <f t="shared" si="56"/>
        <v>43344</v>
      </c>
      <c r="C1796" s="4" t="str">
        <f t="shared" si="57"/>
        <v>2018-09</v>
      </c>
      <c r="D1796" s="3">
        <v>55.78</v>
      </c>
      <c r="E1796" s="3">
        <v>6.82</v>
      </c>
      <c r="F1796" s="3">
        <v>162.53</v>
      </c>
      <c r="G1796" s="3">
        <v>2</v>
      </c>
    </row>
    <row r="1797" spans="1:7" x14ac:dyDescent="0.2">
      <c r="A1797" s="2">
        <v>43348</v>
      </c>
      <c r="B1797" s="1">
        <f t="shared" si="56"/>
        <v>43344</v>
      </c>
      <c r="C1797" s="4" t="str">
        <f t="shared" si="57"/>
        <v>2018-09</v>
      </c>
      <c r="D1797" s="3">
        <v>56.72</v>
      </c>
      <c r="E1797" s="3">
        <v>6.96</v>
      </c>
      <c r="F1797" s="3">
        <v>167.18</v>
      </c>
      <c r="G1797" s="3">
        <v>1.98</v>
      </c>
    </row>
    <row r="1798" spans="1:7" x14ac:dyDescent="0.2">
      <c r="A1798" s="2">
        <v>43347</v>
      </c>
      <c r="B1798" s="1">
        <f t="shared" si="56"/>
        <v>43344</v>
      </c>
      <c r="C1798" s="4" t="str">
        <f t="shared" si="57"/>
        <v>2018-09</v>
      </c>
      <c r="D1798" s="3">
        <v>57.09</v>
      </c>
      <c r="E1798" s="3">
        <v>7.09</v>
      </c>
      <c r="F1798" s="3">
        <v>171.16</v>
      </c>
      <c r="G1798" s="3">
        <v>2.0499999999999998</v>
      </c>
    </row>
    <row r="1799" spans="1:7" x14ac:dyDescent="0.2">
      <c r="A1799" s="2">
        <v>43343</v>
      </c>
      <c r="B1799" s="1">
        <f t="shared" si="56"/>
        <v>43313</v>
      </c>
      <c r="C1799" s="4" t="str">
        <f t="shared" si="57"/>
        <v>2018-08</v>
      </c>
      <c r="D1799" s="3">
        <v>56.91</v>
      </c>
      <c r="E1799" s="3">
        <v>7.02</v>
      </c>
      <c r="F1799" s="3">
        <v>175.73</v>
      </c>
      <c r="G1799" s="3">
        <v>2.0499999999999998</v>
      </c>
    </row>
    <row r="1800" spans="1:7" x14ac:dyDescent="0.2">
      <c r="A1800" s="2">
        <v>43342</v>
      </c>
      <c r="B1800" s="1">
        <f t="shared" si="56"/>
        <v>43313</v>
      </c>
      <c r="C1800" s="4" t="str">
        <f t="shared" si="57"/>
        <v>2018-08</v>
      </c>
      <c r="D1800" s="3">
        <v>56.26</v>
      </c>
      <c r="E1800" s="3">
        <v>6.95</v>
      </c>
      <c r="F1800" s="3">
        <v>177.64</v>
      </c>
      <c r="G1800" s="3">
        <v>2.0699999999999998</v>
      </c>
    </row>
    <row r="1801" spans="1:7" x14ac:dyDescent="0.2">
      <c r="A1801" s="2">
        <v>43341</v>
      </c>
      <c r="B1801" s="1">
        <f t="shared" si="56"/>
        <v>43313</v>
      </c>
      <c r="C1801" s="4" t="str">
        <f t="shared" si="57"/>
        <v>2018-08</v>
      </c>
      <c r="D1801" s="3">
        <v>55.75</v>
      </c>
      <c r="E1801" s="3">
        <v>6.96</v>
      </c>
      <c r="F1801" s="3">
        <v>175.9</v>
      </c>
      <c r="G1801" s="3">
        <v>2.02</v>
      </c>
    </row>
    <row r="1802" spans="1:7" x14ac:dyDescent="0.2">
      <c r="A1802" s="2">
        <v>43340</v>
      </c>
      <c r="B1802" s="1">
        <f t="shared" si="56"/>
        <v>43313</v>
      </c>
      <c r="C1802" s="4" t="str">
        <f t="shared" si="57"/>
        <v>2018-08</v>
      </c>
      <c r="D1802" s="3">
        <v>54.93</v>
      </c>
      <c r="E1802" s="3">
        <v>6.86</v>
      </c>
      <c r="F1802" s="3">
        <v>176.26</v>
      </c>
      <c r="G1802" s="3">
        <v>1.95</v>
      </c>
    </row>
    <row r="1803" spans="1:7" x14ac:dyDescent="0.2">
      <c r="A1803" s="2">
        <v>43339</v>
      </c>
      <c r="B1803" s="1">
        <f t="shared" si="56"/>
        <v>43313</v>
      </c>
      <c r="C1803" s="4" t="str">
        <f t="shared" si="57"/>
        <v>2018-08</v>
      </c>
      <c r="D1803" s="3">
        <v>54.49</v>
      </c>
      <c r="E1803" s="3">
        <v>6.9</v>
      </c>
      <c r="F1803" s="3">
        <v>177.46</v>
      </c>
      <c r="G1803" s="3">
        <v>1.73</v>
      </c>
    </row>
    <row r="1804" spans="1:7" x14ac:dyDescent="0.2">
      <c r="A1804" s="2">
        <v>43336</v>
      </c>
      <c r="B1804" s="1">
        <f t="shared" si="56"/>
        <v>43313</v>
      </c>
      <c r="C1804" s="4" t="str">
        <f t="shared" si="57"/>
        <v>2018-08</v>
      </c>
      <c r="D1804" s="3">
        <v>54.04</v>
      </c>
      <c r="E1804" s="3">
        <v>6.81</v>
      </c>
      <c r="F1804" s="3">
        <v>174.65</v>
      </c>
      <c r="G1804" s="3">
        <v>1.64</v>
      </c>
    </row>
    <row r="1805" spans="1:7" x14ac:dyDescent="0.2">
      <c r="A1805" s="2">
        <v>43335</v>
      </c>
      <c r="B1805" s="1">
        <f t="shared" si="56"/>
        <v>43313</v>
      </c>
      <c r="C1805" s="4" t="str">
        <f t="shared" si="57"/>
        <v>2018-08</v>
      </c>
      <c r="D1805" s="3">
        <v>53.87</v>
      </c>
      <c r="E1805" s="3">
        <v>6.67</v>
      </c>
      <c r="F1805" s="3">
        <v>172.9</v>
      </c>
      <c r="G1805" s="3">
        <v>1.72</v>
      </c>
    </row>
    <row r="1806" spans="1:7" x14ac:dyDescent="0.2">
      <c r="A1806" s="2">
        <v>43334</v>
      </c>
      <c r="B1806" s="1">
        <f t="shared" si="56"/>
        <v>43313</v>
      </c>
      <c r="C1806" s="4" t="str">
        <f t="shared" si="57"/>
        <v>2018-08</v>
      </c>
      <c r="D1806" s="3">
        <v>53.76</v>
      </c>
      <c r="E1806" s="3">
        <v>6.57</v>
      </c>
      <c r="F1806" s="3">
        <v>173.64</v>
      </c>
      <c r="G1806" s="3">
        <v>1.57</v>
      </c>
    </row>
    <row r="1807" spans="1:7" x14ac:dyDescent="0.2">
      <c r="A1807" s="2">
        <v>43333</v>
      </c>
      <c r="B1807" s="1">
        <f t="shared" si="56"/>
        <v>43313</v>
      </c>
      <c r="C1807" s="4" t="str">
        <f t="shared" si="57"/>
        <v>2018-08</v>
      </c>
      <c r="D1807" s="3">
        <v>53.76</v>
      </c>
      <c r="E1807" s="3">
        <v>6.33</v>
      </c>
      <c r="F1807" s="3">
        <v>172.62</v>
      </c>
      <c r="G1807" s="3">
        <v>1.84</v>
      </c>
    </row>
    <row r="1808" spans="1:7" x14ac:dyDescent="0.2">
      <c r="A1808" s="2">
        <v>43332</v>
      </c>
      <c r="B1808" s="1">
        <f t="shared" si="56"/>
        <v>43313</v>
      </c>
      <c r="C1808" s="4" t="str">
        <f t="shared" si="57"/>
        <v>2018-08</v>
      </c>
      <c r="D1808" s="3">
        <v>53.87</v>
      </c>
      <c r="E1808" s="3">
        <v>6.2</v>
      </c>
      <c r="F1808" s="3">
        <v>172.5</v>
      </c>
      <c r="G1808" s="3">
        <v>1.9</v>
      </c>
    </row>
    <row r="1809" spans="1:7" x14ac:dyDescent="0.2">
      <c r="A1809" s="2">
        <v>43329</v>
      </c>
      <c r="B1809" s="1">
        <f t="shared" si="56"/>
        <v>43313</v>
      </c>
      <c r="C1809" s="4" t="str">
        <f t="shared" si="57"/>
        <v>2018-08</v>
      </c>
      <c r="D1809" s="3">
        <v>54.4</v>
      </c>
      <c r="E1809" s="3">
        <v>6.12</v>
      </c>
      <c r="F1809" s="3">
        <v>173.8</v>
      </c>
      <c r="G1809" s="3">
        <v>1.89</v>
      </c>
    </row>
    <row r="1810" spans="1:7" x14ac:dyDescent="0.2">
      <c r="A1810" s="2">
        <v>43328</v>
      </c>
      <c r="B1810" s="1">
        <f t="shared" si="56"/>
        <v>43313</v>
      </c>
      <c r="C1810" s="4" t="str">
        <f t="shared" si="57"/>
        <v>2018-08</v>
      </c>
      <c r="D1810" s="3">
        <v>53.33</v>
      </c>
      <c r="E1810" s="3">
        <v>6.44</v>
      </c>
      <c r="F1810" s="3">
        <v>174.7</v>
      </c>
      <c r="G1810" s="3">
        <v>1.92</v>
      </c>
    </row>
    <row r="1811" spans="1:7" x14ac:dyDescent="0.2">
      <c r="A1811" s="2">
        <v>43327</v>
      </c>
      <c r="B1811" s="1">
        <f t="shared" si="56"/>
        <v>43313</v>
      </c>
      <c r="C1811" s="4" t="str">
        <f t="shared" si="57"/>
        <v>2018-08</v>
      </c>
      <c r="D1811" s="3">
        <v>52.56</v>
      </c>
      <c r="E1811" s="3">
        <v>6.48</v>
      </c>
      <c r="F1811" s="3">
        <v>179.53</v>
      </c>
      <c r="G1811" s="3">
        <v>1.88</v>
      </c>
    </row>
    <row r="1812" spans="1:7" x14ac:dyDescent="0.2">
      <c r="A1812" s="2">
        <v>43326</v>
      </c>
      <c r="B1812" s="1">
        <f t="shared" si="56"/>
        <v>43313</v>
      </c>
      <c r="C1812" s="4" t="str">
        <f t="shared" si="57"/>
        <v>2018-08</v>
      </c>
      <c r="D1812" s="3">
        <v>52.44</v>
      </c>
      <c r="E1812" s="3">
        <v>6.54</v>
      </c>
      <c r="F1812" s="3">
        <v>181.11</v>
      </c>
      <c r="G1812" s="3">
        <v>1.97</v>
      </c>
    </row>
    <row r="1813" spans="1:7" x14ac:dyDescent="0.2">
      <c r="A1813" s="2">
        <v>43325</v>
      </c>
      <c r="B1813" s="1">
        <f t="shared" si="56"/>
        <v>43313</v>
      </c>
      <c r="C1813" s="4" t="str">
        <f t="shared" si="57"/>
        <v>2018-08</v>
      </c>
      <c r="D1813" s="3">
        <v>52.22</v>
      </c>
      <c r="E1813" s="3">
        <v>6.4</v>
      </c>
      <c r="F1813" s="3">
        <v>180.05</v>
      </c>
      <c r="G1813" s="3">
        <v>2</v>
      </c>
    </row>
    <row r="1814" spans="1:7" x14ac:dyDescent="0.2">
      <c r="A1814" s="2">
        <v>43322</v>
      </c>
      <c r="B1814" s="1">
        <f t="shared" si="56"/>
        <v>43313</v>
      </c>
      <c r="C1814" s="4" t="str">
        <f t="shared" si="57"/>
        <v>2018-08</v>
      </c>
      <c r="D1814" s="3">
        <v>51.88</v>
      </c>
      <c r="E1814" s="3">
        <v>6.37</v>
      </c>
      <c r="F1814" s="3">
        <v>180.26</v>
      </c>
      <c r="G1814" s="3">
        <v>1.98</v>
      </c>
    </row>
    <row r="1815" spans="1:7" x14ac:dyDescent="0.2">
      <c r="A1815" s="2">
        <v>43321</v>
      </c>
      <c r="B1815" s="1">
        <f t="shared" si="56"/>
        <v>43313</v>
      </c>
      <c r="C1815" s="4" t="str">
        <f t="shared" si="57"/>
        <v>2018-08</v>
      </c>
      <c r="D1815" s="3">
        <v>52.22</v>
      </c>
      <c r="E1815" s="3">
        <v>6.41</v>
      </c>
      <c r="F1815" s="3">
        <v>183.09</v>
      </c>
      <c r="G1815" s="3">
        <v>2.0099999999999998</v>
      </c>
    </row>
    <row r="1816" spans="1:7" x14ac:dyDescent="0.2">
      <c r="A1816" s="2">
        <v>43320</v>
      </c>
      <c r="B1816" s="1">
        <f t="shared" si="56"/>
        <v>43313</v>
      </c>
      <c r="C1816" s="4" t="str">
        <f t="shared" si="57"/>
        <v>2018-08</v>
      </c>
      <c r="D1816" s="3">
        <v>51.81</v>
      </c>
      <c r="E1816" s="3">
        <v>6.46</v>
      </c>
      <c r="F1816" s="3">
        <v>185.18</v>
      </c>
      <c r="G1816" s="3">
        <v>1.97</v>
      </c>
    </row>
    <row r="1817" spans="1:7" x14ac:dyDescent="0.2">
      <c r="A1817" s="2">
        <v>43319</v>
      </c>
      <c r="B1817" s="1">
        <f t="shared" si="56"/>
        <v>43313</v>
      </c>
      <c r="C1817" s="4" t="str">
        <f t="shared" si="57"/>
        <v>2018-08</v>
      </c>
      <c r="D1817" s="3">
        <v>51.78</v>
      </c>
      <c r="E1817" s="3">
        <v>6.42</v>
      </c>
      <c r="F1817" s="3">
        <v>183.81</v>
      </c>
      <c r="G1817" s="3">
        <v>2.0299999999999998</v>
      </c>
    </row>
    <row r="1818" spans="1:7" x14ac:dyDescent="0.2">
      <c r="A1818" s="2">
        <v>43318</v>
      </c>
      <c r="B1818" s="1">
        <f t="shared" si="56"/>
        <v>43313</v>
      </c>
      <c r="C1818" s="4" t="str">
        <f t="shared" si="57"/>
        <v>2018-08</v>
      </c>
      <c r="D1818" s="3">
        <v>52.27</v>
      </c>
      <c r="E1818" s="3">
        <v>6.35</v>
      </c>
      <c r="F1818" s="3">
        <v>185.69</v>
      </c>
      <c r="G1818" s="3">
        <v>2.11</v>
      </c>
    </row>
    <row r="1819" spans="1:7" x14ac:dyDescent="0.2">
      <c r="A1819" s="2">
        <v>43315</v>
      </c>
      <c r="B1819" s="1">
        <f t="shared" si="56"/>
        <v>43313</v>
      </c>
      <c r="C1819" s="4" t="str">
        <f t="shared" si="57"/>
        <v>2018-08</v>
      </c>
      <c r="D1819" s="3">
        <v>52</v>
      </c>
      <c r="E1819" s="3">
        <v>6.3</v>
      </c>
      <c r="F1819" s="3">
        <v>177.78</v>
      </c>
      <c r="G1819" s="3">
        <v>2.1</v>
      </c>
    </row>
    <row r="1820" spans="1:7" x14ac:dyDescent="0.2">
      <c r="A1820" s="2">
        <v>43314</v>
      </c>
      <c r="B1820" s="1">
        <f t="shared" si="56"/>
        <v>43313</v>
      </c>
      <c r="C1820" s="4" t="str">
        <f t="shared" si="57"/>
        <v>2018-08</v>
      </c>
      <c r="D1820" s="3">
        <v>51.85</v>
      </c>
      <c r="E1820" s="3">
        <v>6.27</v>
      </c>
      <c r="F1820" s="3">
        <v>176.37</v>
      </c>
      <c r="G1820" s="3">
        <v>2.17</v>
      </c>
    </row>
    <row r="1821" spans="1:7" x14ac:dyDescent="0.2">
      <c r="A1821" s="2">
        <v>43313</v>
      </c>
      <c r="B1821" s="1">
        <f t="shared" si="56"/>
        <v>43313</v>
      </c>
      <c r="C1821" s="4" t="str">
        <f t="shared" si="57"/>
        <v>2018-08</v>
      </c>
      <c r="D1821" s="3">
        <v>50.38</v>
      </c>
      <c r="E1821" s="3">
        <v>6.16</v>
      </c>
      <c r="F1821" s="3">
        <v>171.65</v>
      </c>
      <c r="G1821" s="3">
        <v>2.17</v>
      </c>
    </row>
    <row r="1822" spans="1:7" x14ac:dyDescent="0.2">
      <c r="A1822" s="2">
        <v>43312</v>
      </c>
      <c r="B1822" s="1">
        <f t="shared" si="56"/>
        <v>43282</v>
      </c>
      <c r="C1822" s="4" t="str">
        <f t="shared" si="57"/>
        <v>2018-07</v>
      </c>
      <c r="D1822" s="3">
        <v>47.57</v>
      </c>
      <c r="E1822" s="3">
        <v>6.12</v>
      </c>
      <c r="F1822" s="3">
        <v>172.58</v>
      </c>
      <c r="G1822" s="3">
        <v>2.21</v>
      </c>
    </row>
    <row r="1823" spans="1:7" x14ac:dyDescent="0.2">
      <c r="A1823" s="2">
        <v>43311</v>
      </c>
      <c r="B1823" s="1">
        <f t="shared" si="56"/>
        <v>43282</v>
      </c>
      <c r="C1823" s="4" t="str">
        <f t="shared" si="57"/>
        <v>2018-07</v>
      </c>
      <c r="D1823" s="3">
        <v>47.48</v>
      </c>
      <c r="E1823" s="3">
        <v>6.1</v>
      </c>
      <c r="F1823" s="3">
        <v>171.06</v>
      </c>
      <c r="G1823" s="3">
        <v>2.2200000000000002</v>
      </c>
    </row>
    <row r="1824" spans="1:7" x14ac:dyDescent="0.2">
      <c r="A1824" s="2">
        <v>43308</v>
      </c>
      <c r="B1824" s="1">
        <f t="shared" si="56"/>
        <v>43282</v>
      </c>
      <c r="C1824" s="4" t="str">
        <f t="shared" si="57"/>
        <v>2018-07</v>
      </c>
      <c r="D1824" s="3">
        <v>47.75</v>
      </c>
      <c r="E1824" s="3">
        <v>6.3</v>
      </c>
      <c r="F1824" s="3">
        <v>174.89</v>
      </c>
      <c r="G1824" s="3">
        <v>2.2200000000000002</v>
      </c>
    </row>
    <row r="1825" spans="1:7" x14ac:dyDescent="0.2">
      <c r="A1825" s="2">
        <v>43307</v>
      </c>
      <c r="B1825" s="1">
        <f t="shared" si="56"/>
        <v>43282</v>
      </c>
      <c r="C1825" s="4" t="str">
        <f t="shared" si="57"/>
        <v>2018-07</v>
      </c>
      <c r="D1825" s="3">
        <v>48.55</v>
      </c>
      <c r="E1825" s="3">
        <v>6.37</v>
      </c>
      <c r="F1825" s="3">
        <v>176.26</v>
      </c>
      <c r="G1825" s="3">
        <v>2.3199999999999998</v>
      </c>
    </row>
    <row r="1826" spans="1:7" x14ac:dyDescent="0.2">
      <c r="A1826" s="2">
        <v>43306</v>
      </c>
      <c r="B1826" s="1">
        <f t="shared" si="56"/>
        <v>43282</v>
      </c>
      <c r="C1826" s="4" t="str">
        <f t="shared" si="57"/>
        <v>2018-07</v>
      </c>
      <c r="D1826" s="3">
        <v>48.71</v>
      </c>
      <c r="E1826" s="3">
        <v>6.3</v>
      </c>
      <c r="F1826" s="3">
        <v>217.5</v>
      </c>
      <c r="G1826" s="3">
        <v>2.31</v>
      </c>
    </row>
    <row r="1827" spans="1:7" x14ac:dyDescent="0.2">
      <c r="A1827" s="2">
        <v>43305</v>
      </c>
      <c r="B1827" s="1">
        <f t="shared" si="56"/>
        <v>43282</v>
      </c>
      <c r="C1827" s="4" t="str">
        <f t="shared" si="57"/>
        <v>2018-07</v>
      </c>
      <c r="D1827" s="3">
        <v>48.25</v>
      </c>
      <c r="E1827" s="3">
        <v>6.22</v>
      </c>
      <c r="F1827" s="3">
        <v>214.67</v>
      </c>
      <c r="G1827" s="3">
        <v>2.37</v>
      </c>
    </row>
    <row r="1828" spans="1:7" x14ac:dyDescent="0.2">
      <c r="A1828" s="2">
        <v>43304</v>
      </c>
      <c r="B1828" s="1">
        <f t="shared" si="56"/>
        <v>43282</v>
      </c>
      <c r="C1828" s="4" t="str">
        <f t="shared" si="57"/>
        <v>2018-07</v>
      </c>
      <c r="D1828" s="3">
        <v>47.9</v>
      </c>
      <c r="E1828" s="3">
        <v>6.24</v>
      </c>
      <c r="F1828" s="3">
        <v>210.91</v>
      </c>
      <c r="G1828" s="3">
        <v>2.37</v>
      </c>
    </row>
    <row r="1829" spans="1:7" x14ac:dyDescent="0.2">
      <c r="A1829" s="2">
        <v>43301</v>
      </c>
      <c r="B1829" s="1">
        <f t="shared" si="56"/>
        <v>43282</v>
      </c>
      <c r="C1829" s="4" t="str">
        <f t="shared" si="57"/>
        <v>2018-07</v>
      </c>
      <c r="D1829" s="3">
        <v>47.86</v>
      </c>
      <c r="E1829" s="3">
        <v>6.27</v>
      </c>
      <c r="F1829" s="3">
        <v>209.94</v>
      </c>
      <c r="G1829" s="3">
        <v>2.38</v>
      </c>
    </row>
    <row r="1830" spans="1:7" x14ac:dyDescent="0.2">
      <c r="A1830" s="2">
        <v>43300</v>
      </c>
      <c r="B1830" s="1">
        <f t="shared" si="56"/>
        <v>43282</v>
      </c>
      <c r="C1830" s="4" t="str">
        <f t="shared" si="57"/>
        <v>2018-07</v>
      </c>
      <c r="D1830" s="3">
        <v>47.97</v>
      </c>
      <c r="E1830" s="3">
        <v>6.3</v>
      </c>
      <c r="F1830" s="3">
        <v>208.09</v>
      </c>
      <c r="G1830" s="3">
        <v>2.4300000000000002</v>
      </c>
    </row>
    <row r="1831" spans="1:7" x14ac:dyDescent="0.2">
      <c r="A1831" s="2">
        <v>43299</v>
      </c>
      <c r="B1831" s="1">
        <f t="shared" si="56"/>
        <v>43282</v>
      </c>
      <c r="C1831" s="4" t="str">
        <f t="shared" si="57"/>
        <v>2018-07</v>
      </c>
      <c r="D1831" s="3">
        <v>47.6</v>
      </c>
      <c r="E1831" s="3">
        <v>6.29</v>
      </c>
      <c r="F1831" s="3">
        <v>209.36</v>
      </c>
      <c r="G1831" s="3">
        <v>2.42</v>
      </c>
    </row>
    <row r="1832" spans="1:7" x14ac:dyDescent="0.2">
      <c r="A1832" s="2">
        <v>43298</v>
      </c>
      <c r="B1832" s="1">
        <f t="shared" si="56"/>
        <v>43282</v>
      </c>
      <c r="C1832" s="4" t="str">
        <f t="shared" si="57"/>
        <v>2018-07</v>
      </c>
      <c r="D1832" s="3">
        <v>47.86</v>
      </c>
      <c r="E1832" s="3">
        <v>6.34</v>
      </c>
      <c r="F1832" s="3">
        <v>209.99</v>
      </c>
      <c r="G1832" s="3">
        <v>2.4</v>
      </c>
    </row>
    <row r="1833" spans="1:7" x14ac:dyDescent="0.2">
      <c r="A1833" s="2">
        <v>43297</v>
      </c>
      <c r="B1833" s="1">
        <f t="shared" si="56"/>
        <v>43282</v>
      </c>
      <c r="C1833" s="4" t="str">
        <f t="shared" si="57"/>
        <v>2018-07</v>
      </c>
      <c r="D1833" s="3">
        <v>47.73</v>
      </c>
      <c r="E1833" s="3">
        <v>6.21</v>
      </c>
      <c r="F1833" s="3">
        <v>207.23</v>
      </c>
      <c r="G1833" s="3">
        <v>2.42</v>
      </c>
    </row>
    <row r="1834" spans="1:7" x14ac:dyDescent="0.2">
      <c r="A1834" s="2">
        <v>43294</v>
      </c>
      <c r="B1834" s="1">
        <f t="shared" si="56"/>
        <v>43282</v>
      </c>
      <c r="C1834" s="4" t="str">
        <f t="shared" si="57"/>
        <v>2018-07</v>
      </c>
      <c r="D1834" s="3">
        <v>47.83</v>
      </c>
      <c r="E1834" s="3">
        <v>6.23</v>
      </c>
      <c r="F1834" s="3">
        <v>207.32</v>
      </c>
      <c r="G1834" s="3">
        <v>2.4</v>
      </c>
    </row>
    <row r="1835" spans="1:7" x14ac:dyDescent="0.2">
      <c r="A1835" s="2">
        <v>43293</v>
      </c>
      <c r="B1835" s="1">
        <f t="shared" si="56"/>
        <v>43282</v>
      </c>
      <c r="C1835" s="4" t="str">
        <f t="shared" si="57"/>
        <v>2018-07</v>
      </c>
      <c r="D1835" s="3">
        <v>47.76</v>
      </c>
      <c r="E1835" s="3">
        <v>6.28</v>
      </c>
      <c r="F1835" s="3">
        <v>206.92</v>
      </c>
      <c r="G1835" s="3">
        <v>2.4</v>
      </c>
    </row>
    <row r="1836" spans="1:7" x14ac:dyDescent="0.2">
      <c r="A1836" s="2">
        <v>43292</v>
      </c>
      <c r="B1836" s="1">
        <f t="shared" si="56"/>
        <v>43282</v>
      </c>
      <c r="C1836" s="4" t="str">
        <f t="shared" si="57"/>
        <v>2018-07</v>
      </c>
      <c r="D1836" s="3">
        <v>46.97</v>
      </c>
      <c r="E1836" s="3">
        <v>6.19</v>
      </c>
      <c r="F1836" s="3">
        <v>202.54</v>
      </c>
      <c r="G1836" s="3">
        <v>2.37</v>
      </c>
    </row>
    <row r="1837" spans="1:7" x14ac:dyDescent="0.2">
      <c r="A1837" s="2">
        <v>43291</v>
      </c>
      <c r="B1837" s="1">
        <f t="shared" si="56"/>
        <v>43282</v>
      </c>
      <c r="C1837" s="4" t="str">
        <f t="shared" si="57"/>
        <v>2018-07</v>
      </c>
      <c r="D1837" s="3">
        <v>47.59</v>
      </c>
      <c r="E1837" s="3">
        <v>6.33</v>
      </c>
      <c r="F1837" s="3">
        <v>203.54</v>
      </c>
      <c r="G1837" s="3">
        <v>2.46</v>
      </c>
    </row>
    <row r="1838" spans="1:7" x14ac:dyDescent="0.2">
      <c r="A1838" s="2">
        <v>43290</v>
      </c>
      <c r="B1838" s="1">
        <f t="shared" si="56"/>
        <v>43282</v>
      </c>
      <c r="C1838" s="4" t="str">
        <f t="shared" si="57"/>
        <v>2018-07</v>
      </c>
      <c r="D1838" s="3">
        <v>47.65</v>
      </c>
      <c r="E1838" s="3">
        <v>6.23</v>
      </c>
      <c r="F1838" s="3">
        <v>204.74</v>
      </c>
      <c r="G1838" s="3">
        <v>2.4500000000000002</v>
      </c>
    </row>
    <row r="1839" spans="1:7" x14ac:dyDescent="0.2">
      <c r="A1839" s="2">
        <v>43287</v>
      </c>
      <c r="B1839" s="1">
        <f t="shared" si="56"/>
        <v>43282</v>
      </c>
      <c r="C1839" s="4" t="str">
        <f t="shared" si="57"/>
        <v>2018-07</v>
      </c>
      <c r="D1839" s="3">
        <v>46.99</v>
      </c>
      <c r="E1839" s="3">
        <v>6.18</v>
      </c>
      <c r="F1839" s="3">
        <v>203.23</v>
      </c>
      <c r="G1839" s="3">
        <v>2.42</v>
      </c>
    </row>
    <row r="1840" spans="1:7" x14ac:dyDescent="0.2">
      <c r="A1840" s="2">
        <v>43286</v>
      </c>
      <c r="B1840" s="1">
        <f t="shared" si="56"/>
        <v>43282</v>
      </c>
      <c r="C1840" s="4" t="str">
        <f t="shared" si="57"/>
        <v>2018-07</v>
      </c>
      <c r="D1840" s="3">
        <v>46.35</v>
      </c>
      <c r="E1840" s="3">
        <v>6.07</v>
      </c>
      <c r="F1840" s="3">
        <v>198.45</v>
      </c>
      <c r="G1840" s="3">
        <v>2.4300000000000002</v>
      </c>
    </row>
    <row r="1841" spans="1:7" x14ac:dyDescent="0.2">
      <c r="A1841" s="2">
        <v>43284</v>
      </c>
      <c r="B1841" s="1">
        <f t="shared" si="56"/>
        <v>43282</v>
      </c>
      <c r="C1841" s="4" t="str">
        <f t="shared" si="57"/>
        <v>2018-07</v>
      </c>
      <c r="D1841" s="3">
        <v>45.98</v>
      </c>
      <c r="E1841" s="3">
        <v>5.92</v>
      </c>
      <c r="F1841" s="3">
        <v>192.73</v>
      </c>
      <c r="G1841" s="3">
        <v>2.41</v>
      </c>
    </row>
    <row r="1842" spans="1:7" x14ac:dyDescent="0.2">
      <c r="A1842" s="2">
        <v>43283</v>
      </c>
      <c r="B1842" s="1">
        <f t="shared" si="56"/>
        <v>43282</v>
      </c>
      <c r="C1842" s="4" t="str">
        <f t="shared" si="57"/>
        <v>2018-07</v>
      </c>
      <c r="D1842" s="3">
        <v>46.8</v>
      </c>
      <c r="E1842" s="3">
        <v>6.06</v>
      </c>
      <c r="F1842" s="3">
        <v>197.36</v>
      </c>
      <c r="G1842" s="3">
        <v>2.46</v>
      </c>
    </row>
    <row r="1843" spans="1:7" x14ac:dyDescent="0.2">
      <c r="A1843" s="2">
        <v>43280</v>
      </c>
      <c r="B1843" s="1">
        <f t="shared" si="56"/>
        <v>43252</v>
      </c>
      <c r="C1843" s="4" t="str">
        <f t="shared" si="57"/>
        <v>2018-06</v>
      </c>
      <c r="D1843" s="3">
        <v>46.28</v>
      </c>
      <c r="E1843" s="3">
        <v>5.92</v>
      </c>
      <c r="F1843" s="3">
        <v>194.32</v>
      </c>
      <c r="G1843" s="3">
        <v>2.37</v>
      </c>
    </row>
    <row r="1844" spans="1:7" x14ac:dyDescent="0.2">
      <c r="A1844" s="2">
        <v>43279</v>
      </c>
      <c r="B1844" s="1">
        <f t="shared" si="56"/>
        <v>43252</v>
      </c>
      <c r="C1844" s="4" t="str">
        <f t="shared" si="57"/>
        <v>2018-06</v>
      </c>
      <c r="D1844" s="3">
        <v>46.38</v>
      </c>
      <c r="E1844" s="3">
        <v>6.02</v>
      </c>
      <c r="F1844" s="3">
        <v>196.23</v>
      </c>
      <c r="G1844" s="3">
        <v>2.38</v>
      </c>
    </row>
    <row r="1845" spans="1:7" x14ac:dyDescent="0.2">
      <c r="A1845" s="2">
        <v>43278</v>
      </c>
      <c r="B1845" s="1">
        <f t="shared" si="56"/>
        <v>43252</v>
      </c>
      <c r="C1845" s="4" t="str">
        <f t="shared" si="57"/>
        <v>2018-06</v>
      </c>
      <c r="D1845" s="3">
        <v>46.04</v>
      </c>
      <c r="E1845" s="3">
        <v>5.89</v>
      </c>
      <c r="F1845" s="3">
        <v>195.84</v>
      </c>
      <c r="G1845" s="3">
        <v>2.38</v>
      </c>
    </row>
    <row r="1846" spans="1:7" x14ac:dyDescent="0.2">
      <c r="A1846" s="2">
        <v>43277</v>
      </c>
      <c r="B1846" s="1">
        <f t="shared" si="56"/>
        <v>43252</v>
      </c>
      <c r="C1846" s="4" t="str">
        <f t="shared" si="57"/>
        <v>2018-06</v>
      </c>
      <c r="D1846" s="3">
        <v>46.11</v>
      </c>
      <c r="E1846" s="3">
        <v>6.05</v>
      </c>
      <c r="F1846" s="3">
        <v>199</v>
      </c>
      <c r="G1846" s="3">
        <v>2.4300000000000002</v>
      </c>
    </row>
    <row r="1847" spans="1:7" x14ac:dyDescent="0.2">
      <c r="A1847" s="2">
        <v>43276</v>
      </c>
      <c r="B1847" s="1">
        <f t="shared" si="56"/>
        <v>43252</v>
      </c>
      <c r="C1847" s="4" t="str">
        <f t="shared" si="57"/>
        <v>2018-06</v>
      </c>
      <c r="D1847" s="3">
        <v>45.54</v>
      </c>
      <c r="E1847" s="3">
        <v>5.98</v>
      </c>
      <c r="F1847" s="3">
        <v>196.35</v>
      </c>
      <c r="G1847" s="3">
        <v>2.41</v>
      </c>
    </row>
    <row r="1848" spans="1:7" x14ac:dyDescent="0.2">
      <c r="A1848" s="2">
        <v>43273</v>
      </c>
      <c r="B1848" s="1">
        <f t="shared" si="56"/>
        <v>43252</v>
      </c>
      <c r="C1848" s="4" t="str">
        <f t="shared" si="57"/>
        <v>2018-06</v>
      </c>
      <c r="D1848" s="3">
        <v>46.23</v>
      </c>
      <c r="E1848" s="3">
        <v>6.27</v>
      </c>
      <c r="F1848" s="3">
        <v>201.74</v>
      </c>
      <c r="G1848" s="3">
        <v>2.4900000000000002</v>
      </c>
    </row>
    <row r="1849" spans="1:7" x14ac:dyDescent="0.2">
      <c r="A1849" s="2">
        <v>43272</v>
      </c>
      <c r="B1849" s="1">
        <f t="shared" si="56"/>
        <v>43252</v>
      </c>
      <c r="C1849" s="4" t="str">
        <f t="shared" si="57"/>
        <v>2018-06</v>
      </c>
      <c r="D1849" s="3">
        <v>46.37</v>
      </c>
      <c r="E1849" s="3">
        <v>6.43</v>
      </c>
      <c r="F1849" s="3">
        <v>201.5</v>
      </c>
      <c r="G1849" s="3">
        <v>2.5099999999999998</v>
      </c>
    </row>
    <row r="1850" spans="1:7" x14ac:dyDescent="0.2">
      <c r="A1850" s="2">
        <v>43271</v>
      </c>
      <c r="B1850" s="1">
        <f t="shared" si="56"/>
        <v>43252</v>
      </c>
      <c r="C1850" s="4" t="str">
        <f t="shared" si="57"/>
        <v>2018-06</v>
      </c>
      <c r="D1850" s="3">
        <v>46.63</v>
      </c>
      <c r="E1850" s="3">
        <v>6.56</v>
      </c>
      <c r="F1850" s="3">
        <v>202</v>
      </c>
      <c r="G1850" s="3">
        <v>2.5299999999999998</v>
      </c>
    </row>
    <row r="1851" spans="1:7" x14ac:dyDescent="0.2">
      <c r="A1851" s="2">
        <v>43270</v>
      </c>
      <c r="B1851" s="1">
        <f t="shared" si="56"/>
        <v>43252</v>
      </c>
      <c r="C1851" s="4" t="str">
        <f t="shared" si="57"/>
        <v>2018-06</v>
      </c>
      <c r="D1851" s="3">
        <v>46.42</v>
      </c>
      <c r="E1851" s="3">
        <v>6.5</v>
      </c>
      <c r="F1851" s="3">
        <v>197.49</v>
      </c>
      <c r="G1851" s="3">
        <v>2.5299999999999998</v>
      </c>
    </row>
    <row r="1852" spans="1:7" x14ac:dyDescent="0.2">
      <c r="A1852" s="2">
        <v>43269</v>
      </c>
      <c r="B1852" s="1">
        <f t="shared" si="56"/>
        <v>43252</v>
      </c>
      <c r="C1852" s="4" t="str">
        <f t="shared" si="57"/>
        <v>2018-06</v>
      </c>
      <c r="D1852" s="3">
        <v>47.19</v>
      </c>
      <c r="E1852" s="3">
        <v>6.63</v>
      </c>
      <c r="F1852" s="3">
        <v>198.31</v>
      </c>
      <c r="G1852" s="3">
        <v>2.5499999999999998</v>
      </c>
    </row>
    <row r="1853" spans="1:7" x14ac:dyDescent="0.2">
      <c r="A1853" s="2">
        <v>43266</v>
      </c>
      <c r="B1853" s="1">
        <f t="shared" si="56"/>
        <v>43252</v>
      </c>
      <c r="C1853" s="4" t="str">
        <f t="shared" si="57"/>
        <v>2018-06</v>
      </c>
      <c r="D1853" s="3">
        <v>47.21</v>
      </c>
      <c r="E1853" s="3">
        <v>6.63</v>
      </c>
      <c r="F1853" s="3">
        <v>195.85</v>
      </c>
      <c r="G1853" s="3">
        <v>2.58</v>
      </c>
    </row>
    <row r="1854" spans="1:7" x14ac:dyDescent="0.2">
      <c r="A1854" s="2">
        <v>43265</v>
      </c>
      <c r="B1854" s="1">
        <f t="shared" si="56"/>
        <v>43252</v>
      </c>
      <c r="C1854" s="4" t="str">
        <f t="shared" si="57"/>
        <v>2018-06</v>
      </c>
      <c r="D1854" s="3">
        <v>47.7</v>
      </c>
      <c r="E1854" s="3">
        <v>6.67</v>
      </c>
      <c r="F1854" s="3">
        <v>196.81</v>
      </c>
      <c r="G1854" s="3">
        <v>2.62</v>
      </c>
    </row>
    <row r="1855" spans="1:7" x14ac:dyDescent="0.2">
      <c r="A1855" s="2">
        <v>43264</v>
      </c>
      <c r="B1855" s="1">
        <f t="shared" si="56"/>
        <v>43252</v>
      </c>
      <c r="C1855" s="4" t="str">
        <f t="shared" si="57"/>
        <v>2018-06</v>
      </c>
      <c r="D1855" s="3">
        <v>47.68</v>
      </c>
      <c r="E1855" s="3">
        <v>6.56</v>
      </c>
      <c r="F1855" s="3">
        <v>192.41</v>
      </c>
      <c r="G1855" s="3">
        <v>2.68</v>
      </c>
    </row>
    <row r="1856" spans="1:7" x14ac:dyDescent="0.2">
      <c r="A1856" s="2">
        <v>43263</v>
      </c>
      <c r="B1856" s="1">
        <f t="shared" si="56"/>
        <v>43252</v>
      </c>
      <c r="C1856" s="4" t="str">
        <f t="shared" si="57"/>
        <v>2018-06</v>
      </c>
      <c r="D1856" s="3">
        <v>48.07</v>
      </c>
      <c r="E1856" s="3">
        <v>6.56</v>
      </c>
      <c r="F1856" s="3">
        <v>192.4</v>
      </c>
      <c r="G1856" s="3">
        <v>2.7</v>
      </c>
    </row>
    <row r="1857" spans="1:7" x14ac:dyDescent="0.2">
      <c r="A1857" s="2">
        <v>43262</v>
      </c>
      <c r="B1857" s="1">
        <f t="shared" si="56"/>
        <v>43252</v>
      </c>
      <c r="C1857" s="4" t="str">
        <f t="shared" si="57"/>
        <v>2018-06</v>
      </c>
      <c r="D1857" s="3">
        <v>47.81</v>
      </c>
      <c r="E1857" s="3">
        <v>6.52</v>
      </c>
      <c r="F1857" s="3">
        <v>191.54</v>
      </c>
      <c r="G1857" s="3">
        <v>2.66</v>
      </c>
    </row>
    <row r="1858" spans="1:7" x14ac:dyDescent="0.2">
      <c r="A1858" s="2">
        <v>43259</v>
      </c>
      <c r="B1858" s="1">
        <f t="shared" si="56"/>
        <v>43252</v>
      </c>
      <c r="C1858" s="4" t="str">
        <f t="shared" si="57"/>
        <v>2018-06</v>
      </c>
      <c r="D1858" s="3">
        <v>47.93</v>
      </c>
      <c r="E1858" s="3">
        <v>6.56</v>
      </c>
      <c r="F1858" s="3">
        <v>189.1</v>
      </c>
      <c r="G1858" s="3">
        <v>2.62</v>
      </c>
    </row>
    <row r="1859" spans="1:7" x14ac:dyDescent="0.2">
      <c r="A1859" s="2">
        <v>43258</v>
      </c>
      <c r="B1859" s="1">
        <f t="shared" ref="B1859:B1922" si="58">EOMONTH(A1859, -1)+1</f>
        <v>43252</v>
      </c>
      <c r="C1859" s="4" t="str">
        <f t="shared" ref="C1859:C1922" si="59">TEXT(A1859, "yyyy-mm")</f>
        <v>2018-06</v>
      </c>
      <c r="D1859" s="3">
        <v>48.37</v>
      </c>
      <c r="E1859" s="3">
        <v>6.57</v>
      </c>
      <c r="F1859" s="3">
        <v>188.18</v>
      </c>
      <c r="G1859" s="3">
        <v>2.56</v>
      </c>
    </row>
    <row r="1860" spans="1:7" x14ac:dyDescent="0.2">
      <c r="A1860" s="2">
        <v>43257</v>
      </c>
      <c r="B1860" s="1">
        <f t="shared" si="58"/>
        <v>43252</v>
      </c>
      <c r="C1860" s="4" t="str">
        <f t="shared" si="59"/>
        <v>2018-06</v>
      </c>
      <c r="D1860" s="3">
        <v>48.5</v>
      </c>
      <c r="E1860" s="3">
        <v>6.63</v>
      </c>
      <c r="F1860" s="3">
        <v>191.34</v>
      </c>
      <c r="G1860" s="3">
        <v>2.58</v>
      </c>
    </row>
    <row r="1861" spans="1:7" x14ac:dyDescent="0.2">
      <c r="A1861" s="2">
        <v>43256</v>
      </c>
      <c r="B1861" s="1">
        <f t="shared" si="58"/>
        <v>43252</v>
      </c>
      <c r="C1861" s="4" t="str">
        <f t="shared" si="59"/>
        <v>2018-06</v>
      </c>
      <c r="D1861" s="3">
        <v>48.33</v>
      </c>
      <c r="E1861" s="3">
        <v>6.63</v>
      </c>
      <c r="F1861" s="3">
        <v>192.94</v>
      </c>
      <c r="G1861" s="3">
        <v>2.52</v>
      </c>
    </row>
    <row r="1862" spans="1:7" x14ac:dyDescent="0.2">
      <c r="A1862" s="2">
        <v>43255</v>
      </c>
      <c r="B1862" s="1">
        <f t="shared" si="58"/>
        <v>43252</v>
      </c>
      <c r="C1862" s="4" t="str">
        <f t="shared" si="59"/>
        <v>2018-06</v>
      </c>
      <c r="D1862" s="3">
        <v>47.96</v>
      </c>
      <c r="E1862" s="3">
        <v>6.62</v>
      </c>
      <c r="F1862" s="3">
        <v>193.28</v>
      </c>
      <c r="G1862" s="3">
        <v>2.46</v>
      </c>
    </row>
    <row r="1863" spans="1:7" x14ac:dyDescent="0.2">
      <c r="A1863" s="2">
        <v>43252</v>
      </c>
      <c r="B1863" s="1">
        <f t="shared" si="58"/>
        <v>43252</v>
      </c>
      <c r="C1863" s="4" t="str">
        <f t="shared" si="59"/>
        <v>2018-06</v>
      </c>
      <c r="D1863" s="3">
        <v>47.56</v>
      </c>
      <c r="E1863" s="3">
        <v>6.44</v>
      </c>
      <c r="F1863" s="3">
        <v>193.99</v>
      </c>
      <c r="G1863" s="3">
        <v>2.44</v>
      </c>
    </row>
    <row r="1864" spans="1:7" x14ac:dyDescent="0.2">
      <c r="A1864" s="2">
        <v>43251</v>
      </c>
      <c r="B1864" s="1">
        <f t="shared" si="58"/>
        <v>43221</v>
      </c>
      <c r="C1864" s="4" t="str">
        <f t="shared" si="59"/>
        <v>2018-05</v>
      </c>
      <c r="D1864" s="3">
        <v>46.72</v>
      </c>
      <c r="E1864" s="3">
        <v>6.3</v>
      </c>
      <c r="F1864" s="3">
        <v>191.78</v>
      </c>
      <c r="G1864" s="3">
        <v>2.41</v>
      </c>
    </row>
    <row r="1865" spans="1:7" x14ac:dyDescent="0.2">
      <c r="A1865" s="2">
        <v>43250</v>
      </c>
      <c r="B1865" s="1">
        <f t="shared" si="58"/>
        <v>43221</v>
      </c>
      <c r="C1865" s="4" t="str">
        <f t="shared" si="59"/>
        <v>2018-05</v>
      </c>
      <c r="D1865" s="3">
        <v>46.88</v>
      </c>
      <c r="E1865" s="3">
        <v>6.32</v>
      </c>
      <c r="F1865" s="3">
        <v>187.67</v>
      </c>
      <c r="G1865" s="3">
        <v>2.44</v>
      </c>
    </row>
    <row r="1866" spans="1:7" x14ac:dyDescent="0.2">
      <c r="A1866" s="2">
        <v>43249</v>
      </c>
      <c r="B1866" s="1">
        <f t="shared" si="58"/>
        <v>43221</v>
      </c>
      <c r="C1866" s="4" t="str">
        <f t="shared" si="59"/>
        <v>2018-05</v>
      </c>
      <c r="D1866" s="3">
        <v>46.98</v>
      </c>
      <c r="E1866" s="3">
        <v>6.21</v>
      </c>
      <c r="F1866" s="3">
        <v>185.74</v>
      </c>
      <c r="G1866" s="3">
        <v>2.4</v>
      </c>
    </row>
    <row r="1867" spans="1:7" x14ac:dyDescent="0.2">
      <c r="A1867" s="2">
        <v>43245</v>
      </c>
      <c r="B1867" s="1">
        <f t="shared" si="58"/>
        <v>43221</v>
      </c>
      <c r="C1867" s="4" t="str">
        <f t="shared" si="59"/>
        <v>2018-05</v>
      </c>
      <c r="D1867" s="3">
        <v>47.15</v>
      </c>
      <c r="E1867" s="3">
        <v>6.23</v>
      </c>
      <c r="F1867" s="3">
        <v>184.92</v>
      </c>
      <c r="G1867" s="3">
        <v>2.37</v>
      </c>
    </row>
    <row r="1868" spans="1:7" x14ac:dyDescent="0.2">
      <c r="A1868" s="2">
        <v>43244</v>
      </c>
      <c r="B1868" s="1">
        <f t="shared" si="58"/>
        <v>43221</v>
      </c>
      <c r="C1868" s="4" t="str">
        <f t="shared" si="59"/>
        <v>2018-05</v>
      </c>
      <c r="D1868" s="3">
        <v>47.04</v>
      </c>
      <c r="E1868" s="3">
        <v>6.19</v>
      </c>
      <c r="F1868" s="3">
        <v>185.93</v>
      </c>
      <c r="G1868" s="3">
        <v>2.37</v>
      </c>
    </row>
    <row r="1869" spans="1:7" x14ac:dyDescent="0.2">
      <c r="A1869" s="2">
        <v>43243</v>
      </c>
      <c r="B1869" s="1">
        <f t="shared" si="58"/>
        <v>43221</v>
      </c>
      <c r="C1869" s="4" t="str">
        <f t="shared" si="59"/>
        <v>2018-05</v>
      </c>
      <c r="D1869" s="3">
        <v>47.09</v>
      </c>
      <c r="E1869" s="3">
        <v>6.19</v>
      </c>
      <c r="F1869" s="3">
        <v>186.9</v>
      </c>
      <c r="G1869" s="3">
        <v>2.37</v>
      </c>
    </row>
    <row r="1870" spans="1:7" x14ac:dyDescent="0.2">
      <c r="A1870" s="2">
        <v>43242</v>
      </c>
      <c r="B1870" s="1">
        <f t="shared" si="58"/>
        <v>43221</v>
      </c>
      <c r="C1870" s="4" t="str">
        <f t="shared" si="59"/>
        <v>2018-05</v>
      </c>
      <c r="D1870" s="3">
        <v>46.79</v>
      </c>
      <c r="E1870" s="3">
        <v>6.07</v>
      </c>
      <c r="F1870" s="3">
        <v>183.8</v>
      </c>
      <c r="G1870" s="3">
        <v>2.37</v>
      </c>
    </row>
    <row r="1871" spans="1:7" x14ac:dyDescent="0.2">
      <c r="A1871" s="2">
        <v>43241</v>
      </c>
      <c r="B1871" s="1">
        <f t="shared" si="58"/>
        <v>43221</v>
      </c>
      <c r="C1871" s="4" t="str">
        <f t="shared" si="59"/>
        <v>2018-05</v>
      </c>
      <c r="D1871" s="3">
        <v>46.91</v>
      </c>
      <c r="E1871" s="3">
        <v>6.11</v>
      </c>
      <c r="F1871" s="3">
        <v>184.49</v>
      </c>
      <c r="G1871" s="3">
        <v>2.39</v>
      </c>
    </row>
    <row r="1872" spans="1:7" x14ac:dyDescent="0.2">
      <c r="A1872" s="2">
        <v>43238</v>
      </c>
      <c r="B1872" s="1">
        <f t="shared" si="58"/>
        <v>43221</v>
      </c>
      <c r="C1872" s="4" t="str">
        <f t="shared" si="59"/>
        <v>2018-05</v>
      </c>
      <c r="D1872" s="3">
        <v>46.58</v>
      </c>
      <c r="E1872" s="3">
        <v>6.15</v>
      </c>
      <c r="F1872" s="3">
        <v>182.68</v>
      </c>
      <c r="G1872" s="3">
        <v>2.37</v>
      </c>
    </row>
    <row r="1873" spans="1:7" x14ac:dyDescent="0.2">
      <c r="A1873" s="2">
        <v>43237</v>
      </c>
      <c r="B1873" s="1">
        <f t="shared" si="58"/>
        <v>43221</v>
      </c>
      <c r="C1873" s="4" t="str">
        <f t="shared" si="59"/>
        <v>2018-05</v>
      </c>
      <c r="D1873" s="3">
        <v>46.75</v>
      </c>
      <c r="E1873" s="3">
        <v>6.19</v>
      </c>
      <c r="F1873" s="3">
        <v>183.76</v>
      </c>
      <c r="G1873" s="3">
        <v>2.4</v>
      </c>
    </row>
    <row r="1874" spans="1:7" x14ac:dyDescent="0.2">
      <c r="A1874" s="2">
        <v>43236</v>
      </c>
      <c r="B1874" s="1">
        <f t="shared" si="58"/>
        <v>43221</v>
      </c>
      <c r="C1874" s="4" t="str">
        <f t="shared" si="59"/>
        <v>2018-05</v>
      </c>
      <c r="D1874" s="3">
        <v>47.05</v>
      </c>
      <c r="E1874" s="3">
        <v>6.15</v>
      </c>
      <c r="F1874" s="3">
        <v>183.2</v>
      </c>
      <c r="G1874" s="3">
        <v>2.39</v>
      </c>
    </row>
    <row r="1875" spans="1:7" x14ac:dyDescent="0.2">
      <c r="A1875" s="2">
        <v>43235</v>
      </c>
      <c r="B1875" s="1">
        <f t="shared" si="58"/>
        <v>43221</v>
      </c>
      <c r="C1875" s="4" t="str">
        <f t="shared" si="59"/>
        <v>2018-05</v>
      </c>
      <c r="D1875" s="3">
        <v>46.61</v>
      </c>
      <c r="E1875" s="3">
        <v>6.14</v>
      </c>
      <c r="F1875" s="3">
        <v>184.32</v>
      </c>
      <c r="G1875" s="3">
        <v>2.38</v>
      </c>
    </row>
    <row r="1876" spans="1:7" x14ac:dyDescent="0.2">
      <c r="A1876" s="2">
        <v>43234</v>
      </c>
      <c r="B1876" s="1">
        <f t="shared" si="58"/>
        <v>43221</v>
      </c>
      <c r="C1876" s="4" t="str">
        <f t="shared" si="59"/>
        <v>2018-05</v>
      </c>
      <c r="D1876" s="3">
        <v>47.04</v>
      </c>
      <c r="E1876" s="3">
        <v>6.38</v>
      </c>
      <c r="F1876" s="3">
        <v>186.64</v>
      </c>
      <c r="G1876" s="3">
        <v>2.36</v>
      </c>
    </row>
    <row r="1877" spans="1:7" x14ac:dyDescent="0.2">
      <c r="A1877" s="2">
        <v>43231</v>
      </c>
      <c r="B1877" s="1">
        <f t="shared" si="58"/>
        <v>43221</v>
      </c>
      <c r="C1877" s="4" t="str">
        <f t="shared" si="59"/>
        <v>2018-05</v>
      </c>
      <c r="D1877" s="3">
        <v>47.15</v>
      </c>
      <c r="E1877" s="3">
        <v>6.36</v>
      </c>
      <c r="F1877" s="3">
        <v>186.99</v>
      </c>
      <c r="G1877" s="3">
        <v>2.34</v>
      </c>
    </row>
    <row r="1878" spans="1:7" x14ac:dyDescent="0.2">
      <c r="A1878" s="2">
        <v>43230</v>
      </c>
      <c r="B1878" s="1">
        <f t="shared" si="58"/>
        <v>43221</v>
      </c>
      <c r="C1878" s="4" t="str">
        <f t="shared" si="59"/>
        <v>2018-05</v>
      </c>
      <c r="D1878" s="3">
        <v>47.51</v>
      </c>
      <c r="E1878" s="3">
        <v>6.5</v>
      </c>
      <c r="F1878" s="3">
        <v>185.53</v>
      </c>
      <c r="G1878" s="3">
        <v>2.38</v>
      </c>
    </row>
    <row r="1879" spans="1:7" x14ac:dyDescent="0.2">
      <c r="A1879" s="2">
        <v>43229</v>
      </c>
      <c r="B1879" s="1">
        <f t="shared" si="58"/>
        <v>43221</v>
      </c>
      <c r="C1879" s="4" t="str">
        <f t="shared" si="59"/>
        <v>2018-05</v>
      </c>
      <c r="D1879" s="3">
        <v>46.84</v>
      </c>
      <c r="E1879" s="3">
        <v>6.39</v>
      </c>
      <c r="F1879" s="3">
        <v>182.66</v>
      </c>
      <c r="G1879" s="3">
        <v>2.4</v>
      </c>
    </row>
    <row r="1880" spans="1:7" x14ac:dyDescent="0.2">
      <c r="A1880" s="2">
        <v>43228</v>
      </c>
      <c r="B1880" s="1">
        <f t="shared" si="58"/>
        <v>43221</v>
      </c>
      <c r="C1880" s="4" t="str">
        <f t="shared" si="59"/>
        <v>2018-05</v>
      </c>
      <c r="D1880" s="3">
        <v>46.51</v>
      </c>
      <c r="E1880" s="3">
        <v>6.26</v>
      </c>
      <c r="F1880" s="3">
        <v>178.92</v>
      </c>
      <c r="G1880" s="3">
        <v>2.4</v>
      </c>
    </row>
    <row r="1881" spans="1:7" x14ac:dyDescent="0.2">
      <c r="A1881" s="2">
        <v>43227</v>
      </c>
      <c r="B1881" s="1">
        <f t="shared" si="58"/>
        <v>43221</v>
      </c>
      <c r="C1881" s="4" t="str">
        <f t="shared" si="59"/>
        <v>2018-05</v>
      </c>
      <c r="D1881" s="3">
        <v>46.29</v>
      </c>
      <c r="E1881" s="3">
        <v>6.22</v>
      </c>
      <c r="F1881" s="3">
        <v>177.97</v>
      </c>
      <c r="G1881" s="3">
        <v>2.31</v>
      </c>
    </row>
    <row r="1882" spans="1:7" x14ac:dyDescent="0.2">
      <c r="A1882" s="2">
        <v>43224</v>
      </c>
      <c r="B1882" s="1">
        <f t="shared" si="58"/>
        <v>43221</v>
      </c>
      <c r="C1882" s="4" t="str">
        <f t="shared" si="59"/>
        <v>2018-05</v>
      </c>
      <c r="D1882" s="3">
        <v>45.96</v>
      </c>
      <c r="E1882" s="3">
        <v>5.98</v>
      </c>
      <c r="F1882" s="3">
        <v>176.61</v>
      </c>
      <c r="G1882" s="3">
        <v>2.13</v>
      </c>
    </row>
    <row r="1883" spans="1:7" x14ac:dyDescent="0.2">
      <c r="A1883" s="2">
        <v>43223</v>
      </c>
      <c r="B1883" s="1">
        <f t="shared" si="58"/>
        <v>43221</v>
      </c>
      <c r="C1883" s="4" t="str">
        <f t="shared" si="59"/>
        <v>2018-05</v>
      </c>
      <c r="D1883" s="3">
        <v>44.22</v>
      </c>
      <c r="E1883" s="3">
        <v>5.82</v>
      </c>
      <c r="F1883" s="3">
        <v>174.02</v>
      </c>
      <c r="G1883" s="3">
        <v>1.81</v>
      </c>
    </row>
    <row r="1884" spans="1:7" x14ac:dyDescent="0.2">
      <c r="A1884" s="2">
        <v>43222</v>
      </c>
      <c r="B1884" s="1">
        <f t="shared" si="58"/>
        <v>43221</v>
      </c>
      <c r="C1884" s="4" t="str">
        <f t="shared" si="59"/>
        <v>2018-05</v>
      </c>
      <c r="D1884" s="3">
        <v>44.14</v>
      </c>
      <c r="E1884" s="3">
        <v>5.66</v>
      </c>
      <c r="F1884" s="3">
        <v>176.07</v>
      </c>
      <c r="G1884" s="3">
        <v>1.8</v>
      </c>
    </row>
    <row r="1885" spans="1:7" x14ac:dyDescent="0.2">
      <c r="A1885" s="2">
        <v>43221</v>
      </c>
      <c r="B1885" s="1">
        <f t="shared" si="58"/>
        <v>43221</v>
      </c>
      <c r="C1885" s="4" t="str">
        <f t="shared" si="59"/>
        <v>2018-05</v>
      </c>
      <c r="D1885" s="3">
        <v>42.28</v>
      </c>
      <c r="E1885" s="3">
        <v>5.68</v>
      </c>
      <c r="F1885" s="3">
        <v>173.86</v>
      </c>
      <c r="G1885" s="3">
        <v>1.83</v>
      </c>
    </row>
    <row r="1886" spans="1:7" x14ac:dyDescent="0.2">
      <c r="A1886" s="2">
        <v>43220</v>
      </c>
      <c r="B1886" s="1">
        <f t="shared" si="58"/>
        <v>43191</v>
      </c>
      <c r="C1886" s="4" t="str">
        <f t="shared" si="59"/>
        <v>2018-04</v>
      </c>
      <c r="D1886" s="3">
        <v>41.32</v>
      </c>
      <c r="E1886" s="3">
        <v>5.62</v>
      </c>
      <c r="F1886" s="3">
        <v>172</v>
      </c>
      <c r="G1886" s="3">
        <v>1.77</v>
      </c>
    </row>
    <row r="1887" spans="1:7" x14ac:dyDescent="0.2">
      <c r="A1887" s="2">
        <v>43217</v>
      </c>
      <c r="B1887" s="1">
        <f t="shared" si="58"/>
        <v>43191</v>
      </c>
      <c r="C1887" s="4" t="str">
        <f t="shared" si="59"/>
        <v>2018-04</v>
      </c>
      <c r="D1887" s="3">
        <v>40.58</v>
      </c>
      <c r="E1887" s="3">
        <v>5.66</v>
      </c>
      <c r="F1887" s="3">
        <v>173.59</v>
      </c>
      <c r="G1887" s="3">
        <v>1.81</v>
      </c>
    </row>
    <row r="1888" spans="1:7" x14ac:dyDescent="0.2">
      <c r="A1888" s="2">
        <v>43216</v>
      </c>
      <c r="B1888" s="1">
        <f t="shared" si="58"/>
        <v>43191</v>
      </c>
      <c r="C1888" s="4" t="str">
        <f t="shared" si="59"/>
        <v>2018-04</v>
      </c>
      <c r="D1888" s="3">
        <v>41.06</v>
      </c>
      <c r="E1888" s="3">
        <v>5.63</v>
      </c>
      <c r="F1888" s="3">
        <v>174.16</v>
      </c>
      <c r="G1888" s="3">
        <v>1.77</v>
      </c>
    </row>
    <row r="1889" spans="1:7" x14ac:dyDescent="0.2">
      <c r="A1889" s="2">
        <v>43215</v>
      </c>
      <c r="B1889" s="1">
        <f t="shared" si="58"/>
        <v>43191</v>
      </c>
      <c r="C1889" s="4" t="str">
        <f t="shared" si="59"/>
        <v>2018-04</v>
      </c>
      <c r="D1889" s="3">
        <v>40.909999999999997</v>
      </c>
      <c r="E1889" s="3">
        <v>5.42</v>
      </c>
      <c r="F1889" s="3">
        <v>159.69</v>
      </c>
      <c r="G1889" s="3">
        <v>1.76</v>
      </c>
    </row>
    <row r="1890" spans="1:7" x14ac:dyDescent="0.2">
      <c r="A1890" s="2">
        <v>43214</v>
      </c>
      <c r="B1890" s="1">
        <f t="shared" si="58"/>
        <v>43191</v>
      </c>
      <c r="C1890" s="4" t="str">
        <f t="shared" si="59"/>
        <v>2018-04</v>
      </c>
      <c r="D1890" s="3">
        <v>40.74</v>
      </c>
      <c r="E1890" s="3">
        <v>5.53</v>
      </c>
      <c r="F1890" s="3">
        <v>159.69</v>
      </c>
      <c r="G1890" s="3">
        <v>1.76</v>
      </c>
    </row>
    <row r="1891" spans="1:7" x14ac:dyDescent="0.2">
      <c r="A1891" s="2">
        <v>43213</v>
      </c>
      <c r="B1891" s="1">
        <f t="shared" si="58"/>
        <v>43191</v>
      </c>
      <c r="C1891" s="4" t="str">
        <f t="shared" si="59"/>
        <v>2018-04</v>
      </c>
      <c r="D1891" s="3">
        <v>41.31</v>
      </c>
      <c r="E1891" s="3">
        <v>5.6</v>
      </c>
      <c r="F1891" s="3">
        <v>165.84</v>
      </c>
      <c r="G1891" s="3">
        <v>1.74</v>
      </c>
    </row>
    <row r="1892" spans="1:7" x14ac:dyDescent="0.2">
      <c r="A1892" s="2">
        <v>43210</v>
      </c>
      <c r="B1892" s="1">
        <f t="shared" si="58"/>
        <v>43191</v>
      </c>
      <c r="C1892" s="4" t="str">
        <f t="shared" si="59"/>
        <v>2018-04</v>
      </c>
      <c r="D1892" s="3">
        <v>41.43</v>
      </c>
      <c r="E1892" s="3">
        <v>5.72</v>
      </c>
      <c r="F1892" s="3">
        <v>166.28</v>
      </c>
      <c r="G1892" s="3">
        <v>1.75</v>
      </c>
    </row>
    <row r="1893" spans="1:7" x14ac:dyDescent="0.2">
      <c r="A1893" s="2">
        <v>43209</v>
      </c>
      <c r="B1893" s="1">
        <f t="shared" si="58"/>
        <v>43191</v>
      </c>
      <c r="C1893" s="4" t="str">
        <f t="shared" si="59"/>
        <v>2018-04</v>
      </c>
      <c r="D1893" s="3">
        <v>43.2</v>
      </c>
      <c r="E1893" s="3">
        <v>5.73</v>
      </c>
      <c r="F1893" s="3">
        <v>168.1</v>
      </c>
      <c r="G1893" s="3">
        <v>1.78</v>
      </c>
    </row>
    <row r="1894" spans="1:7" x14ac:dyDescent="0.2">
      <c r="A1894" s="2">
        <v>43208</v>
      </c>
      <c r="B1894" s="1">
        <f t="shared" si="58"/>
        <v>43191</v>
      </c>
      <c r="C1894" s="4" t="str">
        <f t="shared" si="59"/>
        <v>2018-04</v>
      </c>
      <c r="D1894" s="3">
        <v>44.46</v>
      </c>
      <c r="E1894" s="3">
        <v>5.91</v>
      </c>
      <c r="F1894" s="3">
        <v>166.36</v>
      </c>
      <c r="G1894" s="3">
        <v>1.8</v>
      </c>
    </row>
    <row r="1895" spans="1:7" x14ac:dyDescent="0.2">
      <c r="A1895" s="2">
        <v>43207</v>
      </c>
      <c r="B1895" s="1">
        <f t="shared" si="58"/>
        <v>43191</v>
      </c>
      <c r="C1895" s="4" t="str">
        <f t="shared" si="59"/>
        <v>2018-04</v>
      </c>
      <c r="D1895" s="3">
        <v>44.56</v>
      </c>
      <c r="E1895" s="3">
        <v>5.94</v>
      </c>
      <c r="F1895" s="3">
        <v>168.66</v>
      </c>
      <c r="G1895" s="3">
        <v>1.83</v>
      </c>
    </row>
    <row r="1896" spans="1:7" x14ac:dyDescent="0.2">
      <c r="A1896" s="2">
        <v>43206</v>
      </c>
      <c r="B1896" s="1">
        <f t="shared" si="58"/>
        <v>43191</v>
      </c>
      <c r="C1896" s="4" t="str">
        <f t="shared" si="59"/>
        <v>2018-04</v>
      </c>
      <c r="D1896" s="3">
        <v>43.96</v>
      </c>
      <c r="E1896" s="3">
        <v>5.79</v>
      </c>
      <c r="F1896" s="3">
        <v>164.83</v>
      </c>
      <c r="G1896" s="3">
        <v>1.77</v>
      </c>
    </row>
    <row r="1897" spans="1:7" x14ac:dyDescent="0.2">
      <c r="A1897" s="2">
        <v>43203</v>
      </c>
      <c r="B1897" s="1">
        <f t="shared" si="58"/>
        <v>43191</v>
      </c>
      <c r="C1897" s="4" t="str">
        <f t="shared" si="59"/>
        <v>2018-04</v>
      </c>
      <c r="D1897" s="3">
        <v>43.68</v>
      </c>
      <c r="E1897" s="3">
        <v>5.79</v>
      </c>
      <c r="F1897" s="3">
        <v>164.52</v>
      </c>
      <c r="G1897" s="3">
        <v>1.74</v>
      </c>
    </row>
    <row r="1898" spans="1:7" x14ac:dyDescent="0.2">
      <c r="A1898" s="2">
        <v>43202</v>
      </c>
      <c r="B1898" s="1">
        <f t="shared" si="58"/>
        <v>43191</v>
      </c>
      <c r="C1898" s="4" t="str">
        <f t="shared" si="59"/>
        <v>2018-04</v>
      </c>
      <c r="D1898" s="3">
        <v>43.54</v>
      </c>
      <c r="E1898" s="3">
        <v>5.87</v>
      </c>
      <c r="F1898" s="3">
        <v>163.87</v>
      </c>
      <c r="G1898" s="3">
        <v>1.76</v>
      </c>
    </row>
    <row r="1899" spans="1:7" x14ac:dyDescent="0.2">
      <c r="A1899" s="2">
        <v>43201</v>
      </c>
      <c r="B1899" s="1">
        <f t="shared" si="58"/>
        <v>43191</v>
      </c>
      <c r="C1899" s="4" t="str">
        <f t="shared" si="59"/>
        <v>2018-04</v>
      </c>
      <c r="D1899" s="3">
        <v>43.11</v>
      </c>
      <c r="E1899" s="3">
        <v>5.66</v>
      </c>
      <c r="F1899" s="3">
        <v>166.32</v>
      </c>
      <c r="G1899" s="3">
        <v>1.73</v>
      </c>
    </row>
    <row r="1900" spans="1:7" x14ac:dyDescent="0.2">
      <c r="A1900" s="2">
        <v>43200</v>
      </c>
      <c r="B1900" s="1">
        <f t="shared" si="58"/>
        <v>43191</v>
      </c>
      <c r="C1900" s="4" t="str">
        <f t="shared" si="59"/>
        <v>2018-04</v>
      </c>
      <c r="D1900" s="3">
        <v>43.31</v>
      </c>
      <c r="E1900" s="3">
        <v>5.7</v>
      </c>
      <c r="F1900" s="3">
        <v>165.04</v>
      </c>
      <c r="G1900" s="3">
        <v>1.71</v>
      </c>
    </row>
    <row r="1901" spans="1:7" x14ac:dyDescent="0.2">
      <c r="A1901" s="2">
        <v>43199</v>
      </c>
      <c r="B1901" s="1">
        <f t="shared" si="58"/>
        <v>43191</v>
      </c>
      <c r="C1901" s="4" t="str">
        <f t="shared" si="59"/>
        <v>2018-04</v>
      </c>
      <c r="D1901" s="3">
        <v>42.51</v>
      </c>
      <c r="E1901" s="3">
        <v>5.39</v>
      </c>
      <c r="F1901" s="3">
        <v>157.93</v>
      </c>
      <c r="G1901" s="3">
        <v>1.64</v>
      </c>
    </row>
    <row r="1902" spans="1:7" x14ac:dyDescent="0.2">
      <c r="A1902" s="2">
        <v>43196</v>
      </c>
      <c r="B1902" s="1">
        <f t="shared" si="58"/>
        <v>43191</v>
      </c>
      <c r="C1902" s="4" t="str">
        <f t="shared" si="59"/>
        <v>2018-04</v>
      </c>
      <c r="D1902" s="3">
        <v>42.1</v>
      </c>
      <c r="E1902" s="3">
        <v>5.36</v>
      </c>
      <c r="F1902" s="3">
        <v>157.19999999999999</v>
      </c>
      <c r="G1902" s="3">
        <v>1.66</v>
      </c>
    </row>
    <row r="1903" spans="1:7" x14ac:dyDescent="0.2">
      <c r="A1903" s="2">
        <v>43195</v>
      </c>
      <c r="B1903" s="1">
        <f t="shared" si="58"/>
        <v>43191</v>
      </c>
      <c r="C1903" s="4" t="str">
        <f t="shared" si="59"/>
        <v>2018-04</v>
      </c>
      <c r="D1903" s="3">
        <v>43.2</v>
      </c>
      <c r="E1903" s="3">
        <v>5.53</v>
      </c>
      <c r="F1903" s="3">
        <v>159.34</v>
      </c>
      <c r="G1903" s="3">
        <v>1.68</v>
      </c>
    </row>
    <row r="1904" spans="1:7" x14ac:dyDescent="0.2">
      <c r="A1904" s="2">
        <v>43194</v>
      </c>
      <c r="B1904" s="1">
        <f t="shared" si="58"/>
        <v>43191</v>
      </c>
      <c r="C1904" s="4" t="str">
        <f t="shared" si="59"/>
        <v>2018-04</v>
      </c>
      <c r="D1904" s="3">
        <v>42.9</v>
      </c>
      <c r="E1904" s="3">
        <v>5.66</v>
      </c>
      <c r="F1904" s="3">
        <v>155.1</v>
      </c>
      <c r="G1904" s="3">
        <v>1.68</v>
      </c>
    </row>
    <row r="1905" spans="1:7" x14ac:dyDescent="0.2">
      <c r="A1905" s="2">
        <v>43193</v>
      </c>
      <c r="B1905" s="1">
        <f t="shared" si="58"/>
        <v>43191</v>
      </c>
      <c r="C1905" s="4" t="str">
        <f t="shared" si="59"/>
        <v>2018-04</v>
      </c>
      <c r="D1905" s="3">
        <v>42.1</v>
      </c>
      <c r="E1905" s="3">
        <v>5.63</v>
      </c>
      <c r="F1905" s="3">
        <v>156.11000000000001</v>
      </c>
      <c r="G1905" s="3">
        <v>1.66</v>
      </c>
    </row>
    <row r="1906" spans="1:7" x14ac:dyDescent="0.2">
      <c r="A1906" s="2">
        <v>43192</v>
      </c>
      <c r="B1906" s="1">
        <f t="shared" si="58"/>
        <v>43191</v>
      </c>
      <c r="C1906" s="4" t="str">
        <f t="shared" si="59"/>
        <v>2018-04</v>
      </c>
      <c r="D1906" s="3">
        <v>41.67</v>
      </c>
      <c r="E1906" s="3">
        <v>5.53</v>
      </c>
      <c r="F1906" s="3">
        <v>155.38999999999999</v>
      </c>
      <c r="G1906" s="3">
        <v>1.64</v>
      </c>
    </row>
    <row r="1907" spans="1:7" x14ac:dyDescent="0.2">
      <c r="A1907" s="2">
        <v>43188</v>
      </c>
      <c r="B1907" s="1">
        <f t="shared" si="58"/>
        <v>43160</v>
      </c>
      <c r="C1907" s="4" t="str">
        <f t="shared" si="59"/>
        <v>2018-03</v>
      </c>
      <c r="D1907" s="3">
        <v>41.95</v>
      </c>
      <c r="E1907" s="3">
        <v>5.79</v>
      </c>
      <c r="F1907" s="3">
        <v>159.79</v>
      </c>
      <c r="G1907" s="3">
        <v>1.7</v>
      </c>
    </row>
    <row r="1908" spans="1:7" x14ac:dyDescent="0.2">
      <c r="A1908" s="2">
        <v>43187</v>
      </c>
      <c r="B1908" s="1">
        <f t="shared" si="58"/>
        <v>43160</v>
      </c>
      <c r="C1908" s="4" t="str">
        <f t="shared" si="59"/>
        <v>2018-03</v>
      </c>
      <c r="D1908" s="3">
        <v>41.62</v>
      </c>
      <c r="E1908" s="3">
        <v>5.53</v>
      </c>
      <c r="F1908" s="3">
        <v>153.03</v>
      </c>
      <c r="G1908" s="3">
        <v>1.67</v>
      </c>
    </row>
    <row r="1909" spans="1:7" x14ac:dyDescent="0.2">
      <c r="A1909" s="2">
        <v>43186</v>
      </c>
      <c r="B1909" s="1">
        <f t="shared" si="58"/>
        <v>43160</v>
      </c>
      <c r="C1909" s="4" t="str">
        <f t="shared" si="59"/>
        <v>2018-03</v>
      </c>
      <c r="D1909" s="3">
        <v>42.09</v>
      </c>
      <c r="E1909" s="3">
        <v>5.64</v>
      </c>
      <c r="F1909" s="3">
        <v>152.22</v>
      </c>
      <c r="G1909" s="3">
        <v>1.66</v>
      </c>
    </row>
    <row r="1910" spans="1:7" x14ac:dyDescent="0.2">
      <c r="A1910" s="2">
        <v>43185</v>
      </c>
      <c r="B1910" s="1">
        <f t="shared" si="58"/>
        <v>43160</v>
      </c>
      <c r="C1910" s="4" t="str">
        <f t="shared" si="59"/>
        <v>2018-03</v>
      </c>
      <c r="D1910" s="3">
        <v>43.19</v>
      </c>
      <c r="E1910" s="3">
        <v>6.11</v>
      </c>
      <c r="F1910" s="3">
        <v>160.06</v>
      </c>
      <c r="G1910" s="3">
        <v>1.71</v>
      </c>
    </row>
    <row r="1911" spans="1:7" x14ac:dyDescent="0.2">
      <c r="A1911" s="2">
        <v>43182</v>
      </c>
      <c r="B1911" s="1">
        <f t="shared" si="58"/>
        <v>43160</v>
      </c>
      <c r="C1911" s="4" t="str">
        <f t="shared" si="59"/>
        <v>2018-03</v>
      </c>
      <c r="D1911" s="3">
        <v>41.24</v>
      </c>
      <c r="E1911" s="3">
        <v>5.82</v>
      </c>
      <c r="F1911" s="3">
        <v>159.38999999999999</v>
      </c>
      <c r="G1911" s="3">
        <v>1.73</v>
      </c>
    </row>
    <row r="1912" spans="1:7" x14ac:dyDescent="0.2">
      <c r="A1912" s="2">
        <v>43181</v>
      </c>
      <c r="B1912" s="1">
        <f t="shared" si="58"/>
        <v>43160</v>
      </c>
      <c r="C1912" s="4" t="str">
        <f t="shared" si="59"/>
        <v>2018-03</v>
      </c>
      <c r="D1912" s="3">
        <v>42.21</v>
      </c>
      <c r="E1912" s="3">
        <v>6.05</v>
      </c>
      <c r="F1912" s="3">
        <v>164.89</v>
      </c>
      <c r="G1912" s="3">
        <v>1.77</v>
      </c>
    </row>
    <row r="1913" spans="1:7" x14ac:dyDescent="0.2">
      <c r="A1913" s="2">
        <v>43180</v>
      </c>
      <c r="B1913" s="1">
        <f t="shared" si="58"/>
        <v>43160</v>
      </c>
      <c r="C1913" s="4" t="str">
        <f t="shared" si="59"/>
        <v>2018-03</v>
      </c>
      <c r="D1913" s="3">
        <v>42.82</v>
      </c>
      <c r="E1913" s="3">
        <v>6.21</v>
      </c>
      <c r="F1913" s="3">
        <v>169.39</v>
      </c>
      <c r="G1913" s="3">
        <v>1.83</v>
      </c>
    </row>
    <row r="1914" spans="1:7" x14ac:dyDescent="0.2">
      <c r="A1914" s="2">
        <v>43179</v>
      </c>
      <c r="B1914" s="1">
        <f t="shared" si="58"/>
        <v>43160</v>
      </c>
      <c r="C1914" s="4" t="str">
        <f t="shared" si="59"/>
        <v>2018-03</v>
      </c>
      <c r="D1914" s="3">
        <v>43.81</v>
      </c>
      <c r="E1914" s="3">
        <v>6.24</v>
      </c>
      <c r="F1914" s="3">
        <v>168.15</v>
      </c>
      <c r="G1914" s="3">
        <v>1.87</v>
      </c>
    </row>
    <row r="1915" spans="1:7" x14ac:dyDescent="0.2">
      <c r="A1915" s="2">
        <v>43178</v>
      </c>
      <c r="B1915" s="1">
        <f t="shared" si="58"/>
        <v>43160</v>
      </c>
      <c r="C1915" s="4" t="str">
        <f t="shared" si="59"/>
        <v>2018-03</v>
      </c>
      <c r="D1915" s="3">
        <v>43.83</v>
      </c>
      <c r="E1915" s="3">
        <v>6.03</v>
      </c>
      <c r="F1915" s="3">
        <v>172.56</v>
      </c>
      <c r="G1915" s="3">
        <v>1.87</v>
      </c>
    </row>
    <row r="1916" spans="1:7" x14ac:dyDescent="0.2">
      <c r="A1916" s="2">
        <v>43175</v>
      </c>
      <c r="B1916" s="1">
        <f t="shared" si="58"/>
        <v>43160</v>
      </c>
      <c r="C1916" s="4" t="str">
        <f t="shared" si="59"/>
        <v>2018-03</v>
      </c>
      <c r="D1916" s="3">
        <v>44.51</v>
      </c>
      <c r="E1916" s="3">
        <v>6.26</v>
      </c>
      <c r="F1916" s="3">
        <v>185.09</v>
      </c>
      <c r="G1916" s="3">
        <v>1.97</v>
      </c>
    </row>
    <row r="1917" spans="1:7" x14ac:dyDescent="0.2">
      <c r="A1917" s="2">
        <v>43174</v>
      </c>
      <c r="B1917" s="1">
        <f t="shared" si="58"/>
        <v>43160</v>
      </c>
      <c r="C1917" s="4" t="str">
        <f t="shared" si="59"/>
        <v>2018-03</v>
      </c>
      <c r="D1917" s="3">
        <v>44.66</v>
      </c>
      <c r="E1917" s="3">
        <v>6.23</v>
      </c>
      <c r="F1917" s="3">
        <v>183.86</v>
      </c>
      <c r="G1917" s="3">
        <v>1.97</v>
      </c>
    </row>
    <row r="1918" spans="1:7" x14ac:dyDescent="0.2">
      <c r="A1918" s="2">
        <v>43173</v>
      </c>
      <c r="B1918" s="1">
        <f t="shared" si="58"/>
        <v>43160</v>
      </c>
      <c r="C1918" s="4" t="str">
        <f t="shared" si="59"/>
        <v>2018-03</v>
      </c>
      <c r="D1918" s="3">
        <v>44.61</v>
      </c>
      <c r="E1918" s="3">
        <v>6.22</v>
      </c>
      <c r="F1918" s="3">
        <v>184.19</v>
      </c>
      <c r="G1918" s="3">
        <v>1.96</v>
      </c>
    </row>
    <row r="1919" spans="1:7" x14ac:dyDescent="0.2">
      <c r="A1919" s="2">
        <v>43172</v>
      </c>
      <c r="B1919" s="1">
        <f t="shared" si="58"/>
        <v>43160</v>
      </c>
      <c r="C1919" s="4" t="str">
        <f t="shared" si="59"/>
        <v>2018-03</v>
      </c>
      <c r="D1919" s="3">
        <v>44.99</v>
      </c>
      <c r="E1919" s="3">
        <v>6.19</v>
      </c>
      <c r="F1919" s="3">
        <v>181.88</v>
      </c>
      <c r="G1919" s="3">
        <v>1.96</v>
      </c>
    </row>
    <row r="1920" spans="1:7" x14ac:dyDescent="0.2">
      <c r="A1920" s="2">
        <v>43171</v>
      </c>
      <c r="B1920" s="1">
        <f t="shared" si="58"/>
        <v>43160</v>
      </c>
      <c r="C1920" s="4" t="str">
        <f t="shared" si="59"/>
        <v>2018-03</v>
      </c>
      <c r="D1920" s="3">
        <v>45.43</v>
      </c>
      <c r="E1920" s="3">
        <v>6.24</v>
      </c>
      <c r="F1920" s="3">
        <v>184.76</v>
      </c>
      <c r="G1920" s="3">
        <v>1.95</v>
      </c>
    </row>
    <row r="1921" spans="1:7" x14ac:dyDescent="0.2">
      <c r="A1921" s="2">
        <v>43168</v>
      </c>
      <c r="B1921" s="1">
        <f t="shared" si="58"/>
        <v>43160</v>
      </c>
      <c r="C1921" s="4" t="str">
        <f t="shared" si="59"/>
        <v>2018-03</v>
      </c>
      <c r="D1921" s="3">
        <v>45</v>
      </c>
      <c r="E1921" s="3">
        <v>6.13</v>
      </c>
      <c r="F1921" s="3">
        <v>185.23</v>
      </c>
      <c r="G1921" s="3">
        <v>1.98</v>
      </c>
    </row>
    <row r="1922" spans="1:7" x14ac:dyDescent="0.2">
      <c r="A1922" s="2">
        <v>43167</v>
      </c>
      <c r="B1922" s="1">
        <f t="shared" si="58"/>
        <v>43160</v>
      </c>
      <c r="C1922" s="4" t="str">
        <f t="shared" si="59"/>
        <v>2018-03</v>
      </c>
      <c r="D1922" s="3">
        <v>44.24</v>
      </c>
      <c r="E1922" s="3">
        <v>6.03</v>
      </c>
      <c r="F1922" s="3">
        <v>182.34</v>
      </c>
      <c r="G1922" s="3">
        <v>1.94</v>
      </c>
    </row>
    <row r="1923" spans="1:7" x14ac:dyDescent="0.2">
      <c r="A1923" s="2">
        <v>43166</v>
      </c>
      <c r="B1923" s="1">
        <f t="shared" ref="B1923:B1986" si="60">EOMONTH(A1923, -1)+1</f>
        <v>43160</v>
      </c>
      <c r="C1923" s="4" t="str">
        <f t="shared" ref="C1923:C1986" si="61">TEXT(A1923, "yyyy-mm")</f>
        <v>2018-03</v>
      </c>
      <c r="D1923" s="3">
        <v>43.76</v>
      </c>
      <c r="E1923" s="3">
        <v>6.05</v>
      </c>
      <c r="F1923" s="3">
        <v>183.71</v>
      </c>
      <c r="G1923" s="3">
        <v>1.96</v>
      </c>
    </row>
    <row r="1924" spans="1:7" x14ac:dyDescent="0.2">
      <c r="A1924" s="2">
        <v>43165</v>
      </c>
      <c r="B1924" s="1">
        <f t="shared" si="60"/>
        <v>43160</v>
      </c>
      <c r="C1924" s="4" t="str">
        <f t="shared" si="61"/>
        <v>2018-03</v>
      </c>
      <c r="D1924" s="3">
        <v>44.17</v>
      </c>
      <c r="E1924" s="3">
        <v>6.05</v>
      </c>
      <c r="F1924" s="3">
        <v>179.78</v>
      </c>
      <c r="G1924" s="3">
        <v>1.94</v>
      </c>
    </row>
    <row r="1925" spans="1:7" x14ac:dyDescent="0.2">
      <c r="A1925" s="2">
        <v>43164</v>
      </c>
      <c r="B1925" s="1">
        <f t="shared" si="60"/>
        <v>43160</v>
      </c>
      <c r="C1925" s="4" t="str">
        <f t="shared" si="61"/>
        <v>2018-03</v>
      </c>
      <c r="D1925" s="3">
        <v>44.21</v>
      </c>
      <c r="E1925" s="3">
        <v>5.89</v>
      </c>
      <c r="F1925" s="3">
        <v>180.4</v>
      </c>
      <c r="G1925" s="3">
        <v>1.89</v>
      </c>
    </row>
    <row r="1926" spans="1:7" x14ac:dyDescent="0.2">
      <c r="A1926" s="2">
        <v>43161</v>
      </c>
      <c r="B1926" s="1">
        <f t="shared" si="60"/>
        <v>43160</v>
      </c>
      <c r="C1926" s="4" t="str">
        <f t="shared" si="61"/>
        <v>2018-03</v>
      </c>
      <c r="D1926" s="3">
        <v>44.05</v>
      </c>
      <c r="E1926" s="3">
        <v>5.91</v>
      </c>
      <c r="F1926" s="3">
        <v>176.62</v>
      </c>
      <c r="G1926" s="3">
        <v>1.83</v>
      </c>
    </row>
    <row r="1927" spans="1:7" x14ac:dyDescent="0.2">
      <c r="A1927" s="2">
        <v>43160</v>
      </c>
      <c r="B1927" s="1">
        <f t="shared" si="60"/>
        <v>43160</v>
      </c>
      <c r="C1927" s="4" t="str">
        <f t="shared" si="61"/>
        <v>2018-03</v>
      </c>
      <c r="D1927" s="3">
        <v>43.75</v>
      </c>
      <c r="E1927" s="3">
        <v>5.81</v>
      </c>
      <c r="F1927" s="3">
        <v>175.94</v>
      </c>
      <c r="G1927" s="3">
        <v>1.81</v>
      </c>
    </row>
    <row r="1928" spans="1:7" x14ac:dyDescent="0.2">
      <c r="A1928" s="2">
        <v>43159</v>
      </c>
      <c r="B1928" s="1">
        <f t="shared" si="60"/>
        <v>43132</v>
      </c>
      <c r="C1928" s="4" t="str">
        <f t="shared" si="61"/>
        <v>2018-02</v>
      </c>
      <c r="D1928" s="3">
        <v>44.53</v>
      </c>
      <c r="E1928" s="3">
        <v>6.05</v>
      </c>
      <c r="F1928" s="3">
        <v>178.32</v>
      </c>
      <c r="G1928" s="3">
        <v>1.81</v>
      </c>
    </row>
    <row r="1929" spans="1:7" x14ac:dyDescent="0.2">
      <c r="A1929" s="2">
        <v>43158</v>
      </c>
      <c r="B1929" s="1">
        <f t="shared" si="60"/>
        <v>43132</v>
      </c>
      <c r="C1929" s="4" t="str">
        <f t="shared" si="61"/>
        <v>2018-02</v>
      </c>
      <c r="D1929" s="3">
        <v>44.6</v>
      </c>
      <c r="E1929" s="3">
        <v>6.15</v>
      </c>
      <c r="F1929" s="3">
        <v>181.46</v>
      </c>
      <c r="G1929" s="3">
        <v>1.86</v>
      </c>
    </row>
    <row r="1930" spans="1:7" x14ac:dyDescent="0.2">
      <c r="A1930" s="2">
        <v>43157</v>
      </c>
      <c r="B1930" s="1">
        <f t="shared" si="60"/>
        <v>43132</v>
      </c>
      <c r="C1930" s="4" t="str">
        <f t="shared" si="61"/>
        <v>2018-02</v>
      </c>
      <c r="D1930" s="3">
        <v>44.74</v>
      </c>
      <c r="E1930" s="3">
        <v>6.16</v>
      </c>
      <c r="F1930" s="3">
        <v>184.93</v>
      </c>
      <c r="G1930" s="3">
        <v>1.89</v>
      </c>
    </row>
    <row r="1931" spans="1:7" x14ac:dyDescent="0.2">
      <c r="A1931" s="2">
        <v>43154</v>
      </c>
      <c r="B1931" s="1">
        <f t="shared" si="60"/>
        <v>43132</v>
      </c>
      <c r="C1931" s="4" t="str">
        <f t="shared" si="61"/>
        <v>2018-02</v>
      </c>
      <c r="D1931" s="3">
        <v>43.88</v>
      </c>
      <c r="E1931" s="3">
        <v>6.15</v>
      </c>
      <c r="F1931" s="3">
        <v>183.29</v>
      </c>
      <c r="G1931" s="3">
        <v>1.85</v>
      </c>
    </row>
    <row r="1932" spans="1:7" x14ac:dyDescent="0.2">
      <c r="A1932" s="2">
        <v>43153</v>
      </c>
      <c r="B1932" s="1">
        <f t="shared" si="60"/>
        <v>43132</v>
      </c>
      <c r="C1932" s="4" t="str">
        <f t="shared" si="61"/>
        <v>2018-02</v>
      </c>
      <c r="D1932" s="3">
        <v>43.13</v>
      </c>
      <c r="E1932" s="3">
        <v>6.05</v>
      </c>
      <c r="F1932" s="3">
        <v>178.99</v>
      </c>
      <c r="G1932" s="3">
        <v>1.84</v>
      </c>
    </row>
    <row r="1933" spans="1:7" x14ac:dyDescent="0.2">
      <c r="A1933" s="2">
        <v>43152</v>
      </c>
      <c r="B1933" s="1">
        <f t="shared" si="60"/>
        <v>43132</v>
      </c>
      <c r="C1933" s="4" t="str">
        <f t="shared" si="61"/>
        <v>2018-02</v>
      </c>
      <c r="D1933" s="3">
        <v>42.77</v>
      </c>
      <c r="E1933" s="3">
        <v>6.04</v>
      </c>
      <c r="F1933" s="3">
        <v>177.91</v>
      </c>
      <c r="G1933" s="3">
        <v>1.82</v>
      </c>
    </row>
    <row r="1934" spans="1:7" x14ac:dyDescent="0.2">
      <c r="A1934" s="2">
        <v>43151</v>
      </c>
      <c r="B1934" s="1">
        <f t="shared" si="60"/>
        <v>43132</v>
      </c>
      <c r="C1934" s="4" t="str">
        <f t="shared" si="61"/>
        <v>2018-02</v>
      </c>
      <c r="D1934" s="3">
        <v>42.96</v>
      </c>
      <c r="E1934" s="3">
        <v>6.23</v>
      </c>
      <c r="F1934" s="3">
        <v>176.01</v>
      </c>
      <c r="G1934" s="3">
        <v>1.89</v>
      </c>
    </row>
    <row r="1935" spans="1:7" x14ac:dyDescent="0.2">
      <c r="A1935" s="2">
        <v>43147</v>
      </c>
      <c r="B1935" s="1">
        <f t="shared" si="60"/>
        <v>43132</v>
      </c>
      <c r="C1935" s="4" t="str">
        <f t="shared" si="61"/>
        <v>2018-02</v>
      </c>
      <c r="D1935" s="3">
        <v>43.11</v>
      </c>
      <c r="E1935" s="3">
        <v>6.1</v>
      </c>
      <c r="F1935" s="3">
        <v>177.36</v>
      </c>
      <c r="G1935" s="3">
        <v>1.91</v>
      </c>
    </row>
    <row r="1936" spans="1:7" x14ac:dyDescent="0.2">
      <c r="A1936" s="2">
        <v>43146</v>
      </c>
      <c r="B1936" s="1">
        <f t="shared" si="60"/>
        <v>43132</v>
      </c>
      <c r="C1936" s="4" t="str">
        <f t="shared" si="61"/>
        <v>2018-02</v>
      </c>
      <c r="D1936" s="3">
        <v>43.25</v>
      </c>
      <c r="E1936" s="3">
        <v>6.16</v>
      </c>
      <c r="F1936" s="3">
        <v>179.96</v>
      </c>
      <c r="G1936" s="3">
        <v>1.95</v>
      </c>
    </row>
    <row r="1937" spans="1:7" x14ac:dyDescent="0.2">
      <c r="A1937" s="2">
        <v>43145</v>
      </c>
      <c r="B1937" s="1">
        <f t="shared" si="60"/>
        <v>43132</v>
      </c>
      <c r="C1937" s="4" t="str">
        <f t="shared" si="61"/>
        <v>2018-02</v>
      </c>
      <c r="D1937" s="3">
        <v>41.84</v>
      </c>
      <c r="E1937" s="3">
        <v>6.04</v>
      </c>
      <c r="F1937" s="3">
        <v>179.52</v>
      </c>
      <c r="G1937" s="3">
        <v>1.93</v>
      </c>
    </row>
    <row r="1938" spans="1:7" x14ac:dyDescent="0.2">
      <c r="A1938" s="2">
        <v>43144</v>
      </c>
      <c r="B1938" s="1">
        <f t="shared" si="60"/>
        <v>43132</v>
      </c>
      <c r="C1938" s="4" t="str">
        <f t="shared" si="61"/>
        <v>2018-02</v>
      </c>
      <c r="D1938" s="3">
        <v>41.09</v>
      </c>
      <c r="E1938" s="3">
        <v>5.82</v>
      </c>
      <c r="F1938" s="3">
        <v>173.15</v>
      </c>
      <c r="G1938" s="3">
        <v>1.84</v>
      </c>
    </row>
    <row r="1939" spans="1:7" x14ac:dyDescent="0.2">
      <c r="A1939" s="2">
        <v>43143</v>
      </c>
      <c r="B1939" s="1">
        <f t="shared" si="60"/>
        <v>43132</v>
      </c>
      <c r="C1939" s="4" t="str">
        <f t="shared" si="61"/>
        <v>2018-02</v>
      </c>
      <c r="D1939" s="3">
        <v>40.68</v>
      </c>
      <c r="E1939" s="3">
        <v>5.7</v>
      </c>
      <c r="F1939" s="3">
        <v>176.41</v>
      </c>
      <c r="G1939" s="3">
        <v>1.88</v>
      </c>
    </row>
    <row r="1940" spans="1:7" x14ac:dyDescent="0.2">
      <c r="A1940" s="2">
        <v>43140</v>
      </c>
      <c r="B1940" s="1">
        <f t="shared" si="60"/>
        <v>43132</v>
      </c>
      <c r="C1940" s="4" t="str">
        <f t="shared" si="61"/>
        <v>2018-02</v>
      </c>
      <c r="D1940" s="3">
        <v>39.1</v>
      </c>
      <c r="E1940" s="3">
        <v>5.8</v>
      </c>
      <c r="F1940" s="3">
        <v>176.11</v>
      </c>
      <c r="G1940" s="3">
        <v>1.89</v>
      </c>
    </row>
    <row r="1941" spans="1:7" x14ac:dyDescent="0.2">
      <c r="A1941" s="2">
        <v>43139</v>
      </c>
      <c r="B1941" s="1">
        <f t="shared" si="60"/>
        <v>43132</v>
      </c>
      <c r="C1941" s="4" t="str">
        <f t="shared" si="61"/>
        <v>2018-02</v>
      </c>
      <c r="D1941" s="3">
        <v>38.79</v>
      </c>
      <c r="E1941" s="3">
        <v>5.44</v>
      </c>
      <c r="F1941" s="3">
        <v>171.58</v>
      </c>
      <c r="G1941" s="3">
        <v>1.86</v>
      </c>
    </row>
    <row r="1942" spans="1:7" x14ac:dyDescent="0.2">
      <c r="A1942" s="2">
        <v>43138</v>
      </c>
      <c r="B1942" s="1">
        <f t="shared" si="60"/>
        <v>43132</v>
      </c>
      <c r="C1942" s="4" t="str">
        <f t="shared" si="61"/>
        <v>2018-02</v>
      </c>
      <c r="D1942" s="3">
        <v>39.89</v>
      </c>
      <c r="E1942" s="3">
        <v>5.72</v>
      </c>
      <c r="F1942" s="3">
        <v>180.18</v>
      </c>
      <c r="G1942" s="3">
        <v>1.98</v>
      </c>
    </row>
    <row r="1943" spans="1:7" x14ac:dyDescent="0.2">
      <c r="A1943" s="2">
        <v>43137</v>
      </c>
      <c r="B1943" s="1">
        <f t="shared" si="60"/>
        <v>43132</v>
      </c>
      <c r="C1943" s="4" t="str">
        <f t="shared" si="61"/>
        <v>2018-02</v>
      </c>
      <c r="D1943" s="3">
        <v>40.76</v>
      </c>
      <c r="E1943" s="3">
        <v>5.64</v>
      </c>
      <c r="F1943" s="3">
        <v>185.31</v>
      </c>
      <c r="G1943" s="3">
        <v>1.96</v>
      </c>
    </row>
    <row r="1944" spans="1:7" x14ac:dyDescent="0.2">
      <c r="A1944" s="2">
        <v>43136</v>
      </c>
      <c r="B1944" s="1">
        <f t="shared" si="60"/>
        <v>43132</v>
      </c>
      <c r="C1944" s="4" t="str">
        <f t="shared" si="61"/>
        <v>2018-02</v>
      </c>
      <c r="D1944" s="3">
        <v>39.119999999999997</v>
      </c>
      <c r="E1944" s="3">
        <v>5.34</v>
      </c>
      <c r="F1944" s="3">
        <v>181.26</v>
      </c>
      <c r="G1944" s="3">
        <v>1.93</v>
      </c>
    </row>
    <row r="1945" spans="1:7" x14ac:dyDescent="0.2">
      <c r="A1945" s="2">
        <v>43133</v>
      </c>
      <c r="B1945" s="1">
        <f t="shared" si="60"/>
        <v>43132</v>
      </c>
      <c r="C1945" s="4" t="str">
        <f t="shared" si="61"/>
        <v>2018-02</v>
      </c>
      <c r="D1945" s="3">
        <v>40.130000000000003</v>
      </c>
      <c r="E1945" s="3">
        <v>5.84</v>
      </c>
      <c r="F1945" s="3">
        <v>190.28</v>
      </c>
      <c r="G1945" s="3">
        <v>2.06</v>
      </c>
    </row>
    <row r="1946" spans="1:7" x14ac:dyDescent="0.2">
      <c r="A1946" s="2">
        <v>43132</v>
      </c>
      <c r="B1946" s="1">
        <f t="shared" si="60"/>
        <v>43132</v>
      </c>
      <c r="C1946" s="4" t="str">
        <f t="shared" si="61"/>
        <v>2018-02</v>
      </c>
      <c r="D1946" s="3">
        <v>41.95</v>
      </c>
      <c r="E1946" s="3">
        <v>6.01</v>
      </c>
      <c r="F1946" s="3">
        <v>193.09</v>
      </c>
      <c r="G1946" s="3">
        <v>2.2599999999999998</v>
      </c>
    </row>
    <row r="1947" spans="1:7" x14ac:dyDescent="0.2">
      <c r="A1947" s="2">
        <v>43131</v>
      </c>
      <c r="B1947" s="1">
        <f t="shared" si="60"/>
        <v>43101</v>
      </c>
      <c r="C1947" s="4" t="str">
        <f t="shared" si="61"/>
        <v>2018-01</v>
      </c>
      <c r="D1947" s="3">
        <v>41.86</v>
      </c>
      <c r="E1947" s="3">
        <v>6.15</v>
      </c>
      <c r="F1947" s="3">
        <v>186.89</v>
      </c>
      <c r="G1947" s="3">
        <v>2.2799999999999998</v>
      </c>
    </row>
    <row r="1948" spans="1:7" x14ac:dyDescent="0.2">
      <c r="A1948" s="2">
        <v>43130</v>
      </c>
      <c r="B1948" s="1">
        <f t="shared" si="60"/>
        <v>43101</v>
      </c>
      <c r="C1948" s="4" t="str">
        <f t="shared" si="61"/>
        <v>2018-01</v>
      </c>
      <c r="D1948" s="3">
        <v>41.74</v>
      </c>
      <c r="E1948" s="3">
        <v>6.07</v>
      </c>
      <c r="F1948" s="3">
        <v>187.12</v>
      </c>
      <c r="G1948" s="3">
        <v>2.4700000000000002</v>
      </c>
    </row>
    <row r="1949" spans="1:7" x14ac:dyDescent="0.2">
      <c r="A1949" s="2">
        <v>43129</v>
      </c>
      <c r="B1949" s="1">
        <f t="shared" si="60"/>
        <v>43101</v>
      </c>
      <c r="C1949" s="4" t="str">
        <f t="shared" si="61"/>
        <v>2018-01</v>
      </c>
      <c r="D1949" s="3">
        <v>41.99</v>
      </c>
      <c r="E1949" s="3">
        <v>6.17</v>
      </c>
      <c r="F1949" s="3">
        <v>185.98</v>
      </c>
      <c r="G1949" s="3">
        <v>2.4500000000000002</v>
      </c>
    </row>
    <row r="1950" spans="1:7" x14ac:dyDescent="0.2">
      <c r="A1950" s="2">
        <v>43126</v>
      </c>
      <c r="B1950" s="1">
        <f t="shared" si="60"/>
        <v>43101</v>
      </c>
      <c r="C1950" s="4" t="str">
        <f t="shared" si="61"/>
        <v>2018-01</v>
      </c>
      <c r="D1950" s="3">
        <v>42.88</v>
      </c>
      <c r="E1950" s="3">
        <v>6.08</v>
      </c>
      <c r="F1950" s="3">
        <v>190</v>
      </c>
      <c r="G1950" s="3">
        <v>2.39</v>
      </c>
    </row>
    <row r="1951" spans="1:7" x14ac:dyDescent="0.2">
      <c r="A1951" s="2">
        <v>43125</v>
      </c>
      <c r="B1951" s="1">
        <f t="shared" si="60"/>
        <v>43101</v>
      </c>
      <c r="C1951" s="4" t="str">
        <f t="shared" si="61"/>
        <v>2018-01</v>
      </c>
      <c r="D1951" s="3">
        <v>42.78</v>
      </c>
      <c r="E1951" s="3">
        <v>5.91</v>
      </c>
      <c r="F1951" s="3">
        <v>187.48</v>
      </c>
      <c r="G1951" s="3">
        <v>2.27</v>
      </c>
    </row>
    <row r="1952" spans="1:7" x14ac:dyDescent="0.2">
      <c r="A1952" s="2">
        <v>43124</v>
      </c>
      <c r="B1952" s="1">
        <f t="shared" si="60"/>
        <v>43101</v>
      </c>
      <c r="C1952" s="4" t="str">
        <f t="shared" si="61"/>
        <v>2018-01</v>
      </c>
      <c r="D1952" s="3">
        <v>43.56</v>
      </c>
      <c r="E1952" s="3">
        <v>5.9</v>
      </c>
      <c r="F1952" s="3">
        <v>186.55</v>
      </c>
      <c r="G1952" s="3">
        <v>2.2799999999999998</v>
      </c>
    </row>
    <row r="1953" spans="1:7" x14ac:dyDescent="0.2">
      <c r="A1953" s="2">
        <v>43123</v>
      </c>
      <c r="B1953" s="1">
        <f t="shared" si="60"/>
        <v>43101</v>
      </c>
      <c r="C1953" s="4" t="str">
        <f t="shared" si="61"/>
        <v>2018-01</v>
      </c>
      <c r="D1953" s="3">
        <v>44.26</v>
      </c>
      <c r="E1953" s="3">
        <v>5.97</v>
      </c>
      <c r="F1953" s="3">
        <v>189.35</v>
      </c>
      <c r="G1953" s="3">
        <v>2.29</v>
      </c>
    </row>
    <row r="1954" spans="1:7" x14ac:dyDescent="0.2">
      <c r="A1954" s="2">
        <v>43122</v>
      </c>
      <c r="B1954" s="1">
        <f t="shared" si="60"/>
        <v>43101</v>
      </c>
      <c r="C1954" s="4" t="str">
        <f t="shared" si="61"/>
        <v>2018-01</v>
      </c>
      <c r="D1954" s="3">
        <v>44.25</v>
      </c>
      <c r="E1954" s="3">
        <v>5.84</v>
      </c>
      <c r="F1954" s="3">
        <v>185.37</v>
      </c>
      <c r="G1954" s="3">
        <v>2.34</v>
      </c>
    </row>
    <row r="1955" spans="1:7" x14ac:dyDescent="0.2">
      <c r="A1955" s="2">
        <v>43119</v>
      </c>
      <c r="B1955" s="1">
        <f t="shared" si="60"/>
        <v>43101</v>
      </c>
      <c r="C1955" s="4" t="str">
        <f t="shared" si="61"/>
        <v>2018-01</v>
      </c>
      <c r="D1955" s="3">
        <v>44.62</v>
      </c>
      <c r="E1955" s="3">
        <v>5.75</v>
      </c>
      <c r="F1955" s="3">
        <v>181.29</v>
      </c>
      <c r="G1955" s="3">
        <v>2.2799999999999998</v>
      </c>
    </row>
    <row r="1956" spans="1:7" x14ac:dyDescent="0.2">
      <c r="A1956" s="2">
        <v>43118</v>
      </c>
      <c r="B1956" s="1">
        <f t="shared" si="60"/>
        <v>43101</v>
      </c>
      <c r="C1956" s="4" t="str">
        <f t="shared" si="61"/>
        <v>2018-01</v>
      </c>
      <c r="D1956" s="3">
        <v>44.82</v>
      </c>
      <c r="E1956" s="3">
        <v>5.61</v>
      </c>
      <c r="F1956" s="3">
        <v>179.8</v>
      </c>
      <c r="G1956" s="3">
        <v>2.15</v>
      </c>
    </row>
    <row r="1957" spans="1:7" x14ac:dyDescent="0.2">
      <c r="A1957" s="2">
        <v>43117</v>
      </c>
      <c r="B1957" s="1">
        <f t="shared" si="60"/>
        <v>43101</v>
      </c>
      <c r="C1957" s="4" t="str">
        <f t="shared" si="61"/>
        <v>2018-01</v>
      </c>
      <c r="D1957" s="3">
        <v>44.78</v>
      </c>
      <c r="E1957" s="3">
        <v>5.62</v>
      </c>
      <c r="F1957" s="3">
        <v>177.6</v>
      </c>
      <c r="G1957" s="3">
        <v>2.17</v>
      </c>
    </row>
    <row r="1958" spans="1:7" x14ac:dyDescent="0.2">
      <c r="A1958" s="2">
        <v>43116</v>
      </c>
      <c r="B1958" s="1">
        <f t="shared" si="60"/>
        <v>43101</v>
      </c>
      <c r="C1958" s="4" t="str">
        <f t="shared" si="61"/>
        <v>2018-01</v>
      </c>
      <c r="D1958" s="3">
        <v>44.05</v>
      </c>
      <c r="E1958" s="3">
        <v>5.5</v>
      </c>
      <c r="F1958" s="3">
        <v>178.39</v>
      </c>
      <c r="G1958" s="3">
        <v>2.15</v>
      </c>
    </row>
    <row r="1959" spans="1:7" x14ac:dyDescent="0.2">
      <c r="A1959" s="2">
        <v>43112</v>
      </c>
      <c r="B1959" s="1">
        <f t="shared" si="60"/>
        <v>43101</v>
      </c>
      <c r="C1959" s="4" t="str">
        <f t="shared" si="61"/>
        <v>2018-01</v>
      </c>
      <c r="D1959" s="3">
        <v>44.27</v>
      </c>
      <c r="E1959" s="3">
        <v>5.57</v>
      </c>
      <c r="F1959" s="3">
        <v>179.37</v>
      </c>
      <c r="G1959" s="3">
        <v>2.15</v>
      </c>
    </row>
    <row r="1960" spans="1:7" x14ac:dyDescent="0.2">
      <c r="A1960" s="2">
        <v>43111</v>
      </c>
      <c r="B1960" s="1">
        <f t="shared" si="60"/>
        <v>43101</v>
      </c>
      <c r="C1960" s="4" t="str">
        <f t="shared" si="61"/>
        <v>2018-01</v>
      </c>
      <c r="D1960" s="3">
        <v>43.82</v>
      </c>
      <c r="E1960" s="3">
        <v>5.6</v>
      </c>
      <c r="F1960" s="3">
        <v>187.77</v>
      </c>
      <c r="G1960" s="3">
        <v>2.17</v>
      </c>
    </row>
    <row r="1961" spans="1:7" x14ac:dyDescent="0.2">
      <c r="A1961" s="2">
        <v>43110</v>
      </c>
      <c r="B1961" s="1">
        <f t="shared" si="60"/>
        <v>43101</v>
      </c>
      <c r="C1961" s="4" t="str">
        <f t="shared" si="61"/>
        <v>2018-01</v>
      </c>
      <c r="D1961" s="3">
        <v>43.57</v>
      </c>
      <c r="E1961" s="3">
        <v>5.59</v>
      </c>
      <c r="F1961" s="3">
        <v>187.84</v>
      </c>
      <c r="G1961" s="3">
        <v>2.13</v>
      </c>
    </row>
    <row r="1962" spans="1:7" x14ac:dyDescent="0.2">
      <c r="A1962" s="2">
        <v>43109</v>
      </c>
      <c r="B1962" s="1">
        <f t="shared" si="60"/>
        <v>43101</v>
      </c>
      <c r="C1962" s="4" t="str">
        <f t="shared" si="61"/>
        <v>2018-01</v>
      </c>
      <c r="D1962" s="3">
        <v>43.58</v>
      </c>
      <c r="E1962" s="3">
        <v>5.55</v>
      </c>
      <c r="F1962" s="3">
        <v>187.87</v>
      </c>
      <c r="G1962" s="3">
        <v>2.13</v>
      </c>
    </row>
    <row r="1963" spans="1:7" x14ac:dyDescent="0.2">
      <c r="A1963" s="2">
        <v>43108</v>
      </c>
      <c r="B1963" s="1">
        <f t="shared" si="60"/>
        <v>43101</v>
      </c>
      <c r="C1963" s="4" t="str">
        <f t="shared" si="61"/>
        <v>2018-01</v>
      </c>
      <c r="D1963" s="3">
        <v>43.59</v>
      </c>
      <c r="E1963" s="3">
        <v>5.55</v>
      </c>
      <c r="F1963" s="3">
        <v>188.28</v>
      </c>
      <c r="G1963" s="3">
        <v>2.1800000000000002</v>
      </c>
    </row>
    <row r="1964" spans="1:7" x14ac:dyDescent="0.2">
      <c r="A1964" s="2">
        <v>43105</v>
      </c>
      <c r="B1964" s="1">
        <f t="shared" si="60"/>
        <v>43101</v>
      </c>
      <c r="C1964" s="4" t="str">
        <f t="shared" si="61"/>
        <v>2018-01</v>
      </c>
      <c r="D1964" s="3">
        <v>43.75</v>
      </c>
      <c r="E1964" s="3">
        <v>5.39</v>
      </c>
      <c r="F1964" s="3">
        <v>186.85</v>
      </c>
      <c r="G1964" s="3">
        <v>2.17</v>
      </c>
    </row>
    <row r="1965" spans="1:7" x14ac:dyDescent="0.2">
      <c r="A1965" s="2">
        <v>43104</v>
      </c>
      <c r="B1965" s="1">
        <f t="shared" si="60"/>
        <v>43101</v>
      </c>
      <c r="C1965" s="4" t="str">
        <f t="shared" si="61"/>
        <v>2018-01</v>
      </c>
      <c r="D1965" s="3">
        <v>43.26</v>
      </c>
      <c r="E1965" s="3">
        <v>5.34</v>
      </c>
      <c r="F1965" s="3">
        <v>184.33</v>
      </c>
      <c r="G1965" s="3">
        <v>2.17</v>
      </c>
    </row>
    <row r="1966" spans="1:7" x14ac:dyDescent="0.2">
      <c r="A1966" s="2">
        <v>43103</v>
      </c>
      <c r="B1966" s="1">
        <f t="shared" si="60"/>
        <v>43101</v>
      </c>
      <c r="C1966" s="4" t="str">
        <f t="shared" si="61"/>
        <v>2018-01</v>
      </c>
      <c r="D1966" s="3">
        <v>43.06</v>
      </c>
      <c r="E1966" s="3">
        <v>5.31</v>
      </c>
      <c r="F1966" s="3">
        <v>184.67</v>
      </c>
      <c r="G1966" s="3">
        <v>2.15</v>
      </c>
    </row>
    <row r="1967" spans="1:7" x14ac:dyDescent="0.2">
      <c r="A1967" s="2">
        <v>43102</v>
      </c>
      <c r="B1967" s="1">
        <f t="shared" si="60"/>
        <v>43101</v>
      </c>
      <c r="C1967" s="4" t="str">
        <f t="shared" si="61"/>
        <v>2018-01</v>
      </c>
      <c r="D1967" s="3">
        <v>43.07</v>
      </c>
      <c r="E1967" s="3">
        <v>4.9800000000000004</v>
      </c>
      <c r="F1967" s="3">
        <v>181.42</v>
      </c>
      <c r="G1967" s="3">
        <v>2.15</v>
      </c>
    </row>
    <row r="1968" spans="1:7" x14ac:dyDescent="0.2">
      <c r="A1968" s="2">
        <v>43098</v>
      </c>
      <c r="B1968" s="1">
        <f t="shared" si="60"/>
        <v>43070</v>
      </c>
      <c r="C1968" s="4" t="str">
        <f t="shared" si="61"/>
        <v>2017-12</v>
      </c>
      <c r="D1968" s="3">
        <v>42.31</v>
      </c>
      <c r="E1968" s="3">
        <v>4.84</v>
      </c>
      <c r="F1968" s="3">
        <v>176.46</v>
      </c>
      <c r="G1968" s="3">
        <v>2.09</v>
      </c>
    </row>
    <row r="1969" spans="1:7" x14ac:dyDescent="0.2">
      <c r="A1969" s="2">
        <v>43097</v>
      </c>
      <c r="B1969" s="1">
        <f t="shared" si="60"/>
        <v>43070</v>
      </c>
      <c r="C1969" s="4" t="str">
        <f t="shared" si="61"/>
        <v>2017-12</v>
      </c>
      <c r="D1969" s="3">
        <v>42.77</v>
      </c>
      <c r="E1969" s="3">
        <v>4.9400000000000004</v>
      </c>
      <c r="F1969" s="3">
        <v>177.92</v>
      </c>
      <c r="G1969" s="3">
        <v>2.1</v>
      </c>
    </row>
    <row r="1970" spans="1:7" x14ac:dyDescent="0.2">
      <c r="A1970" s="2">
        <v>43096</v>
      </c>
      <c r="B1970" s="1">
        <f t="shared" si="60"/>
        <v>43070</v>
      </c>
      <c r="C1970" s="4" t="str">
        <f t="shared" si="61"/>
        <v>2017-12</v>
      </c>
      <c r="D1970" s="3">
        <v>42.65</v>
      </c>
      <c r="E1970" s="3">
        <v>4.93</v>
      </c>
      <c r="F1970" s="3">
        <v>177.62</v>
      </c>
      <c r="G1970" s="3">
        <v>2.1</v>
      </c>
    </row>
    <row r="1971" spans="1:7" x14ac:dyDescent="0.2">
      <c r="A1971" s="2">
        <v>43095</v>
      </c>
      <c r="B1971" s="1">
        <f t="shared" si="60"/>
        <v>43070</v>
      </c>
      <c r="C1971" s="4" t="str">
        <f t="shared" si="61"/>
        <v>2017-12</v>
      </c>
      <c r="D1971" s="3">
        <v>42.64</v>
      </c>
      <c r="E1971" s="3">
        <v>4.9400000000000004</v>
      </c>
      <c r="F1971" s="3">
        <v>175.99</v>
      </c>
      <c r="G1971" s="3">
        <v>2.08</v>
      </c>
    </row>
    <row r="1972" spans="1:7" x14ac:dyDescent="0.2">
      <c r="A1972" s="2">
        <v>43091</v>
      </c>
      <c r="B1972" s="1">
        <f t="shared" si="60"/>
        <v>43070</v>
      </c>
      <c r="C1972" s="4" t="str">
        <f t="shared" si="61"/>
        <v>2017-12</v>
      </c>
      <c r="D1972" s="3">
        <v>43.75</v>
      </c>
      <c r="E1972" s="3">
        <v>4.88</v>
      </c>
      <c r="F1972" s="3">
        <v>177.2</v>
      </c>
      <c r="G1972" s="3">
        <v>2.1</v>
      </c>
    </row>
    <row r="1973" spans="1:7" x14ac:dyDescent="0.2">
      <c r="A1973" s="2">
        <v>43090</v>
      </c>
      <c r="B1973" s="1">
        <f t="shared" si="60"/>
        <v>43070</v>
      </c>
      <c r="C1973" s="4" t="str">
        <f t="shared" si="61"/>
        <v>2017-12</v>
      </c>
      <c r="D1973" s="3">
        <v>43.75</v>
      </c>
      <c r="E1973" s="3">
        <v>4.9000000000000004</v>
      </c>
      <c r="F1973" s="3">
        <v>177.45</v>
      </c>
      <c r="G1973" s="3">
        <v>2.13</v>
      </c>
    </row>
    <row r="1974" spans="1:7" x14ac:dyDescent="0.2">
      <c r="A1974" s="2">
        <v>43089</v>
      </c>
      <c r="B1974" s="1">
        <f t="shared" si="60"/>
        <v>43070</v>
      </c>
      <c r="C1974" s="4" t="str">
        <f t="shared" si="61"/>
        <v>2017-12</v>
      </c>
      <c r="D1974" s="3">
        <v>43.59</v>
      </c>
      <c r="E1974" s="3">
        <v>4.92</v>
      </c>
      <c r="F1974" s="3">
        <v>177.89</v>
      </c>
      <c r="G1974" s="3">
        <v>2.17</v>
      </c>
    </row>
    <row r="1975" spans="1:7" x14ac:dyDescent="0.2">
      <c r="A1975" s="2">
        <v>43088</v>
      </c>
      <c r="B1975" s="1">
        <f t="shared" si="60"/>
        <v>43070</v>
      </c>
      <c r="C1975" s="4" t="str">
        <f t="shared" si="61"/>
        <v>2017-12</v>
      </c>
      <c r="D1975" s="3">
        <v>43.64</v>
      </c>
      <c r="E1975" s="3">
        <v>4.9000000000000004</v>
      </c>
      <c r="F1975" s="3">
        <v>179.51</v>
      </c>
      <c r="G1975" s="3">
        <v>2.2200000000000002</v>
      </c>
    </row>
    <row r="1976" spans="1:7" x14ac:dyDescent="0.2">
      <c r="A1976" s="2">
        <v>43087</v>
      </c>
      <c r="B1976" s="1">
        <f t="shared" si="60"/>
        <v>43070</v>
      </c>
      <c r="C1976" s="4" t="str">
        <f t="shared" si="61"/>
        <v>2017-12</v>
      </c>
      <c r="D1976" s="3">
        <v>44.11</v>
      </c>
      <c r="E1976" s="3">
        <v>4.95</v>
      </c>
      <c r="F1976" s="3">
        <v>180.82</v>
      </c>
      <c r="G1976" s="3">
        <v>2.2000000000000002</v>
      </c>
    </row>
    <row r="1977" spans="1:7" x14ac:dyDescent="0.2">
      <c r="A1977" s="2">
        <v>43084</v>
      </c>
      <c r="B1977" s="1">
        <f t="shared" si="60"/>
        <v>43070</v>
      </c>
      <c r="C1977" s="4" t="str">
        <f t="shared" si="61"/>
        <v>2017-12</v>
      </c>
      <c r="D1977" s="3">
        <v>43.49</v>
      </c>
      <c r="E1977" s="3">
        <v>4.79</v>
      </c>
      <c r="F1977" s="3">
        <v>180.18</v>
      </c>
      <c r="G1977" s="3">
        <v>2.2000000000000002</v>
      </c>
    </row>
    <row r="1978" spans="1:7" x14ac:dyDescent="0.2">
      <c r="A1978" s="2">
        <v>43083</v>
      </c>
      <c r="B1978" s="1">
        <f t="shared" si="60"/>
        <v>43070</v>
      </c>
      <c r="C1978" s="4" t="str">
        <f t="shared" si="61"/>
        <v>2017-12</v>
      </c>
      <c r="D1978" s="3">
        <v>43.06</v>
      </c>
      <c r="E1978" s="3">
        <v>4.66</v>
      </c>
      <c r="F1978" s="3">
        <v>178.39</v>
      </c>
      <c r="G1978" s="3">
        <v>2.17</v>
      </c>
    </row>
    <row r="1979" spans="1:7" x14ac:dyDescent="0.2">
      <c r="A1979" s="2">
        <v>43082</v>
      </c>
      <c r="B1979" s="1">
        <f t="shared" si="60"/>
        <v>43070</v>
      </c>
      <c r="C1979" s="4" t="str">
        <f t="shared" si="61"/>
        <v>2017-12</v>
      </c>
      <c r="D1979" s="3">
        <v>43.07</v>
      </c>
      <c r="E1979" s="3">
        <v>4.6500000000000004</v>
      </c>
      <c r="F1979" s="3">
        <v>178.3</v>
      </c>
      <c r="G1979" s="3">
        <v>2.21</v>
      </c>
    </row>
    <row r="1980" spans="1:7" x14ac:dyDescent="0.2">
      <c r="A1980" s="2">
        <v>43081</v>
      </c>
      <c r="B1980" s="1">
        <f t="shared" si="60"/>
        <v>43070</v>
      </c>
      <c r="C1980" s="4" t="str">
        <f t="shared" si="61"/>
        <v>2017-12</v>
      </c>
      <c r="D1980" s="3">
        <v>42.93</v>
      </c>
      <c r="E1980" s="3">
        <v>4.7699999999999996</v>
      </c>
      <c r="F1980" s="3">
        <v>176.96</v>
      </c>
      <c r="G1980" s="3">
        <v>2.2000000000000002</v>
      </c>
    </row>
    <row r="1981" spans="1:7" x14ac:dyDescent="0.2">
      <c r="A1981" s="2">
        <v>43080</v>
      </c>
      <c r="B1981" s="1">
        <f t="shared" si="60"/>
        <v>43070</v>
      </c>
      <c r="C1981" s="4" t="str">
        <f t="shared" si="61"/>
        <v>2017-12</v>
      </c>
      <c r="D1981" s="3">
        <v>43.17</v>
      </c>
      <c r="E1981" s="3">
        <v>4.87</v>
      </c>
      <c r="F1981" s="3">
        <v>179.04</v>
      </c>
      <c r="G1981" s="3">
        <v>2.19</v>
      </c>
    </row>
    <row r="1982" spans="1:7" x14ac:dyDescent="0.2">
      <c r="A1982" s="2">
        <v>43077</v>
      </c>
      <c r="B1982" s="1">
        <f t="shared" si="60"/>
        <v>43070</v>
      </c>
      <c r="C1982" s="4" t="str">
        <f t="shared" si="61"/>
        <v>2017-12</v>
      </c>
      <c r="D1982" s="3">
        <v>42.34</v>
      </c>
      <c r="E1982" s="3">
        <v>4.79</v>
      </c>
      <c r="F1982" s="3">
        <v>179</v>
      </c>
      <c r="G1982" s="3">
        <v>2.16</v>
      </c>
    </row>
    <row r="1983" spans="1:7" x14ac:dyDescent="0.2">
      <c r="A1983" s="2">
        <v>43076</v>
      </c>
      <c r="B1983" s="1">
        <f t="shared" si="60"/>
        <v>43070</v>
      </c>
      <c r="C1983" s="4" t="str">
        <f t="shared" si="61"/>
        <v>2017-12</v>
      </c>
      <c r="D1983" s="3">
        <v>42.33</v>
      </c>
      <c r="E1983" s="3">
        <v>4.8</v>
      </c>
      <c r="F1983" s="3">
        <v>180.14</v>
      </c>
      <c r="G1983" s="3">
        <v>2.16</v>
      </c>
    </row>
    <row r="1984" spans="1:7" x14ac:dyDescent="0.2">
      <c r="A1984" s="2">
        <v>43075</v>
      </c>
      <c r="B1984" s="1">
        <f t="shared" si="60"/>
        <v>43070</v>
      </c>
      <c r="C1984" s="4" t="str">
        <f t="shared" si="61"/>
        <v>2017-12</v>
      </c>
      <c r="D1984" s="3">
        <v>42.25</v>
      </c>
      <c r="E1984" s="3">
        <v>4.7300000000000004</v>
      </c>
      <c r="F1984" s="3">
        <v>176.06</v>
      </c>
      <c r="G1984" s="3">
        <v>2.15</v>
      </c>
    </row>
    <row r="1985" spans="1:7" x14ac:dyDescent="0.2">
      <c r="A1985" s="2">
        <v>43074</v>
      </c>
      <c r="B1985" s="1">
        <f t="shared" si="60"/>
        <v>43070</v>
      </c>
      <c r="C1985" s="4" t="str">
        <f t="shared" si="61"/>
        <v>2017-12</v>
      </c>
      <c r="D1985" s="3">
        <v>42.41</v>
      </c>
      <c r="E1985" s="3">
        <v>4.6900000000000004</v>
      </c>
      <c r="F1985" s="3">
        <v>172.83</v>
      </c>
      <c r="G1985" s="3">
        <v>2.16</v>
      </c>
    </row>
    <row r="1986" spans="1:7" x14ac:dyDescent="0.2">
      <c r="A1986" s="2">
        <v>43073</v>
      </c>
      <c r="B1986" s="1">
        <f t="shared" si="60"/>
        <v>43070</v>
      </c>
      <c r="C1986" s="4" t="str">
        <f t="shared" si="61"/>
        <v>2017-12</v>
      </c>
      <c r="D1986" s="3">
        <v>42.45</v>
      </c>
      <c r="E1986" s="3">
        <v>4.67</v>
      </c>
      <c r="F1986" s="3">
        <v>171.47</v>
      </c>
      <c r="G1986" s="3">
        <v>2.21</v>
      </c>
    </row>
    <row r="1987" spans="1:7" x14ac:dyDescent="0.2">
      <c r="A1987" s="2">
        <v>43070</v>
      </c>
      <c r="B1987" s="1">
        <f t="shared" ref="B1987:B2050" si="62">EOMONTH(A1987, -1)+1</f>
        <v>43070</v>
      </c>
      <c r="C1987" s="4" t="str">
        <f t="shared" ref="C1987:C2050" si="63">TEXT(A1987, "yyyy-mm")</f>
        <v>2017-12</v>
      </c>
      <c r="D1987" s="3">
        <v>42.76</v>
      </c>
      <c r="E1987" s="3">
        <v>4.9400000000000004</v>
      </c>
      <c r="F1987" s="3">
        <v>175.1</v>
      </c>
      <c r="G1987" s="3">
        <v>2.2000000000000002</v>
      </c>
    </row>
    <row r="1988" spans="1:7" x14ac:dyDescent="0.2">
      <c r="A1988" s="2">
        <v>43069</v>
      </c>
      <c r="B1988" s="1">
        <f t="shared" si="62"/>
        <v>43040</v>
      </c>
      <c r="C1988" s="4" t="str">
        <f t="shared" si="63"/>
        <v>2017-11</v>
      </c>
      <c r="D1988" s="3">
        <v>42.96</v>
      </c>
      <c r="E1988" s="3">
        <v>5.0199999999999996</v>
      </c>
      <c r="F1988" s="3">
        <v>177.18</v>
      </c>
      <c r="G1988" s="3">
        <v>2.21</v>
      </c>
    </row>
    <row r="1989" spans="1:7" x14ac:dyDescent="0.2">
      <c r="A1989" s="2">
        <v>43068</v>
      </c>
      <c r="B1989" s="1">
        <f t="shared" si="62"/>
        <v>43040</v>
      </c>
      <c r="C1989" s="4" t="str">
        <f t="shared" si="63"/>
        <v>2017-11</v>
      </c>
      <c r="D1989" s="3">
        <v>42.37</v>
      </c>
      <c r="E1989" s="3">
        <v>4.91</v>
      </c>
      <c r="F1989" s="3">
        <v>175.13</v>
      </c>
      <c r="G1989" s="3">
        <v>2.2200000000000002</v>
      </c>
    </row>
    <row r="1990" spans="1:7" x14ac:dyDescent="0.2">
      <c r="A1990" s="2">
        <v>43067</v>
      </c>
      <c r="B1990" s="1">
        <f t="shared" si="62"/>
        <v>43040</v>
      </c>
      <c r="C1990" s="4" t="str">
        <f t="shared" si="63"/>
        <v>2017-11</v>
      </c>
      <c r="D1990" s="3">
        <v>43.27</v>
      </c>
      <c r="E1990" s="3">
        <v>5.27</v>
      </c>
      <c r="F1990" s="3">
        <v>182.42</v>
      </c>
      <c r="G1990" s="3">
        <v>2.19</v>
      </c>
    </row>
    <row r="1991" spans="1:7" x14ac:dyDescent="0.2">
      <c r="A1991" s="2">
        <v>43066</v>
      </c>
      <c r="B1991" s="1">
        <f t="shared" si="62"/>
        <v>43040</v>
      </c>
      <c r="C1991" s="4" t="str">
        <f t="shared" si="63"/>
        <v>2017-11</v>
      </c>
      <c r="D1991" s="3">
        <v>43.52</v>
      </c>
      <c r="E1991" s="3">
        <v>5.35</v>
      </c>
      <c r="F1991" s="3">
        <v>183.03</v>
      </c>
      <c r="G1991" s="3">
        <v>2.13</v>
      </c>
    </row>
    <row r="1992" spans="1:7" x14ac:dyDescent="0.2">
      <c r="A1992" s="2">
        <v>43063</v>
      </c>
      <c r="B1992" s="1">
        <f t="shared" si="62"/>
        <v>43040</v>
      </c>
      <c r="C1992" s="4" t="str">
        <f t="shared" si="63"/>
        <v>2017-11</v>
      </c>
      <c r="D1992" s="3">
        <v>43.74</v>
      </c>
      <c r="E1992" s="3">
        <v>5.42</v>
      </c>
      <c r="F1992" s="3">
        <v>182.78</v>
      </c>
      <c r="G1992" s="3">
        <v>2.1</v>
      </c>
    </row>
    <row r="1993" spans="1:7" x14ac:dyDescent="0.2">
      <c r="A1993" s="2">
        <v>43061</v>
      </c>
      <c r="B1993" s="1">
        <f t="shared" si="62"/>
        <v>43040</v>
      </c>
      <c r="C1993" s="4" t="str">
        <f t="shared" si="63"/>
        <v>2017-11</v>
      </c>
      <c r="D1993" s="3">
        <v>43.74</v>
      </c>
      <c r="E1993" s="3">
        <v>5.37</v>
      </c>
      <c r="F1993" s="3">
        <v>180.87</v>
      </c>
      <c r="G1993" s="3">
        <v>2.13</v>
      </c>
    </row>
    <row r="1994" spans="1:7" x14ac:dyDescent="0.2">
      <c r="A1994" s="2">
        <v>43060</v>
      </c>
      <c r="B1994" s="1">
        <f t="shared" si="62"/>
        <v>43040</v>
      </c>
      <c r="C1994" s="4" t="str">
        <f t="shared" si="63"/>
        <v>2017-11</v>
      </c>
      <c r="D1994" s="3">
        <v>43.29</v>
      </c>
      <c r="E1994" s="3">
        <v>5.4</v>
      </c>
      <c r="F1994" s="3">
        <v>181.86</v>
      </c>
      <c r="G1994" s="3">
        <v>2.15</v>
      </c>
    </row>
    <row r="1995" spans="1:7" x14ac:dyDescent="0.2">
      <c r="A1995" s="2">
        <v>43059</v>
      </c>
      <c r="B1995" s="1">
        <f t="shared" si="62"/>
        <v>43040</v>
      </c>
      <c r="C1995" s="4" t="str">
        <f t="shared" si="63"/>
        <v>2017-11</v>
      </c>
      <c r="D1995" s="3">
        <v>42.5</v>
      </c>
      <c r="E1995" s="3">
        <v>5.35</v>
      </c>
      <c r="F1995" s="3">
        <v>178.74</v>
      </c>
      <c r="G1995" s="3">
        <v>2.14</v>
      </c>
    </row>
    <row r="1996" spans="1:7" x14ac:dyDescent="0.2">
      <c r="A1996" s="2">
        <v>43056</v>
      </c>
      <c r="B1996" s="1">
        <f t="shared" si="62"/>
        <v>43040</v>
      </c>
      <c r="C1996" s="4" t="str">
        <f t="shared" si="63"/>
        <v>2017-11</v>
      </c>
      <c r="D1996" s="3">
        <v>42.54</v>
      </c>
      <c r="E1996" s="3">
        <v>5.28</v>
      </c>
      <c r="F1996" s="3">
        <v>179</v>
      </c>
      <c r="G1996" s="3">
        <v>2.0499999999999998</v>
      </c>
    </row>
    <row r="1997" spans="1:7" x14ac:dyDescent="0.2">
      <c r="A1997" s="2">
        <v>43055</v>
      </c>
      <c r="B1997" s="1">
        <f t="shared" si="62"/>
        <v>43040</v>
      </c>
      <c r="C1997" s="4" t="str">
        <f t="shared" si="63"/>
        <v>2017-11</v>
      </c>
      <c r="D1997" s="3">
        <v>42.78</v>
      </c>
      <c r="E1997" s="3">
        <v>5.29</v>
      </c>
      <c r="F1997" s="3">
        <v>179.59</v>
      </c>
      <c r="G1997" s="3">
        <v>2.0299999999999998</v>
      </c>
    </row>
    <row r="1998" spans="1:7" x14ac:dyDescent="0.2">
      <c r="A1998" s="2">
        <v>43054</v>
      </c>
      <c r="B1998" s="1">
        <f t="shared" si="62"/>
        <v>43040</v>
      </c>
      <c r="C1998" s="4" t="str">
        <f t="shared" si="63"/>
        <v>2017-11</v>
      </c>
      <c r="D1998" s="3">
        <v>42.27</v>
      </c>
      <c r="E1998" s="3">
        <v>5.25</v>
      </c>
      <c r="F1998" s="3">
        <v>177.95</v>
      </c>
      <c r="G1998" s="3">
        <v>1.99</v>
      </c>
    </row>
    <row r="1999" spans="1:7" x14ac:dyDescent="0.2">
      <c r="A1999" s="2">
        <v>43053</v>
      </c>
      <c r="B1999" s="1">
        <f t="shared" si="62"/>
        <v>43040</v>
      </c>
      <c r="C1999" s="4" t="str">
        <f t="shared" si="63"/>
        <v>2017-11</v>
      </c>
      <c r="D1999" s="3">
        <v>42.84</v>
      </c>
      <c r="E1999" s="3">
        <v>5.35</v>
      </c>
      <c r="F1999" s="3">
        <v>178.07</v>
      </c>
      <c r="G1999" s="3">
        <v>1.98</v>
      </c>
    </row>
    <row r="2000" spans="1:7" x14ac:dyDescent="0.2">
      <c r="A2000" s="2">
        <v>43052</v>
      </c>
      <c r="B2000" s="1">
        <f t="shared" si="62"/>
        <v>43040</v>
      </c>
      <c r="C2000" s="4" t="str">
        <f t="shared" si="63"/>
        <v>2017-11</v>
      </c>
      <c r="D2000" s="3">
        <v>43.49</v>
      </c>
      <c r="E2000" s="3">
        <v>5.32</v>
      </c>
      <c r="F2000" s="3">
        <v>178.77</v>
      </c>
      <c r="G2000" s="3">
        <v>2</v>
      </c>
    </row>
    <row r="2001" spans="1:7" x14ac:dyDescent="0.2">
      <c r="A2001" s="2">
        <v>43049</v>
      </c>
      <c r="B2001" s="1">
        <f t="shared" si="62"/>
        <v>43040</v>
      </c>
      <c r="C2001" s="4" t="str">
        <f t="shared" si="63"/>
        <v>2017-11</v>
      </c>
      <c r="D2001" s="3">
        <v>43.67</v>
      </c>
      <c r="E2001" s="3">
        <v>5.4</v>
      </c>
      <c r="F2001" s="3">
        <v>178.46</v>
      </c>
      <c r="G2001" s="3">
        <v>2</v>
      </c>
    </row>
    <row r="2002" spans="1:7" x14ac:dyDescent="0.2">
      <c r="A2002" s="2">
        <v>43048</v>
      </c>
      <c r="B2002" s="1">
        <f t="shared" si="62"/>
        <v>43040</v>
      </c>
      <c r="C2002" s="4" t="str">
        <f t="shared" si="63"/>
        <v>2017-11</v>
      </c>
      <c r="D2002" s="3">
        <v>43.97</v>
      </c>
      <c r="E2002" s="3">
        <v>5.13</v>
      </c>
      <c r="F2002" s="3">
        <v>179.3</v>
      </c>
      <c r="G2002" s="3">
        <v>1.96</v>
      </c>
    </row>
    <row r="2003" spans="1:7" x14ac:dyDescent="0.2">
      <c r="A2003" s="2">
        <v>43047</v>
      </c>
      <c r="B2003" s="1">
        <f t="shared" si="62"/>
        <v>43040</v>
      </c>
      <c r="C2003" s="4" t="str">
        <f t="shared" si="63"/>
        <v>2017-11</v>
      </c>
      <c r="D2003" s="3">
        <v>44.06</v>
      </c>
      <c r="E2003" s="3">
        <v>5.23</v>
      </c>
      <c r="F2003" s="3">
        <v>179.56</v>
      </c>
      <c r="G2003" s="3">
        <v>1.98</v>
      </c>
    </row>
    <row r="2004" spans="1:7" x14ac:dyDescent="0.2">
      <c r="A2004" s="2">
        <v>43046</v>
      </c>
      <c r="B2004" s="1">
        <f t="shared" si="62"/>
        <v>43040</v>
      </c>
      <c r="C2004" s="4" t="str">
        <f t="shared" si="63"/>
        <v>2017-11</v>
      </c>
      <c r="D2004" s="3">
        <v>43.7</v>
      </c>
      <c r="E2004" s="3">
        <v>5.3</v>
      </c>
      <c r="F2004" s="3">
        <v>180.25</v>
      </c>
      <c r="G2004" s="3">
        <v>1.98</v>
      </c>
    </row>
    <row r="2005" spans="1:7" x14ac:dyDescent="0.2">
      <c r="A2005" s="2">
        <v>43045</v>
      </c>
      <c r="B2005" s="1">
        <f t="shared" si="62"/>
        <v>43040</v>
      </c>
      <c r="C2005" s="4" t="str">
        <f t="shared" si="63"/>
        <v>2017-11</v>
      </c>
      <c r="D2005" s="3">
        <v>43.56</v>
      </c>
      <c r="E2005" s="3">
        <v>5.24</v>
      </c>
      <c r="F2005" s="3">
        <v>180.17</v>
      </c>
      <c r="G2005" s="3">
        <v>2.0499999999999998</v>
      </c>
    </row>
    <row r="2006" spans="1:7" x14ac:dyDescent="0.2">
      <c r="A2006" s="2">
        <v>43042</v>
      </c>
      <c r="B2006" s="1">
        <f t="shared" si="62"/>
        <v>43040</v>
      </c>
      <c r="C2006" s="4" t="str">
        <f t="shared" si="63"/>
        <v>2017-11</v>
      </c>
      <c r="D2006" s="3">
        <v>43.13</v>
      </c>
      <c r="E2006" s="3">
        <v>5.22</v>
      </c>
      <c r="F2006" s="3">
        <v>178.92</v>
      </c>
      <c r="G2006" s="3">
        <v>2.0299999999999998</v>
      </c>
    </row>
    <row r="2007" spans="1:7" x14ac:dyDescent="0.2">
      <c r="A2007" s="2">
        <v>43041</v>
      </c>
      <c r="B2007" s="1">
        <f t="shared" si="62"/>
        <v>43040</v>
      </c>
      <c r="C2007" s="4" t="str">
        <f t="shared" si="63"/>
        <v>2017-11</v>
      </c>
      <c r="D2007" s="3">
        <v>42.03</v>
      </c>
      <c r="E2007" s="3">
        <v>5.15</v>
      </c>
      <c r="F2007" s="3">
        <v>178.92</v>
      </c>
      <c r="G2007" s="3">
        <v>2.0299999999999998</v>
      </c>
    </row>
    <row r="2008" spans="1:7" x14ac:dyDescent="0.2">
      <c r="A2008" s="2">
        <v>43040</v>
      </c>
      <c r="B2008" s="1">
        <f t="shared" si="62"/>
        <v>43040</v>
      </c>
      <c r="C2008" s="4" t="str">
        <f t="shared" si="63"/>
        <v>2017-11</v>
      </c>
      <c r="D2008" s="3">
        <v>41.72</v>
      </c>
      <c r="E2008" s="3">
        <v>5.18</v>
      </c>
      <c r="F2008" s="3">
        <v>182.66</v>
      </c>
      <c r="G2008" s="3">
        <v>2.0299999999999998</v>
      </c>
    </row>
    <row r="2009" spans="1:7" x14ac:dyDescent="0.2">
      <c r="A2009" s="2">
        <v>43039</v>
      </c>
      <c r="B2009" s="1">
        <f t="shared" si="62"/>
        <v>43009</v>
      </c>
      <c r="C2009" s="4" t="str">
        <f t="shared" si="63"/>
        <v>2017-10</v>
      </c>
      <c r="D2009" s="3">
        <v>42.26</v>
      </c>
      <c r="E2009" s="3">
        <v>5.17</v>
      </c>
      <c r="F2009" s="3">
        <v>180.06</v>
      </c>
      <c r="G2009" s="3">
        <v>1.99</v>
      </c>
    </row>
    <row r="2010" spans="1:7" x14ac:dyDescent="0.2">
      <c r="A2010" s="2">
        <v>43038</v>
      </c>
      <c r="B2010" s="1">
        <f t="shared" si="62"/>
        <v>43009</v>
      </c>
      <c r="C2010" s="4" t="str">
        <f t="shared" si="63"/>
        <v>2017-10</v>
      </c>
      <c r="D2010" s="3">
        <v>41.68</v>
      </c>
      <c r="E2010" s="3">
        <v>5.0999999999999996</v>
      </c>
      <c r="F2010" s="3">
        <v>179.87</v>
      </c>
      <c r="G2010" s="3">
        <v>1.99</v>
      </c>
    </row>
    <row r="2011" spans="1:7" x14ac:dyDescent="0.2">
      <c r="A2011" s="2">
        <v>43035</v>
      </c>
      <c r="B2011" s="1">
        <f t="shared" si="62"/>
        <v>43009</v>
      </c>
      <c r="C2011" s="4" t="str">
        <f t="shared" si="63"/>
        <v>2017-10</v>
      </c>
      <c r="D2011" s="3">
        <v>40.76</v>
      </c>
      <c r="E2011" s="3">
        <v>5.05</v>
      </c>
      <c r="F2011" s="3">
        <v>177.88</v>
      </c>
      <c r="G2011" s="3">
        <v>2.0499999999999998</v>
      </c>
    </row>
    <row r="2012" spans="1:7" x14ac:dyDescent="0.2">
      <c r="A2012" s="2">
        <v>43034</v>
      </c>
      <c r="B2012" s="1">
        <f t="shared" si="62"/>
        <v>43009</v>
      </c>
      <c r="C2012" s="4" t="str">
        <f t="shared" si="63"/>
        <v>2017-10</v>
      </c>
      <c r="D2012" s="3">
        <v>39.35</v>
      </c>
      <c r="E2012" s="3">
        <v>4.8899999999999997</v>
      </c>
      <c r="F2012" s="3">
        <v>170.63</v>
      </c>
      <c r="G2012" s="3">
        <v>2.17</v>
      </c>
    </row>
    <row r="2013" spans="1:7" x14ac:dyDescent="0.2">
      <c r="A2013" s="2">
        <v>43033</v>
      </c>
      <c r="B2013" s="1">
        <f t="shared" si="62"/>
        <v>43009</v>
      </c>
      <c r="C2013" s="4" t="str">
        <f t="shared" si="63"/>
        <v>2017-10</v>
      </c>
      <c r="D2013" s="3">
        <v>39.1</v>
      </c>
      <c r="E2013" s="3">
        <v>4.84</v>
      </c>
      <c r="F2013" s="3">
        <v>170.6</v>
      </c>
      <c r="G2013" s="3">
        <v>2.19</v>
      </c>
    </row>
    <row r="2014" spans="1:7" x14ac:dyDescent="0.2">
      <c r="A2014" s="2">
        <v>43032</v>
      </c>
      <c r="B2014" s="1">
        <f t="shared" si="62"/>
        <v>43009</v>
      </c>
      <c r="C2014" s="4" t="str">
        <f t="shared" si="63"/>
        <v>2017-10</v>
      </c>
      <c r="D2014" s="3">
        <v>39.28</v>
      </c>
      <c r="E2014" s="3">
        <v>4.97</v>
      </c>
      <c r="F2014" s="3">
        <v>171.8</v>
      </c>
      <c r="G2014" s="3">
        <v>2.25</v>
      </c>
    </row>
    <row r="2015" spans="1:7" x14ac:dyDescent="0.2">
      <c r="A2015" s="2">
        <v>43031</v>
      </c>
      <c r="B2015" s="1">
        <f t="shared" si="62"/>
        <v>43009</v>
      </c>
      <c r="C2015" s="4" t="str">
        <f t="shared" si="63"/>
        <v>2017-10</v>
      </c>
      <c r="D2015" s="3">
        <v>39.04</v>
      </c>
      <c r="E2015" s="3">
        <v>4.92</v>
      </c>
      <c r="F2015" s="3">
        <v>171.27</v>
      </c>
      <c r="G2015" s="3">
        <v>2.25</v>
      </c>
    </row>
    <row r="2016" spans="1:7" x14ac:dyDescent="0.2">
      <c r="A2016" s="2">
        <v>43028</v>
      </c>
      <c r="B2016" s="1">
        <f t="shared" si="62"/>
        <v>43009</v>
      </c>
      <c r="C2016" s="4" t="str">
        <f t="shared" si="63"/>
        <v>2017-10</v>
      </c>
      <c r="D2016" s="3">
        <v>39.06</v>
      </c>
      <c r="E2016" s="3">
        <v>4.92</v>
      </c>
      <c r="F2016" s="3">
        <v>174.98</v>
      </c>
      <c r="G2016" s="3">
        <v>2.2400000000000002</v>
      </c>
    </row>
    <row r="2017" spans="1:7" x14ac:dyDescent="0.2">
      <c r="A2017" s="2">
        <v>43027</v>
      </c>
      <c r="B2017" s="1">
        <f t="shared" si="62"/>
        <v>43009</v>
      </c>
      <c r="C2017" s="4" t="str">
        <f t="shared" si="63"/>
        <v>2017-10</v>
      </c>
      <c r="D2017" s="3">
        <v>39</v>
      </c>
      <c r="E2017" s="3">
        <v>4.95</v>
      </c>
      <c r="F2017" s="3">
        <v>174.56</v>
      </c>
      <c r="G2017" s="3">
        <v>2.1800000000000002</v>
      </c>
    </row>
    <row r="2018" spans="1:7" x14ac:dyDescent="0.2">
      <c r="A2018" s="2">
        <v>43026</v>
      </c>
      <c r="B2018" s="1">
        <f t="shared" si="62"/>
        <v>43009</v>
      </c>
      <c r="C2018" s="4" t="str">
        <f t="shared" si="63"/>
        <v>2017-10</v>
      </c>
      <c r="D2018" s="3">
        <v>39.94</v>
      </c>
      <c r="E2018" s="3">
        <v>4.9400000000000004</v>
      </c>
      <c r="F2018" s="3">
        <v>176.03</v>
      </c>
      <c r="G2018" s="3">
        <v>2.21</v>
      </c>
    </row>
    <row r="2019" spans="1:7" x14ac:dyDescent="0.2">
      <c r="A2019" s="2">
        <v>43025</v>
      </c>
      <c r="B2019" s="1">
        <f t="shared" si="62"/>
        <v>43009</v>
      </c>
      <c r="C2019" s="4" t="str">
        <f t="shared" si="63"/>
        <v>2017-10</v>
      </c>
      <c r="D2019" s="3">
        <v>40.119999999999997</v>
      </c>
      <c r="E2019" s="3">
        <v>4.9400000000000004</v>
      </c>
      <c r="F2019" s="3">
        <v>176.11</v>
      </c>
      <c r="G2019" s="3">
        <v>2.21</v>
      </c>
    </row>
    <row r="2020" spans="1:7" x14ac:dyDescent="0.2">
      <c r="A2020" s="2">
        <v>43024</v>
      </c>
      <c r="B2020" s="1">
        <f t="shared" si="62"/>
        <v>43009</v>
      </c>
      <c r="C2020" s="4" t="str">
        <f t="shared" si="63"/>
        <v>2017-10</v>
      </c>
      <c r="D2020" s="3">
        <v>39.97</v>
      </c>
      <c r="E2020" s="3">
        <v>4.95</v>
      </c>
      <c r="F2020" s="3">
        <v>174.52</v>
      </c>
      <c r="G2020" s="3">
        <v>2.25</v>
      </c>
    </row>
    <row r="2021" spans="1:7" x14ac:dyDescent="0.2">
      <c r="A2021" s="2">
        <v>43021</v>
      </c>
      <c r="B2021" s="1">
        <f t="shared" si="62"/>
        <v>43009</v>
      </c>
      <c r="C2021" s="4" t="str">
        <f t="shared" si="63"/>
        <v>2017-10</v>
      </c>
      <c r="D2021" s="3">
        <v>39.25</v>
      </c>
      <c r="E2021" s="3">
        <v>4.8600000000000003</v>
      </c>
      <c r="F2021" s="3">
        <v>173.74</v>
      </c>
      <c r="G2021" s="3">
        <v>2.2599999999999998</v>
      </c>
    </row>
    <row r="2022" spans="1:7" x14ac:dyDescent="0.2">
      <c r="A2022" s="2">
        <v>43020</v>
      </c>
      <c r="B2022" s="1">
        <f t="shared" si="62"/>
        <v>43009</v>
      </c>
      <c r="C2022" s="4" t="str">
        <f t="shared" si="63"/>
        <v>2017-10</v>
      </c>
      <c r="D2022" s="3">
        <v>39</v>
      </c>
      <c r="E2022" s="3">
        <v>4.78</v>
      </c>
      <c r="F2022" s="3">
        <v>172.55</v>
      </c>
      <c r="G2022" s="3">
        <v>2.25</v>
      </c>
    </row>
    <row r="2023" spans="1:7" x14ac:dyDescent="0.2">
      <c r="A2023" s="2">
        <v>43019</v>
      </c>
      <c r="B2023" s="1">
        <f t="shared" si="62"/>
        <v>43009</v>
      </c>
      <c r="C2023" s="4" t="str">
        <f t="shared" si="63"/>
        <v>2017-10</v>
      </c>
      <c r="D2023" s="3">
        <v>39.14</v>
      </c>
      <c r="E2023" s="3">
        <v>4.7699999999999996</v>
      </c>
      <c r="F2023" s="3">
        <v>172.74</v>
      </c>
      <c r="G2023" s="3">
        <v>2.25</v>
      </c>
    </row>
    <row r="2024" spans="1:7" x14ac:dyDescent="0.2">
      <c r="A2024" s="2">
        <v>43018</v>
      </c>
      <c r="B2024" s="1">
        <f t="shared" si="62"/>
        <v>43009</v>
      </c>
      <c r="C2024" s="4" t="str">
        <f t="shared" si="63"/>
        <v>2017-10</v>
      </c>
      <c r="D2024" s="3">
        <v>38.979999999999997</v>
      </c>
      <c r="E2024" s="3">
        <v>4.72</v>
      </c>
      <c r="F2024" s="3">
        <v>171.59</v>
      </c>
      <c r="G2024" s="3">
        <v>2.2599999999999998</v>
      </c>
    </row>
    <row r="2025" spans="1:7" x14ac:dyDescent="0.2">
      <c r="A2025" s="2">
        <v>43017</v>
      </c>
      <c r="B2025" s="1">
        <f t="shared" si="62"/>
        <v>43009</v>
      </c>
      <c r="C2025" s="4" t="str">
        <f t="shared" si="63"/>
        <v>2017-10</v>
      </c>
      <c r="D2025" s="3">
        <v>38.96</v>
      </c>
      <c r="E2025" s="3">
        <v>4.63</v>
      </c>
      <c r="F2025" s="3">
        <v>172.5</v>
      </c>
      <c r="G2025" s="3">
        <v>2.27</v>
      </c>
    </row>
    <row r="2026" spans="1:7" x14ac:dyDescent="0.2">
      <c r="A2026" s="2">
        <v>43014</v>
      </c>
      <c r="B2026" s="1">
        <f t="shared" si="62"/>
        <v>43009</v>
      </c>
      <c r="C2026" s="4" t="str">
        <f t="shared" si="63"/>
        <v>2017-10</v>
      </c>
      <c r="D2026" s="3">
        <v>38.83</v>
      </c>
      <c r="E2026" s="3">
        <v>4.53</v>
      </c>
      <c r="F2026" s="3">
        <v>172.23</v>
      </c>
      <c r="G2026" s="3">
        <v>2.2799999999999998</v>
      </c>
    </row>
    <row r="2027" spans="1:7" x14ac:dyDescent="0.2">
      <c r="A2027" s="2">
        <v>43013</v>
      </c>
      <c r="B2027" s="1">
        <f t="shared" si="62"/>
        <v>43009</v>
      </c>
      <c r="C2027" s="4" t="str">
        <f t="shared" si="63"/>
        <v>2017-10</v>
      </c>
      <c r="D2027" s="3">
        <v>38.85</v>
      </c>
      <c r="E2027" s="3">
        <v>4.5199999999999996</v>
      </c>
      <c r="F2027" s="3">
        <v>171.24</v>
      </c>
      <c r="G2027" s="3">
        <v>2.2999999999999998</v>
      </c>
    </row>
    <row r="2028" spans="1:7" x14ac:dyDescent="0.2">
      <c r="A2028" s="2">
        <v>43012</v>
      </c>
      <c r="B2028" s="1">
        <f t="shared" si="62"/>
        <v>43009</v>
      </c>
      <c r="C2028" s="4" t="str">
        <f t="shared" si="63"/>
        <v>2017-10</v>
      </c>
      <c r="D2028" s="3">
        <v>38.369999999999997</v>
      </c>
      <c r="E2028" s="3">
        <v>4.5199999999999996</v>
      </c>
      <c r="F2028" s="3">
        <v>168.42</v>
      </c>
      <c r="G2028" s="3">
        <v>2.2999999999999998</v>
      </c>
    </row>
    <row r="2029" spans="1:7" x14ac:dyDescent="0.2">
      <c r="A2029" s="2">
        <v>43011</v>
      </c>
      <c r="B2029" s="1">
        <f t="shared" si="62"/>
        <v>43009</v>
      </c>
      <c r="C2029" s="4" t="str">
        <f t="shared" si="63"/>
        <v>2017-10</v>
      </c>
      <c r="D2029" s="3">
        <v>38.619999999999997</v>
      </c>
      <c r="E2029" s="3">
        <v>4.4800000000000004</v>
      </c>
      <c r="F2029" s="3">
        <v>169.96</v>
      </c>
      <c r="G2029" s="3">
        <v>2.2799999999999998</v>
      </c>
    </row>
    <row r="2030" spans="1:7" x14ac:dyDescent="0.2">
      <c r="A2030" s="2">
        <v>43010</v>
      </c>
      <c r="B2030" s="1">
        <f t="shared" si="62"/>
        <v>43009</v>
      </c>
      <c r="C2030" s="4" t="str">
        <f t="shared" si="63"/>
        <v>2017-10</v>
      </c>
      <c r="D2030" s="3">
        <v>38.450000000000003</v>
      </c>
      <c r="E2030" s="3">
        <v>4.4800000000000004</v>
      </c>
      <c r="F2030" s="3">
        <v>169.47</v>
      </c>
      <c r="G2030" s="3">
        <v>2.33</v>
      </c>
    </row>
    <row r="2031" spans="1:7" x14ac:dyDescent="0.2">
      <c r="A2031" s="2">
        <v>43007</v>
      </c>
      <c r="B2031" s="1">
        <f t="shared" si="62"/>
        <v>42979</v>
      </c>
      <c r="C2031" s="4" t="str">
        <f t="shared" si="63"/>
        <v>2017-09</v>
      </c>
      <c r="D2031" s="3">
        <v>38.53</v>
      </c>
      <c r="E2031" s="3">
        <v>4.47</v>
      </c>
      <c r="F2031" s="3">
        <v>170.87</v>
      </c>
      <c r="G2031" s="3">
        <v>2.21</v>
      </c>
    </row>
    <row r="2032" spans="1:7" x14ac:dyDescent="0.2">
      <c r="A2032" s="2">
        <v>43006</v>
      </c>
      <c r="B2032" s="1">
        <f t="shared" si="62"/>
        <v>42979</v>
      </c>
      <c r="C2032" s="4" t="str">
        <f t="shared" si="63"/>
        <v>2017-09</v>
      </c>
      <c r="D2032" s="3">
        <v>38.32</v>
      </c>
      <c r="E2032" s="3">
        <v>4.3899999999999997</v>
      </c>
      <c r="F2032" s="3">
        <v>168.73</v>
      </c>
      <c r="G2032" s="3">
        <v>2.19</v>
      </c>
    </row>
    <row r="2033" spans="1:7" x14ac:dyDescent="0.2">
      <c r="A2033" s="2">
        <v>43005</v>
      </c>
      <c r="B2033" s="1">
        <f t="shared" si="62"/>
        <v>42979</v>
      </c>
      <c r="C2033" s="4" t="str">
        <f t="shared" si="63"/>
        <v>2017-09</v>
      </c>
      <c r="D2033" s="3">
        <v>38.56</v>
      </c>
      <c r="E2033" s="3">
        <v>4.3899999999999997</v>
      </c>
      <c r="F2033" s="3">
        <v>167.68</v>
      </c>
      <c r="G2033" s="3">
        <v>2.23</v>
      </c>
    </row>
    <row r="2034" spans="1:7" x14ac:dyDescent="0.2">
      <c r="A2034" s="2">
        <v>43004</v>
      </c>
      <c r="B2034" s="1">
        <f t="shared" si="62"/>
        <v>42979</v>
      </c>
      <c r="C2034" s="4" t="str">
        <f t="shared" si="63"/>
        <v>2017-09</v>
      </c>
      <c r="D2034" s="3">
        <v>38.29</v>
      </c>
      <c r="E2034" s="3">
        <v>4.3</v>
      </c>
      <c r="F2034" s="3">
        <v>164.21</v>
      </c>
      <c r="G2034" s="3">
        <v>2.17</v>
      </c>
    </row>
    <row r="2035" spans="1:7" x14ac:dyDescent="0.2">
      <c r="A2035" s="2">
        <v>43003</v>
      </c>
      <c r="B2035" s="1">
        <f t="shared" si="62"/>
        <v>42979</v>
      </c>
      <c r="C2035" s="4" t="str">
        <f t="shared" si="63"/>
        <v>2017-09</v>
      </c>
      <c r="D2035" s="3">
        <v>37.64</v>
      </c>
      <c r="E2035" s="3">
        <v>4.28</v>
      </c>
      <c r="F2035" s="3">
        <v>162.87</v>
      </c>
      <c r="G2035" s="3">
        <v>2.13</v>
      </c>
    </row>
    <row r="2036" spans="1:7" x14ac:dyDescent="0.2">
      <c r="A2036" s="2">
        <v>43000</v>
      </c>
      <c r="B2036" s="1">
        <f t="shared" si="62"/>
        <v>42979</v>
      </c>
      <c r="C2036" s="4" t="str">
        <f t="shared" si="63"/>
        <v>2017-09</v>
      </c>
      <c r="D2036" s="3">
        <v>37.97</v>
      </c>
      <c r="E2036" s="3">
        <v>4.4800000000000004</v>
      </c>
      <c r="F2036" s="3">
        <v>170.54</v>
      </c>
      <c r="G2036" s="3">
        <v>2.2000000000000002</v>
      </c>
    </row>
    <row r="2037" spans="1:7" x14ac:dyDescent="0.2">
      <c r="A2037" s="2">
        <v>42999</v>
      </c>
      <c r="B2037" s="1">
        <f t="shared" si="62"/>
        <v>42979</v>
      </c>
      <c r="C2037" s="4" t="str">
        <f t="shared" si="63"/>
        <v>2017-09</v>
      </c>
      <c r="D2037" s="3">
        <v>38.35</v>
      </c>
      <c r="E2037" s="3">
        <v>4.5199999999999996</v>
      </c>
      <c r="F2037" s="3">
        <v>171.11</v>
      </c>
      <c r="G2037" s="3">
        <v>2.12</v>
      </c>
    </row>
    <row r="2038" spans="1:7" x14ac:dyDescent="0.2">
      <c r="A2038" s="2">
        <v>42998</v>
      </c>
      <c r="B2038" s="1">
        <f t="shared" si="62"/>
        <v>42979</v>
      </c>
      <c r="C2038" s="4" t="str">
        <f t="shared" si="63"/>
        <v>2017-09</v>
      </c>
      <c r="D2038" s="3">
        <v>39.020000000000003</v>
      </c>
      <c r="E2038" s="3">
        <v>4.6500000000000004</v>
      </c>
      <c r="F2038" s="3">
        <v>172.17</v>
      </c>
      <c r="G2038" s="3">
        <v>2.09</v>
      </c>
    </row>
    <row r="2039" spans="1:7" x14ac:dyDescent="0.2">
      <c r="A2039" s="2">
        <v>42997</v>
      </c>
      <c r="B2039" s="1">
        <f t="shared" si="62"/>
        <v>42979</v>
      </c>
      <c r="C2039" s="4" t="str">
        <f t="shared" si="63"/>
        <v>2017-09</v>
      </c>
      <c r="D2039" s="3">
        <v>39.68</v>
      </c>
      <c r="E2039" s="3">
        <v>4.68</v>
      </c>
      <c r="F2039" s="3">
        <v>172.52</v>
      </c>
      <c r="G2039" s="3">
        <v>2.1</v>
      </c>
    </row>
    <row r="2040" spans="1:7" x14ac:dyDescent="0.2">
      <c r="A2040" s="2">
        <v>42996</v>
      </c>
      <c r="B2040" s="1">
        <f t="shared" si="62"/>
        <v>42979</v>
      </c>
      <c r="C2040" s="4" t="str">
        <f t="shared" si="63"/>
        <v>2017-09</v>
      </c>
      <c r="D2040" s="3">
        <v>39.67</v>
      </c>
      <c r="E2040" s="3">
        <v>4.6900000000000004</v>
      </c>
      <c r="F2040" s="3">
        <v>170.01</v>
      </c>
      <c r="G2040" s="3">
        <v>2.12</v>
      </c>
    </row>
    <row r="2041" spans="1:7" x14ac:dyDescent="0.2">
      <c r="A2041" s="2">
        <v>42993</v>
      </c>
      <c r="B2041" s="1">
        <f t="shared" si="62"/>
        <v>42979</v>
      </c>
      <c r="C2041" s="4" t="str">
        <f t="shared" si="63"/>
        <v>2017-09</v>
      </c>
      <c r="D2041" s="3">
        <v>39.97</v>
      </c>
      <c r="E2041" s="3">
        <v>4.5</v>
      </c>
      <c r="F2041" s="3">
        <v>171.64</v>
      </c>
      <c r="G2041" s="3">
        <v>2.34</v>
      </c>
    </row>
    <row r="2042" spans="1:7" x14ac:dyDescent="0.2">
      <c r="A2042" s="2">
        <v>42992</v>
      </c>
      <c r="B2042" s="1">
        <f t="shared" si="62"/>
        <v>42979</v>
      </c>
      <c r="C2042" s="4" t="str">
        <f t="shared" si="63"/>
        <v>2017-09</v>
      </c>
      <c r="D2042" s="3">
        <v>39.57</v>
      </c>
      <c r="E2042" s="3">
        <v>4.24</v>
      </c>
      <c r="F2042" s="3">
        <v>170.96</v>
      </c>
      <c r="G2042" s="3">
        <v>2.5299999999999998</v>
      </c>
    </row>
    <row r="2043" spans="1:7" x14ac:dyDescent="0.2">
      <c r="A2043" s="2">
        <v>42991</v>
      </c>
      <c r="B2043" s="1">
        <f t="shared" si="62"/>
        <v>42979</v>
      </c>
      <c r="C2043" s="4" t="str">
        <f t="shared" si="63"/>
        <v>2017-09</v>
      </c>
      <c r="D2043" s="3">
        <v>39.909999999999997</v>
      </c>
      <c r="E2043" s="3">
        <v>4.26</v>
      </c>
      <c r="F2043" s="3">
        <v>173.05</v>
      </c>
      <c r="G2043" s="3">
        <v>2.56</v>
      </c>
    </row>
    <row r="2044" spans="1:7" x14ac:dyDescent="0.2">
      <c r="A2044" s="2">
        <v>42990</v>
      </c>
      <c r="B2044" s="1">
        <f t="shared" si="62"/>
        <v>42979</v>
      </c>
      <c r="C2044" s="4" t="str">
        <f t="shared" si="63"/>
        <v>2017-09</v>
      </c>
      <c r="D2044" s="3">
        <v>40.22</v>
      </c>
      <c r="E2044" s="3">
        <v>4.24</v>
      </c>
      <c r="F2044" s="3">
        <v>172.96</v>
      </c>
      <c r="G2044" s="3">
        <v>2.58</v>
      </c>
    </row>
    <row r="2045" spans="1:7" x14ac:dyDescent="0.2">
      <c r="A2045" s="2">
        <v>42989</v>
      </c>
      <c r="B2045" s="1">
        <f t="shared" si="62"/>
        <v>42979</v>
      </c>
      <c r="C2045" s="4" t="str">
        <f t="shared" si="63"/>
        <v>2017-09</v>
      </c>
      <c r="D2045" s="3">
        <v>40.380000000000003</v>
      </c>
      <c r="E2045" s="3">
        <v>4.2300000000000004</v>
      </c>
      <c r="F2045" s="3">
        <v>173.51</v>
      </c>
      <c r="G2045" s="3">
        <v>2.6</v>
      </c>
    </row>
    <row r="2046" spans="1:7" x14ac:dyDescent="0.2">
      <c r="A2046" s="2">
        <v>42986</v>
      </c>
      <c r="B2046" s="1">
        <f t="shared" si="62"/>
        <v>42979</v>
      </c>
      <c r="C2046" s="4" t="str">
        <f t="shared" si="63"/>
        <v>2017-09</v>
      </c>
      <c r="D2046" s="3">
        <v>39.659999999999997</v>
      </c>
      <c r="E2046" s="3">
        <v>4.09</v>
      </c>
      <c r="F2046" s="3">
        <v>170.95</v>
      </c>
      <c r="G2046" s="3">
        <v>2.58</v>
      </c>
    </row>
    <row r="2047" spans="1:7" x14ac:dyDescent="0.2">
      <c r="A2047" s="2">
        <v>42985</v>
      </c>
      <c r="B2047" s="1">
        <f t="shared" si="62"/>
        <v>42979</v>
      </c>
      <c r="C2047" s="4" t="str">
        <f t="shared" si="63"/>
        <v>2017-09</v>
      </c>
      <c r="D2047" s="3">
        <v>40.32</v>
      </c>
      <c r="E2047" s="3">
        <v>4.16</v>
      </c>
      <c r="F2047" s="3">
        <v>173.21</v>
      </c>
      <c r="G2047" s="3">
        <v>2.62</v>
      </c>
    </row>
    <row r="2048" spans="1:7" x14ac:dyDescent="0.2">
      <c r="A2048" s="2">
        <v>42984</v>
      </c>
      <c r="B2048" s="1">
        <f t="shared" si="62"/>
        <v>42979</v>
      </c>
      <c r="C2048" s="4" t="str">
        <f t="shared" si="63"/>
        <v>2017-09</v>
      </c>
      <c r="D2048" s="3">
        <v>40.479999999999997</v>
      </c>
      <c r="E2048" s="3">
        <v>4.1500000000000004</v>
      </c>
      <c r="F2048" s="3">
        <v>172.09</v>
      </c>
      <c r="G2048" s="3">
        <v>2.66</v>
      </c>
    </row>
    <row r="2049" spans="1:7" x14ac:dyDescent="0.2">
      <c r="A2049" s="2">
        <v>42983</v>
      </c>
      <c r="B2049" s="1">
        <f t="shared" si="62"/>
        <v>42979</v>
      </c>
      <c r="C2049" s="4" t="str">
        <f t="shared" si="63"/>
        <v>2017-09</v>
      </c>
      <c r="D2049" s="3">
        <v>40.520000000000003</v>
      </c>
      <c r="E2049" s="3">
        <v>4.1500000000000004</v>
      </c>
      <c r="F2049" s="3">
        <v>170.72</v>
      </c>
      <c r="G2049" s="3">
        <v>2.66</v>
      </c>
    </row>
    <row r="2050" spans="1:7" x14ac:dyDescent="0.2">
      <c r="A2050" s="2">
        <v>42979</v>
      </c>
      <c r="B2050" s="1">
        <f t="shared" si="62"/>
        <v>42979</v>
      </c>
      <c r="C2050" s="4" t="str">
        <f t="shared" si="63"/>
        <v>2017-09</v>
      </c>
      <c r="D2050" s="3">
        <v>41.01</v>
      </c>
      <c r="E2050" s="3">
        <v>4.26</v>
      </c>
      <c r="F2050" s="3">
        <v>172.02</v>
      </c>
      <c r="G2050" s="3">
        <v>2.68</v>
      </c>
    </row>
    <row r="2051" spans="1:7" x14ac:dyDescent="0.2">
      <c r="A2051" s="2">
        <v>42978</v>
      </c>
      <c r="B2051" s="1">
        <f t="shared" ref="B2051:B2114" si="64">EOMONTH(A2051, -1)+1</f>
        <v>42948</v>
      </c>
      <c r="C2051" s="4" t="str">
        <f t="shared" ref="C2051:C2114" si="65">TEXT(A2051, "yyyy-mm")</f>
        <v>2017-08</v>
      </c>
      <c r="D2051" s="3">
        <v>41</v>
      </c>
      <c r="E2051" s="3">
        <v>4.24</v>
      </c>
      <c r="F2051" s="3">
        <v>171.97</v>
      </c>
      <c r="G2051" s="3">
        <v>2.66</v>
      </c>
    </row>
    <row r="2052" spans="1:7" x14ac:dyDescent="0.2">
      <c r="A2052" s="2">
        <v>42977</v>
      </c>
      <c r="B2052" s="1">
        <f t="shared" si="64"/>
        <v>42948</v>
      </c>
      <c r="C2052" s="4" t="str">
        <f t="shared" si="65"/>
        <v>2017-08</v>
      </c>
      <c r="D2052" s="3">
        <v>40.840000000000003</v>
      </c>
      <c r="E2052" s="3">
        <v>4.1399999999999997</v>
      </c>
      <c r="F2052" s="3">
        <v>169.92</v>
      </c>
      <c r="G2052" s="3">
        <v>2.59</v>
      </c>
    </row>
    <row r="2053" spans="1:7" x14ac:dyDescent="0.2">
      <c r="A2053" s="2">
        <v>42976</v>
      </c>
      <c r="B2053" s="1">
        <f t="shared" si="64"/>
        <v>42948</v>
      </c>
      <c r="C2053" s="4" t="str">
        <f t="shared" si="65"/>
        <v>2017-08</v>
      </c>
      <c r="D2053" s="3">
        <v>40.729999999999997</v>
      </c>
      <c r="E2053" s="3">
        <v>4.12</v>
      </c>
      <c r="F2053" s="3">
        <v>168.05</v>
      </c>
      <c r="G2053" s="3">
        <v>2.72</v>
      </c>
    </row>
    <row r="2054" spans="1:7" x14ac:dyDescent="0.2">
      <c r="A2054" s="2">
        <v>42975</v>
      </c>
      <c r="B2054" s="1">
        <f t="shared" si="64"/>
        <v>42948</v>
      </c>
      <c r="C2054" s="4" t="str">
        <f t="shared" si="65"/>
        <v>2017-08</v>
      </c>
      <c r="D2054" s="3">
        <v>40.369999999999997</v>
      </c>
      <c r="E2054" s="3">
        <v>4.12</v>
      </c>
      <c r="F2054" s="3">
        <v>167.24</v>
      </c>
      <c r="G2054" s="3">
        <v>2.74</v>
      </c>
    </row>
    <row r="2055" spans="1:7" x14ac:dyDescent="0.2">
      <c r="A2055" s="2">
        <v>42972</v>
      </c>
      <c r="B2055" s="1">
        <f t="shared" si="64"/>
        <v>42948</v>
      </c>
      <c r="C2055" s="4" t="str">
        <f t="shared" si="65"/>
        <v>2017-08</v>
      </c>
      <c r="D2055" s="3">
        <v>39.97</v>
      </c>
      <c r="E2055" s="3">
        <v>4.0999999999999996</v>
      </c>
      <c r="F2055" s="3">
        <v>166.32</v>
      </c>
      <c r="G2055" s="3">
        <v>2.75</v>
      </c>
    </row>
    <row r="2056" spans="1:7" x14ac:dyDescent="0.2">
      <c r="A2056" s="2">
        <v>42971</v>
      </c>
      <c r="B2056" s="1">
        <f t="shared" si="64"/>
        <v>42948</v>
      </c>
      <c r="C2056" s="4" t="str">
        <f t="shared" si="65"/>
        <v>2017-08</v>
      </c>
      <c r="D2056" s="3">
        <v>39.82</v>
      </c>
      <c r="E2056" s="3">
        <v>4.13</v>
      </c>
      <c r="F2056" s="3">
        <v>167.74</v>
      </c>
      <c r="G2056" s="3">
        <v>2.73</v>
      </c>
    </row>
    <row r="2057" spans="1:7" x14ac:dyDescent="0.2">
      <c r="A2057" s="2">
        <v>42970</v>
      </c>
      <c r="B2057" s="1">
        <f t="shared" si="64"/>
        <v>42948</v>
      </c>
      <c r="C2057" s="4" t="str">
        <f t="shared" si="65"/>
        <v>2017-08</v>
      </c>
      <c r="D2057" s="3">
        <v>40</v>
      </c>
      <c r="E2057" s="3">
        <v>4.1500000000000004</v>
      </c>
      <c r="F2057" s="3">
        <v>168.71</v>
      </c>
      <c r="G2057" s="3">
        <v>2.71</v>
      </c>
    </row>
    <row r="2058" spans="1:7" x14ac:dyDescent="0.2">
      <c r="A2058" s="2">
        <v>42969</v>
      </c>
      <c r="B2058" s="1">
        <f t="shared" si="64"/>
        <v>42948</v>
      </c>
      <c r="C2058" s="4" t="str">
        <f t="shared" si="65"/>
        <v>2017-08</v>
      </c>
      <c r="D2058" s="3">
        <v>39.950000000000003</v>
      </c>
      <c r="E2058" s="3">
        <v>4.0599999999999996</v>
      </c>
      <c r="F2058" s="3">
        <v>169.64</v>
      </c>
      <c r="G2058" s="3">
        <v>2.67</v>
      </c>
    </row>
    <row r="2059" spans="1:7" x14ac:dyDescent="0.2">
      <c r="A2059" s="2">
        <v>42968</v>
      </c>
      <c r="B2059" s="1">
        <f t="shared" si="64"/>
        <v>42948</v>
      </c>
      <c r="C2059" s="4" t="str">
        <f t="shared" si="65"/>
        <v>2017-08</v>
      </c>
      <c r="D2059" s="3">
        <v>39.299999999999997</v>
      </c>
      <c r="E2059" s="3">
        <v>3.98</v>
      </c>
      <c r="F2059" s="3">
        <v>167.78</v>
      </c>
      <c r="G2059" s="3">
        <v>2.64</v>
      </c>
    </row>
    <row r="2060" spans="1:7" x14ac:dyDescent="0.2">
      <c r="A2060" s="2">
        <v>42965</v>
      </c>
      <c r="B2060" s="1">
        <f t="shared" si="64"/>
        <v>42948</v>
      </c>
      <c r="C2060" s="4" t="str">
        <f t="shared" si="65"/>
        <v>2017-08</v>
      </c>
      <c r="D2060" s="3">
        <v>39.380000000000003</v>
      </c>
      <c r="E2060" s="3">
        <v>4.04</v>
      </c>
      <c r="F2060" s="3">
        <v>167.41</v>
      </c>
      <c r="G2060" s="3">
        <v>2.68</v>
      </c>
    </row>
    <row r="2061" spans="1:7" x14ac:dyDescent="0.2">
      <c r="A2061" s="2">
        <v>42964</v>
      </c>
      <c r="B2061" s="1">
        <f t="shared" si="64"/>
        <v>42948</v>
      </c>
      <c r="C2061" s="4" t="str">
        <f t="shared" si="65"/>
        <v>2017-08</v>
      </c>
      <c r="D2061" s="3">
        <v>39.47</v>
      </c>
      <c r="E2061" s="3">
        <v>4.04</v>
      </c>
      <c r="F2061" s="3">
        <v>166.91</v>
      </c>
      <c r="G2061" s="3">
        <v>2.69</v>
      </c>
    </row>
    <row r="2062" spans="1:7" x14ac:dyDescent="0.2">
      <c r="A2062" s="2">
        <v>42963</v>
      </c>
      <c r="B2062" s="1">
        <f t="shared" si="64"/>
        <v>42948</v>
      </c>
      <c r="C2062" s="4" t="str">
        <f t="shared" si="65"/>
        <v>2017-08</v>
      </c>
      <c r="D2062" s="3">
        <v>40.24</v>
      </c>
      <c r="E2062" s="3">
        <v>4.13</v>
      </c>
      <c r="F2062" s="3">
        <v>170</v>
      </c>
      <c r="G2062" s="3">
        <v>2.72</v>
      </c>
    </row>
    <row r="2063" spans="1:7" x14ac:dyDescent="0.2">
      <c r="A2063" s="2">
        <v>42962</v>
      </c>
      <c r="B2063" s="1">
        <f t="shared" si="64"/>
        <v>42948</v>
      </c>
      <c r="C2063" s="4" t="str">
        <f t="shared" si="65"/>
        <v>2017-08</v>
      </c>
      <c r="D2063" s="3">
        <v>40.4</v>
      </c>
      <c r="E2063" s="3">
        <v>4.17</v>
      </c>
      <c r="F2063" s="3">
        <v>171</v>
      </c>
      <c r="G2063" s="3">
        <v>2.73</v>
      </c>
    </row>
    <row r="2064" spans="1:7" x14ac:dyDescent="0.2">
      <c r="A2064" s="2">
        <v>42961</v>
      </c>
      <c r="B2064" s="1">
        <f t="shared" si="64"/>
        <v>42948</v>
      </c>
      <c r="C2064" s="4" t="str">
        <f t="shared" si="65"/>
        <v>2017-08</v>
      </c>
      <c r="D2064" s="3">
        <v>39.96</v>
      </c>
      <c r="E2064" s="3">
        <v>4.21</v>
      </c>
      <c r="F2064" s="3">
        <v>170.75</v>
      </c>
      <c r="G2064" s="3">
        <v>2.74</v>
      </c>
    </row>
    <row r="2065" spans="1:7" x14ac:dyDescent="0.2">
      <c r="A2065" s="2">
        <v>42958</v>
      </c>
      <c r="B2065" s="1">
        <f t="shared" si="64"/>
        <v>42948</v>
      </c>
      <c r="C2065" s="4" t="str">
        <f t="shared" si="65"/>
        <v>2017-08</v>
      </c>
      <c r="D2065" s="3">
        <v>39.369999999999997</v>
      </c>
      <c r="E2065" s="3">
        <v>3.9</v>
      </c>
      <c r="F2065" s="3">
        <v>168.08</v>
      </c>
      <c r="G2065" s="3">
        <v>2.69</v>
      </c>
    </row>
    <row r="2066" spans="1:7" x14ac:dyDescent="0.2">
      <c r="A2066" s="2">
        <v>42957</v>
      </c>
      <c r="B2066" s="1">
        <f t="shared" si="64"/>
        <v>42948</v>
      </c>
      <c r="C2066" s="4" t="str">
        <f t="shared" si="65"/>
        <v>2017-08</v>
      </c>
      <c r="D2066" s="3">
        <v>38.83</v>
      </c>
      <c r="E2066" s="3">
        <v>4.12</v>
      </c>
      <c r="F2066" s="3">
        <v>167.4</v>
      </c>
      <c r="G2066" s="3">
        <v>2.66</v>
      </c>
    </row>
    <row r="2067" spans="1:7" x14ac:dyDescent="0.2">
      <c r="A2067" s="2">
        <v>42956</v>
      </c>
      <c r="B2067" s="1">
        <f t="shared" si="64"/>
        <v>42948</v>
      </c>
      <c r="C2067" s="4" t="str">
        <f t="shared" si="65"/>
        <v>2017-08</v>
      </c>
      <c r="D2067" s="3">
        <v>40.270000000000003</v>
      </c>
      <c r="E2067" s="3">
        <v>4.3</v>
      </c>
      <c r="F2067" s="3">
        <v>171.18</v>
      </c>
      <c r="G2067" s="3">
        <v>2.68</v>
      </c>
    </row>
    <row r="2068" spans="1:7" x14ac:dyDescent="0.2">
      <c r="A2068" s="2">
        <v>42955</v>
      </c>
      <c r="B2068" s="1">
        <f t="shared" si="64"/>
        <v>42948</v>
      </c>
      <c r="C2068" s="4" t="str">
        <f t="shared" si="65"/>
        <v>2017-08</v>
      </c>
      <c r="D2068" s="3">
        <v>40.020000000000003</v>
      </c>
      <c r="E2068" s="3">
        <v>4.26</v>
      </c>
      <c r="F2068" s="3">
        <v>171.23</v>
      </c>
      <c r="G2068" s="3">
        <v>2.68</v>
      </c>
    </row>
    <row r="2069" spans="1:7" x14ac:dyDescent="0.2">
      <c r="A2069" s="2">
        <v>42954</v>
      </c>
      <c r="B2069" s="1">
        <f t="shared" si="64"/>
        <v>42948</v>
      </c>
      <c r="C2069" s="4" t="str">
        <f t="shared" si="65"/>
        <v>2017-08</v>
      </c>
      <c r="D2069" s="3">
        <v>39.700000000000003</v>
      </c>
      <c r="E2069" s="3">
        <v>4.3099999999999996</v>
      </c>
      <c r="F2069" s="3">
        <v>171.98</v>
      </c>
      <c r="G2069" s="3">
        <v>2.7</v>
      </c>
    </row>
    <row r="2070" spans="1:7" x14ac:dyDescent="0.2">
      <c r="A2070" s="2">
        <v>42951</v>
      </c>
      <c r="B2070" s="1">
        <f t="shared" si="64"/>
        <v>42948</v>
      </c>
      <c r="C2070" s="4" t="str">
        <f t="shared" si="65"/>
        <v>2017-08</v>
      </c>
      <c r="D2070" s="3">
        <v>39.1</v>
      </c>
      <c r="E2070" s="3">
        <v>4.18</v>
      </c>
      <c r="F2070" s="3">
        <v>169.62</v>
      </c>
      <c r="G2070" s="3">
        <v>2.71</v>
      </c>
    </row>
    <row r="2071" spans="1:7" x14ac:dyDescent="0.2">
      <c r="A2071" s="2">
        <v>42950</v>
      </c>
      <c r="B2071" s="1">
        <f t="shared" si="64"/>
        <v>42948</v>
      </c>
      <c r="C2071" s="4" t="str">
        <f t="shared" si="65"/>
        <v>2017-08</v>
      </c>
      <c r="D2071" s="3">
        <v>38.89</v>
      </c>
      <c r="E2071" s="3">
        <v>4.16</v>
      </c>
      <c r="F2071" s="3">
        <v>168.59</v>
      </c>
      <c r="G2071" s="3">
        <v>2.71</v>
      </c>
    </row>
    <row r="2072" spans="1:7" x14ac:dyDescent="0.2">
      <c r="A2072" s="2">
        <v>42949</v>
      </c>
      <c r="B2072" s="1">
        <f t="shared" si="64"/>
        <v>42948</v>
      </c>
      <c r="C2072" s="4" t="str">
        <f t="shared" si="65"/>
        <v>2017-08</v>
      </c>
      <c r="D2072" s="3">
        <v>39.29</v>
      </c>
      <c r="E2072" s="3">
        <v>4.1100000000000003</v>
      </c>
      <c r="F2072" s="3">
        <v>169.3</v>
      </c>
      <c r="G2072" s="3">
        <v>2.7</v>
      </c>
    </row>
    <row r="2073" spans="1:7" x14ac:dyDescent="0.2">
      <c r="A2073" s="2">
        <v>42948</v>
      </c>
      <c r="B2073" s="1">
        <f t="shared" si="64"/>
        <v>42948</v>
      </c>
      <c r="C2073" s="4" t="str">
        <f t="shared" si="65"/>
        <v>2017-08</v>
      </c>
      <c r="D2073" s="3">
        <v>37.51</v>
      </c>
      <c r="E2073" s="3">
        <v>4.1100000000000003</v>
      </c>
      <c r="F2073" s="3">
        <v>169.86</v>
      </c>
      <c r="G2073" s="3">
        <v>2.71</v>
      </c>
    </row>
    <row r="2074" spans="1:7" x14ac:dyDescent="0.2">
      <c r="A2074" s="2">
        <v>42947</v>
      </c>
      <c r="B2074" s="1">
        <f t="shared" si="64"/>
        <v>42917</v>
      </c>
      <c r="C2074" s="4" t="str">
        <f t="shared" si="65"/>
        <v>2017-07</v>
      </c>
      <c r="D2074" s="3">
        <v>37.18</v>
      </c>
      <c r="E2074" s="3">
        <v>4.0599999999999996</v>
      </c>
      <c r="F2074" s="3">
        <v>169.25</v>
      </c>
      <c r="G2074" s="3">
        <v>2.69</v>
      </c>
    </row>
    <row r="2075" spans="1:7" x14ac:dyDescent="0.2">
      <c r="A2075" s="2">
        <v>42944</v>
      </c>
      <c r="B2075" s="1">
        <f t="shared" si="64"/>
        <v>42917</v>
      </c>
      <c r="C2075" s="4" t="str">
        <f t="shared" si="65"/>
        <v>2017-07</v>
      </c>
      <c r="D2075" s="3">
        <v>37.380000000000003</v>
      </c>
      <c r="E2075" s="3">
        <v>4.1100000000000003</v>
      </c>
      <c r="F2075" s="3">
        <v>172.45</v>
      </c>
      <c r="G2075" s="3">
        <v>2.68</v>
      </c>
    </row>
    <row r="2076" spans="1:7" x14ac:dyDescent="0.2">
      <c r="A2076" s="2">
        <v>42943</v>
      </c>
      <c r="B2076" s="1">
        <f t="shared" si="64"/>
        <v>42917</v>
      </c>
      <c r="C2076" s="4" t="str">
        <f t="shared" si="65"/>
        <v>2017-07</v>
      </c>
      <c r="D2076" s="3">
        <v>37.64</v>
      </c>
      <c r="E2076" s="3">
        <v>4.04</v>
      </c>
      <c r="F2076" s="3">
        <v>170.44</v>
      </c>
      <c r="G2076" s="3">
        <v>2.71</v>
      </c>
    </row>
    <row r="2077" spans="1:7" x14ac:dyDescent="0.2">
      <c r="A2077" s="2">
        <v>42942</v>
      </c>
      <c r="B2077" s="1">
        <f t="shared" si="64"/>
        <v>42917</v>
      </c>
      <c r="C2077" s="4" t="str">
        <f t="shared" si="65"/>
        <v>2017-07</v>
      </c>
      <c r="D2077" s="3">
        <v>38.369999999999997</v>
      </c>
      <c r="E2077" s="3">
        <v>4.18</v>
      </c>
      <c r="F2077" s="3">
        <v>165.61</v>
      </c>
      <c r="G2077" s="3">
        <v>2.69</v>
      </c>
    </row>
    <row r="2078" spans="1:7" x14ac:dyDescent="0.2">
      <c r="A2078" s="2">
        <v>42941</v>
      </c>
      <c r="B2078" s="1">
        <f t="shared" si="64"/>
        <v>42917</v>
      </c>
      <c r="C2078" s="4" t="str">
        <f t="shared" si="65"/>
        <v>2017-07</v>
      </c>
      <c r="D2078" s="3">
        <v>38.19</v>
      </c>
      <c r="E2078" s="3">
        <v>4.13</v>
      </c>
      <c r="F2078" s="3">
        <v>165.28</v>
      </c>
      <c r="G2078" s="3">
        <v>2.65</v>
      </c>
    </row>
    <row r="2079" spans="1:7" x14ac:dyDescent="0.2">
      <c r="A2079" s="2">
        <v>42940</v>
      </c>
      <c r="B2079" s="1">
        <f t="shared" si="64"/>
        <v>42917</v>
      </c>
      <c r="C2079" s="4" t="str">
        <f t="shared" si="65"/>
        <v>2017-07</v>
      </c>
      <c r="D2079" s="3">
        <v>38.020000000000003</v>
      </c>
      <c r="E2079" s="3">
        <v>4.1500000000000004</v>
      </c>
      <c r="F2079" s="3">
        <v>166</v>
      </c>
      <c r="G2079" s="3">
        <v>2.5299999999999998</v>
      </c>
    </row>
    <row r="2080" spans="1:7" x14ac:dyDescent="0.2">
      <c r="A2080" s="2">
        <v>42937</v>
      </c>
      <c r="B2080" s="1">
        <f t="shared" si="64"/>
        <v>42917</v>
      </c>
      <c r="C2080" s="4" t="str">
        <f t="shared" si="65"/>
        <v>2017-07</v>
      </c>
      <c r="D2080" s="3">
        <v>37.57</v>
      </c>
      <c r="E2080" s="3">
        <v>4.2</v>
      </c>
      <c r="F2080" s="3">
        <v>164.43</v>
      </c>
      <c r="G2080" s="3">
        <v>2.57</v>
      </c>
    </row>
    <row r="2081" spans="1:7" x14ac:dyDescent="0.2">
      <c r="A2081" s="2">
        <v>42936</v>
      </c>
      <c r="B2081" s="1">
        <f t="shared" si="64"/>
        <v>42917</v>
      </c>
      <c r="C2081" s="4" t="str">
        <f t="shared" si="65"/>
        <v>2017-07</v>
      </c>
      <c r="D2081" s="3">
        <v>37.590000000000003</v>
      </c>
      <c r="E2081" s="3">
        <v>4.1900000000000004</v>
      </c>
      <c r="F2081" s="3">
        <v>164.53</v>
      </c>
      <c r="G2081" s="3">
        <v>2.71</v>
      </c>
    </row>
    <row r="2082" spans="1:7" x14ac:dyDescent="0.2">
      <c r="A2082" s="2">
        <v>42935</v>
      </c>
      <c r="B2082" s="1">
        <f t="shared" si="64"/>
        <v>42917</v>
      </c>
      <c r="C2082" s="4" t="str">
        <f t="shared" si="65"/>
        <v>2017-07</v>
      </c>
      <c r="D2082" s="3">
        <v>37.76</v>
      </c>
      <c r="E2082" s="3">
        <v>4.13</v>
      </c>
      <c r="F2082" s="3">
        <v>164.14</v>
      </c>
      <c r="G2082" s="3">
        <v>2.65</v>
      </c>
    </row>
    <row r="2083" spans="1:7" x14ac:dyDescent="0.2">
      <c r="A2083" s="2">
        <v>42934</v>
      </c>
      <c r="B2083" s="1">
        <f t="shared" si="64"/>
        <v>42917</v>
      </c>
      <c r="C2083" s="4" t="str">
        <f t="shared" si="65"/>
        <v>2017-07</v>
      </c>
      <c r="D2083" s="3">
        <v>37.520000000000003</v>
      </c>
      <c r="E2083" s="3">
        <v>4.1500000000000004</v>
      </c>
      <c r="F2083" s="3">
        <v>162.86000000000001</v>
      </c>
      <c r="G2083" s="3">
        <v>2.65</v>
      </c>
    </row>
    <row r="2084" spans="1:7" x14ac:dyDescent="0.2">
      <c r="A2084" s="2">
        <v>42933</v>
      </c>
      <c r="B2084" s="1">
        <f t="shared" si="64"/>
        <v>42917</v>
      </c>
      <c r="C2084" s="4" t="str">
        <f t="shared" si="65"/>
        <v>2017-07</v>
      </c>
      <c r="D2084" s="3">
        <v>37.39</v>
      </c>
      <c r="E2084" s="3">
        <v>4.1100000000000003</v>
      </c>
      <c r="F2084" s="3">
        <v>159.72999999999999</v>
      </c>
      <c r="G2084" s="3">
        <v>2.64</v>
      </c>
    </row>
    <row r="2085" spans="1:7" x14ac:dyDescent="0.2">
      <c r="A2085" s="2">
        <v>42930</v>
      </c>
      <c r="B2085" s="1">
        <f t="shared" si="64"/>
        <v>42917</v>
      </c>
      <c r="C2085" s="4" t="str">
        <f t="shared" si="65"/>
        <v>2017-07</v>
      </c>
      <c r="D2085" s="3">
        <v>37.26</v>
      </c>
      <c r="E2085" s="3">
        <v>4.12</v>
      </c>
      <c r="F2085" s="3">
        <v>159.97</v>
      </c>
      <c r="G2085" s="3">
        <v>2.69</v>
      </c>
    </row>
    <row r="2086" spans="1:7" x14ac:dyDescent="0.2">
      <c r="A2086" s="2">
        <v>42929</v>
      </c>
      <c r="B2086" s="1">
        <f t="shared" si="64"/>
        <v>42917</v>
      </c>
      <c r="C2086" s="4" t="str">
        <f t="shared" si="65"/>
        <v>2017-07</v>
      </c>
      <c r="D2086" s="3">
        <v>36.94</v>
      </c>
      <c r="E2086" s="3">
        <v>4.0199999999999996</v>
      </c>
      <c r="F2086" s="3">
        <v>159.26</v>
      </c>
      <c r="G2086" s="3">
        <v>2.64</v>
      </c>
    </row>
    <row r="2087" spans="1:7" x14ac:dyDescent="0.2">
      <c r="A2087" s="2">
        <v>42928</v>
      </c>
      <c r="B2087" s="1">
        <f t="shared" si="64"/>
        <v>42917</v>
      </c>
      <c r="C2087" s="4" t="str">
        <f t="shared" si="65"/>
        <v>2017-07</v>
      </c>
      <c r="D2087" s="3">
        <v>36.44</v>
      </c>
      <c r="E2087" s="3">
        <v>4.0599999999999996</v>
      </c>
      <c r="F2087" s="3">
        <v>158.9</v>
      </c>
      <c r="G2087" s="3">
        <v>2.57</v>
      </c>
    </row>
    <row r="2088" spans="1:7" x14ac:dyDescent="0.2">
      <c r="A2088" s="2">
        <v>42927</v>
      </c>
      <c r="B2088" s="1">
        <f t="shared" si="64"/>
        <v>42917</v>
      </c>
      <c r="C2088" s="4" t="str">
        <f t="shared" si="65"/>
        <v>2017-07</v>
      </c>
      <c r="D2088" s="3">
        <v>36.380000000000003</v>
      </c>
      <c r="E2088" s="3">
        <v>3.9</v>
      </c>
      <c r="F2088" s="3">
        <v>155.27000000000001</v>
      </c>
      <c r="G2088" s="3">
        <v>2.46</v>
      </c>
    </row>
    <row r="2089" spans="1:7" x14ac:dyDescent="0.2">
      <c r="A2089" s="2">
        <v>42926</v>
      </c>
      <c r="B2089" s="1">
        <f t="shared" si="64"/>
        <v>42917</v>
      </c>
      <c r="C2089" s="4" t="str">
        <f t="shared" si="65"/>
        <v>2017-07</v>
      </c>
      <c r="D2089" s="3">
        <v>36.270000000000003</v>
      </c>
      <c r="E2089" s="3">
        <v>3.84</v>
      </c>
      <c r="F2089" s="3">
        <v>153.5</v>
      </c>
      <c r="G2089" s="3">
        <v>2.44</v>
      </c>
    </row>
    <row r="2090" spans="1:7" x14ac:dyDescent="0.2">
      <c r="A2090" s="2">
        <v>42923</v>
      </c>
      <c r="B2090" s="1">
        <f t="shared" si="64"/>
        <v>42917</v>
      </c>
      <c r="C2090" s="4" t="str">
        <f t="shared" si="65"/>
        <v>2017-07</v>
      </c>
      <c r="D2090" s="3">
        <v>36.049999999999997</v>
      </c>
      <c r="E2090" s="3">
        <v>3.67</v>
      </c>
      <c r="F2090" s="3">
        <v>151.44</v>
      </c>
      <c r="G2090" s="3">
        <v>2.4500000000000002</v>
      </c>
    </row>
    <row r="2091" spans="1:7" x14ac:dyDescent="0.2">
      <c r="A2091" s="2">
        <v>42922</v>
      </c>
      <c r="B2091" s="1">
        <f t="shared" si="64"/>
        <v>42917</v>
      </c>
      <c r="C2091" s="4" t="str">
        <f t="shared" si="65"/>
        <v>2017-07</v>
      </c>
      <c r="D2091" s="3">
        <v>35.68</v>
      </c>
      <c r="E2091" s="3">
        <v>3.59</v>
      </c>
      <c r="F2091" s="3">
        <v>148.82</v>
      </c>
      <c r="G2091" s="3">
        <v>2.4</v>
      </c>
    </row>
    <row r="2092" spans="1:7" x14ac:dyDescent="0.2">
      <c r="A2092" s="2">
        <v>42921</v>
      </c>
      <c r="B2092" s="1">
        <f t="shared" si="64"/>
        <v>42917</v>
      </c>
      <c r="C2092" s="4" t="str">
        <f t="shared" si="65"/>
        <v>2017-07</v>
      </c>
      <c r="D2092" s="3">
        <v>36.020000000000003</v>
      </c>
      <c r="E2092" s="3">
        <v>3.58</v>
      </c>
      <c r="F2092" s="3">
        <v>150.34</v>
      </c>
      <c r="G2092" s="3">
        <v>2.44</v>
      </c>
    </row>
    <row r="2093" spans="1:7" x14ac:dyDescent="0.2">
      <c r="A2093" s="2">
        <v>42919</v>
      </c>
      <c r="B2093" s="1">
        <f t="shared" si="64"/>
        <v>42917</v>
      </c>
      <c r="C2093" s="4" t="str">
        <f t="shared" si="65"/>
        <v>2017-07</v>
      </c>
      <c r="D2093" s="3">
        <v>35.880000000000003</v>
      </c>
      <c r="E2093" s="3">
        <v>3.48</v>
      </c>
      <c r="F2093" s="3">
        <v>148.43</v>
      </c>
      <c r="G2093" s="3">
        <v>2.4500000000000002</v>
      </c>
    </row>
    <row r="2094" spans="1:7" x14ac:dyDescent="0.2">
      <c r="A2094" s="2">
        <v>42916</v>
      </c>
      <c r="B2094" s="1">
        <f t="shared" si="64"/>
        <v>42887</v>
      </c>
      <c r="C2094" s="4" t="str">
        <f t="shared" si="65"/>
        <v>2017-06</v>
      </c>
      <c r="D2094" s="3">
        <v>36.01</v>
      </c>
      <c r="E2094" s="3">
        <v>3.61</v>
      </c>
      <c r="F2094" s="3">
        <v>150.97999999999999</v>
      </c>
      <c r="G2094" s="3">
        <v>2.4700000000000002</v>
      </c>
    </row>
    <row r="2095" spans="1:7" x14ac:dyDescent="0.2">
      <c r="A2095" s="2">
        <v>42915</v>
      </c>
      <c r="B2095" s="1">
        <f t="shared" si="64"/>
        <v>42887</v>
      </c>
      <c r="C2095" s="4" t="str">
        <f t="shared" si="65"/>
        <v>2017-06</v>
      </c>
      <c r="D2095" s="3">
        <v>35.92</v>
      </c>
      <c r="E2095" s="3">
        <v>3.67</v>
      </c>
      <c r="F2095" s="3">
        <v>151.04</v>
      </c>
      <c r="G2095" s="3">
        <v>2.42</v>
      </c>
    </row>
    <row r="2096" spans="1:7" x14ac:dyDescent="0.2">
      <c r="A2096" s="2">
        <v>42914</v>
      </c>
      <c r="B2096" s="1">
        <f t="shared" si="64"/>
        <v>42887</v>
      </c>
      <c r="C2096" s="4" t="str">
        <f t="shared" si="65"/>
        <v>2017-06</v>
      </c>
      <c r="D2096" s="3">
        <v>36.46</v>
      </c>
      <c r="E2096" s="3">
        <v>3.79</v>
      </c>
      <c r="F2096" s="3">
        <v>153.24</v>
      </c>
      <c r="G2096" s="3">
        <v>2.4300000000000002</v>
      </c>
    </row>
    <row r="2097" spans="1:7" x14ac:dyDescent="0.2">
      <c r="A2097" s="2">
        <v>42913</v>
      </c>
      <c r="B2097" s="1">
        <f t="shared" si="64"/>
        <v>42887</v>
      </c>
      <c r="C2097" s="4" t="str">
        <f t="shared" si="65"/>
        <v>2017-06</v>
      </c>
      <c r="D2097" s="3">
        <v>35.93</v>
      </c>
      <c r="E2097" s="3">
        <v>3.66</v>
      </c>
      <c r="F2097" s="3">
        <v>150.58000000000001</v>
      </c>
      <c r="G2097" s="3">
        <v>2.4</v>
      </c>
    </row>
    <row r="2098" spans="1:7" x14ac:dyDescent="0.2">
      <c r="A2098" s="2">
        <v>42912</v>
      </c>
      <c r="B2098" s="1">
        <f t="shared" si="64"/>
        <v>42887</v>
      </c>
      <c r="C2098" s="4" t="str">
        <f t="shared" si="65"/>
        <v>2017-06</v>
      </c>
      <c r="D2098" s="3">
        <v>36.46</v>
      </c>
      <c r="E2098" s="3">
        <v>3.8</v>
      </c>
      <c r="F2098" s="3">
        <v>153.59</v>
      </c>
      <c r="G2098" s="3">
        <v>2.44</v>
      </c>
    </row>
    <row r="2099" spans="1:7" x14ac:dyDescent="0.2">
      <c r="A2099" s="2">
        <v>42909</v>
      </c>
      <c r="B2099" s="1">
        <f t="shared" si="64"/>
        <v>42887</v>
      </c>
      <c r="C2099" s="4" t="str">
        <f t="shared" si="65"/>
        <v>2017-06</v>
      </c>
      <c r="D2099" s="3">
        <v>36.57</v>
      </c>
      <c r="E2099" s="3">
        <v>3.85</v>
      </c>
      <c r="F2099" s="3">
        <v>155.07</v>
      </c>
      <c r="G2099" s="3">
        <v>2.46</v>
      </c>
    </row>
    <row r="2100" spans="1:7" x14ac:dyDescent="0.2">
      <c r="A2100" s="2">
        <v>42908</v>
      </c>
      <c r="B2100" s="1">
        <f t="shared" si="64"/>
        <v>42887</v>
      </c>
      <c r="C2100" s="4" t="str">
        <f t="shared" si="65"/>
        <v>2017-06</v>
      </c>
      <c r="D2100" s="3">
        <v>36.409999999999997</v>
      </c>
      <c r="E2100" s="3">
        <v>3.96</v>
      </c>
      <c r="F2100" s="3">
        <v>153.4</v>
      </c>
      <c r="G2100" s="3">
        <v>2.4300000000000002</v>
      </c>
    </row>
    <row r="2101" spans="1:7" x14ac:dyDescent="0.2">
      <c r="A2101" s="2">
        <v>42907</v>
      </c>
      <c r="B2101" s="1">
        <f t="shared" si="64"/>
        <v>42887</v>
      </c>
      <c r="C2101" s="4" t="str">
        <f t="shared" si="65"/>
        <v>2017-06</v>
      </c>
      <c r="D2101" s="3">
        <v>36.47</v>
      </c>
      <c r="E2101" s="3">
        <v>3.99</v>
      </c>
      <c r="F2101" s="3">
        <v>153.91</v>
      </c>
      <c r="G2101" s="3">
        <v>2.41</v>
      </c>
    </row>
    <row r="2102" spans="1:7" x14ac:dyDescent="0.2">
      <c r="A2102" s="2">
        <v>42906</v>
      </c>
      <c r="B2102" s="1">
        <f t="shared" si="64"/>
        <v>42887</v>
      </c>
      <c r="C2102" s="4" t="str">
        <f t="shared" si="65"/>
        <v>2017-06</v>
      </c>
      <c r="D2102" s="3">
        <v>36.25</v>
      </c>
      <c r="E2102" s="3">
        <v>3.93</v>
      </c>
      <c r="F2102" s="3">
        <v>152.25</v>
      </c>
      <c r="G2102" s="3">
        <v>2.46</v>
      </c>
    </row>
    <row r="2103" spans="1:7" x14ac:dyDescent="0.2">
      <c r="A2103" s="2">
        <v>42905</v>
      </c>
      <c r="B2103" s="1">
        <f t="shared" si="64"/>
        <v>42887</v>
      </c>
      <c r="C2103" s="4" t="str">
        <f t="shared" si="65"/>
        <v>2017-06</v>
      </c>
      <c r="D2103" s="3">
        <v>36.590000000000003</v>
      </c>
      <c r="E2103" s="3">
        <v>3.93</v>
      </c>
      <c r="F2103" s="3">
        <v>152.87</v>
      </c>
      <c r="G2103" s="3">
        <v>2.4700000000000002</v>
      </c>
    </row>
    <row r="2104" spans="1:7" x14ac:dyDescent="0.2">
      <c r="A2104" s="2">
        <v>42902</v>
      </c>
      <c r="B2104" s="1">
        <f t="shared" si="64"/>
        <v>42887</v>
      </c>
      <c r="C2104" s="4" t="str">
        <f t="shared" si="65"/>
        <v>2017-06</v>
      </c>
      <c r="D2104" s="3">
        <v>35.57</v>
      </c>
      <c r="E2104" s="3">
        <v>3.79</v>
      </c>
      <c r="F2104" s="3">
        <v>150.63999999999999</v>
      </c>
      <c r="G2104" s="3">
        <v>2.5</v>
      </c>
    </row>
    <row r="2105" spans="1:7" x14ac:dyDescent="0.2">
      <c r="A2105" s="2">
        <v>42901</v>
      </c>
      <c r="B2105" s="1">
        <f t="shared" si="64"/>
        <v>42887</v>
      </c>
      <c r="C2105" s="4" t="str">
        <f t="shared" si="65"/>
        <v>2017-06</v>
      </c>
      <c r="D2105" s="3">
        <v>36.07</v>
      </c>
      <c r="E2105" s="3">
        <v>3.81</v>
      </c>
      <c r="F2105" s="3">
        <v>149.80000000000001</v>
      </c>
      <c r="G2105" s="3">
        <v>2.4700000000000002</v>
      </c>
    </row>
    <row r="2106" spans="1:7" x14ac:dyDescent="0.2">
      <c r="A2106" s="2">
        <v>42900</v>
      </c>
      <c r="B2106" s="1">
        <f t="shared" si="64"/>
        <v>42887</v>
      </c>
      <c r="C2106" s="4" t="str">
        <f t="shared" si="65"/>
        <v>2017-06</v>
      </c>
      <c r="D2106" s="3">
        <v>36.29</v>
      </c>
      <c r="E2106" s="3">
        <v>3.79</v>
      </c>
      <c r="F2106" s="3">
        <v>150.25</v>
      </c>
      <c r="G2106" s="3">
        <v>2.5</v>
      </c>
    </row>
    <row r="2107" spans="1:7" x14ac:dyDescent="0.2">
      <c r="A2107" s="2">
        <v>42899</v>
      </c>
      <c r="B2107" s="1">
        <f t="shared" si="64"/>
        <v>42887</v>
      </c>
      <c r="C2107" s="4" t="str">
        <f t="shared" si="65"/>
        <v>2017-06</v>
      </c>
      <c r="D2107" s="3">
        <v>36.65</v>
      </c>
      <c r="E2107" s="3">
        <v>3.79</v>
      </c>
      <c r="F2107" s="3">
        <v>150.68</v>
      </c>
      <c r="G2107" s="3">
        <v>2.5299999999999998</v>
      </c>
    </row>
    <row r="2108" spans="1:7" x14ac:dyDescent="0.2">
      <c r="A2108" s="2">
        <v>42898</v>
      </c>
      <c r="B2108" s="1">
        <f t="shared" si="64"/>
        <v>42887</v>
      </c>
      <c r="C2108" s="4" t="str">
        <f t="shared" si="65"/>
        <v>2017-06</v>
      </c>
      <c r="D2108" s="3">
        <v>36.36</v>
      </c>
      <c r="E2108" s="3">
        <v>3.75</v>
      </c>
      <c r="F2108" s="3">
        <v>148.44</v>
      </c>
      <c r="G2108" s="3">
        <v>2.4900000000000002</v>
      </c>
    </row>
    <row r="2109" spans="1:7" x14ac:dyDescent="0.2">
      <c r="A2109" s="2">
        <v>42895</v>
      </c>
      <c r="B2109" s="1">
        <f t="shared" si="64"/>
        <v>42887</v>
      </c>
      <c r="C2109" s="4" t="str">
        <f t="shared" si="65"/>
        <v>2017-06</v>
      </c>
      <c r="D2109" s="3">
        <v>37.25</v>
      </c>
      <c r="E2109" s="3">
        <v>3.74</v>
      </c>
      <c r="F2109" s="3">
        <v>149.6</v>
      </c>
      <c r="G2109" s="3">
        <v>2.48</v>
      </c>
    </row>
    <row r="2110" spans="1:7" x14ac:dyDescent="0.2">
      <c r="A2110" s="2">
        <v>42894</v>
      </c>
      <c r="B2110" s="1">
        <f t="shared" si="64"/>
        <v>42887</v>
      </c>
      <c r="C2110" s="4" t="str">
        <f t="shared" si="65"/>
        <v>2017-06</v>
      </c>
      <c r="D2110" s="3">
        <v>38.75</v>
      </c>
      <c r="E2110" s="3">
        <v>4</v>
      </c>
      <c r="F2110" s="3">
        <v>154.71</v>
      </c>
      <c r="G2110" s="3">
        <v>2.46</v>
      </c>
    </row>
    <row r="2111" spans="1:7" x14ac:dyDescent="0.2">
      <c r="A2111" s="2">
        <v>42893</v>
      </c>
      <c r="B2111" s="1">
        <f t="shared" si="64"/>
        <v>42887</v>
      </c>
      <c r="C2111" s="4" t="str">
        <f t="shared" si="65"/>
        <v>2017-06</v>
      </c>
      <c r="D2111" s="3">
        <v>38.840000000000003</v>
      </c>
      <c r="E2111" s="3">
        <v>3.73</v>
      </c>
      <c r="F2111" s="3">
        <v>153.12</v>
      </c>
      <c r="G2111" s="3">
        <v>2.39</v>
      </c>
    </row>
    <row r="2112" spans="1:7" x14ac:dyDescent="0.2">
      <c r="A2112" s="2">
        <v>42892</v>
      </c>
      <c r="B2112" s="1">
        <f t="shared" si="64"/>
        <v>42887</v>
      </c>
      <c r="C2112" s="4" t="str">
        <f t="shared" si="65"/>
        <v>2017-06</v>
      </c>
      <c r="D2112" s="3">
        <v>38.61</v>
      </c>
      <c r="E2112" s="3">
        <v>3.68</v>
      </c>
      <c r="F2112" s="3">
        <v>152.81</v>
      </c>
      <c r="G2112" s="3">
        <v>2.4</v>
      </c>
    </row>
    <row r="2113" spans="1:7" x14ac:dyDescent="0.2">
      <c r="A2113" s="2">
        <v>42891</v>
      </c>
      <c r="B2113" s="1">
        <f t="shared" si="64"/>
        <v>42887</v>
      </c>
      <c r="C2113" s="4" t="str">
        <f t="shared" si="65"/>
        <v>2017-06</v>
      </c>
      <c r="D2113" s="3">
        <v>38.479999999999997</v>
      </c>
      <c r="E2113" s="3">
        <v>3.7</v>
      </c>
      <c r="F2113" s="3">
        <v>153.63</v>
      </c>
      <c r="G2113" s="3">
        <v>2.44</v>
      </c>
    </row>
    <row r="2114" spans="1:7" x14ac:dyDescent="0.2">
      <c r="A2114" s="2">
        <v>42888</v>
      </c>
      <c r="B2114" s="1">
        <f t="shared" si="64"/>
        <v>42887</v>
      </c>
      <c r="C2114" s="4" t="str">
        <f t="shared" si="65"/>
        <v>2017-06</v>
      </c>
      <c r="D2114" s="3">
        <v>38.86</v>
      </c>
      <c r="E2114" s="3">
        <v>3.59</v>
      </c>
      <c r="F2114" s="3">
        <v>153.61000000000001</v>
      </c>
      <c r="G2114" s="3">
        <v>2.46</v>
      </c>
    </row>
    <row r="2115" spans="1:7" x14ac:dyDescent="0.2">
      <c r="A2115" s="2">
        <v>42887</v>
      </c>
      <c r="B2115" s="1">
        <f t="shared" ref="B2115:B2178" si="66">EOMONTH(A2115, -1)+1</f>
        <v>42887</v>
      </c>
      <c r="C2115" s="4" t="str">
        <f t="shared" ref="C2115:C2178" si="67">TEXT(A2115, "yyyy-mm")</f>
        <v>2017-06</v>
      </c>
      <c r="D2115" s="3">
        <v>38.299999999999997</v>
      </c>
      <c r="E2115" s="3">
        <v>3.61</v>
      </c>
      <c r="F2115" s="3">
        <v>151.53</v>
      </c>
      <c r="G2115" s="3">
        <v>2.4700000000000002</v>
      </c>
    </row>
    <row r="2116" spans="1:7" x14ac:dyDescent="0.2">
      <c r="A2116" s="2">
        <v>42886</v>
      </c>
      <c r="B2116" s="1">
        <f t="shared" si="66"/>
        <v>42856</v>
      </c>
      <c r="C2116" s="4" t="str">
        <f t="shared" si="67"/>
        <v>2017-05</v>
      </c>
      <c r="D2116" s="3">
        <v>38.19</v>
      </c>
      <c r="E2116" s="3">
        <v>3.61</v>
      </c>
      <c r="F2116" s="3">
        <v>151.46</v>
      </c>
      <c r="G2116" s="3">
        <v>2.46</v>
      </c>
    </row>
    <row r="2117" spans="1:7" x14ac:dyDescent="0.2">
      <c r="A2117" s="2">
        <v>42885</v>
      </c>
      <c r="B2117" s="1">
        <f t="shared" si="66"/>
        <v>42856</v>
      </c>
      <c r="C2117" s="4" t="str">
        <f t="shared" si="67"/>
        <v>2017-05</v>
      </c>
      <c r="D2117" s="3">
        <v>38.42</v>
      </c>
      <c r="E2117" s="3">
        <v>3.62</v>
      </c>
      <c r="F2117" s="3">
        <v>152.38</v>
      </c>
      <c r="G2117" s="3">
        <v>2.42</v>
      </c>
    </row>
    <row r="2118" spans="1:7" x14ac:dyDescent="0.2">
      <c r="A2118" s="2">
        <v>42881</v>
      </c>
      <c r="B2118" s="1">
        <f t="shared" si="66"/>
        <v>42856</v>
      </c>
      <c r="C2118" s="4" t="str">
        <f t="shared" si="67"/>
        <v>2017-05</v>
      </c>
      <c r="D2118" s="3">
        <v>38.4</v>
      </c>
      <c r="E2118" s="3">
        <v>3.55</v>
      </c>
      <c r="F2118" s="3">
        <v>152.13</v>
      </c>
      <c r="G2118" s="3">
        <v>2.4300000000000002</v>
      </c>
    </row>
    <row r="2119" spans="1:7" x14ac:dyDescent="0.2">
      <c r="A2119" s="2">
        <v>42880</v>
      </c>
      <c r="B2119" s="1">
        <f t="shared" si="66"/>
        <v>42856</v>
      </c>
      <c r="C2119" s="4" t="str">
        <f t="shared" si="67"/>
        <v>2017-05</v>
      </c>
      <c r="D2119" s="3">
        <v>38.47</v>
      </c>
      <c r="E2119" s="3">
        <v>3.46</v>
      </c>
      <c r="F2119" s="3">
        <v>151.96</v>
      </c>
      <c r="G2119" s="3">
        <v>2.4500000000000002</v>
      </c>
    </row>
    <row r="2120" spans="1:7" x14ac:dyDescent="0.2">
      <c r="A2120" s="2">
        <v>42879</v>
      </c>
      <c r="B2120" s="1">
        <f t="shared" si="66"/>
        <v>42856</v>
      </c>
      <c r="C2120" s="4" t="str">
        <f t="shared" si="67"/>
        <v>2017-05</v>
      </c>
      <c r="D2120" s="3">
        <v>38.340000000000003</v>
      </c>
      <c r="E2120" s="3">
        <v>3.46</v>
      </c>
      <c r="F2120" s="3">
        <v>150.04</v>
      </c>
      <c r="G2120" s="3">
        <v>2.4300000000000002</v>
      </c>
    </row>
    <row r="2121" spans="1:7" x14ac:dyDescent="0.2">
      <c r="A2121" s="2">
        <v>42878</v>
      </c>
      <c r="B2121" s="1">
        <f t="shared" si="66"/>
        <v>42856</v>
      </c>
      <c r="C2121" s="4" t="str">
        <f t="shared" si="67"/>
        <v>2017-05</v>
      </c>
      <c r="D2121" s="3">
        <v>38.450000000000003</v>
      </c>
      <c r="E2121" s="3">
        <v>3.43</v>
      </c>
      <c r="F2121" s="3">
        <v>148.07</v>
      </c>
      <c r="G2121" s="3">
        <v>2.41</v>
      </c>
    </row>
    <row r="2122" spans="1:7" x14ac:dyDescent="0.2">
      <c r="A2122" s="2">
        <v>42877</v>
      </c>
      <c r="B2122" s="1">
        <f t="shared" si="66"/>
        <v>42856</v>
      </c>
      <c r="C2122" s="4" t="str">
        <f t="shared" si="67"/>
        <v>2017-05</v>
      </c>
      <c r="D2122" s="3">
        <v>38.5</v>
      </c>
      <c r="E2122" s="3">
        <v>3.47</v>
      </c>
      <c r="F2122" s="3">
        <v>148.24</v>
      </c>
      <c r="G2122" s="3">
        <v>2.44</v>
      </c>
    </row>
    <row r="2123" spans="1:7" x14ac:dyDescent="0.2">
      <c r="A2123" s="2">
        <v>42874</v>
      </c>
      <c r="B2123" s="1">
        <f t="shared" si="66"/>
        <v>42856</v>
      </c>
      <c r="C2123" s="4" t="str">
        <f t="shared" si="67"/>
        <v>2017-05</v>
      </c>
      <c r="D2123" s="3">
        <v>38.270000000000003</v>
      </c>
      <c r="E2123" s="3">
        <v>3.4</v>
      </c>
      <c r="F2123" s="3">
        <v>148.06</v>
      </c>
      <c r="G2123" s="3">
        <v>2.42</v>
      </c>
    </row>
    <row r="2124" spans="1:7" x14ac:dyDescent="0.2">
      <c r="A2124" s="2">
        <v>42873</v>
      </c>
      <c r="B2124" s="1">
        <f t="shared" si="66"/>
        <v>42856</v>
      </c>
      <c r="C2124" s="4" t="str">
        <f t="shared" si="67"/>
        <v>2017-05</v>
      </c>
      <c r="D2124" s="3">
        <v>38.14</v>
      </c>
      <c r="E2124" s="3">
        <v>3.33</v>
      </c>
      <c r="F2124" s="3">
        <v>147.66</v>
      </c>
      <c r="G2124" s="3">
        <v>2.36</v>
      </c>
    </row>
    <row r="2125" spans="1:7" x14ac:dyDescent="0.2">
      <c r="A2125" s="2">
        <v>42872</v>
      </c>
      <c r="B2125" s="1">
        <f t="shared" si="66"/>
        <v>42856</v>
      </c>
      <c r="C2125" s="4" t="str">
        <f t="shared" si="67"/>
        <v>2017-05</v>
      </c>
      <c r="D2125" s="3">
        <v>37.56</v>
      </c>
      <c r="E2125" s="3">
        <v>3.19</v>
      </c>
      <c r="F2125" s="3">
        <v>144.85</v>
      </c>
      <c r="G2125" s="3">
        <v>2.37</v>
      </c>
    </row>
    <row r="2126" spans="1:7" x14ac:dyDescent="0.2">
      <c r="A2126" s="2">
        <v>42871</v>
      </c>
      <c r="B2126" s="1">
        <f t="shared" si="66"/>
        <v>42856</v>
      </c>
      <c r="C2126" s="4" t="str">
        <f t="shared" si="67"/>
        <v>2017-05</v>
      </c>
      <c r="D2126" s="3">
        <v>38.869999999999997</v>
      </c>
      <c r="E2126" s="3">
        <v>3.42</v>
      </c>
      <c r="F2126" s="3">
        <v>149.78</v>
      </c>
      <c r="G2126" s="3">
        <v>2.44</v>
      </c>
    </row>
    <row r="2127" spans="1:7" x14ac:dyDescent="0.2">
      <c r="A2127" s="2">
        <v>42870</v>
      </c>
      <c r="B2127" s="1">
        <f t="shared" si="66"/>
        <v>42856</v>
      </c>
      <c r="C2127" s="4" t="str">
        <f t="shared" si="67"/>
        <v>2017-05</v>
      </c>
      <c r="D2127" s="3">
        <v>38.93</v>
      </c>
      <c r="E2127" s="3">
        <v>3.36</v>
      </c>
      <c r="F2127" s="3">
        <v>150.19</v>
      </c>
      <c r="G2127" s="3">
        <v>2.4500000000000002</v>
      </c>
    </row>
    <row r="2128" spans="1:7" x14ac:dyDescent="0.2">
      <c r="A2128" s="2">
        <v>42867</v>
      </c>
      <c r="B2128" s="1">
        <f t="shared" si="66"/>
        <v>42856</v>
      </c>
      <c r="C2128" s="4" t="str">
        <f t="shared" si="67"/>
        <v>2017-05</v>
      </c>
      <c r="D2128" s="3">
        <v>39.03</v>
      </c>
      <c r="E2128" s="3">
        <v>3.2</v>
      </c>
      <c r="F2128" s="3">
        <v>150.33000000000001</v>
      </c>
      <c r="G2128" s="3">
        <v>2.42</v>
      </c>
    </row>
    <row r="2129" spans="1:7" x14ac:dyDescent="0.2">
      <c r="A2129" s="2">
        <v>42866</v>
      </c>
      <c r="B2129" s="1">
        <f t="shared" si="66"/>
        <v>42856</v>
      </c>
      <c r="C2129" s="4" t="str">
        <f t="shared" si="67"/>
        <v>2017-05</v>
      </c>
      <c r="D2129" s="3">
        <v>38.49</v>
      </c>
      <c r="E2129" s="3">
        <v>3.16</v>
      </c>
      <c r="F2129" s="3">
        <v>150.04</v>
      </c>
      <c r="G2129" s="3">
        <v>2.41</v>
      </c>
    </row>
    <row r="2130" spans="1:7" x14ac:dyDescent="0.2">
      <c r="A2130" s="2">
        <v>42865</v>
      </c>
      <c r="B2130" s="1">
        <f t="shared" si="66"/>
        <v>42856</v>
      </c>
      <c r="C2130" s="4" t="str">
        <f t="shared" si="67"/>
        <v>2017-05</v>
      </c>
      <c r="D2130" s="3">
        <v>38.32</v>
      </c>
      <c r="E2130" s="3">
        <v>3.03</v>
      </c>
      <c r="F2130" s="3">
        <v>150.29</v>
      </c>
      <c r="G2130" s="3">
        <v>2.42</v>
      </c>
    </row>
    <row r="2131" spans="1:7" x14ac:dyDescent="0.2">
      <c r="A2131" s="2">
        <v>42864</v>
      </c>
      <c r="B2131" s="1">
        <f t="shared" si="66"/>
        <v>42856</v>
      </c>
      <c r="C2131" s="4" t="str">
        <f t="shared" si="67"/>
        <v>2017-05</v>
      </c>
      <c r="D2131" s="3">
        <v>38.5</v>
      </c>
      <c r="E2131" s="3">
        <v>2.57</v>
      </c>
      <c r="F2131" s="3">
        <v>150.47999999999999</v>
      </c>
      <c r="G2131" s="3">
        <v>2.37</v>
      </c>
    </row>
    <row r="2132" spans="1:7" x14ac:dyDescent="0.2">
      <c r="A2132" s="2">
        <v>42863</v>
      </c>
      <c r="B2132" s="1">
        <f t="shared" si="66"/>
        <v>42856</v>
      </c>
      <c r="C2132" s="4" t="str">
        <f t="shared" si="67"/>
        <v>2017-05</v>
      </c>
      <c r="D2132" s="3">
        <v>38.25</v>
      </c>
      <c r="E2132" s="3">
        <v>2.57</v>
      </c>
      <c r="F2132" s="3">
        <v>151.06</v>
      </c>
      <c r="G2132" s="3">
        <v>2.39</v>
      </c>
    </row>
    <row r="2133" spans="1:7" x14ac:dyDescent="0.2">
      <c r="A2133" s="2">
        <v>42860</v>
      </c>
      <c r="B2133" s="1">
        <f t="shared" si="66"/>
        <v>42856</v>
      </c>
      <c r="C2133" s="4" t="str">
        <f t="shared" si="67"/>
        <v>2017-05</v>
      </c>
      <c r="D2133" s="3">
        <v>37.24</v>
      </c>
      <c r="E2133" s="3">
        <v>2.6</v>
      </c>
      <c r="F2133" s="3">
        <v>150.24</v>
      </c>
      <c r="G2133" s="3">
        <v>2.42</v>
      </c>
    </row>
    <row r="2134" spans="1:7" x14ac:dyDescent="0.2">
      <c r="A2134" s="2">
        <v>42859</v>
      </c>
      <c r="B2134" s="1">
        <f t="shared" si="66"/>
        <v>42856</v>
      </c>
      <c r="C2134" s="4" t="str">
        <f t="shared" si="67"/>
        <v>2017-05</v>
      </c>
      <c r="D2134" s="3">
        <v>36.630000000000003</v>
      </c>
      <c r="E2134" s="3">
        <v>2.6</v>
      </c>
      <c r="F2134" s="3">
        <v>150.85</v>
      </c>
      <c r="G2134" s="3">
        <v>2.42</v>
      </c>
    </row>
    <row r="2135" spans="1:7" x14ac:dyDescent="0.2">
      <c r="A2135" s="2">
        <v>42858</v>
      </c>
      <c r="B2135" s="1">
        <f t="shared" si="66"/>
        <v>42856</v>
      </c>
      <c r="C2135" s="4" t="str">
        <f t="shared" si="67"/>
        <v>2017-05</v>
      </c>
      <c r="D2135" s="3">
        <v>36.770000000000003</v>
      </c>
      <c r="E2135" s="3">
        <v>2.61</v>
      </c>
      <c r="F2135" s="3">
        <v>151.80000000000001</v>
      </c>
      <c r="G2135" s="3">
        <v>2.36</v>
      </c>
    </row>
    <row r="2136" spans="1:7" x14ac:dyDescent="0.2">
      <c r="A2136" s="2">
        <v>42857</v>
      </c>
      <c r="B2136" s="1">
        <f t="shared" si="66"/>
        <v>42856</v>
      </c>
      <c r="C2136" s="4" t="str">
        <f t="shared" si="67"/>
        <v>2017-05</v>
      </c>
      <c r="D2136" s="3">
        <v>36.880000000000003</v>
      </c>
      <c r="E2136" s="3">
        <v>2.59</v>
      </c>
      <c r="F2136" s="3">
        <v>152.78</v>
      </c>
      <c r="G2136" s="3">
        <v>2.38</v>
      </c>
    </row>
    <row r="2137" spans="1:7" x14ac:dyDescent="0.2">
      <c r="A2137" s="2">
        <v>42856</v>
      </c>
      <c r="B2137" s="1">
        <f t="shared" si="66"/>
        <v>42856</v>
      </c>
      <c r="C2137" s="4" t="str">
        <f t="shared" si="67"/>
        <v>2017-05</v>
      </c>
      <c r="D2137" s="3">
        <v>36.65</v>
      </c>
      <c r="E2137" s="3">
        <v>2.67</v>
      </c>
      <c r="F2137" s="3">
        <v>152.46</v>
      </c>
      <c r="G2137" s="3">
        <v>2.4500000000000002</v>
      </c>
    </row>
    <row r="2138" spans="1:7" x14ac:dyDescent="0.2">
      <c r="A2138" s="2">
        <v>42853</v>
      </c>
      <c r="B2138" s="1">
        <f t="shared" si="66"/>
        <v>42826</v>
      </c>
      <c r="C2138" s="4" t="str">
        <f t="shared" si="67"/>
        <v>2017-04</v>
      </c>
      <c r="D2138" s="3">
        <v>35.909999999999997</v>
      </c>
      <c r="E2138" s="3">
        <v>2.61</v>
      </c>
      <c r="F2138" s="3">
        <v>150.25</v>
      </c>
      <c r="G2138" s="3">
        <v>2.44</v>
      </c>
    </row>
    <row r="2139" spans="1:7" x14ac:dyDescent="0.2">
      <c r="A2139" s="2">
        <v>42852</v>
      </c>
      <c r="B2139" s="1">
        <f t="shared" si="66"/>
        <v>42826</v>
      </c>
      <c r="C2139" s="4" t="str">
        <f t="shared" si="67"/>
        <v>2017-04</v>
      </c>
      <c r="D2139" s="3">
        <v>35.950000000000003</v>
      </c>
      <c r="E2139" s="3">
        <v>2.64</v>
      </c>
      <c r="F2139" s="3">
        <v>147.69999999999999</v>
      </c>
      <c r="G2139" s="3">
        <v>2.4300000000000002</v>
      </c>
    </row>
    <row r="2140" spans="1:7" x14ac:dyDescent="0.2">
      <c r="A2140" s="2">
        <v>42851</v>
      </c>
      <c r="B2140" s="1">
        <f t="shared" si="66"/>
        <v>42826</v>
      </c>
      <c r="C2140" s="4" t="str">
        <f t="shared" si="67"/>
        <v>2017-04</v>
      </c>
      <c r="D2140" s="3">
        <v>35.92</v>
      </c>
      <c r="E2140" s="3">
        <v>2.6</v>
      </c>
      <c r="F2140" s="3">
        <v>146.56</v>
      </c>
      <c r="G2140" s="3">
        <v>2.4700000000000002</v>
      </c>
    </row>
    <row r="2141" spans="1:7" x14ac:dyDescent="0.2">
      <c r="A2141" s="2">
        <v>42850</v>
      </c>
      <c r="B2141" s="1">
        <f t="shared" si="66"/>
        <v>42826</v>
      </c>
      <c r="C2141" s="4" t="str">
        <f t="shared" si="67"/>
        <v>2017-04</v>
      </c>
      <c r="D2141" s="3">
        <v>36.130000000000003</v>
      </c>
      <c r="E2141" s="3">
        <v>2.62</v>
      </c>
      <c r="F2141" s="3">
        <v>146.49</v>
      </c>
      <c r="G2141" s="3">
        <v>2.4900000000000002</v>
      </c>
    </row>
    <row r="2142" spans="1:7" x14ac:dyDescent="0.2">
      <c r="A2142" s="2">
        <v>42849</v>
      </c>
      <c r="B2142" s="1">
        <f t="shared" si="66"/>
        <v>42826</v>
      </c>
      <c r="C2142" s="4" t="str">
        <f t="shared" si="67"/>
        <v>2017-04</v>
      </c>
      <c r="D2142" s="3">
        <v>35.909999999999997</v>
      </c>
      <c r="E2142" s="3">
        <v>2.57</v>
      </c>
      <c r="F2142" s="3">
        <v>145.47</v>
      </c>
      <c r="G2142" s="3">
        <v>2.48</v>
      </c>
    </row>
    <row r="2143" spans="1:7" x14ac:dyDescent="0.2">
      <c r="A2143" s="2">
        <v>42846</v>
      </c>
      <c r="B2143" s="1">
        <f t="shared" si="66"/>
        <v>42826</v>
      </c>
      <c r="C2143" s="4" t="str">
        <f t="shared" si="67"/>
        <v>2017-04</v>
      </c>
      <c r="D2143" s="3">
        <v>35.57</v>
      </c>
      <c r="E2143" s="3">
        <v>2.54</v>
      </c>
      <c r="F2143" s="3">
        <v>143.68</v>
      </c>
      <c r="G2143" s="3">
        <v>2.46</v>
      </c>
    </row>
    <row r="2144" spans="1:7" x14ac:dyDescent="0.2">
      <c r="A2144" s="2">
        <v>42845</v>
      </c>
      <c r="B2144" s="1">
        <f t="shared" si="66"/>
        <v>42826</v>
      </c>
      <c r="C2144" s="4" t="str">
        <f t="shared" si="67"/>
        <v>2017-04</v>
      </c>
      <c r="D2144" s="3">
        <v>35.61</v>
      </c>
      <c r="E2144" s="3">
        <v>2.5299999999999998</v>
      </c>
      <c r="F2144" s="3">
        <v>143.80000000000001</v>
      </c>
      <c r="G2144" s="3">
        <v>2.48</v>
      </c>
    </row>
    <row r="2145" spans="1:7" x14ac:dyDescent="0.2">
      <c r="A2145" s="2">
        <v>42844</v>
      </c>
      <c r="B2145" s="1">
        <f t="shared" si="66"/>
        <v>42826</v>
      </c>
      <c r="C2145" s="4" t="str">
        <f t="shared" si="67"/>
        <v>2017-04</v>
      </c>
      <c r="D2145" s="3">
        <v>35.17</v>
      </c>
      <c r="E2145" s="3">
        <v>2.4900000000000002</v>
      </c>
      <c r="F2145" s="3">
        <v>142.27000000000001</v>
      </c>
      <c r="G2145" s="3">
        <v>2.4500000000000002</v>
      </c>
    </row>
    <row r="2146" spans="1:7" x14ac:dyDescent="0.2">
      <c r="A2146" s="2">
        <v>42843</v>
      </c>
      <c r="B2146" s="1">
        <f t="shared" si="66"/>
        <v>42826</v>
      </c>
      <c r="C2146" s="4" t="str">
        <f t="shared" si="67"/>
        <v>2017-04</v>
      </c>
      <c r="D2146" s="3">
        <v>35.299999999999997</v>
      </c>
      <c r="E2146" s="3">
        <v>2.48</v>
      </c>
      <c r="F2146" s="3">
        <v>140.96</v>
      </c>
      <c r="G2146" s="3">
        <v>2.44</v>
      </c>
    </row>
    <row r="2147" spans="1:7" x14ac:dyDescent="0.2">
      <c r="A2147" s="2">
        <v>42842</v>
      </c>
      <c r="B2147" s="1">
        <f t="shared" si="66"/>
        <v>42826</v>
      </c>
      <c r="C2147" s="4" t="str">
        <f t="shared" si="67"/>
        <v>2017-04</v>
      </c>
      <c r="D2147" s="3">
        <v>35.46</v>
      </c>
      <c r="E2147" s="3">
        <v>2.48</v>
      </c>
      <c r="F2147" s="3">
        <v>141.41999999999999</v>
      </c>
      <c r="G2147" s="3">
        <v>2.52</v>
      </c>
    </row>
    <row r="2148" spans="1:7" x14ac:dyDescent="0.2">
      <c r="A2148" s="2">
        <v>42838</v>
      </c>
      <c r="B2148" s="1">
        <f t="shared" si="66"/>
        <v>42826</v>
      </c>
      <c r="C2148" s="4" t="str">
        <f t="shared" si="67"/>
        <v>2017-04</v>
      </c>
      <c r="D2148" s="3">
        <v>35.26</v>
      </c>
      <c r="E2148" s="3">
        <v>2.39</v>
      </c>
      <c r="F2148" s="3">
        <v>139.38999999999999</v>
      </c>
      <c r="G2148" s="3">
        <v>2.4500000000000002</v>
      </c>
    </row>
    <row r="2149" spans="1:7" x14ac:dyDescent="0.2">
      <c r="A2149" s="2">
        <v>42837</v>
      </c>
      <c r="B2149" s="1">
        <f t="shared" si="66"/>
        <v>42826</v>
      </c>
      <c r="C2149" s="4" t="str">
        <f t="shared" si="67"/>
        <v>2017-04</v>
      </c>
      <c r="D2149" s="3">
        <v>35.450000000000003</v>
      </c>
      <c r="E2149" s="3">
        <v>2.4300000000000002</v>
      </c>
      <c r="F2149" s="3">
        <v>139.58000000000001</v>
      </c>
      <c r="G2149" s="3">
        <v>2.4700000000000002</v>
      </c>
    </row>
    <row r="2150" spans="1:7" x14ac:dyDescent="0.2">
      <c r="A2150" s="2">
        <v>42836</v>
      </c>
      <c r="B2150" s="1">
        <f t="shared" si="66"/>
        <v>42826</v>
      </c>
      <c r="C2150" s="4" t="str">
        <f t="shared" si="67"/>
        <v>2017-04</v>
      </c>
      <c r="D2150" s="3">
        <v>35.409999999999997</v>
      </c>
      <c r="E2150" s="3">
        <v>2.4500000000000002</v>
      </c>
      <c r="F2150" s="3">
        <v>139.91999999999999</v>
      </c>
      <c r="G2150" s="3">
        <v>2.4900000000000002</v>
      </c>
    </row>
    <row r="2151" spans="1:7" x14ac:dyDescent="0.2">
      <c r="A2151" s="2">
        <v>42835</v>
      </c>
      <c r="B2151" s="1">
        <f t="shared" si="66"/>
        <v>42826</v>
      </c>
      <c r="C2151" s="4" t="str">
        <f t="shared" si="67"/>
        <v>2017-04</v>
      </c>
      <c r="D2151" s="3">
        <v>35.79</v>
      </c>
      <c r="E2151" s="3">
        <v>2.44</v>
      </c>
      <c r="F2151" s="3">
        <v>141.04</v>
      </c>
      <c r="G2151" s="3">
        <v>2.46</v>
      </c>
    </row>
    <row r="2152" spans="1:7" x14ac:dyDescent="0.2">
      <c r="A2152" s="2">
        <v>42832</v>
      </c>
      <c r="B2152" s="1">
        <f t="shared" si="66"/>
        <v>42826</v>
      </c>
      <c r="C2152" s="4" t="str">
        <f t="shared" si="67"/>
        <v>2017-04</v>
      </c>
      <c r="D2152" s="3">
        <v>35.840000000000003</v>
      </c>
      <c r="E2152" s="3">
        <v>2.5099999999999998</v>
      </c>
      <c r="F2152" s="3">
        <v>140.78</v>
      </c>
      <c r="G2152" s="3">
        <v>2.48</v>
      </c>
    </row>
    <row r="2153" spans="1:7" x14ac:dyDescent="0.2">
      <c r="A2153" s="2">
        <v>42831</v>
      </c>
      <c r="B2153" s="1">
        <f t="shared" si="66"/>
        <v>42826</v>
      </c>
      <c r="C2153" s="4" t="str">
        <f t="shared" si="67"/>
        <v>2017-04</v>
      </c>
      <c r="D2153" s="3">
        <v>35.92</v>
      </c>
      <c r="E2153" s="3">
        <v>2.52</v>
      </c>
      <c r="F2153" s="3">
        <v>141.16999999999999</v>
      </c>
      <c r="G2153" s="3">
        <v>2.48</v>
      </c>
    </row>
    <row r="2154" spans="1:7" x14ac:dyDescent="0.2">
      <c r="A2154" s="2">
        <v>42830</v>
      </c>
      <c r="B2154" s="1">
        <f t="shared" si="66"/>
        <v>42826</v>
      </c>
      <c r="C2154" s="4" t="str">
        <f t="shared" si="67"/>
        <v>2017-04</v>
      </c>
      <c r="D2154" s="3">
        <v>36.01</v>
      </c>
      <c r="E2154" s="3">
        <v>2.5</v>
      </c>
      <c r="F2154" s="3">
        <v>141.85</v>
      </c>
      <c r="G2154" s="3">
        <v>2.46</v>
      </c>
    </row>
    <row r="2155" spans="1:7" x14ac:dyDescent="0.2">
      <c r="A2155" s="2">
        <v>42829</v>
      </c>
      <c r="B2155" s="1">
        <f t="shared" si="66"/>
        <v>42826</v>
      </c>
      <c r="C2155" s="4" t="str">
        <f t="shared" si="67"/>
        <v>2017-04</v>
      </c>
      <c r="D2155" s="3">
        <v>36.19</v>
      </c>
      <c r="E2155" s="3">
        <v>2.52</v>
      </c>
      <c r="F2155" s="3">
        <v>141.72999999999999</v>
      </c>
      <c r="G2155" s="3">
        <v>2.5</v>
      </c>
    </row>
    <row r="2156" spans="1:7" x14ac:dyDescent="0.2">
      <c r="A2156" s="2">
        <v>42828</v>
      </c>
      <c r="B2156" s="1">
        <f t="shared" si="66"/>
        <v>42826</v>
      </c>
      <c r="C2156" s="4" t="str">
        <f t="shared" si="67"/>
        <v>2017-04</v>
      </c>
      <c r="D2156" s="3">
        <v>35.93</v>
      </c>
      <c r="E2156" s="3">
        <v>2.71</v>
      </c>
      <c r="F2156" s="3">
        <v>142.28</v>
      </c>
      <c r="G2156" s="3">
        <v>2.5099999999999998</v>
      </c>
    </row>
    <row r="2157" spans="1:7" x14ac:dyDescent="0.2">
      <c r="A2157" s="2">
        <v>42825</v>
      </c>
      <c r="B2157" s="1">
        <f t="shared" si="66"/>
        <v>42795</v>
      </c>
      <c r="C2157" s="4" t="str">
        <f t="shared" si="67"/>
        <v>2017-03</v>
      </c>
      <c r="D2157" s="3">
        <v>35.92</v>
      </c>
      <c r="E2157" s="3">
        <v>2.72</v>
      </c>
      <c r="F2157" s="3">
        <v>142.05000000000001</v>
      </c>
      <c r="G2157" s="3">
        <v>2.54</v>
      </c>
    </row>
    <row r="2158" spans="1:7" x14ac:dyDescent="0.2">
      <c r="A2158" s="2">
        <v>42824</v>
      </c>
      <c r="B2158" s="1">
        <f t="shared" si="66"/>
        <v>42795</v>
      </c>
      <c r="C2158" s="4" t="str">
        <f t="shared" si="67"/>
        <v>2017-03</v>
      </c>
      <c r="D2158" s="3">
        <v>35.979999999999997</v>
      </c>
      <c r="E2158" s="3">
        <v>2.74</v>
      </c>
      <c r="F2158" s="3">
        <v>142.41</v>
      </c>
      <c r="G2158" s="3">
        <v>2.54</v>
      </c>
    </row>
    <row r="2159" spans="1:7" x14ac:dyDescent="0.2">
      <c r="A2159" s="2">
        <v>42823</v>
      </c>
      <c r="B2159" s="1">
        <f t="shared" si="66"/>
        <v>42795</v>
      </c>
      <c r="C2159" s="4" t="str">
        <f t="shared" si="67"/>
        <v>2017-03</v>
      </c>
      <c r="D2159" s="3">
        <v>36.03</v>
      </c>
      <c r="E2159" s="3">
        <v>2.68</v>
      </c>
      <c r="F2159" s="3">
        <v>142.65</v>
      </c>
      <c r="G2159" s="3">
        <v>2.57</v>
      </c>
    </row>
    <row r="2160" spans="1:7" x14ac:dyDescent="0.2">
      <c r="A2160" s="2">
        <v>42822</v>
      </c>
      <c r="B2160" s="1">
        <f t="shared" si="66"/>
        <v>42795</v>
      </c>
      <c r="C2160" s="4" t="str">
        <f t="shared" si="67"/>
        <v>2017-03</v>
      </c>
      <c r="D2160" s="3">
        <v>35.950000000000003</v>
      </c>
      <c r="E2160" s="3">
        <v>2.69</v>
      </c>
      <c r="F2160" s="3">
        <v>141.76</v>
      </c>
      <c r="G2160" s="3">
        <v>2.5</v>
      </c>
    </row>
    <row r="2161" spans="1:7" x14ac:dyDescent="0.2">
      <c r="A2161" s="2">
        <v>42821</v>
      </c>
      <c r="B2161" s="1">
        <f t="shared" si="66"/>
        <v>42795</v>
      </c>
      <c r="C2161" s="4" t="str">
        <f t="shared" si="67"/>
        <v>2017-03</v>
      </c>
      <c r="D2161" s="3">
        <v>35.22</v>
      </c>
      <c r="E2161" s="3">
        <v>2.71</v>
      </c>
      <c r="F2161" s="3">
        <v>140.32</v>
      </c>
      <c r="G2161" s="3">
        <v>2.5299999999999998</v>
      </c>
    </row>
    <row r="2162" spans="1:7" x14ac:dyDescent="0.2">
      <c r="A2162" s="2">
        <v>42818</v>
      </c>
      <c r="B2162" s="1">
        <f t="shared" si="66"/>
        <v>42795</v>
      </c>
      <c r="C2162" s="4" t="str">
        <f t="shared" si="67"/>
        <v>2017-03</v>
      </c>
      <c r="D2162" s="3">
        <v>35.159999999999997</v>
      </c>
      <c r="E2162" s="3">
        <v>2.69</v>
      </c>
      <c r="F2162" s="3">
        <v>140.34</v>
      </c>
      <c r="G2162" s="3">
        <v>2.5499999999999998</v>
      </c>
    </row>
    <row r="2163" spans="1:7" x14ac:dyDescent="0.2">
      <c r="A2163" s="2">
        <v>42817</v>
      </c>
      <c r="B2163" s="1">
        <f t="shared" si="66"/>
        <v>42795</v>
      </c>
      <c r="C2163" s="4" t="str">
        <f t="shared" si="67"/>
        <v>2017-03</v>
      </c>
      <c r="D2163" s="3">
        <v>35.229999999999997</v>
      </c>
      <c r="E2163" s="3">
        <v>2.68</v>
      </c>
      <c r="F2163" s="3">
        <v>139.53</v>
      </c>
      <c r="G2163" s="3">
        <v>2.56</v>
      </c>
    </row>
    <row r="2164" spans="1:7" x14ac:dyDescent="0.2">
      <c r="A2164" s="2">
        <v>42816</v>
      </c>
      <c r="B2164" s="1">
        <f t="shared" si="66"/>
        <v>42795</v>
      </c>
      <c r="C2164" s="4" t="str">
        <f t="shared" si="67"/>
        <v>2017-03</v>
      </c>
      <c r="D2164" s="3">
        <v>35.36</v>
      </c>
      <c r="E2164" s="3">
        <v>2.7</v>
      </c>
      <c r="F2164" s="3">
        <v>139.59</v>
      </c>
      <c r="G2164" s="3">
        <v>2.54</v>
      </c>
    </row>
    <row r="2165" spans="1:7" x14ac:dyDescent="0.2">
      <c r="A2165" s="2">
        <v>42815</v>
      </c>
      <c r="B2165" s="1">
        <f t="shared" si="66"/>
        <v>42795</v>
      </c>
      <c r="C2165" s="4" t="str">
        <f t="shared" si="67"/>
        <v>2017-03</v>
      </c>
      <c r="D2165" s="3">
        <v>34.96</v>
      </c>
      <c r="E2165" s="3">
        <v>2.65</v>
      </c>
      <c r="F2165" s="3">
        <v>138.51</v>
      </c>
      <c r="G2165" s="3">
        <v>2.4700000000000002</v>
      </c>
    </row>
    <row r="2166" spans="1:7" x14ac:dyDescent="0.2">
      <c r="A2166" s="2">
        <v>42814</v>
      </c>
      <c r="B2166" s="1">
        <f t="shared" si="66"/>
        <v>42795</v>
      </c>
      <c r="C2166" s="4" t="str">
        <f t="shared" si="67"/>
        <v>2017-03</v>
      </c>
      <c r="D2166" s="3">
        <v>35.369999999999997</v>
      </c>
      <c r="E2166" s="3">
        <v>2.74</v>
      </c>
      <c r="F2166" s="3">
        <v>139.94</v>
      </c>
      <c r="G2166" s="3">
        <v>2.56</v>
      </c>
    </row>
    <row r="2167" spans="1:7" x14ac:dyDescent="0.2">
      <c r="A2167" s="2">
        <v>42811</v>
      </c>
      <c r="B2167" s="1">
        <f t="shared" si="66"/>
        <v>42795</v>
      </c>
      <c r="C2167" s="4" t="str">
        <f t="shared" si="67"/>
        <v>2017-03</v>
      </c>
      <c r="D2167" s="3">
        <v>35</v>
      </c>
      <c r="E2167" s="3">
        <v>2.65</v>
      </c>
      <c r="F2167" s="3">
        <v>139.84</v>
      </c>
      <c r="G2167" s="3">
        <v>2.5299999999999998</v>
      </c>
    </row>
    <row r="2168" spans="1:7" x14ac:dyDescent="0.2">
      <c r="A2168" s="2">
        <v>42810</v>
      </c>
      <c r="B2168" s="1">
        <f t="shared" si="66"/>
        <v>42795</v>
      </c>
      <c r="C2168" s="4" t="str">
        <f t="shared" si="67"/>
        <v>2017-03</v>
      </c>
      <c r="D2168" s="3">
        <v>35.17</v>
      </c>
      <c r="E2168" s="3">
        <v>2.6</v>
      </c>
      <c r="F2168" s="3">
        <v>139.99</v>
      </c>
      <c r="G2168" s="3">
        <v>2.52</v>
      </c>
    </row>
    <row r="2169" spans="1:7" x14ac:dyDescent="0.2">
      <c r="A2169" s="2">
        <v>42809</v>
      </c>
      <c r="B2169" s="1">
        <f t="shared" si="66"/>
        <v>42795</v>
      </c>
      <c r="C2169" s="4" t="str">
        <f t="shared" si="67"/>
        <v>2017-03</v>
      </c>
      <c r="D2169" s="3">
        <v>35.119999999999997</v>
      </c>
      <c r="E2169" s="3">
        <v>2.56</v>
      </c>
      <c r="F2169" s="3">
        <v>139.72</v>
      </c>
      <c r="G2169" s="3">
        <v>2.52</v>
      </c>
    </row>
    <row r="2170" spans="1:7" x14ac:dyDescent="0.2">
      <c r="A2170" s="2">
        <v>42808</v>
      </c>
      <c r="B2170" s="1">
        <f t="shared" si="66"/>
        <v>42795</v>
      </c>
      <c r="C2170" s="4" t="str">
        <f t="shared" si="67"/>
        <v>2017-03</v>
      </c>
      <c r="D2170" s="3">
        <v>34.75</v>
      </c>
      <c r="E2170" s="3">
        <v>2.54</v>
      </c>
      <c r="F2170" s="3">
        <v>139.32</v>
      </c>
      <c r="G2170" s="3">
        <v>2.5099999999999998</v>
      </c>
    </row>
    <row r="2171" spans="1:7" x14ac:dyDescent="0.2">
      <c r="A2171" s="2">
        <v>42807</v>
      </c>
      <c r="B2171" s="1">
        <f t="shared" si="66"/>
        <v>42795</v>
      </c>
      <c r="C2171" s="4" t="str">
        <f t="shared" si="67"/>
        <v>2017-03</v>
      </c>
      <c r="D2171" s="3">
        <v>34.799999999999997</v>
      </c>
      <c r="E2171" s="3">
        <v>2.5499999999999998</v>
      </c>
      <c r="F2171" s="3">
        <v>139.6</v>
      </c>
      <c r="G2171" s="3">
        <v>2.5</v>
      </c>
    </row>
    <row r="2172" spans="1:7" x14ac:dyDescent="0.2">
      <c r="A2172" s="2">
        <v>42804</v>
      </c>
      <c r="B2172" s="1">
        <f t="shared" si="66"/>
        <v>42795</v>
      </c>
      <c r="C2172" s="4" t="str">
        <f t="shared" si="67"/>
        <v>2017-03</v>
      </c>
      <c r="D2172" s="3">
        <v>34.79</v>
      </c>
      <c r="E2172" s="3">
        <v>2.48</v>
      </c>
      <c r="F2172" s="3">
        <v>138.79</v>
      </c>
      <c r="G2172" s="3">
        <v>2.5</v>
      </c>
    </row>
    <row r="2173" spans="1:7" x14ac:dyDescent="0.2">
      <c r="A2173" s="2">
        <v>42803</v>
      </c>
      <c r="B2173" s="1">
        <f t="shared" si="66"/>
        <v>42795</v>
      </c>
      <c r="C2173" s="4" t="str">
        <f t="shared" si="67"/>
        <v>2017-03</v>
      </c>
      <c r="D2173" s="3">
        <v>34.67</v>
      </c>
      <c r="E2173" s="3">
        <v>2.46</v>
      </c>
      <c r="F2173" s="3">
        <v>138.24</v>
      </c>
      <c r="G2173" s="3">
        <v>2.46</v>
      </c>
    </row>
    <row r="2174" spans="1:7" x14ac:dyDescent="0.2">
      <c r="A2174" s="2">
        <v>42802</v>
      </c>
      <c r="B2174" s="1">
        <f t="shared" si="66"/>
        <v>42795</v>
      </c>
      <c r="C2174" s="4" t="str">
        <f t="shared" si="67"/>
        <v>2017-03</v>
      </c>
      <c r="D2174" s="3">
        <v>34.75</v>
      </c>
      <c r="E2174" s="3">
        <v>2.46</v>
      </c>
      <c r="F2174" s="3">
        <v>137.72</v>
      </c>
      <c r="G2174" s="3">
        <v>2.4700000000000002</v>
      </c>
    </row>
    <row r="2175" spans="1:7" x14ac:dyDescent="0.2">
      <c r="A2175" s="2">
        <v>42801</v>
      </c>
      <c r="B2175" s="1">
        <f t="shared" si="66"/>
        <v>42795</v>
      </c>
      <c r="C2175" s="4" t="str">
        <f t="shared" si="67"/>
        <v>2017-03</v>
      </c>
      <c r="D2175" s="3">
        <v>34.880000000000003</v>
      </c>
      <c r="E2175" s="3">
        <v>2.4700000000000002</v>
      </c>
      <c r="F2175" s="3">
        <v>137.30000000000001</v>
      </c>
      <c r="G2175" s="3">
        <v>2.52</v>
      </c>
    </row>
    <row r="2176" spans="1:7" x14ac:dyDescent="0.2">
      <c r="A2176" s="2">
        <v>42800</v>
      </c>
      <c r="B2176" s="1">
        <f t="shared" si="66"/>
        <v>42795</v>
      </c>
      <c r="C2176" s="4" t="str">
        <f t="shared" si="67"/>
        <v>2017-03</v>
      </c>
      <c r="D2176" s="3">
        <v>34.840000000000003</v>
      </c>
      <c r="E2176" s="3">
        <v>2.44</v>
      </c>
      <c r="F2176" s="3">
        <v>137.41999999999999</v>
      </c>
      <c r="G2176" s="3">
        <v>2.5099999999999998</v>
      </c>
    </row>
    <row r="2177" spans="1:7" x14ac:dyDescent="0.2">
      <c r="A2177" s="2">
        <v>42797</v>
      </c>
      <c r="B2177" s="1">
        <f t="shared" si="66"/>
        <v>42795</v>
      </c>
      <c r="C2177" s="4" t="str">
        <f t="shared" si="67"/>
        <v>2017-03</v>
      </c>
      <c r="D2177" s="3">
        <v>34.950000000000003</v>
      </c>
      <c r="E2177" s="3">
        <v>2.46</v>
      </c>
      <c r="F2177" s="3">
        <v>137.16999999999999</v>
      </c>
      <c r="G2177" s="3">
        <v>2.5299999999999998</v>
      </c>
    </row>
    <row r="2178" spans="1:7" x14ac:dyDescent="0.2">
      <c r="A2178" s="2">
        <v>42796</v>
      </c>
      <c r="B2178" s="1">
        <f t="shared" si="66"/>
        <v>42795</v>
      </c>
      <c r="C2178" s="4" t="str">
        <f t="shared" si="67"/>
        <v>2017-03</v>
      </c>
      <c r="D2178" s="3">
        <v>34.74</v>
      </c>
      <c r="E2178" s="3">
        <v>2.48</v>
      </c>
      <c r="F2178" s="3">
        <v>136.76</v>
      </c>
      <c r="G2178" s="3">
        <v>2.66</v>
      </c>
    </row>
    <row r="2179" spans="1:7" x14ac:dyDescent="0.2">
      <c r="A2179" s="2">
        <v>42795</v>
      </c>
      <c r="B2179" s="1">
        <f t="shared" ref="B2179:B2242" si="68">EOMONTH(A2179, -1)+1</f>
        <v>42795</v>
      </c>
      <c r="C2179" s="4" t="str">
        <f t="shared" ref="C2179:C2242" si="69">TEXT(A2179, "yyyy-mm")</f>
        <v>2017-03</v>
      </c>
      <c r="D2179" s="3">
        <v>34.950000000000003</v>
      </c>
      <c r="E2179" s="3">
        <v>2.57</v>
      </c>
      <c r="F2179" s="3">
        <v>137.41999999999999</v>
      </c>
      <c r="G2179" s="3">
        <v>2.66</v>
      </c>
    </row>
    <row r="2180" spans="1:7" x14ac:dyDescent="0.2">
      <c r="A2180" s="2">
        <v>42794</v>
      </c>
      <c r="B2180" s="1">
        <f t="shared" si="68"/>
        <v>42767</v>
      </c>
      <c r="C2180" s="4" t="str">
        <f t="shared" si="69"/>
        <v>2017-02</v>
      </c>
      <c r="D2180" s="3">
        <v>34.25</v>
      </c>
      <c r="E2180" s="3">
        <v>2.54</v>
      </c>
      <c r="F2180" s="3">
        <v>135.54</v>
      </c>
      <c r="G2180" s="3">
        <v>2.6</v>
      </c>
    </row>
    <row r="2181" spans="1:7" x14ac:dyDescent="0.2">
      <c r="A2181" s="2">
        <v>42793</v>
      </c>
      <c r="B2181" s="1">
        <f t="shared" si="68"/>
        <v>42767</v>
      </c>
      <c r="C2181" s="4" t="str">
        <f t="shared" si="69"/>
        <v>2017-02</v>
      </c>
      <c r="D2181" s="3">
        <v>34.229999999999997</v>
      </c>
      <c r="E2181" s="3">
        <v>2.61</v>
      </c>
      <c r="F2181" s="3">
        <v>136.41</v>
      </c>
      <c r="G2181" s="3">
        <v>2.62</v>
      </c>
    </row>
    <row r="2182" spans="1:7" x14ac:dyDescent="0.2">
      <c r="A2182" s="2">
        <v>42790</v>
      </c>
      <c r="B2182" s="1">
        <f t="shared" si="68"/>
        <v>42767</v>
      </c>
      <c r="C2182" s="4" t="str">
        <f t="shared" si="69"/>
        <v>2017-02</v>
      </c>
      <c r="D2182" s="3">
        <v>34.17</v>
      </c>
      <c r="E2182" s="3">
        <v>2.54</v>
      </c>
      <c r="F2182" s="3">
        <v>135.44</v>
      </c>
      <c r="G2182" s="3">
        <v>2.7</v>
      </c>
    </row>
    <row r="2183" spans="1:7" x14ac:dyDescent="0.2">
      <c r="A2183" s="2">
        <v>42789</v>
      </c>
      <c r="B2183" s="1">
        <f t="shared" si="68"/>
        <v>42767</v>
      </c>
      <c r="C2183" s="4" t="str">
        <f t="shared" si="69"/>
        <v>2017-02</v>
      </c>
      <c r="D2183" s="3">
        <v>34.130000000000003</v>
      </c>
      <c r="E2183" s="3">
        <v>2.5099999999999998</v>
      </c>
      <c r="F2183" s="3">
        <v>135.36000000000001</v>
      </c>
      <c r="G2183" s="3">
        <v>2.74</v>
      </c>
    </row>
    <row r="2184" spans="1:7" x14ac:dyDescent="0.2">
      <c r="A2184" s="2">
        <v>42788</v>
      </c>
      <c r="B2184" s="1">
        <f t="shared" si="68"/>
        <v>42767</v>
      </c>
      <c r="C2184" s="4" t="str">
        <f t="shared" si="69"/>
        <v>2017-02</v>
      </c>
      <c r="D2184" s="3">
        <v>34.28</v>
      </c>
      <c r="E2184" s="3">
        <v>2.77</v>
      </c>
      <c r="F2184" s="3">
        <v>136.12</v>
      </c>
      <c r="G2184" s="3">
        <v>2.71</v>
      </c>
    </row>
    <row r="2185" spans="1:7" x14ac:dyDescent="0.2">
      <c r="A2185" s="2">
        <v>42787</v>
      </c>
      <c r="B2185" s="1">
        <f t="shared" si="68"/>
        <v>42767</v>
      </c>
      <c r="C2185" s="4" t="str">
        <f t="shared" si="69"/>
        <v>2017-02</v>
      </c>
      <c r="D2185" s="3">
        <v>34.18</v>
      </c>
      <c r="E2185" s="3">
        <v>2.78</v>
      </c>
      <c r="F2185" s="3">
        <v>133.72</v>
      </c>
      <c r="G2185" s="3">
        <v>2.71</v>
      </c>
    </row>
    <row r="2186" spans="1:7" x14ac:dyDescent="0.2">
      <c r="A2186" s="2">
        <v>42783</v>
      </c>
      <c r="B2186" s="1">
        <f t="shared" si="68"/>
        <v>42767</v>
      </c>
      <c r="C2186" s="4" t="str">
        <f t="shared" si="69"/>
        <v>2017-02</v>
      </c>
      <c r="D2186" s="3">
        <v>33.93</v>
      </c>
      <c r="E2186" s="3">
        <v>2.68</v>
      </c>
      <c r="F2186" s="3">
        <v>133.53</v>
      </c>
      <c r="G2186" s="3">
        <v>2.71</v>
      </c>
    </row>
    <row r="2187" spans="1:7" x14ac:dyDescent="0.2">
      <c r="A2187" s="2">
        <v>42782</v>
      </c>
      <c r="B2187" s="1">
        <f t="shared" si="68"/>
        <v>42767</v>
      </c>
      <c r="C2187" s="4" t="str">
        <f t="shared" si="69"/>
        <v>2017-02</v>
      </c>
      <c r="D2187" s="3">
        <v>33.840000000000003</v>
      </c>
      <c r="E2187" s="3">
        <v>2.68</v>
      </c>
      <c r="F2187" s="3">
        <v>133.84</v>
      </c>
      <c r="G2187" s="3">
        <v>2.71</v>
      </c>
    </row>
    <row r="2188" spans="1:7" x14ac:dyDescent="0.2">
      <c r="A2188" s="2">
        <v>42781</v>
      </c>
      <c r="B2188" s="1">
        <f t="shared" si="68"/>
        <v>42767</v>
      </c>
      <c r="C2188" s="4" t="str">
        <f t="shared" si="69"/>
        <v>2017-02</v>
      </c>
      <c r="D2188" s="3">
        <v>33.880000000000003</v>
      </c>
      <c r="E2188" s="3">
        <v>2.73</v>
      </c>
      <c r="F2188" s="3">
        <v>133.44</v>
      </c>
      <c r="G2188" s="3">
        <v>2.71</v>
      </c>
    </row>
    <row r="2189" spans="1:7" x14ac:dyDescent="0.2">
      <c r="A2189" s="2">
        <v>42780</v>
      </c>
      <c r="B2189" s="1">
        <f t="shared" si="68"/>
        <v>42767</v>
      </c>
      <c r="C2189" s="4" t="str">
        <f t="shared" si="69"/>
        <v>2017-02</v>
      </c>
      <c r="D2189" s="3">
        <v>33.76</v>
      </c>
      <c r="E2189" s="3">
        <v>2.72</v>
      </c>
      <c r="F2189" s="3">
        <v>133.85</v>
      </c>
      <c r="G2189" s="3">
        <v>2.71</v>
      </c>
    </row>
    <row r="2190" spans="1:7" x14ac:dyDescent="0.2">
      <c r="A2190" s="2">
        <v>42779</v>
      </c>
      <c r="B2190" s="1">
        <f t="shared" si="68"/>
        <v>42767</v>
      </c>
      <c r="C2190" s="4" t="str">
        <f t="shared" si="69"/>
        <v>2017-02</v>
      </c>
      <c r="D2190" s="3">
        <v>33.32</v>
      </c>
      <c r="E2190" s="3">
        <v>2.71</v>
      </c>
      <c r="F2190" s="3">
        <v>134.05000000000001</v>
      </c>
      <c r="G2190" s="3">
        <v>2.67</v>
      </c>
    </row>
    <row r="2191" spans="1:7" x14ac:dyDescent="0.2">
      <c r="A2191" s="2">
        <v>42776</v>
      </c>
      <c r="B2191" s="1">
        <f t="shared" si="68"/>
        <v>42767</v>
      </c>
      <c r="C2191" s="4" t="str">
        <f t="shared" si="69"/>
        <v>2017-02</v>
      </c>
      <c r="D2191" s="3">
        <v>33.03</v>
      </c>
      <c r="E2191" s="3">
        <v>2.84</v>
      </c>
      <c r="F2191" s="3">
        <v>134.19</v>
      </c>
      <c r="G2191" s="3">
        <v>2.66</v>
      </c>
    </row>
    <row r="2192" spans="1:7" x14ac:dyDescent="0.2">
      <c r="A2192" s="2">
        <v>42775</v>
      </c>
      <c r="B2192" s="1">
        <f t="shared" si="68"/>
        <v>42767</v>
      </c>
      <c r="C2192" s="4" t="str">
        <f t="shared" si="69"/>
        <v>2017-02</v>
      </c>
      <c r="D2192" s="3">
        <v>33.11</v>
      </c>
      <c r="E2192" s="3">
        <v>2.91</v>
      </c>
      <c r="F2192" s="3">
        <v>134.13999999999999</v>
      </c>
      <c r="G2192" s="3">
        <v>2.65</v>
      </c>
    </row>
    <row r="2193" spans="1:7" x14ac:dyDescent="0.2">
      <c r="A2193" s="2">
        <v>42774</v>
      </c>
      <c r="B2193" s="1">
        <f t="shared" si="68"/>
        <v>42767</v>
      </c>
      <c r="C2193" s="4" t="str">
        <f t="shared" si="69"/>
        <v>2017-02</v>
      </c>
      <c r="D2193" s="3">
        <v>33.01</v>
      </c>
      <c r="E2193" s="3">
        <v>2.97</v>
      </c>
      <c r="F2193" s="3">
        <v>134.19999999999999</v>
      </c>
      <c r="G2193" s="3">
        <v>2.63</v>
      </c>
    </row>
    <row r="2194" spans="1:7" x14ac:dyDescent="0.2">
      <c r="A2194" s="2">
        <v>42773</v>
      </c>
      <c r="B2194" s="1">
        <f t="shared" si="68"/>
        <v>42767</v>
      </c>
      <c r="C2194" s="4" t="str">
        <f t="shared" si="69"/>
        <v>2017-02</v>
      </c>
      <c r="D2194" s="3">
        <v>32.880000000000003</v>
      </c>
      <c r="E2194" s="3">
        <v>2.98</v>
      </c>
      <c r="F2194" s="3">
        <v>131.84</v>
      </c>
      <c r="G2194" s="3">
        <v>2.61</v>
      </c>
    </row>
    <row r="2195" spans="1:7" x14ac:dyDescent="0.2">
      <c r="A2195" s="2">
        <v>42772</v>
      </c>
      <c r="B2195" s="1">
        <f t="shared" si="68"/>
        <v>42767</v>
      </c>
      <c r="C2195" s="4" t="str">
        <f t="shared" si="69"/>
        <v>2017-02</v>
      </c>
      <c r="D2195" s="3">
        <v>32.57</v>
      </c>
      <c r="E2195" s="3">
        <v>2.93</v>
      </c>
      <c r="F2195" s="3">
        <v>132.06</v>
      </c>
      <c r="G2195" s="3">
        <v>2.57</v>
      </c>
    </row>
    <row r="2196" spans="1:7" x14ac:dyDescent="0.2">
      <c r="A2196" s="2">
        <v>42769</v>
      </c>
      <c r="B2196" s="1">
        <f t="shared" si="68"/>
        <v>42767</v>
      </c>
      <c r="C2196" s="4" t="str">
        <f t="shared" si="69"/>
        <v>2017-02</v>
      </c>
      <c r="D2196" s="3">
        <v>32.270000000000003</v>
      </c>
      <c r="E2196" s="3">
        <v>2.86</v>
      </c>
      <c r="F2196" s="3">
        <v>130.97999999999999</v>
      </c>
      <c r="G2196" s="3">
        <v>2.58</v>
      </c>
    </row>
    <row r="2197" spans="1:7" x14ac:dyDescent="0.2">
      <c r="A2197" s="2">
        <v>42768</v>
      </c>
      <c r="B2197" s="1">
        <f t="shared" si="68"/>
        <v>42767</v>
      </c>
      <c r="C2197" s="4" t="str">
        <f t="shared" si="69"/>
        <v>2017-02</v>
      </c>
      <c r="D2197" s="3">
        <v>32.130000000000003</v>
      </c>
      <c r="E2197" s="3">
        <v>2.88</v>
      </c>
      <c r="F2197" s="3">
        <v>130.84</v>
      </c>
      <c r="G2197" s="3">
        <v>2.5499999999999998</v>
      </c>
    </row>
    <row r="2198" spans="1:7" x14ac:dyDescent="0.2">
      <c r="A2198" s="2">
        <v>42767</v>
      </c>
      <c r="B2198" s="1">
        <f t="shared" si="68"/>
        <v>42767</v>
      </c>
      <c r="C2198" s="4" t="str">
        <f t="shared" si="69"/>
        <v>2017-02</v>
      </c>
      <c r="D2198" s="3">
        <v>32.19</v>
      </c>
      <c r="E2198" s="3">
        <v>2.85</v>
      </c>
      <c r="F2198" s="3">
        <v>133.22999999999999</v>
      </c>
      <c r="G2198" s="3">
        <v>2.56</v>
      </c>
    </row>
    <row r="2199" spans="1:7" x14ac:dyDescent="0.2">
      <c r="A2199" s="2">
        <v>42766</v>
      </c>
      <c r="B2199" s="1">
        <f t="shared" si="68"/>
        <v>42736</v>
      </c>
      <c r="C2199" s="4" t="str">
        <f t="shared" si="69"/>
        <v>2017-01</v>
      </c>
      <c r="D2199" s="3">
        <v>30.34</v>
      </c>
      <c r="E2199" s="3">
        <v>2.73</v>
      </c>
      <c r="F2199" s="3">
        <v>130.32</v>
      </c>
      <c r="G2199" s="3">
        <v>2.65</v>
      </c>
    </row>
    <row r="2200" spans="1:7" x14ac:dyDescent="0.2">
      <c r="A2200" s="2">
        <v>42765</v>
      </c>
      <c r="B2200" s="1">
        <f t="shared" si="68"/>
        <v>42736</v>
      </c>
      <c r="C2200" s="4" t="str">
        <f t="shared" si="69"/>
        <v>2017-01</v>
      </c>
      <c r="D2200" s="3">
        <v>30.41</v>
      </c>
      <c r="E2200" s="3">
        <v>2.75</v>
      </c>
      <c r="F2200" s="3">
        <v>130.97999999999999</v>
      </c>
      <c r="G2200" s="3">
        <v>2.5499999999999998</v>
      </c>
    </row>
    <row r="2201" spans="1:7" x14ac:dyDescent="0.2">
      <c r="A2201" s="2">
        <v>42762</v>
      </c>
      <c r="B2201" s="1">
        <f t="shared" si="68"/>
        <v>42736</v>
      </c>
      <c r="C2201" s="4" t="str">
        <f t="shared" si="69"/>
        <v>2017-01</v>
      </c>
      <c r="D2201" s="3">
        <v>30.49</v>
      </c>
      <c r="E2201" s="3">
        <v>2.79</v>
      </c>
      <c r="F2201" s="3">
        <v>132.18</v>
      </c>
      <c r="G2201" s="3">
        <v>2.67</v>
      </c>
    </row>
    <row r="2202" spans="1:7" x14ac:dyDescent="0.2">
      <c r="A2202" s="2">
        <v>42761</v>
      </c>
      <c r="B2202" s="1">
        <f t="shared" si="68"/>
        <v>42736</v>
      </c>
      <c r="C2202" s="4" t="str">
        <f t="shared" si="69"/>
        <v>2017-01</v>
      </c>
      <c r="D2202" s="3">
        <v>30.49</v>
      </c>
      <c r="E2202" s="3">
        <v>2.74</v>
      </c>
      <c r="F2202" s="3">
        <v>132.78</v>
      </c>
      <c r="G2202" s="3">
        <v>2.86</v>
      </c>
    </row>
    <row r="2203" spans="1:7" x14ac:dyDescent="0.2">
      <c r="A2203" s="2">
        <v>42760</v>
      </c>
      <c r="B2203" s="1">
        <f t="shared" si="68"/>
        <v>42736</v>
      </c>
      <c r="C2203" s="4" t="str">
        <f t="shared" si="69"/>
        <v>2017-01</v>
      </c>
      <c r="D2203" s="3">
        <v>30.47</v>
      </c>
      <c r="E2203" s="3">
        <v>2.69</v>
      </c>
      <c r="F2203" s="3">
        <v>131.47999999999999</v>
      </c>
      <c r="G2203" s="3">
        <v>2.85</v>
      </c>
    </row>
    <row r="2204" spans="1:7" x14ac:dyDescent="0.2">
      <c r="A2204" s="2">
        <v>42759</v>
      </c>
      <c r="B2204" s="1">
        <f t="shared" si="68"/>
        <v>42736</v>
      </c>
      <c r="C2204" s="4" t="str">
        <f t="shared" si="69"/>
        <v>2017-01</v>
      </c>
      <c r="D2204" s="3">
        <v>29.99</v>
      </c>
      <c r="E2204" s="3">
        <v>2.68</v>
      </c>
      <c r="F2204" s="3">
        <v>129.37</v>
      </c>
      <c r="G2204" s="3">
        <v>2.78</v>
      </c>
    </row>
    <row r="2205" spans="1:7" x14ac:dyDescent="0.2">
      <c r="A2205" s="2">
        <v>42758</v>
      </c>
      <c r="B2205" s="1">
        <f t="shared" si="68"/>
        <v>42736</v>
      </c>
      <c r="C2205" s="4" t="str">
        <f t="shared" si="69"/>
        <v>2017-01</v>
      </c>
      <c r="D2205" s="3">
        <v>30.02</v>
      </c>
      <c r="E2205" s="3">
        <v>2.63</v>
      </c>
      <c r="F2205" s="3">
        <v>128.93</v>
      </c>
      <c r="G2205" s="3">
        <v>2.79</v>
      </c>
    </row>
    <row r="2206" spans="1:7" x14ac:dyDescent="0.2">
      <c r="A2206" s="2">
        <v>42755</v>
      </c>
      <c r="B2206" s="1">
        <f t="shared" si="68"/>
        <v>42736</v>
      </c>
      <c r="C2206" s="4" t="str">
        <f t="shared" si="69"/>
        <v>2017-01</v>
      </c>
      <c r="D2206" s="3">
        <v>30</v>
      </c>
      <c r="E2206" s="3">
        <v>2.6</v>
      </c>
      <c r="F2206" s="3">
        <v>127.04</v>
      </c>
      <c r="G2206" s="3">
        <v>2.77</v>
      </c>
    </row>
    <row r="2207" spans="1:7" x14ac:dyDescent="0.2">
      <c r="A2207" s="2">
        <v>42754</v>
      </c>
      <c r="B2207" s="1">
        <f t="shared" si="68"/>
        <v>42736</v>
      </c>
      <c r="C2207" s="4" t="str">
        <f t="shared" si="69"/>
        <v>2017-01</v>
      </c>
      <c r="D2207" s="3">
        <v>29.95</v>
      </c>
      <c r="E2207" s="3">
        <v>2.63</v>
      </c>
      <c r="F2207" s="3">
        <v>127.55</v>
      </c>
      <c r="G2207" s="3">
        <v>2.72</v>
      </c>
    </row>
    <row r="2208" spans="1:7" x14ac:dyDescent="0.2">
      <c r="A2208" s="2">
        <v>42753</v>
      </c>
      <c r="B2208" s="1">
        <f t="shared" si="68"/>
        <v>42736</v>
      </c>
      <c r="C2208" s="4" t="str">
        <f t="shared" si="69"/>
        <v>2017-01</v>
      </c>
      <c r="D2208" s="3">
        <v>30</v>
      </c>
      <c r="E2208" s="3">
        <v>2.57</v>
      </c>
      <c r="F2208" s="3">
        <v>127.92</v>
      </c>
      <c r="G2208" s="3">
        <v>2.73</v>
      </c>
    </row>
    <row r="2209" spans="1:7" x14ac:dyDescent="0.2">
      <c r="A2209" s="2">
        <v>42752</v>
      </c>
      <c r="B2209" s="1">
        <f t="shared" si="68"/>
        <v>42736</v>
      </c>
      <c r="C2209" s="4" t="str">
        <f t="shared" si="69"/>
        <v>2017-01</v>
      </c>
      <c r="D2209" s="3">
        <v>30</v>
      </c>
      <c r="E2209" s="3">
        <v>2.5299999999999998</v>
      </c>
      <c r="F2209" s="3">
        <v>127.87</v>
      </c>
      <c r="G2209" s="3">
        <v>2.71</v>
      </c>
    </row>
    <row r="2210" spans="1:7" x14ac:dyDescent="0.2">
      <c r="A2210" s="2">
        <v>42748</v>
      </c>
      <c r="B2210" s="1">
        <f t="shared" si="68"/>
        <v>42736</v>
      </c>
      <c r="C2210" s="4" t="str">
        <f t="shared" si="69"/>
        <v>2017-01</v>
      </c>
      <c r="D2210" s="3">
        <v>29.76</v>
      </c>
      <c r="E2210" s="3">
        <v>2.59</v>
      </c>
      <c r="F2210" s="3">
        <v>128.34</v>
      </c>
      <c r="G2210" s="3">
        <v>2.82</v>
      </c>
    </row>
    <row r="2211" spans="1:7" x14ac:dyDescent="0.2">
      <c r="A2211" s="2">
        <v>42747</v>
      </c>
      <c r="B2211" s="1">
        <f t="shared" si="68"/>
        <v>42736</v>
      </c>
      <c r="C2211" s="4" t="str">
        <f t="shared" si="69"/>
        <v>2017-01</v>
      </c>
      <c r="D2211" s="3">
        <v>29.81</v>
      </c>
      <c r="E2211" s="3">
        <v>2.59</v>
      </c>
      <c r="F2211" s="3">
        <v>126.62</v>
      </c>
      <c r="G2211" s="3">
        <v>2.76</v>
      </c>
    </row>
    <row r="2212" spans="1:7" x14ac:dyDescent="0.2">
      <c r="A2212" s="2">
        <v>42746</v>
      </c>
      <c r="B2212" s="1">
        <f t="shared" si="68"/>
        <v>42736</v>
      </c>
      <c r="C2212" s="4" t="str">
        <f t="shared" si="69"/>
        <v>2017-01</v>
      </c>
      <c r="D2212" s="3">
        <v>29.94</v>
      </c>
      <c r="E2212" s="3">
        <v>2.63</v>
      </c>
      <c r="F2212" s="3">
        <v>126.09</v>
      </c>
      <c r="G2212" s="3">
        <v>2.86</v>
      </c>
    </row>
    <row r="2213" spans="1:7" x14ac:dyDescent="0.2">
      <c r="A2213" s="2">
        <v>42745</v>
      </c>
      <c r="B2213" s="1">
        <f t="shared" si="68"/>
        <v>42736</v>
      </c>
      <c r="C2213" s="4" t="str">
        <f t="shared" si="69"/>
        <v>2017-01</v>
      </c>
      <c r="D2213" s="3">
        <v>29.78</v>
      </c>
      <c r="E2213" s="3">
        <v>2.66</v>
      </c>
      <c r="F2213" s="3">
        <v>124.35</v>
      </c>
      <c r="G2213" s="3">
        <v>2.86</v>
      </c>
    </row>
    <row r="2214" spans="1:7" x14ac:dyDescent="0.2">
      <c r="A2214" s="2">
        <v>42744</v>
      </c>
      <c r="B2214" s="1">
        <f t="shared" si="68"/>
        <v>42736</v>
      </c>
      <c r="C2214" s="4" t="str">
        <f t="shared" si="69"/>
        <v>2017-01</v>
      </c>
      <c r="D2214" s="3">
        <v>29.75</v>
      </c>
      <c r="E2214" s="3">
        <v>2.68</v>
      </c>
      <c r="F2214" s="3">
        <v>124.9</v>
      </c>
      <c r="G2214" s="3">
        <v>2.83</v>
      </c>
    </row>
    <row r="2215" spans="1:7" x14ac:dyDescent="0.2">
      <c r="A2215" s="2">
        <v>42741</v>
      </c>
      <c r="B2215" s="1">
        <f t="shared" si="68"/>
        <v>42736</v>
      </c>
      <c r="C2215" s="4" t="str">
        <f t="shared" si="69"/>
        <v>2017-01</v>
      </c>
      <c r="D2215" s="3">
        <v>29.48</v>
      </c>
      <c r="E2215" s="3">
        <v>2.58</v>
      </c>
      <c r="F2215" s="3">
        <v>123.41</v>
      </c>
      <c r="G2215" s="3">
        <v>2.85</v>
      </c>
    </row>
    <row r="2216" spans="1:7" x14ac:dyDescent="0.2">
      <c r="A2216" s="2">
        <v>42740</v>
      </c>
      <c r="B2216" s="1">
        <f t="shared" si="68"/>
        <v>42736</v>
      </c>
      <c r="C2216" s="4" t="str">
        <f t="shared" si="69"/>
        <v>2017-01</v>
      </c>
      <c r="D2216" s="3">
        <v>29.15</v>
      </c>
      <c r="E2216" s="3">
        <v>2.54</v>
      </c>
      <c r="F2216" s="3">
        <v>120.67</v>
      </c>
      <c r="G2216" s="3">
        <v>2.86</v>
      </c>
    </row>
    <row r="2217" spans="1:7" x14ac:dyDescent="0.2">
      <c r="A2217" s="2">
        <v>42739</v>
      </c>
      <c r="B2217" s="1">
        <f t="shared" si="68"/>
        <v>42736</v>
      </c>
      <c r="C2217" s="4" t="str">
        <f t="shared" si="69"/>
        <v>2017-01</v>
      </c>
      <c r="D2217" s="3">
        <v>29.01</v>
      </c>
      <c r="E2217" s="3">
        <v>2.61</v>
      </c>
      <c r="F2217" s="3">
        <v>118.69</v>
      </c>
      <c r="G2217" s="3">
        <v>2.89</v>
      </c>
    </row>
    <row r="2218" spans="1:7" x14ac:dyDescent="0.2">
      <c r="A2218" s="2">
        <v>42738</v>
      </c>
      <c r="B2218" s="1">
        <f t="shared" si="68"/>
        <v>42736</v>
      </c>
      <c r="C2218" s="4" t="str">
        <f t="shared" si="69"/>
        <v>2017-01</v>
      </c>
      <c r="D2218" s="3">
        <v>29.04</v>
      </c>
      <c r="E2218" s="3">
        <v>2.5499999999999998</v>
      </c>
      <c r="F2218" s="3">
        <v>116.86</v>
      </c>
      <c r="G2218" s="3">
        <v>2.85</v>
      </c>
    </row>
    <row r="2219" spans="1:7" x14ac:dyDescent="0.2">
      <c r="A2219" s="2">
        <v>42734</v>
      </c>
      <c r="B2219" s="1">
        <f t="shared" si="68"/>
        <v>42705</v>
      </c>
      <c r="C2219" s="4" t="str">
        <f t="shared" si="69"/>
        <v>2016-12</v>
      </c>
      <c r="D2219" s="3">
        <v>28.96</v>
      </c>
      <c r="E2219" s="3">
        <v>2.67</v>
      </c>
      <c r="F2219" s="3">
        <v>115.05</v>
      </c>
      <c r="G2219" s="3">
        <v>2.81</v>
      </c>
    </row>
    <row r="2220" spans="1:7" x14ac:dyDescent="0.2">
      <c r="A2220" s="2">
        <v>42733</v>
      </c>
      <c r="B2220" s="1">
        <f t="shared" si="68"/>
        <v>42705</v>
      </c>
      <c r="C2220" s="4" t="str">
        <f t="shared" si="69"/>
        <v>2016-12</v>
      </c>
      <c r="D2220" s="3">
        <v>29.18</v>
      </c>
      <c r="E2220" s="3">
        <v>2.79</v>
      </c>
      <c r="F2220" s="3">
        <v>116.35</v>
      </c>
      <c r="G2220" s="3">
        <v>2.85</v>
      </c>
    </row>
    <row r="2221" spans="1:7" x14ac:dyDescent="0.2">
      <c r="A2221" s="2">
        <v>42732</v>
      </c>
      <c r="B2221" s="1">
        <f t="shared" si="68"/>
        <v>42705</v>
      </c>
      <c r="C2221" s="4" t="str">
        <f t="shared" si="69"/>
        <v>2016-12</v>
      </c>
      <c r="D2221" s="3">
        <v>29.19</v>
      </c>
      <c r="E2221" s="3">
        <v>2.73</v>
      </c>
      <c r="F2221" s="3">
        <v>116.92</v>
      </c>
      <c r="G2221" s="3">
        <v>2.85</v>
      </c>
    </row>
    <row r="2222" spans="1:7" x14ac:dyDescent="0.2">
      <c r="A2222" s="2">
        <v>42731</v>
      </c>
      <c r="B2222" s="1">
        <f t="shared" si="68"/>
        <v>42705</v>
      </c>
      <c r="C2222" s="4" t="str">
        <f t="shared" si="69"/>
        <v>2016-12</v>
      </c>
      <c r="D2222" s="3">
        <v>29.32</v>
      </c>
      <c r="E2222" s="3">
        <v>2.93</v>
      </c>
      <c r="F2222" s="3">
        <v>118.01</v>
      </c>
      <c r="G2222" s="3">
        <v>2.87</v>
      </c>
    </row>
    <row r="2223" spans="1:7" x14ac:dyDescent="0.2">
      <c r="A2223" s="2">
        <v>42727</v>
      </c>
      <c r="B2223" s="1">
        <f t="shared" si="68"/>
        <v>42705</v>
      </c>
      <c r="C2223" s="4" t="str">
        <f t="shared" si="69"/>
        <v>2016-12</v>
      </c>
      <c r="D2223" s="3">
        <v>29.13</v>
      </c>
      <c r="E2223" s="3">
        <v>2.74</v>
      </c>
      <c r="F2223" s="3">
        <v>117.27</v>
      </c>
      <c r="G2223" s="3">
        <v>2.87</v>
      </c>
    </row>
    <row r="2224" spans="1:7" x14ac:dyDescent="0.2">
      <c r="A2224" s="2">
        <v>42726</v>
      </c>
      <c r="B2224" s="1">
        <f t="shared" si="68"/>
        <v>42705</v>
      </c>
      <c r="C2224" s="4" t="str">
        <f t="shared" si="69"/>
        <v>2016-12</v>
      </c>
      <c r="D2224" s="3">
        <v>29.07</v>
      </c>
      <c r="E2224" s="3">
        <v>2.68</v>
      </c>
      <c r="F2224" s="3">
        <v>117.4</v>
      </c>
      <c r="G2224" s="3">
        <v>2.8</v>
      </c>
    </row>
    <row r="2225" spans="1:7" x14ac:dyDescent="0.2">
      <c r="A2225" s="2">
        <v>42725</v>
      </c>
      <c r="B2225" s="1">
        <f t="shared" si="68"/>
        <v>42705</v>
      </c>
      <c r="C2225" s="4" t="str">
        <f t="shared" si="69"/>
        <v>2016-12</v>
      </c>
      <c r="D2225" s="3">
        <v>29.27</v>
      </c>
      <c r="E2225" s="3">
        <v>2.65</v>
      </c>
      <c r="F2225" s="3">
        <v>119.04</v>
      </c>
      <c r="G2225" s="3">
        <v>2.88</v>
      </c>
    </row>
    <row r="2226" spans="1:7" x14ac:dyDescent="0.2">
      <c r="A2226" s="2">
        <v>42724</v>
      </c>
      <c r="B2226" s="1">
        <f t="shared" si="68"/>
        <v>42705</v>
      </c>
      <c r="C2226" s="4" t="str">
        <f t="shared" si="69"/>
        <v>2016-12</v>
      </c>
      <c r="D2226" s="3">
        <v>29.24</v>
      </c>
      <c r="E2226" s="3">
        <v>2.63</v>
      </c>
      <c r="F2226" s="3">
        <v>119.09</v>
      </c>
      <c r="G2226" s="3">
        <v>2.89</v>
      </c>
    </row>
    <row r="2227" spans="1:7" x14ac:dyDescent="0.2">
      <c r="A2227" s="2">
        <v>42723</v>
      </c>
      <c r="B2227" s="1">
        <f t="shared" si="68"/>
        <v>42705</v>
      </c>
      <c r="C2227" s="4" t="str">
        <f t="shared" si="69"/>
        <v>2016-12</v>
      </c>
      <c r="D2227" s="3">
        <v>29.16</v>
      </c>
      <c r="E2227" s="3">
        <v>2.54</v>
      </c>
      <c r="F2227" s="3">
        <v>119.24</v>
      </c>
      <c r="G2227" s="3">
        <v>2.9</v>
      </c>
    </row>
    <row r="2228" spans="1:7" x14ac:dyDescent="0.2">
      <c r="A2228" s="2">
        <v>42720</v>
      </c>
      <c r="B2228" s="1">
        <f t="shared" si="68"/>
        <v>42705</v>
      </c>
      <c r="C2228" s="4" t="str">
        <f t="shared" si="69"/>
        <v>2016-12</v>
      </c>
      <c r="D2228" s="3">
        <v>28.99</v>
      </c>
      <c r="E2228" s="3">
        <v>2.5099999999999998</v>
      </c>
      <c r="F2228" s="3">
        <v>119.87</v>
      </c>
      <c r="G2228" s="3">
        <v>2.83</v>
      </c>
    </row>
    <row r="2229" spans="1:7" x14ac:dyDescent="0.2">
      <c r="A2229" s="2">
        <v>42719</v>
      </c>
      <c r="B2229" s="1">
        <f t="shared" si="68"/>
        <v>42705</v>
      </c>
      <c r="C2229" s="4" t="str">
        <f t="shared" si="69"/>
        <v>2016-12</v>
      </c>
      <c r="D2229" s="3">
        <v>28.96</v>
      </c>
      <c r="E2229" s="3">
        <v>2.4700000000000002</v>
      </c>
      <c r="F2229" s="3">
        <v>120.57</v>
      </c>
      <c r="G2229" s="3">
        <v>2.83</v>
      </c>
    </row>
    <row r="2230" spans="1:7" x14ac:dyDescent="0.2">
      <c r="A2230" s="2">
        <v>42718</v>
      </c>
      <c r="B2230" s="1">
        <f t="shared" si="68"/>
        <v>42705</v>
      </c>
      <c r="C2230" s="4" t="str">
        <f t="shared" si="69"/>
        <v>2016-12</v>
      </c>
      <c r="D2230" s="3">
        <v>28.8</v>
      </c>
      <c r="E2230" s="3">
        <v>2.41</v>
      </c>
      <c r="F2230" s="3">
        <v>120.21</v>
      </c>
      <c r="G2230" s="3">
        <v>2.81</v>
      </c>
    </row>
    <row r="2231" spans="1:7" x14ac:dyDescent="0.2">
      <c r="A2231" s="2">
        <v>42717</v>
      </c>
      <c r="B2231" s="1">
        <f t="shared" si="68"/>
        <v>42705</v>
      </c>
      <c r="C2231" s="4" t="str">
        <f t="shared" si="69"/>
        <v>2016-12</v>
      </c>
      <c r="D2231" s="3">
        <v>28.8</v>
      </c>
      <c r="E2231" s="3">
        <v>2.2799999999999998</v>
      </c>
      <c r="F2231" s="3">
        <v>120.31</v>
      </c>
      <c r="G2231" s="3">
        <v>2.85</v>
      </c>
    </row>
    <row r="2232" spans="1:7" x14ac:dyDescent="0.2">
      <c r="A2232" s="2">
        <v>42716</v>
      </c>
      <c r="B2232" s="1">
        <f t="shared" si="68"/>
        <v>42705</v>
      </c>
      <c r="C2232" s="4" t="str">
        <f t="shared" si="69"/>
        <v>2016-12</v>
      </c>
      <c r="D2232" s="3">
        <v>28.33</v>
      </c>
      <c r="E2232" s="3">
        <v>2.2400000000000002</v>
      </c>
      <c r="F2232" s="3">
        <v>117.77</v>
      </c>
      <c r="G2232" s="3">
        <v>2.81</v>
      </c>
    </row>
    <row r="2233" spans="1:7" x14ac:dyDescent="0.2">
      <c r="A2233" s="2">
        <v>42713</v>
      </c>
      <c r="B2233" s="1">
        <f t="shared" si="68"/>
        <v>42705</v>
      </c>
      <c r="C2233" s="4" t="str">
        <f t="shared" si="69"/>
        <v>2016-12</v>
      </c>
      <c r="D2233" s="3">
        <v>28.49</v>
      </c>
      <c r="E2233" s="3">
        <v>2.2999999999999998</v>
      </c>
      <c r="F2233" s="3">
        <v>119.68</v>
      </c>
      <c r="G2233" s="3">
        <v>2.85</v>
      </c>
    </row>
    <row r="2234" spans="1:7" x14ac:dyDescent="0.2">
      <c r="A2234" s="2">
        <v>42712</v>
      </c>
      <c r="B2234" s="1">
        <f t="shared" si="68"/>
        <v>42705</v>
      </c>
      <c r="C2234" s="4" t="str">
        <f t="shared" si="69"/>
        <v>2016-12</v>
      </c>
      <c r="D2234" s="3">
        <v>28.03</v>
      </c>
      <c r="E2234" s="3">
        <v>2.34</v>
      </c>
      <c r="F2234" s="3">
        <v>118.91</v>
      </c>
      <c r="G2234" s="3">
        <v>2.9</v>
      </c>
    </row>
    <row r="2235" spans="1:7" x14ac:dyDescent="0.2">
      <c r="A2235" s="2">
        <v>42711</v>
      </c>
      <c r="B2235" s="1">
        <f t="shared" si="68"/>
        <v>42705</v>
      </c>
      <c r="C2235" s="4" t="str">
        <f t="shared" si="69"/>
        <v>2016-12</v>
      </c>
      <c r="D2235" s="3">
        <v>27.76</v>
      </c>
      <c r="E2235" s="3">
        <v>2.38</v>
      </c>
      <c r="F2235" s="3">
        <v>117.95</v>
      </c>
      <c r="G2235" s="3">
        <v>2.85</v>
      </c>
    </row>
    <row r="2236" spans="1:7" x14ac:dyDescent="0.2">
      <c r="A2236" s="2">
        <v>42710</v>
      </c>
      <c r="B2236" s="1">
        <f t="shared" si="68"/>
        <v>42705</v>
      </c>
      <c r="C2236" s="4" t="str">
        <f t="shared" si="69"/>
        <v>2016-12</v>
      </c>
      <c r="D2236" s="3">
        <v>27.49</v>
      </c>
      <c r="E2236" s="3">
        <v>2.33</v>
      </c>
      <c r="F2236" s="3">
        <v>117.31</v>
      </c>
      <c r="G2236" s="3">
        <v>2.8</v>
      </c>
    </row>
    <row r="2237" spans="1:7" x14ac:dyDescent="0.2">
      <c r="A2237" s="2">
        <v>42709</v>
      </c>
      <c r="B2237" s="1">
        <f t="shared" si="68"/>
        <v>42705</v>
      </c>
      <c r="C2237" s="4" t="str">
        <f t="shared" si="69"/>
        <v>2016-12</v>
      </c>
      <c r="D2237" s="3">
        <v>27.28</v>
      </c>
      <c r="E2237" s="3">
        <v>2.2999999999999998</v>
      </c>
      <c r="F2237" s="3">
        <v>117.43</v>
      </c>
      <c r="G2237" s="3">
        <v>2.76</v>
      </c>
    </row>
    <row r="2238" spans="1:7" x14ac:dyDescent="0.2">
      <c r="A2238" s="2">
        <v>42706</v>
      </c>
      <c r="B2238" s="1">
        <f t="shared" si="68"/>
        <v>42705</v>
      </c>
      <c r="C2238" s="4" t="str">
        <f t="shared" si="69"/>
        <v>2016-12</v>
      </c>
      <c r="D2238" s="3">
        <v>27.48</v>
      </c>
      <c r="E2238" s="3">
        <v>2.21</v>
      </c>
      <c r="F2238" s="3">
        <v>115.4</v>
      </c>
      <c r="G2238" s="3">
        <v>2.7</v>
      </c>
    </row>
    <row r="2239" spans="1:7" x14ac:dyDescent="0.2">
      <c r="A2239" s="2">
        <v>42705</v>
      </c>
      <c r="B2239" s="1">
        <f t="shared" si="68"/>
        <v>42705</v>
      </c>
      <c r="C2239" s="4" t="str">
        <f t="shared" si="69"/>
        <v>2016-12</v>
      </c>
      <c r="D2239" s="3">
        <v>27.37</v>
      </c>
      <c r="E2239" s="3">
        <v>2.19</v>
      </c>
      <c r="F2239" s="3">
        <v>115.1</v>
      </c>
      <c r="G2239" s="3">
        <v>2.62</v>
      </c>
    </row>
    <row r="2240" spans="1:7" x14ac:dyDescent="0.2">
      <c r="A2240" s="2">
        <v>42704</v>
      </c>
      <c r="B2240" s="1">
        <f t="shared" si="68"/>
        <v>42675</v>
      </c>
      <c r="C2240" s="4" t="str">
        <f t="shared" si="69"/>
        <v>2016-11</v>
      </c>
      <c r="D2240" s="3">
        <v>27.63</v>
      </c>
      <c r="E2240" s="3">
        <v>2.31</v>
      </c>
      <c r="F2240" s="3">
        <v>118.42</v>
      </c>
      <c r="G2240" s="3">
        <v>2.74</v>
      </c>
    </row>
    <row r="2241" spans="1:7" x14ac:dyDescent="0.2">
      <c r="A2241" s="2">
        <v>42703</v>
      </c>
      <c r="B2241" s="1">
        <f t="shared" si="68"/>
        <v>42675</v>
      </c>
      <c r="C2241" s="4" t="str">
        <f t="shared" si="69"/>
        <v>2016-11</v>
      </c>
      <c r="D2241" s="3">
        <v>27.87</v>
      </c>
      <c r="E2241" s="3">
        <v>2.33</v>
      </c>
      <c r="F2241" s="3">
        <v>120.87</v>
      </c>
      <c r="G2241" s="3">
        <v>2.61</v>
      </c>
    </row>
    <row r="2242" spans="1:7" x14ac:dyDescent="0.2">
      <c r="A2242" s="2">
        <v>42702</v>
      </c>
      <c r="B2242" s="1">
        <f t="shared" si="68"/>
        <v>42675</v>
      </c>
      <c r="C2242" s="4" t="str">
        <f t="shared" si="69"/>
        <v>2016-11</v>
      </c>
      <c r="D2242" s="3">
        <v>27.89</v>
      </c>
      <c r="E2242" s="3">
        <v>2.35</v>
      </c>
      <c r="F2242" s="3">
        <v>120.41</v>
      </c>
      <c r="G2242" s="3">
        <v>2.64</v>
      </c>
    </row>
    <row r="2243" spans="1:7" x14ac:dyDescent="0.2">
      <c r="A2243" s="2">
        <v>42699</v>
      </c>
      <c r="B2243" s="1">
        <f t="shared" ref="B2243:B2306" si="70">EOMONTH(A2243, -1)+1</f>
        <v>42675</v>
      </c>
      <c r="C2243" s="4" t="str">
        <f t="shared" ref="C2243:C2306" si="71">TEXT(A2243, "yyyy-mm")</f>
        <v>2016-11</v>
      </c>
      <c r="D2243" s="3">
        <v>27.95</v>
      </c>
      <c r="E2243" s="3">
        <v>2.35</v>
      </c>
      <c r="F2243" s="3">
        <v>120.38</v>
      </c>
      <c r="G2243" s="3">
        <v>2.69</v>
      </c>
    </row>
    <row r="2244" spans="1:7" x14ac:dyDescent="0.2">
      <c r="A2244" s="2">
        <v>42697</v>
      </c>
      <c r="B2244" s="1">
        <f t="shared" si="70"/>
        <v>42675</v>
      </c>
      <c r="C2244" s="4" t="str">
        <f t="shared" si="71"/>
        <v>2016-11</v>
      </c>
      <c r="D2244" s="3">
        <v>27.81</v>
      </c>
      <c r="E2244" s="3">
        <v>2.35</v>
      </c>
      <c r="F2244" s="3">
        <v>120.84</v>
      </c>
      <c r="G2244" s="3">
        <v>2.68</v>
      </c>
    </row>
    <row r="2245" spans="1:7" x14ac:dyDescent="0.2">
      <c r="A2245" s="2">
        <v>42696</v>
      </c>
      <c r="B2245" s="1">
        <f t="shared" si="70"/>
        <v>42675</v>
      </c>
      <c r="C2245" s="4" t="str">
        <f t="shared" si="71"/>
        <v>2016-11</v>
      </c>
      <c r="D2245" s="3">
        <v>27.95</v>
      </c>
      <c r="E2245" s="3">
        <v>2.34</v>
      </c>
      <c r="F2245" s="3">
        <v>121.47</v>
      </c>
      <c r="G2245" s="3">
        <v>2.66</v>
      </c>
    </row>
    <row r="2246" spans="1:7" x14ac:dyDescent="0.2">
      <c r="A2246" s="2">
        <v>42695</v>
      </c>
      <c r="B2246" s="1">
        <f t="shared" si="70"/>
        <v>42675</v>
      </c>
      <c r="C2246" s="4" t="str">
        <f t="shared" si="71"/>
        <v>2016-11</v>
      </c>
      <c r="D2246" s="3">
        <v>27.93</v>
      </c>
      <c r="E2246" s="3">
        <v>2.3199999999999998</v>
      </c>
      <c r="F2246" s="3">
        <v>121.77</v>
      </c>
      <c r="G2246" s="3">
        <v>2.65</v>
      </c>
    </row>
    <row r="2247" spans="1:7" x14ac:dyDescent="0.2">
      <c r="A2247" s="2">
        <v>42692</v>
      </c>
      <c r="B2247" s="1">
        <f t="shared" si="70"/>
        <v>42675</v>
      </c>
      <c r="C2247" s="4" t="str">
        <f t="shared" si="71"/>
        <v>2016-11</v>
      </c>
      <c r="D2247" s="3">
        <v>27.52</v>
      </c>
      <c r="E2247" s="3">
        <v>2.33</v>
      </c>
      <c r="F2247" s="3">
        <v>117.02</v>
      </c>
      <c r="G2247" s="3">
        <v>2.6</v>
      </c>
    </row>
    <row r="2248" spans="1:7" x14ac:dyDescent="0.2">
      <c r="A2248" s="2">
        <v>42691</v>
      </c>
      <c r="B2248" s="1">
        <f t="shared" si="70"/>
        <v>42675</v>
      </c>
      <c r="C2248" s="4" t="str">
        <f t="shared" si="71"/>
        <v>2016-11</v>
      </c>
      <c r="D2248" s="3">
        <v>27.49</v>
      </c>
      <c r="E2248" s="3">
        <v>2.31</v>
      </c>
      <c r="F2248" s="3">
        <v>117.79</v>
      </c>
      <c r="G2248" s="3">
        <v>2.58</v>
      </c>
    </row>
    <row r="2249" spans="1:7" x14ac:dyDescent="0.2">
      <c r="A2249" s="2">
        <v>42690</v>
      </c>
      <c r="B2249" s="1">
        <f t="shared" si="70"/>
        <v>42675</v>
      </c>
      <c r="C2249" s="4" t="str">
        <f t="shared" si="71"/>
        <v>2016-11</v>
      </c>
      <c r="D2249" s="3">
        <v>27.5</v>
      </c>
      <c r="E2249" s="3">
        <v>2.29</v>
      </c>
      <c r="F2249" s="3">
        <v>116.34</v>
      </c>
      <c r="G2249" s="3">
        <v>2.5499999999999998</v>
      </c>
    </row>
    <row r="2250" spans="1:7" x14ac:dyDescent="0.2">
      <c r="A2250" s="2">
        <v>42689</v>
      </c>
      <c r="B2250" s="1">
        <f t="shared" si="70"/>
        <v>42675</v>
      </c>
      <c r="C2250" s="4" t="str">
        <f t="shared" si="71"/>
        <v>2016-11</v>
      </c>
      <c r="D2250" s="3">
        <v>26.78</v>
      </c>
      <c r="E2250" s="3">
        <v>2.15</v>
      </c>
      <c r="F2250" s="3">
        <v>117.2</v>
      </c>
      <c r="G2250" s="3">
        <v>2.57</v>
      </c>
    </row>
    <row r="2251" spans="1:7" x14ac:dyDescent="0.2">
      <c r="A2251" s="2">
        <v>42688</v>
      </c>
      <c r="B2251" s="1">
        <f t="shared" si="70"/>
        <v>42675</v>
      </c>
      <c r="C2251" s="4" t="str">
        <f t="shared" si="71"/>
        <v>2016-11</v>
      </c>
      <c r="D2251" s="3">
        <v>26.43</v>
      </c>
      <c r="E2251" s="3">
        <v>2.09</v>
      </c>
      <c r="F2251" s="3">
        <v>115.08</v>
      </c>
      <c r="G2251" s="3">
        <v>2.57</v>
      </c>
    </row>
    <row r="2252" spans="1:7" x14ac:dyDescent="0.2">
      <c r="A2252" s="2">
        <v>42685</v>
      </c>
      <c r="B2252" s="1">
        <f t="shared" si="70"/>
        <v>42675</v>
      </c>
      <c r="C2252" s="4" t="str">
        <f t="shared" si="71"/>
        <v>2016-11</v>
      </c>
      <c r="D2252" s="3">
        <v>27.11</v>
      </c>
      <c r="E2252" s="3">
        <v>2.2000000000000002</v>
      </c>
      <c r="F2252" s="3">
        <v>119.02</v>
      </c>
      <c r="G2252" s="3">
        <v>2.5499999999999998</v>
      </c>
    </row>
    <row r="2253" spans="1:7" x14ac:dyDescent="0.2">
      <c r="A2253" s="2">
        <v>42684</v>
      </c>
      <c r="B2253" s="1">
        <f t="shared" si="70"/>
        <v>42675</v>
      </c>
      <c r="C2253" s="4" t="str">
        <f t="shared" si="71"/>
        <v>2016-11</v>
      </c>
      <c r="D2253" s="3">
        <v>26.95</v>
      </c>
      <c r="E2253" s="3">
        <v>1.69</v>
      </c>
      <c r="F2253" s="3">
        <v>120.8</v>
      </c>
      <c r="G2253" s="3">
        <v>2.39</v>
      </c>
    </row>
    <row r="2254" spans="1:7" x14ac:dyDescent="0.2">
      <c r="A2254" s="2">
        <v>42683</v>
      </c>
      <c r="B2254" s="1">
        <f t="shared" si="70"/>
        <v>42675</v>
      </c>
      <c r="C2254" s="4" t="str">
        <f t="shared" si="71"/>
        <v>2016-11</v>
      </c>
      <c r="D2254" s="3">
        <v>27.72</v>
      </c>
      <c r="E2254" s="3">
        <v>1.75</v>
      </c>
      <c r="F2254" s="3">
        <v>123.18</v>
      </c>
      <c r="G2254" s="3">
        <v>2.35</v>
      </c>
    </row>
    <row r="2255" spans="1:7" x14ac:dyDescent="0.2">
      <c r="A2255" s="2">
        <v>42682</v>
      </c>
      <c r="B2255" s="1">
        <f t="shared" si="70"/>
        <v>42675</v>
      </c>
      <c r="C2255" s="4" t="str">
        <f t="shared" si="71"/>
        <v>2016-11</v>
      </c>
      <c r="D2255" s="3">
        <v>27.77</v>
      </c>
      <c r="E2255" s="3">
        <v>1.78</v>
      </c>
      <c r="F2255" s="3">
        <v>124.22</v>
      </c>
      <c r="G2255" s="3">
        <v>2.2799999999999998</v>
      </c>
    </row>
    <row r="2256" spans="1:7" x14ac:dyDescent="0.2">
      <c r="A2256" s="2">
        <v>42681</v>
      </c>
      <c r="B2256" s="1">
        <f t="shared" si="70"/>
        <v>42675</v>
      </c>
      <c r="C2256" s="4" t="str">
        <f t="shared" si="71"/>
        <v>2016-11</v>
      </c>
      <c r="D2256" s="3">
        <v>27.6</v>
      </c>
      <c r="E2256" s="3">
        <v>1.78</v>
      </c>
      <c r="F2256" s="3">
        <v>122.15</v>
      </c>
      <c r="G2256" s="3">
        <v>2.29</v>
      </c>
    </row>
    <row r="2257" spans="1:7" x14ac:dyDescent="0.2">
      <c r="A2257" s="2">
        <v>42678</v>
      </c>
      <c r="B2257" s="1">
        <f t="shared" si="70"/>
        <v>42675</v>
      </c>
      <c r="C2257" s="4" t="str">
        <f t="shared" si="71"/>
        <v>2016-11</v>
      </c>
      <c r="D2257" s="3">
        <v>27.21</v>
      </c>
      <c r="E2257" s="3">
        <v>1.69</v>
      </c>
      <c r="F2257" s="3">
        <v>120.75</v>
      </c>
      <c r="G2257" s="3">
        <v>2.21</v>
      </c>
    </row>
    <row r="2258" spans="1:7" x14ac:dyDescent="0.2">
      <c r="A2258" s="2">
        <v>42677</v>
      </c>
      <c r="B2258" s="1">
        <f t="shared" si="70"/>
        <v>42675</v>
      </c>
      <c r="C2258" s="4" t="str">
        <f t="shared" si="71"/>
        <v>2016-11</v>
      </c>
      <c r="D2258" s="3">
        <v>27.46</v>
      </c>
      <c r="E2258" s="3">
        <v>1.7</v>
      </c>
      <c r="F2258" s="3">
        <v>120</v>
      </c>
      <c r="G2258" s="3">
        <v>2.2400000000000002</v>
      </c>
    </row>
    <row r="2259" spans="1:7" x14ac:dyDescent="0.2">
      <c r="A2259" s="2">
        <v>42676</v>
      </c>
      <c r="B2259" s="1">
        <f t="shared" si="70"/>
        <v>42675</v>
      </c>
      <c r="C2259" s="4" t="str">
        <f t="shared" si="71"/>
        <v>2016-11</v>
      </c>
      <c r="D2259" s="3">
        <v>27.9</v>
      </c>
      <c r="E2259" s="3">
        <v>1.72</v>
      </c>
      <c r="F2259" s="3">
        <v>127.17</v>
      </c>
      <c r="G2259" s="3">
        <v>2.2599999999999998</v>
      </c>
    </row>
    <row r="2260" spans="1:7" x14ac:dyDescent="0.2">
      <c r="A2260" s="2">
        <v>42675</v>
      </c>
      <c r="B2260" s="1">
        <f t="shared" si="70"/>
        <v>42675</v>
      </c>
      <c r="C2260" s="4" t="str">
        <f t="shared" si="71"/>
        <v>2016-11</v>
      </c>
      <c r="D2260" s="3">
        <v>27.87</v>
      </c>
      <c r="E2260" s="3">
        <v>1.73</v>
      </c>
      <c r="F2260" s="3">
        <v>129.5</v>
      </c>
      <c r="G2260" s="3">
        <v>2.2799999999999998</v>
      </c>
    </row>
    <row r="2261" spans="1:7" x14ac:dyDescent="0.2">
      <c r="A2261" s="2">
        <v>42674</v>
      </c>
      <c r="B2261" s="1">
        <f t="shared" si="70"/>
        <v>42644</v>
      </c>
      <c r="C2261" s="4" t="str">
        <f t="shared" si="71"/>
        <v>2016-10</v>
      </c>
      <c r="D2261" s="3">
        <v>28.39</v>
      </c>
      <c r="E2261" s="3">
        <v>1.78</v>
      </c>
      <c r="F2261" s="3">
        <v>130.99</v>
      </c>
      <c r="G2261" s="3">
        <v>2.37</v>
      </c>
    </row>
    <row r="2262" spans="1:7" x14ac:dyDescent="0.2">
      <c r="A2262" s="2">
        <v>42671</v>
      </c>
      <c r="B2262" s="1">
        <f t="shared" si="70"/>
        <v>42644</v>
      </c>
      <c r="C2262" s="4" t="str">
        <f t="shared" si="71"/>
        <v>2016-10</v>
      </c>
      <c r="D2262" s="3">
        <v>28.43</v>
      </c>
      <c r="E2262" s="3">
        <v>1.76</v>
      </c>
      <c r="F2262" s="3">
        <v>131.29</v>
      </c>
      <c r="G2262" s="3">
        <v>2.44</v>
      </c>
    </row>
    <row r="2263" spans="1:7" x14ac:dyDescent="0.2">
      <c r="A2263" s="2">
        <v>42670</v>
      </c>
      <c r="B2263" s="1">
        <f t="shared" si="70"/>
        <v>42644</v>
      </c>
      <c r="C2263" s="4" t="str">
        <f t="shared" si="71"/>
        <v>2016-10</v>
      </c>
      <c r="D2263" s="3">
        <v>28.62</v>
      </c>
      <c r="E2263" s="3">
        <v>1.77</v>
      </c>
      <c r="F2263" s="3">
        <v>129.69</v>
      </c>
      <c r="G2263" s="3">
        <v>2.21</v>
      </c>
    </row>
    <row r="2264" spans="1:7" x14ac:dyDescent="0.2">
      <c r="A2264" s="2">
        <v>42669</v>
      </c>
      <c r="B2264" s="1">
        <f t="shared" si="70"/>
        <v>42644</v>
      </c>
      <c r="C2264" s="4" t="str">
        <f t="shared" si="71"/>
        <v>2016-10</v>
      </c>
      <c r="D2264" s="3">
        <v>28.9</v>
      </c>
      <c r="E2264" s="3">
        <v>1.8</v>
      </c>
      <c r="F2264" s="3">
        <v>131.04</v>
      </c>
      <c r="G2264" s="3">
        <v>2.2200000000000002</v>
      </c>
    </row>
    <row r="2265" spans="1:7" x14ac:dyDescent="0.2">
      <c r="A2265" s="2">
        <v>42668</v>
      </c>
      <c r="B2265" s="1">
        <f t="shared" si="70"/>
        <v>42644</v>
      </c>
      <c r="C2265" s="4" t="str">
        <f t="shared" si="71"/>
        <v>2016-10</v>
      </c>
      <c r="D2265" s="3">
        <v>29.56</v>
      </c>
      <c r="E2265" s="3">
        <v>1.8</v>
      </c>
      <c r="F2265" s="3">
        <v>132.29</v>
      </c>
      <c r="G2265" s="3">
        <v>2.2000000000000002</v>
      </c>
    </row>
    <row r="2266" spans="1:7" x14ac:dyDescent="0.2">
      <c r="A2266" s="2">
        <v>42667</v>
      </c>
      <c r="B2266" s="1">
        <f t="shared" si="70"/>
        <v>42644</v>
      </c>
      <c r="C2266" s="4" t="str">
        <f t="shared" si="71"/>
        <v>2016-10</v>
      </c>
      <c r="D2266" s="3">
        <v>29.41</v>
      </c>
      <c r="E2266" s="3">
        <v>1.77</v>
      </c>
      <c r="F2266" s="3">
        <v>133.28</v>
      </c>
      <c r="G2266" s="3">
        <v>2.17</v>
      </c>
    </row>
    <row r="2267" spans="1:7" x14ac:dyDescent="0.2">
      <c r="A2267" s="2">
        <v>42664</v>
      </c>
      <c r="B2267" s="1">
        <f t="shared" si="70"/>
        <v>42644</v>
      </c>
      <c r="C2267" s="4" t="str">
        <f t="shared" si="71"/>
        <v>2016-10</v>
      </c>
      <c r="D2267" s="3">
        <v>29.15</v>
      </c>
      <c r="E2267" s="3">
        <v>1.69</v>
      </c>
      <c r="F2267" s="3">
        <v>132.07</v>
      </c>
      <c r="G2267" s="3">
        <v>2.15</v>
      </c>
    </row>
    <row r="2268" spans="1:7" x14ac:dyDescent="0.2">
      <c r="A2268" s="2">
        <v>42663</v>
      </c>
      <c r="B2268" s="1">
        <f t="shared" si="70"/>
        <v>42644</v>
      </c>
      <c r="C2268" s="4" t="str">
        <f t="shared" si="71"/>
        <v>2016-10</v>
      </c>
      <c r="D2268" s="3">
        <v>29.27</v>
      </c>
      <c r="E2268" s="3">
        <v>1.69</v>
      </c>
      <c r="F2268" s="3">
        <v>130</v>
      </c>
      <c r="G2268" s="3">
        <v>2.19</v>
      </c>
    </row>
    <row r="2269" spans="1:7" x14ac:dyDescent="0.2">
      <c r="A2269" s="2">
        <v>42662</v>
      </c>
      <c r="B2269" s="1">
        <f t="shared" si="70"/>
        <v>42644</v>
      </c>
      <c r="C2269" s="4" t="str">
        <f t="shared" si="71"/>
        <v>2016-10</v>
      </c>
      <c r="D2269" s="3">
        <v>29.28</v>
      </c>
      <c r="E2269" s="3">
        <v>1.66</v>
      </c>
      <c r="F2269" s="3">
        <v>130.11000000000001</v>
      </c>
      <c r="G2269" s="3">
        <v>2.2000000000000002</v>
      </c>
    </row>
    <row r="2270" spans="1:7" x14ac:dyDescent="0.2">
      <c r="A2270" s="2">
        <v>42661</v>
      </c>
      <c r="B2270" s="1">
        <f t="shared" si="70"/>
        <v>42644</v>
      </c>
      <c r="C2270" s="4" t="str">
        <f t="shared" si="71"/>
        <v>2016-10</v>
      </c>
      <c r="D2270" s="3">
        <v>29.37</v>
      </c>
      <c r="E2270" s="3">
        <v>1.67</v>
      </c>
      <c r="F2270" s="3">
        <v>128.57</v>
      </c>
      <c r="G2270" s="3">
        <v>2.19</v>
      </c>
    </row>
    <row r="2271" spans="1:7" x14ac:dyDescent="0.2">
      <c r="A2271" s="2">
        <v>42660</v>
      </c>
      <c r="B2271" s="1">
        <f t="shared" si="70"/>
        <v>42644</v>
      </c>
      <c r="C2271" s="4" t="str">
        <f t="shared" si="71"/>
        <v>2016-10</v>
      </c>
      <c r="D2271" s="3">
        <v>29.39</v>
      </c>
      <c r="E2271" s="3">
        <v>1.64</v>
      </c>
      <c r="F2271" s="3">
        <v>127.54</v>
      </c>
      <c r="G2271" s="3">
        <v>2.17</v>
      </c>
    </row>
    <row r="2272" spans="1:7" x14ac:dyDescent="0.2">
      <c r="A2272" s="2">
        <v>42657</v>
      </c>
      <c r="B2272" s="1">
        <f t="shared" si="70"/>
        <v>42644</v>
      </c>
      <c r="C2272" s="4" t="str">
        <f t="shared" si="71"/>
        <v>2016-10</v>
      </c>
      <c r="D2272" s="3">
        <v>29.41</v>
      </c>
      <c r="E2272" s="3">
        <v>1.65</v>
      </c>
      <c r="F2272" s="3">
        <v>127.88</v>
      </c>
      <c r="G2272" s="3">
        <v>2.14</v>
      </c>
    </row>
    <row r="2273" spans="1:7" x14ac:dyDescent="0.2">
      <c r="A2273" s="2">
        <v>42656</v>
      </c>
      <c r="B2273" s="1">
        <f t="shared" si="70"/>
        <v>42644</v>
      </c>
      <c r="C2273" s="4" t="str">
        <f t="shared" si="71"/>
        <v>2016-10</v>
      </c>
      <c r="D2273" s="3">
        <v>29.25</v>
      </c>
      <c r="E2273" s="3">
        <v>1.63</v>
      </c>
      <c r="F2273" s="3">
        <v>127.82</v>
      </c>
      <c r="G2273" s="3">
        <v>2.15</v>
      </c>
    </row>
    <row r="2274" spans="1:7" x14ac:dyDescent="0.2">
      <c r="A2274" s="2">
        <v>42655</v>
      </c>
      <c r="B2274" s="1">
        <f t="shared" si="70"/>
        <v>42644</v>
      </c>
      <c r="C2274" s="4" t="str">
        <f t="shared" si="71"/>
        <v>2016-10</v>
      </c>
      <c r="D2274" s="3">
        <v>29.34</v>
      </c>
      <c r="E2274" s="3">
        <v>1.66</v>
      </c>
      <c r="F2274" s="3">
        <v>129.05000000000001</v>
      </c>
      <c r="G2274" s="3">
        <v>2.2200000000000002</v>
      </c>
    </row>
    <row r="2275" spans="1:7" x14ac:dyDescent="0.2">
      <c r="A2275" s="2">
        <v>42654</v>
      </c>
      <c r="B2275" s="1">
        <f t="shared" si="70"/>
        <v>42644</v>
      </c>
      <c r="C2275" s="4" t="str">
        <f t="shared" si="71"/>
        <v>2016-10</v>
      </c>
      <c r="D2275" s="3">
        <v>29.08</v>
      </c>
      <c r="E2275" s="3">
        <v>1.65</v>
      </c>
      <c r="F2275" s="3">
        <v>128.88</v>
      </c>
      <c r="G2275" s="3">
        <v>2.2200000000000002</v>
      </c>
    </row>
    <row r="2276" spans="1:7" x14ac:dyDescent="0.2">
      <c r="A2276" s="2">
        <v>42653</v>
      </c>
      <c r="B2276" s="1">
        <f t="shared" si="70"/>
        <v>42644</v>
      </c>
      <c r="C2276" s="4" t="str">
        <f t="shared" si="71"/>
        <v>2016-10</v>
      </c>
      <c r="D2276" s="3">
        <v>29.01</v>
      </c>
      <c r="E2276" s="3">
        <v>1.68</v>
      </c>
      <c r="F2276" s="3">
        <v>130.24</v>
      </c>
      <c r="G2276" s="3">
        <v>2.27</v>
      </c>
    </row>
    <row r="2277" spans="1:7" x14ac:dyDescent="0.2">
      <c r="A2277" s="2">
        <v>42650</v>
      </c>
      <c r="B2277" s="1">
        <f t="shared" si="70"/>
        <v>42644</v>
      </c>
      <c r="C2277" s="4" t="str">
        <f t="shared" si="71"/>
        <v>2016-10</v>
      </c>
      <c r="D2277" s="3">
        <v>28.52</v>
      </c>
      <c r="E2277" s="3">
        <v>1.67</v>
      </c>
      <c r="F2277" s="3">
        <v>128.99</v>
      </c>
      <c r="G2277" s="3">
        <v>2.25</v>
      </c>
    </row>
    <row r="2278" spans="1:7" x14ac:dyDescent="0.2">
      <c r="A2278" s="2">
        <v>42649</v>
      </c>
      <c r="B2278" s="1">
        <f t="shared" si="70"/>
        <v>42644</v>
      </c>
      <c r="C2278" s="4" t="str">
        <f t="shared" si="71"/>
        <v>2016-10</v>
      </c>
      <c r="D2278" s="3">
        <v>28.47</v>
      </c>
      <c r="E2278" s="3">
        <v>1.68</v>
      </c>
      <c r="F2278" s="3">
        <v>128.74</v>
      </c>
      <c r="G2278" s="3">
        <v>2.2999999999999998</v>
      </c>
    </row>
    <row r="2279" spans="1:7" x14ac:dyDescent="0.2">
      <c r="A2279" s="2">
        <v>42648</v>
      </c>
      <c r="B2279" s="1">
        <f t="shared" si="70"/>
        <v>42644</v>
      </c>
      <c r="C2279" s="4" t="str">
        <f t="shared" si="71"/>
        <v>2016-10</v>
      </c>
      <c r="D2279" s="3">
        <v>28.26</v>
      </c>
      <c r="E2279" s="3">
        <v>1.71</v>
      </c>
      <c r="F2279" s="3">
        <v>128.47</v>
      </c>
      <c r="G2279" s="3">
        <v>2.3199999999999998</v>
      </c>
    </row>
    <row r="2280" spans="1:7" x14ac:dyDescent="0.2">
      <c r="A2280" s="2">
        <v>42647</v>
      </c>
      <c r="B2280" s="1">
        <f t="shared" si="70"/>
        <v>42644</v>
      </c>
      <c r="C2280" s="4" t="str">
        <f t="shared" si="71"/>
        <v>2016-10</v>
      </c>
      <c r="D2280" s="3">
        <v>28.25</v>
      </c>
      <c r="E2280" s="3">
        <v>1.71</v>
      </c>
      <c r="F2280" s="3">
        <v>128.19</v>
      </c>
      <c r="G2280" s="3">
        <v>2.2999999999999998</v>
      </c>
    </row>
    <row r="2281" spans="1:7" x14ac:dyDescent="0.2">
      <c r="A2281" s="2">
        <v>42646</v>
      </c>
      <c r="B2281" s="1">
        <f t="shared" si="70"/>
        <v>42644</v>
      </c>
      <c r="C2281" s="4" t="str">
        <f t="shared" si="71"/>
        <v>2016-10</v>
      </c>
      <c r="D2281" s="3">
        <v>28.13</v>
      </c>
      <c r="E2281" s="3">
        <v>1.71</v>
      </c>
      <c r="F2281" s="3">
        <v>128.77000000000001</v>
      </c>
      <c r="G2281" s="3">
        <v>2.35</v>
      </c>
    </row>
    <row r="2282" spans="1:7" x14ac:dyDescent="0.2">
      <c r="A2282" s="2">
        <v>42643</v>
      </c>
      <c r="B2282" s="1">
        <f t="shared" si="70"/>
        <v>42614</v>
      </c>
      <c r="C2282" s="4" t="str">
        <f t="shared" si="71"/>
        <v>2016-09</v>
      </c>
      <c r="D2282" s="3">
        <v>28.26</v>
      </c>
      <c r="E2282" s="3">
        <v>1.71</v>
      </c>
      <c r="F2282" s="3">
        <v>128.27000000000001</v>
      </c>
      <c r="G2282" s="3">
        <v>2.34</v>
      </c>
    </row>
    <row r="2283" spans="1:7" x14ac:dyDescent="0.2">
      <c r="A2283" s="2">
        <v>42642</v>
      </c>
      <c r="B2283" s="1">
        <f t="shared" si="70"/>
        <v>42614</v>
      </c>
      <c r="C2283" s="4" t="str">
        <f t="shared" si="71"/>
        <v>2016-09</v>
      </c>
      <c r="D2283" s="3">
        <v>28.05</v>
      </c>
      <c r="E2283" s="3">
        <v>1.69</v>
      </c>
      <c r="F2283" s="3">
        <v>128.09</v>
      </c>
      <c r="G2283" s="3">
        <v>2.3199999999999998</v>
      </c>
    </row>
    <row r="2284" spans="1:7" x14ac:dyDescent="0.2">
      <c r="A2284" s="2">
        <v>42641</v>
      </c>
      <c r="B2284" s="1">
        <f t="shared" si="70"/>
        <v>42614</v>
      </c>
      <c r="C2284" s="4" t="str">
        <f t="shared" si="71"/>
        <v>2016-09</v>
      </c>
      <c r="D2284" s="3">
        <v>28.49</v>
      </c>
      <c r="E2284" s="3">
        <v>1.67</v>
      </c>
      <c r="F2284" s="3">
        <v>129.22999999999999</v>
      </c>
      <c r="G2284" s="3">
        <v>2.36</v>
      </c>
    </row>
    <row r="2285" spans="1:7" x14ac:dyDescent="0.2">
      <c r="A2285" s="2">
        <v>42640</v>
      </c>
      <c r="B2285" s="1">
        <f t="shared" si="70"/>
        <v>42614</v>
      </c>
      <c r="C2285" s="4" t="str">
        <f t="shared" si="71"/>
        <v>2016-09</v>
      </c>
      <c r="D2285" s="3">
        <v>28.27</v>
      </c>
      <c r="E2285" s="3">
        <v>1.66</v>
      </c>
      <c r="F2285" s="3">
        <v>128.69</v>
      </c>
      <c r="G2285" s="3">
        <v>2.35</v>
      </c>
    </row>
    <row r="2286" spans="1:7" x14ac:dyDescent="0.2">
      <c r="A2286" s="2">
        <v>42639</v>
      </c>
      <c r="B2286" s="1">
        <f t="shared" si="70"/>
        <v>42614</v>
      </c>
      <c r="C2286" s="4" t="str">
        <f t="shared" si="71"/>
        <v>2016-09</v>
      </c>
      <c r="D2286" s="3">
        <v>28.22</v>
      </c>
      <c r="E2286" s="3">
        <v>1.61</v>
      </c>
      <c r="F2286" s="3">
        <v>127.31</v>
      </c>
      <c r="G2286" s="3">
        <v>2.34</v>
      </c>
    </row>
    <row r="2287" spans="1:7" x14ac:dyDescent="0.2">
      <c r="A2287" s="2">
        <v>42636</v>
      </c>
      <c r="B2287" s="1">
        <f t="shared" si="70"/>
        <v>42614</v>
      </c>
      <c r="C2287" s="4" t="str">
        <f t="shared" si="71"/>
        <v>2016-09</v>
      </c>
      <c r="D2287" s="3">
        <v>28.18</v>
      </c>
      <c r="E2287" s="3">
        <v>1.62</v>
      </c>
      <c r="F2287" s="3">
        <v>127.96</v>
      </c>
      <c r="G2287" s="3">
        <v>2.35</v>
      </c>
    </row>
    <row r="2288" spans="1:7" x14ac:dyDescent="0.2">
      <c r="A2288" s="2">
        <v>42635</v>
      </c>
      <c r="B2288" s="1">
        <f t="shared" si="70"/>
        <v>42614</v>
      </c>
      <c r="C2288" s="4" t="str">
        <f t="shared" si="71"/>
        <v>2016-09</v>
      </c>
      <c r="D2288" s="3">
        <v>28.66</v>
      </c>
      <c r="E2288" s="3">
        <v>1.63</v>
      </c>
      <c r="F2288" s="3">
        <v>130.08000000000001</v>
      </c>
      <c r="G2288" s="3">
        <v>2.2799999999999998</v>
      </c>
    </row>
    <row r="2289" spans="1:7" x14ac:dyDescent="0.2">
      <c r="A2289" s="2">
        <v>42634</v>
      </c>
      <c r="B2289" s="1">
        <f t="shared" si="70"/>
        <v>42614</v>
      </c>
      <c r="C2289" s="4" t="str">
        <f t="shared" si="71"/>
        <v>2016-09</v>
      </c>
      <c r="D2289" s="3">
        <v>28.39</v>
      </c>
      <c r="E2289" s="3">
        <v>1.62</v>
      </c>
      <c r="F2289" s="3">
        <v>129.94</v>
      </c>
      <c r="G2289" s="3">
        <v>2.27</v>
      </c>
    </row>
    <row r="2290" spans="1:7" x14ac:dyDescent="0.2">
      <c r="A2290" s="2">
        <v>42633</v>
      </c>
      <c r="B2290" s="1">
        <f t="shared" si="70"/>
        <v>42614</v>
      </c>
      <c r="C2290" s="4" t="str">
        <f t="shared" si="71"/>
        <v>2016-09</v>
      </c>
      <c r="D2290" s="3">
        <v>28.39</v>
      </c>
      <c r="E2290" s="3">
        <v>1.58</v>
      </c>
      <c r="F2290" s="3">
        <v>128.63999999999999</v>
      </c>
      <c r="G2290" s="3">
        <v>2.21</v>
      </c>
    </row>
    <row r="2291" spans="1:7" x14ac:dyDescent="0.2">
      <c r="A2291" s="2">
        <v>42632</v>
      </c>
      <c r="B2291" s="1">
        <f t="shared" si="70"/>
        <v>42614</v>
      </c>
      <c r="C2291" s="4" t="str">
        <f t="shared" si="71"/>
        <v>2016-09</v>
      </c>
      <c r="D2291" s="3">
        <v>28.4</v>
      </c>
      <c r="E2291" s="3">
        <v>1.59</v>
      </c>
      <c r="F2291" s="3">
        <v>128.65</v>
      </c>
      <c r="G2291" s="3">
        <v>2.17</v>
      </c>
    </row>
    <row r="2292" spans="1:7" x14ac:dyDescent="0.2">
      <c r="A2292" s="2">
        <v>42629</v>
      </c>
      <c r="B2292" s="1">
        <f t="shared" si="70"/>
        <v>42614</v>
      </c>
      <c r="C2292" s="4" t="str">
        <f t="shared" si="71"/>
        <v>2016-09</v>
      </c>
      <c r="D2292" s="3">
        <v>28.73</v>
      </c>
      <c r="E2292" s="3">
        <v>1.57</v>
      </c>
      <c r="F2292" s="3">
        <v>129.07</v>
      </c>
      <c r="G2292" s="3">
        <v>2.14</v>
      </c>
    </row>
    <row r="2293" spans="1:7" x14ac:dyDescent="0.2">
      <c r="A2293" s="2">
        <v>42628</v>
      </c>
      <c r="B2293" s="1">
        <f t="shared" si="70"/>
        <v>42614</v>
      </c>
      <c r="C2293" s="4" t="str">
        <f t="shared" si="71"/>
        <v>2016-09</v>
      </c>
      <c r="D2293" s="3">
        <v>28.89</v>
      </c>
      <c r="E2293" s="3">
        <v>1.57</v>
      </c>
      <c r="F2293" s="3">
        <v>128.35</v>
      </c>
      <c r="G2293" s="3">
        <v>2.19</v>
      </c>
    </row>
    <row r="2294" spans="1:7" x14ac:dyDescent="0.2">
      <c r="A2294" s="2">
        <v>42627</v>
      </c>
      <c r="B2294" s="1">
        <f t="shared" si="70"/>
        <v>42614</v>
      </c>
      <c r="C2294" s="4" t="str">
        <f t="shared" si="71"/>
        <v>2016-09</v>
      </c>
      <c r="D2294" s="3">
        <v>27.94</v>
      </c>
      <c r="E2294" s="3">
        <v>1.51</v>
      </c>
      <c r="F2294" s="3">
        <v>127.77</v>
      </c>
      <c r="G2294" s="3">
        <v>2.15</v>
      </c>
    </row>
    <row r="2295" spans="1:7" x14ac:dyDescent="0.2">
      <c r="A2295" s="2">
        <v>42626</v>
      </c>
      <c r="B2295" s="1">
        <f t="shared" si="70"/>
        <v>42614</v>
      </c>
      <c r="C2295" s="4" t="str">
        <f t="shared" si="71"/>
        <v>2016-09</v>
      </c>
      <c r="D2295" s="3">
        <v>26.99</v>
      </c>
      <c r="E2295" s="3">
        <v>1.5</v>
      </c>
      <c r="F2295" s="3">
        <v>127.21</v>
      </c>
      <c r="G2295" s="3">
        <v>2.14</v>
      </c>
    </row>
    <row r="2296" spans="1:7" x14ac:dyDescent="0.2">
      <c r="A2296" s="2">
        <v>42625</v>
      </c>
      <c r="B2296" s="1">
        <f t="shared" si="70"/>
        <v>42614</v>
      </c>
      <c r="C2296" s="4" t="str">
        <f t="shared" si="71"/>
        <v>2016-09</v>
      </c>
      <c r="D2296" s="3">
        <v>26.36</v>
      </c>
      <c r="E2296" s="3">
        <v>1.52</v>
      </c>
      <c r="F2296" s="3">
        <v>128.69</v>
      </c>
      <c r="G2296" s="3">
        <v>2.14</v>
      </c>
    </row>
    <row r="2297" spans="1:7" x14ac:dyDescent="0.2">
      <c r="A2297" s="2">
        <v>42622</v>
      </c>
      <c r="B2297" s="1">
        <f t="shared" si="70"/>
        <v>42614</v>
      </c>
      <c r="C2297" s="4" t="str">
        <f t="shared" si="71"/>
        <v>2016-09</v>
      </c>
      <c r="D2297" s="3">
        <v>25.78</v>
      </c>
      <c r="E2297" s="3">
        <v>1.49</v>
      </c>
      <c r="F2297" s="3">
        <v>127.1</v>
      </c>
      <c r="G2297" s="3">
        <v>2.11</v>
      </c>
    </row>
    <row r="2298" spans="1:7" x14ac:dyDescent="0.2">
      <c r="A2298" s="2">
        <v>42621</v>
      </c>
      <c r="B2298" s="1">
        <f t="shared" si="70"/>
        <v>42614</v>
      </c>
      <c r="C2298" s="4" t="str">
        <f t="shared" si="71"/>
        <v>2016-09</v>
      </c>
      <c r="D2298" s="3">
        <v>26.38</v>
      </c>
      <c r="E2298" s="3">
        <v>1.57</v>
      </c>
      <c r="F2298" s="3">
        <v>130.27000000000001</v>
      </c>
      <c r="G2298" s="3">
        <v>2.15</v>
      </c>
    </row>
    <row r="2299" spans="1:7" x14ac:dyDescent="0.2">
      <c r="A2299" s="2">
        <v>42620</v>
      </c>
      <c r="B2299" s="1">
        <f t="shared" si="70"/>
        <v>42614</v>
      </c>
      <c r="C2299" s="4" t="str">
        <f t="shared" si="71"/>
        <v>2016-09</v>
      </c>
      <c r="D2299" s="3">
        <v>27.09</v>
      </c>
      <c r="E2299" s="3">
        <v>1.55</v>
      </c>
      <c r="F2299" s="3">
        <v>131.05000000000001</v>
      </c>
      <c r="G2299" s="3">
        <v>2.19</v>
      </c>
    </row>
    <row r="2300" spans="1:7" x14ac:dyDescent="0.2">
      <c r="A2300" s="2">
        <v>42619</v>
      </c>
      <c r="B2300" s="1">
        <f t="shared" si="70"/>
        <v>42614</v>
      </c>
      <c r="C2300" s="4" t="str">
        <f t="shared" si="71"/>
        <v>2016-09</v>
      </c>
      <c r="D2300" s="3">
        <v>26.93</v>
      </c>
      <c r="E2300" s="3">
        <v>1.58</v>
      </c>
      <c r="F2300" s="3">
        <v>129.72999999999999</v>
      </c>
      <c r="G2300" s="3">
        <v>2.2000000000000002</v>
      </c>
    </row>
    <row r="2301" spans="1:7" x14ac:dyDescent="0.2">
      <c r="A2301" s="2">
        <v>42615</v>
      </c>
      <c r="B2301" s="1">
        <f t="shared" si="70"/>
        <v>42614</v>
      </c>
      <c r="C2301" s="4" t="str">
        <f t="shared" si="71"/>
        <v>2016-09</v>
      </c>
      <c r="D2301" s="3">
        <v>26.93</v>
      </c>
      <c r="E2301" s="3">
        <v>1.56</v>
      </c>
      <c r="F2301" s="3">
        <v>126.51</v>
      </c>
      <c r="G2301" s="3">
        <v>2.2200000000000002</v>
      </c>
    </row>
    <row r="2302" spans="1:7" x14ac:dyDescent="0.2">
      <c r="A2302" s="2">
        <v>42614</v>
      </c>
      <c r="B2302" s="1">
        <f t="shared" si="70"/>
        <v>42614</v>
      </c>
      <c r="C2302" s="4" t="str">
        <f t="shared" si="71"/>
        <v>2016-09</v>
      </c>
      <c r="D2302" s="3">
        <v>26.68</v>
      </c>
      <c r="E2302" s="3">
        <v>1.58</v>
      </c>
      <c r="F2302" s="3">
        <v>126.17</v>
      </c>
      <c r="G2302" s="3">
        <v>2.21</v>
      </c>
    </row>
    <row r="2303" spans="1:7" x14ac:dyDescent="0.2">
      <c r="A2303" s="2">
        <v>42613</v>
      </c>
      <c r="B2303" s="1">
        <f t="shared" si="70"/>
        <v>42583</v>
      </c>
      <c r="C2303" s="4" t="str">
        <f t="shared" si="71"/>
        <v>2016-08</v>
      </c>
      <c r="D2303" s="3">
        <v>26.53</v>
      </c>
      <c r="E2303" s="3">
        <v>1.53</v>
      </c>
      <c r="F2303" s="3">
        <v>126.12</v>
      </c>
      <c r="G2303" s="3">
        <v>2.16</v>
      </c>
    </row>
    <row r="2304" spans="1:7" x14ac:dyDescent="0.2">
      <c r="A2304" s="2">
        <v>42612</v>
      </c>
      <c r="B2304" s="1">
        <f t="shared" si="70"/>
        <v>42583</v>
      </c>
      <c r="C2304" s="4" t="str">
        <f t="shared" si="71"/>
        <v>2016-08</v>
      </c>
      <c r="D2304" s="3">
        <v>26.5</v>
      </c>
      <c r="E2304" s="3">
        <v>1.54</v>
      </c>
      <c r="F2304" s="3">
        <v>125.84</v>
      </c>
      <c r="G2304" s="3">
        <v>2.21</v>
      </c>
    </row>
    <row r="2305" spans="1:7" x14ac:dyDescent="0.2">
      <c r="A2305" s="2">
        <v>42611</v>
      </c>
      <c r="B2305" s="1">
        <f t="shared" si="70"/>
        <v>42583</v>
      </c>
      <c r="C2305" s="4" t="str">
        <f t="shared" si="71"/>
        <v>2016-08</v>
      </c>
      <c r="D2305" s="3">
        <v>26.71</v>
      </c>
      <c r="E2305" s="3">
        <v>1.55</v>
      </c>
      <c r="F2305" s="3">
        <v>126.54</v>
      </c>
      <c r="G2305" s="3">
        <v>2.17</v>
      </c>
    </row>
    <row r="2306" spans="1:7" x14ac:dyDescent="0.2">
      <c r="A2306" s="2">
        <v>42608</v>
      </c>
      <c r="B2306" s="1">
        <f t="shared" si="70"/>
        <v>42583</v>
      </c>
      <c r="C2306" s="4" t="str">
        <f t="shared" si="71"/>
        <v>2016-08</v>
      </c>
      <c r="D2306" s="3">
        <v>26.74</v>
      </c>
      <c r="E2306" s="3">
        <v>1.55</v>
      </c>
      <c r="F2306" s="3">
        <v>124.96</v>
      </c>
      <c r="G2306" s="3">
        <v>2.14</v>
      </c>
    </row>
    <row r="2307" spans="1:7" x14ac:dyDescent="0.2">
      <c r="A2307" s="2">
        <v>42607</v>
      </c>
      <c r="B2307" s="1">
        <f t="shared" ref="B2307:B2370" si="72">EOMONTH(A2307, -1)+1</f>
        <v>42583</v>
      </c>
      <c r="C2307" s="4" t="str">
        <f t="shared" ref="C2307:C2370" si="73">TEXT(A2307, "yyyy-mm")</f>
        <v>2016-08</v>
      </c>
      <c r="D2307" s="3">
        <v>26.89</v>
      </c>
      <c r="E2307" s="3">
        <v>1.54</v>
      </c>
      <c r="F2307" s="3">
        <v>123.89</v>
      </c>
      <c r="G2307" s="3">
        <v>2.1800000000000002</v>
      </c>
    </row>
    <row r="2308" spans="1:7" x14ac:dyDescent="0.2">
      <c r="A2308" s="2">
        <v>42606</v>
      </c>
      <c r="B2308" s="1">
        <f t="shared" si="72"/>
        <v>42583</v>
      </c>
      <c r="C2308" s="4" t="str">
        <f t="shared" si="73"/>
        <v>2016-08</v>
      </c>
      <c r="D2308" s="3">
        <v>27.01</v>
      </c>
      <c r="E2308" s="3">
        <v>1.55</v>
      </c>
      <c r="F2308" s="3">
        <v>123.48</v>
      </c>
      <c r="G2308" s="3">
        <v>2.17</v>
      </c>
    </row>
    <row r="2309" spans="1:7" x14ac:dyDescent="0.2">
      <c r="A2309" s="2">
        <v>42605</v>
      </c>
      <c r="B2309" s="1">
        <f t="shared" si="72"/>
        <v>42583</v>
      </c>
      <c r="C2309" s="4" t="str">
        <f t="shared" si="73"/>
        <v>2016-08</v>
      </c>
      <c r="D2309" s="3">
        <v>27.21</v>
      </c>
      <c r="E2309" s="3">
        <v>1.57</v>
      </c>
      <c r="F2309" s="3">
        <v>124.37</v>
      </c>
      <c r="G2309" s="3">
        <v>2.16</v>
      </c>
    </row>
    <row r="2310" spans="1:7" x14ac:dyDescent="0.2">
      <c r="A2310" s="2">
        <v>42604</v>
      </c>
      <c r="B2310" s="1">
        <f t="shared" si="72"/>
        <v>42583</v>
      </c>
      <c r="C2310" s="4" t="str">
        <f t="shared" si="73"/>
        <v>2016-08</v>
      </c>
      <c r="D2310" s="3">
        <v>27.13</v>
      </c>
      <c r="E2310" s="3">
        <v>1.56</v>
      </c>
      <c r="F2310" s="3">
        <v>124.15</v>
      </c>
      <c r="G2310" s="3">
        <v>2.13</v>
      </c>
    </row>
    <row r="2311" spans="1:7" x14ac:dyDescent="0.2">
      <c r="A2311" s="2">
        <v>42601</v>
      </c>
      <c r="B2311" s="1">
        <f t="shared" si="72"/>
        <v>42583</v>
      </c>
      <c r="C2311" s="4" t="str">
        <f t="shared" si="73"/>
        <v>2016-08</v>
      </c>
      <c r="D2311" s="3">
        <v>27.34</v>
      </c>
      <c r="E2311" s="3">
        <v>1.56</v>
      </c>
      <c r="F2311" s="3">
        <v>123.56</v>
      </c>
      <c r="G2311" s="3">
        <v>2.15</v>
      </c>
    </row>
    <row r="2312" spans="1:7" x14ac:dyDescent="0.2">
      <c r="A2312" s="2">
        <v>42600</v>
      </c>
      <c r="B2312" s="1">
        <f t="shared" si="72"/>
        <v>42583</v>
      </c>
      <c r="C2312" s="4" t="str">
        <f t="shared" si="73"/>
        <v>2016-08</v>
      </c>
      <c r="D2312" s="3">
        <v>27.27</v>
      </c>
      <c r="E2312" s="3">
        <v>1.55</v>
      </c>
      <c r="F2312" s="3">
        <v>123.91</v>
      </c>
      <c r="G2312" s="3">
        <v>2.16</v>
      </c>
    </row>
    <row r="2313" spans="1:7" x14ac:dyDescent="0.2">
      <c r="A2313" s="2">
        <v>42599</v>
      </c>
      <c r="B2313" s="1">
        <f t="shared" si="72"/>
        <v>42583</v>
      </c>
      <c r="C2313" s="4" t="str">
        <f t="shared" si="73"/>
        <v>2016-08</v>
      </c>
      <c r="D2313" s="3">
        <v>27.31</v>
      </c>
      <c r="E2313" s="3">
        <v>1.53</v>
      </c>
      <c r="F2313" s="3">
        <v>124.37</v>
      </c>
      <c r="G2313" s="3">
        <v>2.14</v>
      </c>
    </row>
    <row r="2314" spans="1:7" x14ac:dyDescent="0.2">
      <c r="A2314" s="2">
        <v>42598</v>
      </c>
      <c r="B2314" s="1">
        <f t="shared" si="72"/>
        <v>42583</v>
      </c>
      <c r="C2314" s="4" t="str">
        <f t="shared" si="73"/>
        <v>2016-08</v>
      </c>
      <c r="D2314" s="3">
        <v>27.35</v>
      </c>
      <c r="E2314" s="3">
        <v>1.57</v>
      </c>
      <c r="F2314" s="3">
        <v>123.3</v>
      </c>
      <c r="G2314" s="3">
        <v>2.16</v>
      </c>
    </row>
    <row r="2315" spans="1:7" x14ac:dyDescent="0.2">
      <c r="A2315" s="2">
        <v>42597</v>
      </c>
      <c r="B2315" s="1">
        <f t="shared" si="72"/>
        <v>42583</v>
      </c>
      <c r="C2315" s="4" t="str">
        <f t="shared" si="73"/>
        <v>2016-08</v>
      </c>
      <c r="D2315" s="3">
        <v>27.37</v>
      </c>
      <c r="E2315" s="3">
        <v>1.57</v>
      </c>
      <c r="F2315" s="3">
        <v>123.9</v>
      </c>
      <c r="G2315" s="3">
        <v>2.1800000000000002</v>
      </c>
    </row>
    <row r="2316" spans="1:7" x14ac:dyDescent="0.2">
      <c r="A2316" s="2">
        <v>42594</v>
      </c>
      <c r="B2316" s="1">
        <f t="shared" si="72"/>
        <v>42583</v>
      </c>
      <c r="C2316" s="4" t="str">
        <f t="shared" si="73"/>
        <v>2016-08</v>
      </c>
      <c r="D2316" s="3">
        <v>27.05</v>
      </c>
      <c r="E2316" s="3">
        <v>1.58</v>
      </c>
      <c r="F2316" s="3">
        <v>124.88</v>
      </c>
      <c r="G2316" s="3">
        <v>2.17</v>
      </c>
    </row>
    <row r="2317" spans="1:7" x14ac:dyDescent="0.2">
      <c r="A2317" s="2">
        <v>42593</v>
      </c>
      <c r="B2317" s="1">
        <f t="shared" si="72"/>
        <v>42583</v>
      </c>
      <c r="C2317" s="4" t="str">
        <f t="shared" si="73"/>
        <v>2016-08</v>
      </c>
      <c r="D2317" s="3">
        <v>26.98</v>
      </c>
      <c r="E2317" s="3">
        <v>1.49</v>
      </c>
      <c r="F2317" s="3">
        <v>124.9</v>
      </c>
      <c r="G2317" s="3">
        <v>2.16</v>
      </c>
    </row>
    <row r="2318" spans="1:7" x14ac:dyDescent="0.2">
      <c r="A2318" s="2">
        <v>42592</v>
      </c>
      <c r="B2318" s="1">
        <f t="shared" si="72"/>
        <v>42583</v>
      </c>
      <c r="C2318" s="4" t="str">
        <f t="shared" si="73"/>
        <v>2016-08</v>
      </c>
      <c r="D2318" s="3">
        <v>27</v>
      </c>
      <c r="E2318" s="3">
        <v>1.46</v>
      </c>
      <c r="F2318" s="3">
        <v>124.88</v>
      </c>
      <c r="G2318" s="3">
        <v>2.13</v>
      </c>
    </row>
    <row r="2319" spans="1:7" x14ac:dyDescent="0.2">
      <c r="A2319" s="2">
        <v>42591</v>
      </c>
      <c r="B2319" s="1">
        <f t="shared" si="72"/>
        <v>42583</v>
      </c>
      <c r="C2319" s="4" t="str">
        <f t="shared" si="73"/>
        <v>2016-08</v>
      </c>
      <c r="D2319" s="3">
        <v>27.2</v>
      </c>
      <c r="E2319" s="3">
        <v>1.47</v>
      </c>
      <c r="F2319" s="3">
        <v>125.06</v>
      </c>
      <c r="G2319" s="3">
        <v>2.15</v>
      </c>
    </row>
    <row r="2320" spans="1:7" x14ac:dyDescent="0.2">
      <c r="A2320" s="2">
        <v>42590</v>
      </c>
      <c r="B2320" s="1">
        <f t="shared" si="72"/>
        <v>42583</v>
      </c>
      <c r="C2320" s="4" t="str">
        <f t="shared" si="73"/>
        <v>2016-08</v>
      </c>
      <c r="D2320" s="3">
        <v>27.09</v>
      </c>
      <c r="E2320" s="3">
        <v>1.47</v>
      </c>
      <c r="F2320" s="3">
        <v>125.26</v>
      </c>
      <c r="G2320" s="3">
        <v>2.16</v>
      </c>
    </row>
    <row r="2321" spans="1:7" x14ac:dyDescent="0.2">
      <c r="A2321" s="2">
        <v>42587</v>
      </c>
      <c r="B2321" s="1">
        <f t="shared" si="72"/>
        <v>42583</v>
      </c>
      <c r="C2321" s="4" t="str">
        <f t="shared" si="73"/>
        <v>2016-08</v>
      </c>
      <c r="D2321" s="3">
        <v>26.87</v>
      </c>
      <c r="E2321" s="3">
        <v>1.46</v>
      </c>
      <c r="F2321" s="3">
        <v>125.15</v>
      </c>
      <c r="G2321" s="3">
        <v>2.15</v>
      </c>
    </row>
    <row r="2322" spans="1:7" x14ac:dyDescent="0.2">
      <c r="A2322" s="2">
        <v>42586</v>
      </c>
      <c r="B2322" s="1">
        <f t="shared" si="72"/>
        <v>42583</v>
      </c>
      <c r="C2322" s="4" t="str">
        <f t="shared" si="73"/>
        <v>2016-08</v>
      </c>
      <c r="D2322" s="3">
        <v>26.47</v>
      </c>
      <c r="E2322" s="3">
        <v>1.43</v>
      </c>
      <c r="F2322" s="3">
        <v>124.36</v>
      </c>
      <c r="G2322" s="3">
        <v>2.04</v>
      </c>
    </row>
    <row r="2323" spans="1:7" x14ac:dyDescent="0.2">
      <c r="A2323" s="2">
        <v>42585</v>
      </c>
      <c r="B2323" s="1">
        <f t="shared" si="72"/>
        <v>42583</v>
      </c>
      <c r="C2323" s="4" t="str">
        <f t="shared" si="73"/>
        <v>2016-08</v>
      </c>
      <c r="D2323" s="3">
        <v>26.45</v>
      </c>
      <c r="E2323" s="3">
        <v>1.4</v>
      </c>
      <c r="F2323" s="3">
        <v>122.51</v>
      </c>
      <c r="G2323" s="3">
        <v>2.0499999999999998</v>
      </c>
    </row>
    <row r="2324" spans="1:7" x14ac:dyDescent="0.2">
      <c r="A2324" s="2">
        <v>42584</v>
      </c>
      <c r="B2324" s="1">
        <f t="shared" si="72"/>
        <v>42583</v>
      </c>
      <c r="C2324" s="4" t="str">
        <f t="shared" si="73"/>
        <v>2016-08</v>
      </c>
      <c r="D2324" s="3">
        <v>26.12</v>
      </c>
      <c r="E2324" s="3">
        <v>1.4</v>
      </c>
      <c r="F2324" s="3">
        <v>123.09</v>
      </c>
      <c r="G2324" s="3">
        <v>2.11</v>
      </c>
    </row>
    <row r="2325" spans="1:7" x14ac:dyDescent="0.2">
      <c r="A2325" s="2">
        <v>42583</v>
      </c>
      <c r="B2325" s="1">
        <f t="shared" si="72"/>
        <v>42583</v>
      </c>
      <c r="C2325" s="4" t="str">
        <f t="shared" si="73"/>
        <v>2016-08</v>
      </c>
      <c r="D2325" s="3">
        <v>26.51</v>
      </c>
      <c r="E2325" s="3">
        <v>1.42</v>
      </c>
      <c r="F2325" s="3">
        <v>124.31</v>
      </c>
      <c r="G2325" s="3">
        <v>2.16</v>
      </c>
    </row>
    <row r="2326" spans="1:7" x14ac:dyDescent="0.2">
      <c r="A2326" s="2">
        <v>42580</v>
      </c>
      <c r="B2326" s="1">
        <f t="shared" si="72"/>
        <v>42552</v>
      </c>
      <c r="C2326" s="4" t="str">
        <f t="shared" si="73"/>
        <v>2016-07</v>
      </c>
      <c r="D2326" s="3">
        <v>26.05</v>
      </c>
      <c r="E2326" s="3">
        <v>1.43</v>
      </c>
      <c r="F2326" s="3">
        <v>123.94</v>
      </c>
      <c r="G2326" s="3">
        <v>2.16</v>
      </c>
    </row>
    <row r="2327" spans="1:7" x14ac:dyDescent="0.2">
      <c r="A2327" s="2">
        <v>42579</v>
      </c>
      <c r="B2327" s="1">
        <f t="shared" si="72"/>
        <v>42552</v>
      </c>
      <c r="C2327" s="4" t="str">
        <f t="shared" si="73"/>
        <v>2016-07</v>
      </c>
      <c r="D2327" s="3">
        <v>26.09</v>
      </c>
      <c r="E2327" s="3">
        <v>1.4</v>
      </c>
      <c r="F2327" s="3">
        <v>125</v>
      </c>
      <c r="G2327" s="3">
        <v>2.14</v>
      </c>
    </row>
    <row r="2328" spans="1:7" x14ac:dyDescent="0.2">
      <c r="A2328" s="2">
        <v>42578</v>
      </c>
      <c r="B2328" s="1">
        <f t="shared" si="72"/>
        <v>42552</v>
      </c>
      <c r="C2328" s="4" t="str">
        <f t="shared" si="73"/>
        <v>2016-07</v>
      </c>
      <c r="D2328" s="3">
        <v>25.74</v>
      </c>
      <c r="E2328" s="3">
        <v>1.4</v>
      </c>
      <c r="F2328" s="3">
        <v>123.34</v>
      </c>
      <c r="G2328" s="3">
        <v>2.13</v>
      </c>
    </row>
    <row r="2329" spans="1:7" x14ac:dyDescent="0.2">
      <c r="A2329" s="2">
        <v>42577</v>
      </c>
      <c r="B2329" s="1">
        <f t="shared" si="72"/>
        <v>42552</v>
      </c>
      <c r="C2329" s="4" t="str">
        <f t="shared" si="73"/>
        <v>2016-07</v>
      </c>
      <c r="D2329" s="3">
        <v>24.17</v>
      </c>
      <c r="E2329" s="3">
        <v>1.42</v>
      </c>
      <c r="F2329" s="3">
        <v>121.22</v>
      </c>
      <c r="G2329" s="3">
        <v>2.1</v>
      </c>
    </row>
    <row r="2330" spans="1:7" x14ac:dyDescent="0.2">
      <c r="A2330" s="2">
        <v>42576</v>
      </c>
      <c r="B2330" s="1">
        <f t="shared" si="72"/>
        <v>42552</v>
      </c>
      <c r="C2330" s="4" t="str">
        <f t="shared" si="73"/>
        <v>2016-07</v>
      </c>
      <c r="D2330" s="3">
        <v>24.34</v>
      </c>
      <c r="E2330" s="3">
        <v>1.39</v>
      </c>
      <c r="F2330" s="3">
        <v>121.63</v>
      </c>
      <c r="G2330" s="3">
        <v>2.0299999999999998</v>
      </c>
    </row>
    <row r="2331" spans="1:7" x14ac:dyDescent="0.2">
      <c r="A2331" s="2">
        <v>42573</v>
      </c>
      <c r="B2331" s="1">
        <f t="shared" si="72"/>
        <v>42552</v>
      </c>
      <c r="C2331" s="4" t="str">
        <f t="shared" si="73"/>
        <v>2016-07</v>
      </c>
      <c r="D2331" s="3">
        <v>24.67</v>
      </c>
      <c r="E2331" s="3">
        <v>1.37</v>
      </c>
      <c r="F2331" s="3">
        <v>121</v>
      </c>
      <c r="G2331" s="3">
        <v>2.0099999999999998</v>
      </c>
    </row>
    <row r="2332" spans="1:7" x14ac:dyDescent="0.2">
      <c r="A2332" s="2">
        <v>42572</v>
      </c>
      <c r="B2332" s="1">
        <f t="shared" si="72"/>
        <v>42552</v>
      </c>
      <c r="C2332" s="4" t="str">
        <f t="shared" si="73"/>
        <v>2016-07</v>
      </c>
      <c r="D2332" s="3">
        <v>24.86</v>
      </c>
      <c r="E2332" s="3">
        <v>1.33</v>
      </c>
      <c r="F2332" s="3">
        <v>120.61</v>
      </c>
      <c r="G2332" s="3">
        <v>2</v>
      </c>
    </row>
    <row r="2333" spans="1:7" x14ac:dyDescent="0.2">
      <c r="A2333" s="2">
        <v>42571</v>
      </c>
      <c r="B2333" s="1">
        <f t="shared" si="72"/>
        <v>42552</v>
      </c>
      <c r="C2333" s="4" t="str">
        <f t="shared" si="73"/>
        <v>2016-07</v>
      </c>
      <c r="D2333" s="3">
        <v>24.99</v>
      </c>
      <c r="E2333" s="3">
        <v>1.36</v>
      </c>
      <c r="F2333" s="3">
        <v>121.92</v>
      </c>
      <c r="G2333" s="3">
        <v>1.96</v>
      </c>
    </row>
    <row r="2334" spans="1:7" x14ac:dyDescent="0.2">
      <c r="A2334" s="2">
        <v>42570</v>
      </c>
      <c r="B2334" s="1">
        <f t="shared" si="72"/>
        <v>42552</v>
      </c>
      <c r="C2334" s="4" t="str">
        <f t="shared" si="73"/>
        <v>2016-07</v>
      </c>
      <c r="D2334" s="3">
        <v>24.97</v>
      </c>
      <c r="E2334" s="3">
        <v>1.34</v>
      </c>
      <c r="F2334" s="3">
        <v>120.61</v>
      </c>
      <c r="G2334" s="3">
        <v>1.9</v>
      </c>
    </row>
    <row r="2335" spans="1:7" x14ac:dyDescent="0.2">
      <c r="A2335" s="2">
        <v>42569</v>
      </c>
      <c r="B2335" s="1">
        <f t="shared" si="72"/>
        <v>42552</v>
      </c>
      <c r="C2335" s="4" t="str">
        <f t="shared" si="73"/>
        <v>2016-07</v>
      </c>
      <c r="D2335" s="3">
        <v>24.96</v>
      </c>
      <c r="E2335" s="3">
        <v>1.32</v>
      </c>
      <c r="F2335" s="3">
        <v>119.37</v>
      </c>
      <c r="G2335" s="3">
        <v>2.63</v>
      </c>
    </row>
    <row r="2336" spans="1:7" x14ac:dyDescent="0.2">
      <c r="A2336" s="2">
        <v>42566</v>
      </c>
      <c r="B2336" s="1">
        <f t="shared" si="72"/>
        <v>42552</v>
      </c>
      <c r="C2336" s="4" t="str">
        <f t="shared" si="73"/>
        <v>2016-07</v>
      </c>
      <c r="D2336" s="3">
        <v>24.7</v>
      </c>
      <c r="E2336" s="3">
        <v>1.32</v>
      </c>
      <c r="F2336" s="3">
        <v>116.86</v>
      </c>
      <c r="G2336" s="3">
        <v>2.6</v>
      </c>
    </row>
    <row r="2337" spans="1:7" x14ac:dyDescent="0.2">
      <c r="A2337" s="2">
        <v>42565</v>
      </c>
      <c r="B2337" s="1">
        <f t="shared" si="72"/>
        <v>42552</v>
      </c>
      <c r="C2337" s="4" t="str">
        <f t="shared" si="73"/>
        <v>2016-07</v>
      </c>
      <c r="D2337" s="3">
        <v>24.7</v>
      </c>
      <c r="E2337" s="3">
        <v>1.33</v>
      </c>
      <c r="F2337" s="3">
        <v>117.29</v>
      </c>
      <c r="G2337" s="3">
        <v>2.62</v>
      </c>
    </row>
    <row r="2338" spans="1:7" x14ac:dyDescent="0.2">
      <c r="A2338" s="2">
        <v>42564</v>
      </c>
      <c r="B2338" s="1">
        <f t="shared" si="72"/>
        <v>42552</v>
      </c>
      <c r="C2338" s="4" t="str">
        <f t="shared" si="73"/>
        <v>2016-07</v>
      </c>
      <c r="D2338" s="3">
        <v>24.22</v>
      </c>
      <c r="E2338" s="3">
        <v>1.32</v>
      </c>
      <c r="F2338" s="3">
        <v>116.78</v>
      </c>
      <c r="G2338" s="3">
        <v>2.61</v>
      </c>
    </row>
    <row r="2339" spans="1:7" x14ac:dyDescent="0.2">
      <c r="A2339" s="2">
        <v>42563</v>
      </c>
      <c r="B2339" s="1">
        <f t="shared" si="72"/>
        <v>42552</v>
      </c>
      <c r="C2339" s="4" t="str">
        <f t="shared" si="73"/>
        <v>2016-07</v>
      </c>
      <c r="D2339" s="3">
        <v>24.36</v>
      </c>
      <c r="E2339" s="3">
        <v>1.32</v>
      </c>
      <c r="F2339" s="3">
        <v>117.93</v>
      </c>
      <c r="G2339" s="3">
        <v>2.6</v>
      </c>
    </row>
    <row r="2340" spans="1:7" x14ac:dyDescent="0.2">
      <c r="A2340" s="2">
        <v>42562</v>
      </c>
      <c r="B2340" s="1">
        <f t="shared" si="72"/>
        <v>42552</v>
      </c>
      <c r="C2340" s="4" t="str">
        <f t="shared" si="73"/>
        <v>2016-07</v>
      </c>
      <c r="D2340" s="3">
        <v>24.25</v>
      </c>
      <c r="E2340" s="3">
        <v>1.3</v>
      </c>
      <c r="F2340" s="3">
        <v>117.87</v>
      </c>
      <c r="G2340" s="3">
        <v>2.52</v>
      </c>
    </row>
    <row r="2341" spans="1:7" x14ac:dyDescent="0.2">
      <c r="A2341" s="2">
        <v>42559</v>
      </c>
      <c r="B2341" s="1">
        <f t="shared" si="72"/>
        <v>42552</v>
      </c>
      <c r="C2341" s="4" t="str">
        <f t="shared" si="73"/>
        <v>2016-07</v>
      </c>
      <c r="D2341" s="3">
        <v>24.17</v>
      </c>
      <c r="E2341" s="3">
        <v>1.27</v>
      </c>
      <c r="F2341" s="3">
        <v>117.24</v>
      </c>
      <c r="G2341" s="3">
        <v>2.5299999999999998</v>
      </c>
    </row>
    <row r="2342" spans="1:7" x14ac:dyDescent="0.2">
      <c r="A2342" s="2">
        <v>42558</v>
      </c>
      <c r="B2342" s="1">
        <f t="shared" si="72"/>
        <v>42552</v>
      </c>
      <c r="C2342" s="4" t="str">
        <f t="shared" si="73"/>
        <v>2016-07</v>
      </c>
      <c r="D2342" s="3">
        <v>23.99</v>
      </c>
      <c r="E2342" s="3">
        <v>1.22</v>
      </c>
      <c r="F2342" s="3">
        <v>115.85</v>
      </c>
      <c r="G2342" s="3">
        <v>2.44</v>
      </c>
    </row>
    <row r="2343" spans="1:7" x14ac:dyDescent="0.2">
      <c r="A2343" s="2">
        <v>42557</v>
      </c>
      <c r="B2343" s="1">
        <f t="shared" si="72"/>
        <v>42552</v>
      </c>
      <c r="C2343" s="4" t="str">
        <f t="shared" si="73"/>
        <v>2016-07</v>
      </c>
      <c r="D2343" s="3">
        <v>23.88</v>
      </c>
      <c r="E2343" s="3">
        <v>1.19</v>
      </c>
      <c r="F2343" s="3">
        <v>116.7</v>
      </c>
      <c r="G2343" s="3">
        <v>2.42</v>
      </c>
    </row>
    <row r="2344" spans="1:7" x14ac:dyDescent="0.2">
      <c r="A2344" s="2">
        <v>42556</v>
      </c>
      <c r="B2344" s="1">
        <f t="shared" si="72"/>
        <v>42552</v>
      </c>
      <c r="C2344" s="4" t="str">
        <f t="shared" si="73"/>
        <v>2016-07</v>
      </c>
      <c r="D2344" s="3">
        <v>23.75</v>
      </c>
      <c r="E2344" s="3">
        <v>1.18</v>
      </c>
      <c r="F2344" s="3">
        <v>114</v>
      </c>
      <c r="G2344" s="3">
        <v>2.38</v>
      </c>
    </row>
    <row r="2345" spans="1:7" x14ac:dyDescent="0.2">
      <c r="A2345" s="2">
        <v>42552</v>
      </c>
      <c r="B2345" s="1">
        <f t="shared" si="72"/>
        <v>42552</v>
      </c>
      <c r="C2345" s="4" t="str">
        <f t="shared" si="73"/>
        <v>2016-07</v>
      </c>
      <c r="D2345" s="3">
        <v>23.97</v>
      </c>
      <c r="E2345" s="3">
        <v>1.17</v>
      </c>
      <c r="F2345" s="3">
        <v>114.19</v>
      </c>
      <c r="G2345" s="3">
        <v>2.46</v>
      </c>
    </row>
    <row r="2346" spans="1:7" x14ac:dyDescent="0.2">
      <c r="A2346" s="2">
        <v>42551</v>
      </c>
      <c r="B2346" s="1">
        <f t="shared" si="72"/>
        <v>42522</v>
      </c>
      <c r="C2346" s="4" t="str">
        <f t="shared" si="73"/>
        <v>2016-06</v>
      </c>
      <c r="D2346" s="3">
        <v>23.9</v>
      </c>
      <c r="E2346" s="3">
        <v>1.18</v>
      </c>
      <c r="F2346" s="3">
        <v>114.28</v>
      </c>
      <c r="G2346" s="3">
        <v>2.4900000000000002</v>
      </c>
    </row>
    <row r="2347" spans="1:7" x14ac:dyDescent="0.2">
      <c r="A2347" s="2">
        <v>42550</v>
      </c>
      <c r="B2347" s="1">
        <f t="shared" si="72"/>
        <v>42522</v>
      </c>
      <c r="C2347" s="4" t="str">
        <f t="shared" si="73"/>
        <v>2016-06</v>
      </c>
      <c r="D2347" s="3">
        <v>23.6</v>
      </c>
      <c r="E2347" s="3">
        <v>1.17</v>
      </c>
      <c r="F2347" s="3">
        <v>114.16</v>
      </c>
      <c r="G2347" s="3">
        <v>2.44</v>
      </c>
    </row>
    <row r="2348" spans="1:7" x14ac:dyDescent="0.2">
      <c r="A2348" s="2">
        <v>42549</v>
      </c>
      <c r="B2348" s="1">
        <f t="shared" si="72"/>
        <v>42522</v>
      </c>
      <c r="C2348" s="4" t="str">
        <f t="shared" si="73"/>
        <v>2016-06</v>
      </c>
      <c r="D2348" s="3">
        <v>23.4</v>
      </c>
      <c r="E2348" s="3">
        <v>1.1499999999999999</v>
      </c>
      <c r="F2348" s="3">
        <v>112.7</v>
      </c>
      <c r="G2348" s="3">
        <v>2.4</v>
      </c>
    </row>
    <row r="2349" spans="1:7" x14ac:dyDescent="0.2">
      <c r="A2349" s="2">
        <v>42548</v>
      </c>
      <c r="B2349" s="1">
        <f t="shared" si="72"/>
        <v>42522</v>
      </c>
      <c r="C2349" s="4" t="str">
        <f t="shared" si="73"/>
        <v>2016-06</v>
      </c>
      <c r="D2349" s="3">
        <v>23.01</v>
      </c>
      <c r="E2349" s="3">
        <v>1.1299999999999999</v>
      </c>
      <c r="F2349" s="3">
        <v>108.97</v>
      </c>
      <c r="G2349" s="3">
        <v>2.38</v>
      </c>
    </row>
    <row r="2350" spans="1:7" x14ac:dyDescent="0.2">
      <c r="A2350" s="2">
        <v>42545</v>
      </c>
      <c r="B2350" s="1">
        <f t="shared" si="72"/>
        <v>42522</v>
      </c>
      <c r="C2350" s="4" t="str">
        <f t="shared" si="73"/>
        <v>2016-06</v>
      </c>
      <c r="D2350" s="3">
        <v>23.35</v>
      </c>
      <c r="E2350" s="3">
        <v>1.1399999999999999</v>
      </c>
      <c r="F2350" s="3">
        <v>112.08</v>
      </c>
      <c r="G2350" s="3">
        <v>2.52</v>
      </c>
    </row>
    <row r="2351" spans="1:7" x14ac:dyDescent="0.2">
      <c r="A2351" s="2">
        <v>42544</v>
      </c>
      <c r="B2351" s="1">
        <f t="shared" si="72"/>
        <v>42522</v>
      </c>
      <c r="C2351" s="4" t="str">
        <f t="shared" si="73"/>
        <v>2016-06</v>
      </c>
      <c r="D2351" s="3">
        <v>24.03</v>
      </c>
      <c r="E2351" s="3">
        <v>1.21</v>
      </c>
      <c r="F2351" s="3">
        <v>115.08</v>
      </c>
      <c r="G2351" s="3">
        <v>2.68</v>
      </c>
    </row>
    <row r="2352" spans="1:7" x14ac:dyDescent="0.2">
      <c r="A2352" s="2">
        <v>42543</v>
      </c>
      <c r="B2352" s="1">
        <f t="shared" si="72"/>
        <v>42522</v>
      </c>
      <c r="C2352" s="4" t="str">
        <f t="shared" si="73"/>
        <v>2016-06</v>
      </c>
      <c r="D2352" s="3">
        <v>23.89</v>
      </c>
      <c r="E2352" s="3">
        <v>1.18</v>
      </c>
      <c r="F2352" s="3">
        <v>113.91</v>
      </c>
      <c r="G2352" s="3">
        <v>2.64</v>
      </c>
    </row>
    <row r="2353" spans="1:7" x14ac:dyDescent="0.2">
      <c r="A2353" s="2">
        <v>42542</v>
      </c>
      <c r="B2353" s="1">
        <f t="shared" si="72"/>
        <v>42522</v>
      </c>
      <c r="C2353" s="4" t="str">
        <f t="shared" si="73"/>
        <v>2016-06</v>
      </c>
      <c r="D2353" s="3">
        <v>23.98</v>
      </c>
      <c r="E2353" s="3">
        <v>1.18</v>
      </c>
      <c r="F2353" s="3">
        <v>114.38</v>
      </c>
      <c r="G2353" s="3">
        <v>2.7</v>
      </c>
    </row>
    <row r="2354" spans="1:7" x14ac:dyDescent="0.2">
      <c r="A2354" s="2">
        <v>42541</v>
      </c>
      <c r="B2354" s="1">
        <f t="shared" si="72"/>
        <v>42522</v>
      </c>
      <c r="C2354" s="4" t="str">
        <f t="shared" si="73"/>
        <v>2016-06</v>
      </c>
      <c r="D2354" s="3">
        <v>23.78</v>
      </c>
      <c r="E2354" s="3">
        <v>1.19</v>
      </c>
      <c r="F2354" s="3">
        <v>113.37</v>
      </c>
      <c r="G2354" s="3">
        <v>2.68</v>
      </c>
    </row>
    <row r="2355" spans="1:7" x14ac:dyDescent="0.2">
      <c r="A2355" s="2">
        <v>42538</v>
      </c>
      <c r="B2355" s="1">
        <f t="shared" si="72"/>
        <v>42522</v>
      </c>
      <c r="C2355" s="4" t="str">
        <f t="shared" si="73"/>
        <v>2016-06</v>
      </c>
      <c r="D2355" s="3">
        <v>23.83</v>
      </c>
      <c r="E2355" s="3">
        <v>1.17</v>
      </c>
      <c r="F2355" s="3">
        <v>113.02</v>
      </c>
      <c r="G2355" s="3">
        <v>2.61</v>
      </c>
    </row>
    <row r="2356" spans="1:7" x14ac:dyDescent="0.2">
      <c r="A2356" s="2">
        <v>42537</v>
      </c>
      <c r="B2356" s="1">
        <f t="shared" si="72"/>
        <v>42522</v>
      </c>
      <c r="C2356" s="4" t="str">
        <f t="shared" si="73"/>
        <v>2016-06</v>
      </c>
      <c r="D2356" s="3">
        <v>24.39</v>
      </c>
      <c r="E2356" s="3">
        <v>1.19</v>
      </c>
      <c r="F2356" s="3">
        <v>114.39</v>
      </c>
      <c r="G2356" s="3">
        <v>2.63</v>
      </c>
    </row>
    <row r="2357" spans="1:7" x14ac:dyDescent="0.2">
      <c r="A2357" s="2">
        <v>42536</v>
      </c>
      <c r="B2357" s="1">
        <f t="shared" si="72"/>
        <v>42522</v>
      </c>
      <c r="C2357" s="4" t="str">
        <f t="shared" si="73"/>
        <v>2016-06</v>
      </c>
      <c r="D2357" s="3">
        <v>24.29</v>
      </c>
      <c r="E2357" s="3">
        <v>1.18</v>
      </c>
      <c r="F2357" s="3">
        <v>114.6</v>
      </c>
      <c r="G2357" s="3">
        <v>2.63</v>
      </c>
    </row>
    <row r="2358" spans="1:7" x14ac:dyDescent="0.2">
      <c r="A2358" s="2">
        <v>42535</v>
      </c>
      <c r="B2358" s="1">
        <f t="shared" si="72"/>
        <v>42522</v>
      </c>
      <c r="C2358" s="4" t="str">
        <f t="shared" si="73"/>
        <v>2016-06</v>
      </c>
      <c r="D2358" s="3">
        <v>24.37</v>
      </c>
      <c r="E2358" s="3">
        <v>1.17</v>
      </c>
      <c r="F2358" s="3">
        <v>114.94</v>
      </c>
      <c r="G2358" s="3">
        <v>2.63</v>
      </c>
    </row>
    <row r="2359" spans="1:7" x14ac:dyDescent="0.2">
      <c r="A2359" s="2">
        <v>42534</v>
      </c>
      <c r="B2359" s="1">
        <f t="shared" si="72"/>
        <v>42522</v>
      </c>
      <c r="C2359" s="4" t="str">
        <f t="shared" si="73"/>
        <v>2016-06</v>
      </c>
      <c r="D2359" s="3">
        <v>24.34</v>
      </c>
      <c r="E2359" s="3">
        <v>1.17</v>
      </c>
      <c r="F2359" s="3">
        <v>113.95</v>
      </c>
      <c r="G2359" s="3">
        <v>2.48</v>
      </c>
    </row>
    <row r="2360" spans="1:7" x14ac:dyDescent="0.2">
      <c r="A2360" s="2">
        <v>42531</v>
      </c>
      <c r="B2360" s="1">
        <f t="shared" si="72"/>
        <v>42522</v>
      </c>
      <c r="C2360" s="4" t="str">
        <f t="shared" si="73"/>
        <v>2016-06</v>
      </c>
      <c r="D2360" s="3">
        <v>24.71</v>
      </c>
      <c r="E2360" s="3">
        <v>1.1599999999999999</v>
      </c>
      <c r="F2360" s="3">
        <v>116.62</v>
      </c>
      <c r="G2360" s="3">
        <v>2.58</v>
      </c>
    </row>
    <row r="2361" spans="1:7" x14ac:dyDescent="0.2">
      <c r="A2361" s="2">
        <v>42530</v>
      </c>
      <c r="B2361" s="1">
        <f t="shared" si="72"/>
        <v>42522</v>
      </c>
      <c r="C2361" s="4" t="str">
        <f t="shared" si="73"/>
        <v>2016-06</v>
      </c>
      <c r="D2361" s="3">
        <v>24.91</v>
      </c>
      <c r="E2361" s="3">
        <v>1.18</v>
      </c>
      <c r="F2361" s="3">
        <v>118.56</v>
      </c>
      <c r="G2361" s="3">
        <v>2.59</v>
      </c>
    </row>
    <row r="2362" spans="1:7" x14ac:dyDescent="0.2">
      <c r="A2362" s="2">
        <v>42529</v>
      </c>
      <c r="B2362" s="1">
        <f t="shared" si="72"/>
        <v>42522</v>
      </c>
      <c r="C2362" s="4" t="str">
        <f t="shared" si="73"/>
        <v>2016-06</v>
      </c>
      <c r="D2362" s="3">
        <v>24.74</v>
      </c>
      <c r="E2362" s="3">
        <v>1.1499999999999999</v>
      </c>
      <c r="F2362" s="3">
        <v>118.39</v>
      </c>
      <c r="G2362" s="3">
        <v>2.58</v>
      </c>
    </row>
    <row r="2363" spans="1:7" x14ac:dyDescent="0.2">
      <c r="A2363" s="2">
        <v>42528</v>
      </c>
      <c r="B2363" s="1">
        <f t="shared" si="72"/>
        <v>42522</v>
      </c>
      <c r="C2363" s="4" t="str">
        <f t="shared" si="73"/>
        <v>2016-06</v>
      </c>
      <c r="D2363" s="3">
        <v>24.76</v>
      </c>
      <c r="E2363" s="3">
        <v>1.1599999999999999</v>
      </c>
      <c r="F2363" s="3">
        <v>117.76</v>
      </c>
      <c r="G2363" s="3">
        <v>2.58</v>
      </c>
    </row>
    <row r="2364" spans="1:7" x14ac:dyDescent="0.2">
      <c r="A2364" s="2">
        <v>42527</v>
      </c>
      <c r="B2364" s="1">
        <f t="shared" si="72"/>
        <v>42522</v>
      </c>
      <c r="C2364" s="4" t="str">
        <f t="shared" si="73"/>
        <v>2016-06</v>
      </c>
      <c r="D2364" s="3">
        <v>24.66</v>
      </c>
      <c r="E2364" s="3">
        <v>1.1599999999999999</v>
      </c>
      <c r="F2364" s="3">
        <v>118.79</v>
      </c>
      <c r="G2364" s="3">
        <v>2.65</v>
      </c>
    </row>
    <row r="2365" spans="1:7" x14ac:dyDescent="0.2">
      <c r="A2365" s="2">
        <v>42524</v>
      </c>
      <c r="B2365" s="1">
        <f t="shared" si="72"/>
        <v>42522</v>
      </c>
      <c r="C2365" s="4" t="str">
        <f t="shared" si="73"/>
        <v>2016-06</v>
      </c>
      <c r="D2365" s="3">
        <v>24.48</v>
      </c>
      <c r="E2365" s="3">
        <v>1.1599999999999999</v>
      </c>
      <c r="F2365" s="3">
        <v>118.47</v>
      </c>
      <c r="G2365" s="3">
        <v>2.66</v>
      </c>
    </row>
    <row r="2366" spans="1:7" x14ac:dyDescent="0.2">
      <c r="A2366" s="2">
        <v>42523</v>
      </c>
      <c r="B2366" s="1">
        <f t="shared" si="72"/>
        <v>42522</v>
      </c>
      <c r="C2366" s="4" t="str">
        <f t="shared" si="73"/>
        <v>2016-06</v>
      </c>
      <c r="D2366" s="3">
        <v>24.43</v>
      </c>
      <c r="E2366" s="3">
        <v>1.18</v>
      </c>
      <c r="F2366" s="3">
        <v>118.93</v>
      </c>
      <c r="G2366" s="3">
        <v>2.64</v>
      </c>
    </row>
    <row r="2367" spans="1:7" x14ac:dyDescent="0.2">
      <c r="A2367" s="2">
        <v>42522</v>
      </c>
      <c r="B2367" s="1">
        <f t="shared" si="72"/>
        <v>42522</v>
      </c>
      <c r="C2367" s="4" t="str">
        <f t="shared" si="73"/>
        <v>2016-06</v>
      </c>
      <c r="D2367" s="3">
        <v>24.62</v>
      </c>
      <c r="E2367" s="3">
        <v>1.17</v>
      </c>
      <c r="F2367" s="3">
        <v>118.78</v>
      </c>
      <c r="G2367" s="3">
        <v>2.64</v>
      </c>
    </row>
    <row r="2368" spans="1:7" x14ac:dyDescent="0.2">
      <c r="A2368" s="2">
        <v>42521</v>
      </c>
      <c r="B2368" s="1">
        <f t="shared" si="72"/>
        <v>42491</v>
      </c>
      <c r="C2368" s="4" t="str">
        <f t="shared" si="73"/>
        <v>2016-05</v>
      </c>
      <c r="D2368" s="3">
        <v>24.97</v>
      </c>
      <c r="E2368" s="3">
        <v>1.17</v>
      </c>
      <c r="F2368" s="3">
        <v>118.81</v>
      </c>
      <c r="G2368" s="3">
        <v>2.62</v>
      </c>
    </row>
    <row r="2369" spans="1:7" x14ac:dyDescent="0.2">
      <c r="A2369" s="2">
        <v>42517</v>
      </c>
      <c r="B2369" s="1">
        <f t="shared" si="72"/>
        <v>42491</v>
      </c>
      <c r="C2369" s="4" t="str">
        <f t="shared" si="73"/>
        <v>2016-05</v>
      </c>
      <c r="D2369" s="3">
        <v>25.09</v>
      </c>
      <c r="E2369" s="3">
        <v>1.1499999999999999</v>
      </c>
      <c r="F2369" s="3">
        <v>119.38</v>
      </c>
      <c r="G2369" s="3">
        <v>2.61</v>
      </c>
    </row>
    <row r="2370" spans="1:7" x14ac:dyDescent="0.2">
      <c r="A2370" s="2">
        <v>42516</v>
      </c>
      <c r="B2370" s="1">
        <f t="shared" si="72"/>
        <v>42491</v>
      </c>
      <c r="C2370" s="4" t="str">
        <f t="shared" si="73"/>
        <v>2016-05</v>
      </c>
      <c r="D2370" s="3">
        <v>25.1</v>
      </c>
      <c r="E2370" s="3">
        <v>1.1399999999999999</v>
      </c>
      <c r="F2370" s="3">
        <v>119.47</v>
      </c>
      <c r="G2370" s="3">
        <v>2.58</v>
      </c>
    </row>
    <row r="2371" spans="1:7" x14ac:dyDescent="0.2">
      <c r="A2371" s="2">
        <v>42515</v>
      </c>
      <c r="B2371" s="1">
        <f t="shared" ref="B2371:B2434" si="74">EOMONTH(A2371, -1)+1</f>
        <v>42491</v>
      </c>
      <c r="C2371" s="4" t="str">
        <f t="shared" ref="C2371:C2434" si="75">TEXT(A2371, "yyyy-mm")</f>
        <v>2016-05</v>
      </c>
      <c r="D2371" s="3">
        <v>24.91</v>
      </c>
      <c r="E2371" s="3">
        <v>1.1299999999999999</v>
      </c>
      <c r="F2371" s="3">
        <v>117.89</v>
      </c>
      <c r="G2371" s="3">
        <v>2.59</v>
      </c>
    </row>
    <row r="2372" spans="1:7" x14ac:dyDescent="0.2">
      <c r="A2372" s="2">
        <v>42514</v>
      </c>
      <c r="B2372" s="1">
        <f t="shared" si="74"/>
        <v>42491</v>
      </c>
      <c r="C2372" s="4" t="str">
        <f t="shared" si="75"/>
        <v>2016-05</v>
      </c>
      <c r="D2372" s="3">
        <v>24.48</v>
      </c>
      <c r="E2372" s="3">
        <v>1.1299999999999999</v>
      </c>
      <c r="F2372" s="3">
        <v>117.7</v>
      </c>
      <c r="G2372" s="3">
        <v>2.6</v>
      </c>
    </row>
    <row r="2373" spans="1:7" x14ac:dyDescent="0.2">
      <c r="A2373" s="2">
        <v>42513</v>
      </c>
      <c r="B2373" s="1">
        <f t="shared" si="74"/>
        <v>42491</v>
      </c>
      <c r="C2373" s="4" t="str">
        <f t="shared" si="75"/>
        <v>2016-05</v>
      </c>
      <c r="D2373" s="3">
        <v>24.11</v>
      </c>
      <c r="E2373" s="3">
        <v>1.1100000000000001</v>
      </c>
      <c r="F2373" s="3">
        <v>115.97</v>
      </c>
      <c r="G2373" s="3">
        <v>2.52</v>
      </c>
    </row>
    <row r="2374" spans="1:7" x14ac:dyDescent="0.2">
      <c r="A2374" s="2">
        <v>42510</v>
      </c>
      <c r="B2374" s="1">
        <f t="shared" si="74"/>
        <v>42491</v>
      </c>
      <c r="C2374" s="4" t="str">
        <f t="shared" si="75"/>
        <v>2016-05</v>
      </c>
      <c r="D2374" s="3">
        <v>23.81</v>
      </c>
      <c r="E2374" s="3">
        <v>1.1100000000000001</v>
      </c>
      <c r="F2374" s="3">
        <v>117.35</v>
      </c>
      <c r="G2374" s="3">
        <v>2.52</v>
      </c>
    </row>
    <row r="2375" spans="1:7" x14ac:dyDescent="0.2">
      <c r="A2375" s="2">
        <v>42509</v>
      </c>
      <c r="B2375" s="1">
        <f t="shared" si="74"/>
        <v>42491</v>
      </c>
      <c r="C2375" s="4" t="str">
        <f t="shared" si="75"/>
        <v>2016-05</v>
      </c>
      <c r="D2375" s="3">
        <v>23.55</v>
      </c>
      <c r="E2375" s="3">
        <v>1.0900000000000001</v>
      </c>
      <c r="F2375" s="3">
        <v>116.81</v>
      </c>
      <c r="G2375" s="3">
        <v>2.4500000000000002</v>
      </c>
    </row>
    <row r="2376" spans="1:7" x14ac:dyDescent="0.2">
      <c r="A2376" s="2">
        <v>42508</v>
      </c>
      <c r="B2376" s="1">
        <f t="shared" si="74"/>
        <v>42491</v>
      </c>
      <c r="C2376" s="4" t="str">
        <f t="shared" si="75"/>
        <v>2016-05</v>
      </c>
      <c r="D2376" s="3">
        <v>23.64</v>
      </c>
      <c r="E2376" s="3">
        <v>1.08</v>
      </c>
      <c r="F2376" s="3">
        <v>117.65</v>
      </c>
      <c r="G2376" s="3">
        <v>2.5</v>
      </c>
    </row>
    <row r="2377" spans="1:7" x14ac:dyDescent="0.2">
      <c r="A2377" s="2">
        <v>42507</v>
      </c>
      <c r="B2377" s="1">
        <f t="shared" si="74"/>
        <v>42491</v>
      </c>
      <c r="C2377" s="4" t="str">
        <f t="shared" si="75"/>
        <v>2016-05</v>
      </c>
      <c r="D2377" s="3">
        <v>23.37</v>
      </c>
      <c r="E2377" s="3">
        <v>1.06</v>
      </c>
      <c r="F2377" s="3">
        <v>117.35</v>
      </c>
      <c r="G2377" s="3">
        <v>2.4900000000000002</v>
      </c>
    </row>
    <row r="2378" spans="1:7" x14ac:dyDescent="0.2">
      <c r="A2378" s="2">
        <v>42506</v>
      </c>
      <c r="B2378" s="1">
        <f t="shared" si="74"/>
        <v>42491</v>
      </c>
      <c r="C2378" s="4" t="str">
        <f t="shared" si="75"/>
        <v>2016-05</v>
      </c>
      <c r="D2378" s="3">
        <v>23.47</v>
      </c>
      <c r="E2378" s="3">
        <v>1.05</v>
      </c>
      <c r="F2378" s="3">
        <v>118.67</v>
      </c>
      <c r="G2378" s="3">
        <v>2.5099999999999998</v>
      </c>
    </row>
    <row r="2379" spans="1:7" x14ac:dyDescent="0.2">
      <c r="A2379" s="2">
        <v>42503</v>
      </c>
      <c r="B2379" s="1">
        <f t="shared" si="74"/>
        <v>42491</v>
      </c>
      <c r="C2379" s="4" t="str">
        <f t="shared" si="75"/>
        <v>2016-05</v>
      </c>
      <c r="D2379" s="3">
        <v>22.63</v>
      </c>
      <c r="E2379" s="3">
        <v>1.02</v>
      </c>
      <c r="F2379" s="3">
        <v>119.81</v>
      </c>
      <c r="G2379" s="3">
        <v>2.5</v>
      </c>
    </row>
    <row r="2380" spans="1:7" x14ac:dyDescent="0.2">
      <c r="A2380" s="2">
        <v>42502</v>
      </c>
      <c r="B2380" s="1">
        <f t="shared" si="74"/>
        <v>42491</v>
      </c>
      <c r="C2380" s="4" t="str">
        <f t="shared" si="75"/>
        <v>2016-05</v>
      </c>
      <c r="D2380" s="3">
        <v>22.59</v>
      </c>
      <c r="E2380" s="3">
        <v>0.89</v>
      </c>
      <c r="F2380" s="3">
        <v>120.28</v>
      </c>
      <c r="G2380" s="3">
        <v>2.5099999999999998</v>
      </c>
    </row>
    <row r="2381" spans="1:7" x14ac:dyDescent="0.2">
      <c r="A2381" s="2">
        <v>42501</v>
      </c>
      <c r="B2381" s="1">
        <f t="shared" si="74"/>
        <v>42491</v>
      </c>
      <c r="C2381" s="4" t="str">
        <f t="shared" si="75"/>
        <v>2016-05</v>
      </c>
      <c r="D2381" s="3">
        <v>23.13</v>
      </c>
      <c r="E2381" s="3">
        <v>0.9</v>
      </c>
      <c r="F2381" s="3">
        <v>119.52</v>
      </c>
      <c r="G2381" s="3">
        <v>2.63</v>
      </c>
    </row>
    <row r="2382" spans="1:7" x14ac:dyDescent="0.2">
      <c r="A2382" s="2">
        <v>42500</v>
      </c>
      <c r="B2382" s="1">
        <f t="shared" si="74"/>
        <v>42491</v>
      </c>
      <c r="C2382" s="4" t="str">
        <f t="shared" si="75"/>
        <v>2016-05</v>
      </c>
      <c r="D2382" s="3">
        <v>23.36</v>
      </c>
      <c r="E2382" s="3">
        <v>0.9</v>
      </c>
      <c r="F2382" s="3">
        <v>120.5</v>
      </c>
      <c r="G2382" s="3">
        <v>2.69</v>
      </c>
    </row>
    <row r="2383" spans="1:7" x14ac:dyDescent="0.2">
      <c r="A2383" s="2">
        <v>42499</v>
      </c>
      <c r="B2383" s="1">
        <f t="shared" si="74"/>
        <v>42491</v>
      </c>
      <c r="C2383" s="4" t="str">
        <f t="shared" si="75"/>
        <v>2016-05</v>
      </c>
      <c r="D2383" s="3">
        <v>23.2</v>
      </c>
      <c r="E2383" s="3">
        <v>0.88</v>
      </c>
      <c r="F2383" s="3">
        <v>119.24</v>
      </c>
      <c r="G2383" s="3">
        <v>2.69</v>
      </c>
    </row>
    <row r="2384" spans="1:7" x14ac:dyDescent="0.2">
      <c r="A2384" s="2">
        <v>42496</v>
      </c>
      <c r="B2384" s="1">
        <f t="shared" si="74"/>
        <v>42491</v>
      </c>
      <c r="C2384" s="4" t="str">
        <f t="shared" si="75"/>
        <v>2016-05</v>
      </c>
      <c r="D2384" s="3">
        <v>23.18</v>
      </c>
      <c r="E2384" s="3">
        <v>0.88</v>
      </c>
      <c r="F2384" s="3">
        <v>119.49</v>
      </c>
      <c r="G2384" s="3">
        <v>2.7</v>
      </c>
    </row>
    <row r="2385" spans="1:7" x14ac:dyDescent="0.2">
      <c r="A2385" s="2">
        <v>42495</v>
      </c>
      <c r="B2385" s="1">
        <f t="shared" si="74"/>
        <v>42491</v>
      </c>
      <c r="C2385" s="4" t="str">
        <f t="shared" si="75"/>
        <v>2016-05</v>
      </c>
      <c r="D2385" s="3">
        <v>23.31</v>
      </c>
      <c r="E2385" s="3">
        <v>0.87</v>
      </c>
      <c r="F2385" s="3">
        <v>117.81</v>
      </c>
      <c r="G2385" s="3">
        <v>2.66</v>
      </c>
    </row>
    <row r="2386" spans="1:7" x14ac:dyDescent="0.2">
      <c r="A2386" s="2">
        <v>42494</v>
      </c>
      <c r="B2386" s="1">
        <f t="shared" si="74"/>
        <v>42491</v>
      </c>
      <c r="C2386" s="4" t="str">
        <f t="shared" si="75"/>
        <v>2016-05</v>
      </c>
      <c r="D2386" s="3">
        <v>23.55</v>
      </c>
      <c r="E2386" s="3">
        <v>0.87</v>
      </c>
      <c r="F2386" s="3">
        <v>118.06</v>
      </c>
      <c r="G2386" s="3">
        <v>2.65</v>
      </c>
    </row>
    <row r="2387" spans="1:7" x14ac:dyDescent="0.2">
      <c r="A2387" s="2">
        <v>42493</v>
      </c>
      <c r="B2387" s="1">
        <f t="shared" si="74"/>
        <v>42491</v>
      </c>
      <c r="C2387" s="4" t="str">
        <f t="shared" si="75"/>
        <v>2016-05</v>
      </c>
      <c r="D2387" s="3">
        <v>23.8</v>
      </c>
      <c r="E2387" s="3">
        <v>0.89</v>
      </c>
      <c r="F2387" s="3">
        <v>117.43</v>
      </c>
      <c r="G2387" s="3">
        <v>2.67</v>
      </c>
    </row>
    <row r="2388" spans="1:7" x14ac:dyDescent="0.2">
      <c r="A2388" s="2">
        <v>42492</v>
      </c>
      <c r="B2388" s="1">
        <f t="shared" si="74"/>
        <v>42491</v>
      </c>
      <c r="C2388" s="4" t="str">
        <f t="shared" si="75"/>
        <v>2016-05</v>
      </c>
      <c r="D2388" s="3">
        <v>23.41</v>
      </c>
      <c r="E2388" s="3">
        <v>0.9</v>
      </c>
      <c r="F2388" s="3">
        <v>118.57</v>
      </c>
      <c r="G2388" s="3">
        <v>2.72</v>
      </c>
    </row>
    <row r="2389" spans="1:7" x14ac:dyDescent="0.2">
      <c r="A2389" s="2">
        <v>42489</v>
      </c>
      <c r="B2389" s="1">
        <f t="shared" si="74"/>
        <v>42461</v>
      </c>
      <c r="C2389" s="4" t="str">
        <f t="shared" si="75"/>
        <v>2016-04</v>
      </c>
      <c r="D2389" s="3">
        <v>23.44</v>
      </c>
      <c r="E2389" s="3">
        <v>0.89</v>
      </c>
      <c r="F2389" s="3">
        <v>117.58</v>
      </c>
      <c r="G2389" s="3">
        <v>2.69</v>
      </c>
    </row>
    <row r="2390" spans="1:7" x14ac:dyDescent="0.2">
      <c r="A2390" s="2">
        <v>42488</v>
      </c>
      <c r="B2390" s="1">
        <f t="shared" si="74"/>
        <v>42461</v>
      </c>
      <c r="C2390" s="4" t="str">
        <f t="shared" si="75"/>
        <v>2016-04</v>
      </c>
      <c r="D2390" s="3">
        <v>23.71</v>
      </c>
      <c r="E2390" s="3">
        <v>0.91</v>
      </c>
      <c r="F2390" s="3">
        <v>116.73</v>
      </c>
      <c r="G2390" s="3">
        <v>2.83</v>
      </c>
    </row>
    <row r="2391" spans="1:7" x14ac:dyDescent="0.2">
      <c r="A2391" s="2">
        <v>42487</v>
      </c>
      <c r="B2391" s="1">
        <f t="shared" si="74"/>
        <v>42461</v>
      </c>
      <c r="C2391" s="4" t="str">
        <f t="shared" si="75"/>
        <v>2016-04</v>
      </c>
      <c r="D2391" s="3">
        <v>24.46</v>
      </c>
      <c r="E2391" s="3">
        <v>0.93</v>
      </c>
      <c r="F2391" s="3">
        <v>108.89</v>
      </c>
      <c r="G2391" s="3">
        <v>2.87</v>
      </c>
    </row>
    <row r="2392" spans="1:7" x14ac:dyDescent="0.2">
      <c r="A2392" s="2">
        <v>42486</v>
      </c>
      <c r="B2392" s="1">
        <f t="shared" si="74"/>
        <v>42461</v>
      </c>
      <c r="C2392" s="4" t="str">
        <f t="shared" si="75"/>
        <v>2016-04</v>
      </c>
      <c r="D2392" s="3">
        <v>26.09</v>
      </c>
      <c r="E2392" s="3">
        <v>0.91</v>
      </c>
      <c r="F2392" s="3">
        <v>108.76</v>
      </c>
      <c r="G2392" s="3">
        <v>2.87</v>
      </c>
    </row>
    <row r="2393" spans="1:7" x14ac:dyDescent="0.2">
      <c r="A2393" s="2">
        <v>42485</v>
      </c>
      <c r="B2393" s="1">
        <f t="shared" si="74"/>
        <v>42461</v>
      </c>
      <c r="C2393" s="4" t="str">
        <f t="shared" si="75"/>
        <v>2016-04</v>
      </c>
      <c r="D2393" s="3">
        <v>26.27</v>
      </c>
      <c r="E2393" s="3">
        <v>0.91</v>
      </c>
      <c r="F2393" s="3">
        <v>110.1</v>
      </c>
      <c r="G2393" s="3">
        <v>2.84</v>
      </c>
    </row>
    <row r="2394" spans="1:7" x14ac:dyDescent="0.2">
      <c r="A2394" s="2">
        <v>42482</v>
      </c>
      <c r="B2394" s="1">
        <f t="shared" si="74"/>
        <v>42461</v>
      </c>
      <c r="C2394" s="4" t="str">
        <f t="shared" si="75"/>
        <v>2016-04</v>
      </c>
      <c r="D2394" s="3">
        <v>26.42</v>
      </c>
      <c r="E2394" s="3">
        <v>0.91</v>
      </c>
      <c r="F2394" s="3">
        <v>110.56</v>
      </c>
      <c r="G2394" s="3">
        <v>2.85</v>
      </c>
    </row>
    <row r="2395" spans="1:7" x14ac:dyDescent="0.2">
      <c r="A2395" s="2">
        <v>42481</v>
      </c>
      <c r="B2395" s="1">
        <f t="shared" si="74"/>
        <v>42461</v>
      </c>
      <c r="C2395" s="4" t="str">
        <f t="shared" si="75"/>
        <v>2016-04</v>
      </c>
      <c r="D2395" s="3">
        <v>26.49</v>
      </c>
      <c r="E2395" s="3">
        <v>0.91</v>
      </c>
      <c r="F2395" s="3">
        <v>113.44</v>
      </c>
      <c r="G2395" s="3">
        <v>2.77</v>
      </c>
    </row>
    <row r="2396" spans="1:7" x14ac:dyDescent="0.2">
      <c r="A2396" s="2">
        <v>42480</v>
      </c>
      <c r="B2396" s="1">
        <f t="shared" si="74"/>
        <v>42461</v>
      </c>
      <c r="C2396" s="4" t="str">
        <f t="shared" si="75"/>
        <v>2016-04</v>
      </c>
      <c r="D2396" s="3">
        <v>26.78</v>
      </c>
      <c r="E2396" s="3">
        <v>0.91</v>
      </c>
      <c r="F2396" s="3">
        <v>112.42</v>
      </c>
      <c r="G2396" s="3">
        <v>2.8</v>
      </c>
    </row>
    <row r="2397" spans="1:7" x14ac:dyDescent="0.2">
      <c r="A2397" s="2">
        <v>42479</v>
      </c>
      <c r="B2397" s="1">
        <f t="shared" si="74"/>
        <v>42461</v>
      </c>
      <c r="C2397" s="4" t="str">
        <f t="shared" si="75"/>
        <v>2016-04</v>
      </c>
      <c r="D2397" s="3">
        <v>26.73</v>
      </c>
      <c r="E2397" s="3">
        <v>0.91</v>
      </c>
      <c r="F2397" s="3">
        <v>112.29</v>
      </c>
      <c r="G2397" s="3">
        <v>2.79</v>
      </c>
    </row>
    <row r="2398" spans="1:7" x14ac:dyDescent="0.2">
      <c r="A2398" s="2">
        <v>42478</v>
      </c>
      <c r="B2398" s="1">
        <f t="shared" si="74"/>
        <v>42461</v>
      </c>
      <c r="C2398" s="4" t="str">
        <f t="shared" si="75"/>
        <v>2016-04</v>
      </c>
      <c r="D2398" s="3">
        <v>26.87</v>
      </c>
      <c r="E2398" s="3">
        <v>0.92</v>
      </c>
      <c r="F2398" s="3">
        <v>110.45</v>
      </c>
      <c r="G2398" s="3">
        <v>2.71</v>
      </c>
    </row>
    <row r="2399" spans="1:7" x14ac:dyDescent="0.2">
      <c r="A2399" s="2">
        <v>42475</v>
      </c>
      <c r="B2399" s="1">
        <f t="shared" si="74"/>
        <v>42461</v>
      </c>
      <c r="C2399" s="4" t="str">
        <f t="shared" si="75"/>
        <v>2016-04</v>
      </c>
      <c r="D2399" s="3">
        <v>27.46</v>
      </c>
      <c r="E2399" s="3">
        <v>0.93</v>
      </c>
      <c r="F2399" s="3">
        <v>109.64</v>
      </c>
      <c r="G2399" s="3">
        <v>2.68</v>
      </c>
    </row>
    <row r="2400" spans="1:7" x14ac:dyDescent="0.2">
      <c r="A2400" s="2">
        <v>42474</v>
      </c>
      <c r="B2400" s="1">
        <f t="shared" si="74"/>
        <v>42461</v>
      </c>
      <c r="C2400" s="4" t="str">
        <f t="shared" si="75"/>
        <v>2016-04</v>
      </c>
      <c r="D2400" s="3">
        <v>28.03</v>
      </c>
      <c r="E2400" s="3">
        <v>0.92</v>
      </c>
      <c r="F2400" s="3">
        <v>110.84</v>
      </c>
      <c r="G2400" s="3">
        <v>3.33</v>
      </c>
    </row>
    <row r="2401" spans="1:7" x14ac:dyDescent="0.2">
      <c r="A2401" s="2">
        <v>42473</v>
      </c>
      <c r="B2401" s="1">
        <f t="shared" si="74"/>
        <v>42461</v>
      </c>
      <c r="C2401" s="4" t="str">
        <f t="shared" si="75"/>
        <v>2016-04</v>
      </c>
      <c r="D2401" s="3">
        <v>28.01</v>
      </c>
      <c r="E2401" s="3">
        <v>0.92</v>
      </c>
      <c r="F2401" s="3">
        <v>110.51</v>
      </c>
      <c r="G2401" s="3">
        <v>3.38</v>
      </c>
    </row>
    <row r="2402" spans="1:7" x14ac:dyDescent="0.2">
      <c r="A2402" s="2">
        <v>42472</v>
      </c>
      <c r="B2402" s="1">
        <f t="shared" si="74"/>
        <v>42461</v>
      </c>
      <c r="C2402" s="4" t="str">
        <f t="shared" si="75"/>
        <v>2016-04</v>
      </c>
      <c r="D2402" s="3">
        <v>27.61</v>
      </c>
      <c r="E2402" s="3">
        <v>0.9</v>
      </c>
      <c r="F2402" s="3">
        <v>110.61</v>
      </c>
      <c r="G2402" s="3">
        <v>3.31</v>
      </c>
    </row>
    <row r="2403" spans="1:7" x14ac:dyDescent="0.2">
      <c r="A2403" s="2">
        <v>42471</v>
      </c>
      <c r="B2403" s="1">
        <f t="shared" si="74"/>
        <v>42461</v>
      </c>
      <c r="C2403" s="4" t="str">
        <f t="shared" si="75"/>
        <v>2016-04</v>
      </c>
      <c r="D2403" s="3">
        <v>27.26</v>
      </c>
      <c r="E2403" s="3">
        <v>0.9</v>
      </c>
      <c r="F2403" s="3">
        <v>108.99</v>
      </c>
      <c r="G2403" s="3">
        <v>3.32</v>
      </c>
    </row>
    <row r="2404" spans="1:7" x14ac:dyDescent="0.2">
      <c r="A2404" s="2">
        <v>42468</v>
      </c>
      <c r="B2404" s="1">
        <f t="shared" si="74"/>
        <v>42461</v>
      </c>
      <c r="C2404" s="4" t="str">
        <f t="shared" si="75"/>
        <v>2016-04</v>
      </c>
      <c r="D2404" s="3">
        <v>27.17</v>
      </c>
      <c r="E2404" s="3">
        <v>0.89</v>
      </c>
      <c r="F2404" s="3">
        <v>110.63</v>
      </c>
      <c r="G2404" s="3">
        <v>3.34</v>
      </c>
    </row>
    <row r="2405" spans="1:7" x14ac:dyDescent="0.2">
      <c r="A2405" s="2">
        <v>42467</v>
      </c>
      <c r="B2405" s="1">
        <f t="shared" si="74"/>
        <v>42461</v>
      </c>
      <c r="C2405" s="4" t="str">
        <f t="shared" si="75"/>
        <v>2016-04</v>
      </c>
      <c r="D2405" s="3">
        <v>27.14</v>
      </c>
      <c r="E2405" s="3">
        <v>0.89</v>
      </c>
      <c r="F2405" s="3">
        <v>113.64</v>
      </c>
      <c r="G2405" s="3">
        <v>3.37</v>
      </c>
    </row>
    <row r="2406" spans="1:7" x14ac:dyDescent="0.2">
      <c r="A2406" s="2">
        <v>42466</v>
      </c>
      <c r="B2406" s="1">
        <f t="shared" si="74"/>
        <v>42461</v>
      </c>
      <c r="C2406" s="4" t="str">
        <f t="shared" si="75"/>
        <v>2016-04</v>
      </c>
      <c r="D2406" s="3">
        <v>27.74</v>
      </c>
      <c r="E2406" s="3">
        <v>0.9</v>
      </c>
      <c r="F2406" s="3">
        <v>113.71</v>
      </c>
      <c r="G2406" s="3">
        <v>3.42</v>
      </c>
    </row>
    <row r="2407" spans="1:7" x14ac:dyDescent="0.2">
      <c r="A2407" s="2">
        <v>42465</v>
      </c>
      <c r="B2407" s="1">
        <f t="shared" si="74"/>
        <v>42461</v>
      </c>
      <c r="C2407" s="4" t="str">
        <f t="shared" si="75"/>
        <v>2016-04</v>
      </c>
      <c r="D2407" s="3">
        <v>27.45</v>
      </c>
      <c r="E2407" s="3">
        <v>0.89</v>
      </c>
      <c r="F2407" s="3">
        <v>112.22</v>
      </c>
      <c r="G2407" s="3">
        <v>3.42</v>
      </c>
    </row>
    <row r="2408" spans="1:7" x14ac:dyDescent="0.2">
      <c r="A2408" s="2">
        <v>42464</v>
      </c>
      <c r="B2408" s="1">
        <f t="shared" si="74"/>
        <v>42461</v>
      </c>
      <c r="C2408" s="4" t="str">
        <f t="shared" si="75"/>
        <v>2016-04</v>
      </c>
      <c r="D2408" s="3">
        <v>27.78</v>
      </c>
      <c r="E2408" s="3">
        <v>0.9</v>
      </c>
      <c r="F2408" s="3">
        <v>112.55</v>
      </c>
      <c r="G2408" s="3">
        <v>3.4</v>
      </c>
    </row>
    <row r="2409" spans="1:7" x14ac:dyDescent="0.2">
      <c r="A2409" s="2">
        <v>42461</v>
      </c>
      <c r="B2409" s="1">
        <f t="shared" si="74"/>
        <v>42461</v>
      </c>
      <c r="C2409" s="4" t="str">
        <f t="shared" si="75"/>
        <v>2016-04</v>
      </c>
      <c r="D2409" s="3">
        <v>27.5</v>
      </c>
      <c r="E2409" s="3">
        <v>0.9</v>
      </c>
      <c r="F2409" s="3">
        <v>116.06</v>
      </c>
      <c r="G2409" s="3">
        <v>3.45</v>
      </c>
    </row>
    <row r="2410" spans="1:7" x14ac:dyDescent="0.2">
      <c r="A2410" s="2">
        <v>42460</v>
      </c>
      <c r="B2410" s="1">
        <f t="shared" si="74"/>
        <v>42430</v>
      </c>
      <c r="C2410" s="4" t="str">
        <f t="shared" si="75"/>
        <v>2016-03</v>
      </c>
      <c r="D2410" s="3">
        <v>27.25</v>
      </c>
      <c r="E2410" s="3">
        <v>0.89</v>
      </c>
      <c r="F2410" s="3">
        <v>114.1</v>
      </c>
      <c r="G2410" s="3">
        <v>3.41</v>
      </c>
    </row>
    <row r="2411" spans="1:7" x14ac:dyDescent="0.2">
      <c r="A2411" s="2">
        <v>42459</v>
      </c>
      <c r="B2411" s="1">
        <f t="shared" si="74"/>
        <v>42430</v>
      </c>
      <c r="C2411" s="4" t="str">
        <f t="shared" si="75"/>
        <v>2016-03</v>
      </c>
      <c r="D2411" s="3">
        <v>27.39</v>
      </c>
      <c r="E2411" s="3">
        <v>0.89</v>
      </c>
      <c r="F2411" s="3">
        <v>114.7</v>
      </c>
      <c r="G2411" s="3">
        <v>3.34</v>
      </c>
    </row>
    <row r="2412" spans="1:7" x14ac:dyDescent="0.2">
      <c r="A2412" s="2">
        <v>42458</v>
      </c>
      <c r="B2412" s="1">
        <f t="shared" si="74"/>
        <v>42430</v>
      </c>
      <c r="C2412" s="4" t="str">
        <f t="shared" si="75"/>
        <v>2016-03</v>
      </c>
      <c r="D2412" s="3">
        <v>26.92</v>
      </c>
      <c r="E2412" s="3">
        <v>0.88</v>
      </c>
      <c r="F2412" s="3">
        <v>116.14</v>
      </c>
      <c r="G2412" s="3">
        <v>3.37</v>
      </c>
    </row>
    <row r="2413" spans="1:7" x14ac:dyDescent="0.2">
      <c r="A2413" s="2">
        <v>42457</v>
      </c>
      <c r="B2413" s="1">
        <f t="shared" si="74"/>
        <v>42430</v>
      </c>
      <c r="C2413" s="4" t="str">
        <f t="shared" si="75"/>
        <v>2016-03</v>
      </c>
      <c r="D2413" s="3">
        <v>26.3</v>
      </c>
      <c r="E2413" s="3">
        <v>0.87</v>
      </c>
      <c r="F2413" s="3">
        <v>113.69</v>
      </c>
      <c r="G2413" s="3">
        <v>3.27</v>
      </c>
    </row>
    <row r="2414" spans="1:7" x14ac:dyDescent="0.2">
      <c r="A2414" s="2">
        <v>42453</v>
      </c>
      <c r="B2414" s="1">
        <f t="shared" si="74"/>
        <v>42430</v>
      </c>
      <c r="C2414" s="4" t="str">
        <f t="shared" si="75"/>
        <v>2016-03</v>
      </c>
      <c r="D2414" s="3">
        <v>26.42</v>
      </c>
      <c r="E2414" s="3">
        <v>0.86</v>
      </c>
      <c r="F2414" s="3">
        <v>113.05</v>
      </c>
      <c r="G2414" s="3">
        <v>3.25</v>
      </c>
    </row>
    <row r="2415" spans="1:7" x14ac:dyDescent="0.2">
      <c r="A2415" s="2">
        <v>42452</v>
      </c>
      <c r="B2415" s="1">
        <f t="shared" si="74"/>
        <v>42430</v>
      </c>
      <c r="C2415" s="4" t="str">
        <f t="shared" si="75"/>
        <v>2016-03</v>
      </c>
      <c r="D2415" s="3">
        <v>26.53</v>
      </c>
      <c r="E2415" s="3">
        <v>0.86</v>
      </c>
      <c r="F2415" s="3">
        <v>112.54</v>
      </c>
      <c r="G2415" s="3">
        <v>3.22</v>
      </c>
    </row>
    <row r="2416" spans="1:7" x14ac:dyDescent="0.2">
      <c r="A2416" s="2">
        <v>42451</v>
      </c>
      <c r="B2416" s="1">
        <f t="shared" si="74"/>
        <v>42430</v>
      </c>
      <c r="C2416" s="4" t="str">
        <f t="shared" si="75"/>
        <v>2016-03</v>
      </c>
      <c r="D2416" s="3">
        <v>26.68</v>
      </c>
      <c r="E2416" s="3">
        <v>0.85</v>
      </c>
      <c r="F2416" s="3">
        <v>112.25</v>
      </c>
      <c r="G2416" s="3">
        <v>3.3</v>
      </c>
    </row>
    <row r="2417" spans="1:7" x14ac:dyDescent="0.2">
      <c r="A2417" s="2">
        <v>42450</v>
      </c>
      <c r="B2417" s="1">
        <f t="shared" si="74"/>
        <v>42430</v>
      </c>
      <c r="C2417" s="4" t="str">
        <f t="shared" si="75"/>
        <v>2016-03</v>
      </c>
      <c r="D2417" s="3">
        <v>26.48</v>
      </c>
      <c r="E2417" s="3">
        <v>0.85</v>
      </c>
      <c r="F2417" s="3">
        <v>111.85</v>
      </c>
      <c r="G2417" s="3">
        <v>3.3</v>
      </c>
    </row>
    <row r="2418" spans="1:7" x14ac:dyDescent="0.2">
      <c r="A2418" s="2">
        <v>42447</v>
      </c>
      <c r="B2418" s="1">
        <f t="shared" si="74"/>
        <v>42430</v>
      </c>
      <c r="C2418" s="4" t="str">
        <f t="shared" si="75"/>
        <v>2016-03</v>
      </c>
      <c r="D2418" s="3">
        <v>26.48</v>
      </c>
      <c r="E2418" s="3">
        <v>0.85</v>
      </c>
      <c r="F2418" s="3">
        <v>111.45</v>
      </c>
      <c r="G2418" s="3">
        <v>3.29</v>
      </c>
    </row>
    <row r="2419" spans="1:7" x14ac:dyDescent="0.2">
      <c r="A2419" s="2">
        <v>42446</v>
      </c>
      <c r="B2419" s="1">
        <f t="shared" si="74"/>
        <v>42430</v>
      </c>
      <c r="C2419" s="4" t="str">
        <f t="shared" si="75"/>
        <v>2016-03</v>
      </c>
      <c r="D2419" s="3">
        <v>26.45</v>
      </c>
      <c r="E2419" s="3">
        <v>0.82</v>
      </c>
      <c r="F2419" s="3">
        <v>111.02</v>
      </c>
      <c r="G2419" s="3">
        <v>3.31</v>
      </c>
    </row>
    <row r="2420" spans="1:7" x14ac:dyDescent="0.2">
      <c r="A2420" s="2">
        <v>42445</v>
      </c>
      <c r="B2420" s="1">
        <f t="shared" si="74"/>
        <v>42430</v>
      </c>
      <c r="C2420" s="4" t="str">
        <f t="shared" si="75"/>
        <v>2016-03</v>
      </c>
      <c r="D2420" s="3">
        <v>26.49</v>
      </c>
      <c r="E2420" s="3">
        <v>0.83</v>
      </c>
      <c r="F2420" s="3">
        <v>112.18</v>
      </c>
      <c r="G2420" s="3">
        <v>3.24</v>
      </c>
    </row>
    <row r="2421" spans="1:7" x14ac:dyDescent="0.2">
      <c r="A2421" s="2">
        <v>42444</v>
      </c>
      <c r="B2421" s="1">
        <f t="shared" si="74"/>
        <v>42430</v>
      </c>
      <c r="C2421" s="4" t="str">
        <f t="shared" si="75"/>
        <v>2016-03</v>
      </c>
      <c r="D2421" s="3">
        <v>26.15</v>
      </c>
      <c r="E2421" s="3">
        <v>0.8</v>
      </c>
      <c r="F2421" s="3">
        <v>110.67</v>
      </c>
      <c r="G2421" s="3">
        <v>3.17</v>
      </c>
    </row>
    <row r="2422" spans="1:7" x14ac:dyDescent="0.2">
      <c r="A2422" s="2">
        <v>42443</v>
      </c>
      <c r="B2422" s="1">
        <f t="shared" si="74"/>
        <v>42430</v>
      </c>
      <c r="C2422" s="4" t="str">
        <f t="shared" si="75"/>
        <v>2016-03</v>
      </c>
      <c r="D2422" s="3">
        <v>25.63</v>
      </c>
      <c r="E2422" s="3">
        <v>0.81</v>
      </c>
      <c r="F2422" s="3">
        <v>109.89</v>
      </c>
      <c r="G2422" s="3">
        <v>3.23</v>
      </c>
    </row>
    <row r="2423" spans="1:7" x14ac:dyDescent="0.2">
      <c r="A2423" s="2">
        <v>42440</v>
      </c>
      <c r="B2423" s="1">
        <f t="shared" si="74"/>
        <v>42430</v>
      </c>
      <c r="C2423" s="4" t="str">
        <f t="shared" si="75"/>
        <v>2016-03</v>
      </c>
      <c r="D2423" s="3">
        <v>25.57</v>
      </c>
      <c r="E2423" s="3">
        <v>0.81</v>
      </c>
      <c r="F2423" s="3">
        <v>109.41</v>
      </c>
      <c r="G2423" s="3">
        <v>3.22</v>
      </c>
    </row>
    <row r="2424" spans="1:7" x14ac:dyDescent="0.2">
      <c r="A2424" s="2">
        <v>42439</v>
      </c>
      <c r="B2424" s="1">
        <f t="shared" si="74"/>
        <v>42430</v>
      </c>
      <c r="C2424" s="4" t="str">
        <f t="shared" si="75"/>
        <v>2016-03</v>
      </c>
      <c r="D2424" s="3">
        <v>25.29</v>
      </c>
      <c r="E2424" s="3">
        <v>0.79</v>
      </c>
      <c r="F2424" s="3">
        <v>107.32</v>
      </c>
      <c r="G2424" s="3">
        <v>3.17</v>
      </c>
    </row>
    <row r="2425" spans="1:7" x14ac:dyDescent="0.2">
      <c r="A2425" s="2">
        <v>42438</v>
      </c>
      <c r="B2425" s="1">
        <f t="shared" si="74"/>
        <v>42430</v>
      </c>
      <c r="C2425" s="4" t="str">
        <f t="shared" si="75"/>
        <v>2016-03</v>
      </c>
      <c r="D2425" s="3">
        <v>25.28</v>
      </c>
      <c r="E2425" s="3">
        <v>0.79</v>
      </c>
      <c r="F2425" s="3">
        <v>107.51</v>
      </c>
      <c r="G2425" s="3">
        <v>3.16</v>
      </c>
    </row>
    <row r="2426" spans="1:7" x14ac:dyDescent="0.2">
      <c r="A2426" s="2">
        <v>42437</v>
      </c>
      <c r="B2426" s="1">
        <f t="shared" si="74"/>
        <v>42430</v>
      </c>
      <c r="C2426" s="4" t="str">
        <f t="shared" si="75"/>
        <v>2016-03</v>
      </c>
      <c r="D2426" s="3">
        <v>25.26</v>
      </c>
      <c r="E2426" s="3">
        <v>0.79</v>
      </c>
      <c r="F2426" s="3">
        <v>105.93</v>
      </c>
      <c r="G2426" s="3">
        <v>3.14</v>
      </c>
    </row>
    <row r="2427" spans="1:7" x14ac:dyDescent="0.2">
      <c r="A2427" s="2">
        <v>42436</v>
      </c>
      <c r="B2427" s="1">
        <f t="shared" si="74"/>
        <v>42430</v>
      </c>
      <c r="C2427" s="4" t="str">
        <f t="shared" si="75"/>
        <v>2016-03</v>
      </c>
      <c r="D2427" s="3">
        <v>25.47</v>
      </c>
      <c r="E2427" s="3">
        <v>0.81</v>
      </c>
      <c r="F2427" s="3">
        <v>105.73</v>
      </c>
      <c r="G2427" s="3">
        <v>3.28</v>
      </c>
    </row>
    <row r="2428" spans="1:7" x14ac:dyDescent="0.2">
      <c r="A2428" s="2">
        <v>42433</v>
      </c>
      <c r="B2428" s="1">
        <f t="shared" si="74"/>
        <v>42430</v>
      </c>
      <c r="C2428" s="4" t="str">
        <f t="shared" si="75"/>
        <v>2016-03</v>
      </c>
      <c r="D2428" s="3">
        <v>25.75</v>
      </c>
      <c r="E2428" s="3">
        <v>0.81</v>
      </c>
      <c r="F2428" s="3">
        <v>108.39</v>
      </c>
      <c r="G2428" s="3">
        <v>3.26</v>
      </c>
    </row>
    <row r="2429" spans="1:7" x14ac:dyDescent="0.2">
      <c r="A2429" s="2">
        <v>42432</v>
      </c>
      <c r="B2429" s="1">
        <f t="shared" si="74"/>
        <v>42430</v>
      </c>
      <c r="C2429" s="4" t="str">
        <f t="shared" si="75"/>
        <v>2016-03</v>
      </c>
      <c r="D2429" s="3">
        <v>25.38</v>
      </c>
      <c r="E2429" s="3">
        <v>0.82</v>
      </c>
      <c r="F2429" s="3">
        <v>109.58</v>
      </c>
      <c r="G2429" s="3">
        <v>3.36</v>
      </c>
    </row>
    <row r="2430" spans="1:7" x14ac:dyDescent="0.2">
      <c r="A2430" s="2">
        <v>42431</v>
      </c>
      <c r="B2430" s="1">
        <f t="shared" si="74"/>
        <v>42430</v>
      </c>
      <c r="C2430" s="4" t="str">
        <f t="shared" si="75"/>
        <v>2016-03</v>
      </c>
      <c r="D2430" s="3">
        <v>25.19</v>
      </c>
      <c r="E2430" s="3">
        <v>0.82</v>
      </c>
      <c r="F2430" s="3">
        <v>109.95</v>
      </c>
      <c r="G2430" s="3">
        <v>3.32</v>
      </c>
    </row>
    <row r="2431" spans="1:7" x14ac:dyDescent="0.2">
      <c r="A2431" s="2">
        <v>42430</v>
      </c>
      <c r="B2431" s="1">
        <f t="shared" si="74"/>
        <v>42430</v>
      </c>
      <c r="C2431" s="4" t="str">
        <f t="shared" si="75"/>
        <v>2016-03</v>
      </c>
      <c r="D2431" s="3">
        <v>25.13</v>
      </c>
      <c r="E2431" s="3">
        <v>0.82</v>
      </c>
      <c r="F2431" s="3">
        <v>109.82</v>
      </c>
      <c r="G2431" s="3">
        <v>3.32</v>
      </c>
    </row>
    <row r="2432" spans="1:7" x14ac:dyDescent="0.2">
      <c r="A2432" s="2">
        <v>42429</v>
      </c>
      <c r="B2432" s="1">
        <f t="shared" si="74"/>
        <v>42401</v>
      </c>
      <c r="C2432" s="4" t="str">
        <f t="shared" si="75"/>
        <v>2016-02</v>
      </c>
      <c r="D2432" s="3">
        <v>24.17</v>
      </c>
      <c r="E2432" s="3">
        <v>0.78</v>
      </c>
      <c r="F2432" s="3">
        <v>106.92</v>
      </c>
      <c r="G2432" s="3">
        <v>3.25</v>
      </c>
    </row>
    <row r="2433" spans="1:7" x14ac:dyDescent="0.2">
      <c r="A2433" s="2">
        <v>42426</v>
      </c>
      <c r="B2433" s="1">
        <f t="shared" si="74"/>
        <v>42401</v>
      </c>
      <c r="C2433" s="4" t="str">
        <f t="shared" si="75"/>
        <v>2016-02</v>
      </c>
      <c r="D2433" s="3">
        <v>24.23</v>
      </c>
      <c r="E2433" s="3">
        <v>0.79</v>
      </c>
      <c r="F2433" s="3">
        <v>107.92</v>
      </c>
      <c r="G2433" s="3">
        <v>3.21</v>
      </c>
    </row>
    <row r="2434" spans="1:7" x14ac:dyDescent="0.2">
      <c r="A2434" s="2">
        <v>42425</v>
      </c>
      <c r="B2434" s="1">
        <f t="shared" si="74"/>
        <v>42401</v>
      </c>
      <c r="C2434" s="4" t="str">
        <f t="shared" si="75"/>
        <v>2016-02</v>
      </c>
      <c r="D2434" s="3">
        <v>24.19</v>
      </c>
      <c r="E2434" s="3">
        <v>0.8</v>
      </c>
      <c r="F2434" s="3">
        <v>108.07</v>
      </c>
      <c r="G2434" s="3">
        <v>3.22</v>
      </c>
    </row>
    <row r="2435" spans="1:7" x14ac:dyDescent="0.2">
      <c r="A2435" s="2">
        <v>42424</v>
      </c>
      <c r="B2435" s="1">
        <f t="shared" ref="B2435:B2498" si="76">EOMONTH(A2435, -1)+1</f>
        <v>42401</v>
      </c>
      <c r="C2435" s="4" t="str">
        <f t="shared" ref="C2435:C2498" si="77">TEXT(A2435, "yyyy-mm")</f>
        <v>2016-02</v>
      </c>
      <c r="D2435" s="3">
        <v>24.03</v>
      </c>
      <c r="E2435" s="3">
        <v>0.8</v>
      </c>
      <c r="F2435" s="3">
        <v>106.88</v>
      </c>
      <c r="G2435" s="3">
        <v>3.24</v>
      </c>
    </row>
    <row r="2436" spans="1:7" x14ac:dyDescent="0.2">
      <c r="A2436" s="2">
        <v>42423</v>
      </c>
      <c r="B2436" s="1">
        <f t="shared" si="76"/>
        <v>42401</v>
      </c>
      <c r="C2436" s="4" t="str">
        <f t="shared" si="77"/>
        <v>2016-02</v>
      </c>
      <c r="D2436" s="3">
        <v>23.67</v>
      </c>
      <c r="E2436" s="3">
        <v>0.79</v>
      </c>
      <c r="F2436" s="3">
        <v>105.46</v>
      </c>
      <c r="G2436" s="3">
        <v>3.18</v>
      </c>
    </row>
    <row r="2437" spans="1:7" x14ac:dyDescent="0.2">
      <c r="A2437" s="2">
        <v>42422</v>
      </c>
      <c r="B2437" s="1">
        <f t="shared" si="76"/>
        <v>42401</v>
      </c>
      <c r="C2437" s="4" t="str">
        <f t="shared" si="77"/>
        <v>2016-02</v>
      </c>
      <c r="D2437" s="3">
        <v>24.22</v>
      </c>
      <c r="E2437" s="3">
        <v>0.79</v>
      </c>
      <c r="F2437" s="3">
        <v>107.16</v>
      </c>
      <c r="G2437" s="3">
        <v>3.23</v>
      </c>
    </row>
    <row r="2438" spans="1:7" x14ac:dyDescent="0.2">
      <c r="A2438" s="2">
        <v>42419</v>
      </c>
      <c r="B2438" s="1">
        <f t="shared" si="76"/>
        <v>42401</v>
      </c>
      <c r="C2438" s="4" t="str">
        <f t="shared" si="77"/>
        <v>2016-02</v>
      </c>
      <c r="D2438" s="3">
        <v>24.01</v>
      </c>
      <c r="E2438" s="3">
        <v>0.76</v>
      </c>
      <c r="F2438" s="3">
        <v>104.57</v>
      </c>
      <c r="G2438" s="3">
        <v>3.19</v>
      </c>
    </row>
    <row r="2439" spans="1:7" x14ac:dyDescent="0.2">
      <c r="A2439" s="2">
        <v>42418</v>
      </c>
      <c r="B2439" s="1">
        <f t="shared" si="76"/>
        <v>42401</v>
      </c>
      <c r="C2439" s="4" t="str">
        <f t="shared" si="77"/>
        <v>2016-02</v>
      </c>
      <c r="D2439" s="3">
        <v>24.07</v>
      </c>
      <c r="E2439" s="3">
        <v>0.75</v>
      </c>
      <c r="F2439" s="3">
        <v>103.47</v>
      </c>
      <c r="G2439" s="3">
        <v>3.25</v>
      </c>
    </row>
    <row r="2440" spans="1:7" x14ac:dyDescent="0.2">
      <c r="A2440" s="2">
        <v>42417</v>
      </c>
      <c r="B2440" s="1">
        <f t="shared" si="76"/>
        <v>42401</v>
      </c>
      <c r="C2440" s="4" t="str">
        <f t="shared" si="77"/>
        <v>2016-02</v>
      </c>
      <c r="D2440" s="3">
        <v>24.53</v>
      </c>
      <c r="E2440" s="3">
        <v>0.69</v>
      </c>
      <c r="F2440" s="3">
        <v>105.2</v>
      </c>
      <c r="G2440" s="3">
        <v>3.22</v>
      </c>
    </row>
    <row r="2441" spans="1:7" x14ac:dyDescent="0.2">
      <c r="A2441" s="2">
        <v>42416</v>
      </c>
      <c r="B2441" s="1">
        <f t="shared" si="76"/>
        <v>42401</v>
      </c>
      <c r="C2441" s="4" t="str">
        <f t="shared" si="77"/>
        <v>2016-02</v>
      </c>
      <c r="D2441" s="3">
        <v>24.16</v>
      </c>
      <c r="E2441" s="3">
        <v>0.67</v>
      </c>
      <c r="F2441" s="3">
        <v>101.61</v>
      </c>
      <c r="G2441" s="3">
        <v>3.12</v>
      </c>
    </row>
    <row r="2442" spans="1:7" x14ac:dyDescent="0.2">
      <c r="A2442" s="2">
        <v>42412</v>
      </c>
      <c r="B2442" s="1">
        <f t="shared" si="76"/>
        <v>42401</v>
      </c>
      <c r="C2442" s="4" t="str">
        <f t="shared" si="77"/>
        <v>2016-02</v>
      </c>
      <c r="D2442" s="3">
        <v>23.5</v>
      </c>
      <c r="E2442" s="3">
        <v>0.64</v>
      </c>
      <c r="F2442" s="3">
        <v>102.01</v>
      </c>
      <c r="G2442" s="3">
        <v>2.99</v>
      </c>
    </row>
    <row r="2443" spans="1:7" x14ac:dyDescent="0.2">
      <c r="A2443" s="2">
        <v>42411</v>
      </c>
      <c r="B2443" s="1">
        <f t="shared" si="76"/>
        <v>42401</v>
      </c>
      <c r="C2443" s="4" t="str">
        <f t="shared" si="77"/>
        <v>2016-02</v>
      </c>
      <c r="D2443" s="3">
        <v>23.43</v>
      </c>
      <c r="E2443" s="3">
        <v>0.63</v>
      </c>
      <c r="F2443" s="3">
        <v>101.91</v>
      </c>
      <c r="G2443" s="3">
        <v>2.97</v>
      </c>
    </row>
    <row r="2444" spans="1:7" x14ac:dyDescent="0.2">
      <c r="A2444" s="2">
        <v>42410</v>
      </c>
      <c r="B2444" s="1">
        <f t="shared" si="76"/>
        <v>42401</v>
      </c>
      <c r="C2444" s="4" t="str">
        <f t="shared" si="77"/>
        <v>2016-02</v>
      </c>
      <c r="D2444" s="3">
        <v>23.57</v>
      </c>
      <c r="E2444" s="3">
        <v>0.64</v>
      </c>
      <c r="F2444" s="3">
        <v>101</v>
      </c>
      <c r="G2444" s="3">
        <v>3</v>
      </c>
    </row>
    <row r="2445" spans="1:7" x14ac:dyDescent="0.2">
      <c r="A2445" s="2">
        <v>42409</v>
      </c>
      <c r="B2445" s="1">
        <f t="shared" si="76"/>
        <v>42401</v>
      </c>
      <c r="C2445" s="4" t="str">
        <f t="shared" si="77"/>
        <v>2016-02</v>
      </c>
      <c r="D2445" s="3">
        <v>23.75</v>
      </c>
      <c r="E2445" s="3">
        <v>0.64</v>
      </c>
      <c r="F2445" s="3">
        <v>99.54</v>
      </c>
      <c r="G2445" s="3">
        <v>3.08</v>
      </c>
    </row>
    <row r="2446" spans="1:7" x14ac:dyDescent="0.2">
      <c r="A2446" s="2">
        <v>42408</v>
      </c>
      <c r="B2446" s="1">
        <f t="shared" si="76"/>
        <v>42401</v>
      </c>
      <c r="C2446" s="4" t="str">
        <f t="shared" si="77"/>
        <v>2016-02</v>
      </c>
      <c r="D2446" s="3">
        <v>23.75</v>
      </c>
      <c r="E2446" s="3">
        <v>0.63</v>
      </c>
      <c r="F2446" s="3">
        <v>99.75</v>
      </c>
      <c r="G2446" s="3">
        <v>3.17</v>
      </c>
    </row>
    <row r="2447" spans="1:7" x14ac:dyDescent="0.2">
      <c r="A2447" s="2">
        <v>42405</v>
      </c>
      <c r="B2447" s="1">
        <f t="shared" si="76"/>
        <v>42401</v>
      </c>
      <c r="C2447" s="4" t="str">
        <f t="shared" si="77"/>
        <v>2016-02</v>
      </c>
      <c r="D2447" s="3">
        <v>23.51</v>
      </c>
      <c r="E2447" s="3">
        <v>0.66</v>
      </c>
      <c r="F2447" s="3">
        <v>104.07</v>
      </c>
      <c r="G2447" s="3">
        <v>3.2</v>
      </c>
    </row>
    <row r="2448" spans="1:7" x14ac:dyDescent="0.2">
      <c r="A2448" s="2">
        <v>42404</v>
      </c>
      <c r="B2448" s="1">
        <f t="shared" si="76"/>
        <v>42401</v>
      </c>
      <c r="C2448" s="4" t="str">
        <f t="shared" si="77"/>
        <v>2016-02</v>
      </c>
      <c r="D2448" s="3">
        <v>24.15</v>
      </c>
      <c r="E2448" s="3">
        <v>0.71</v>
      </c>
      <c r="F2448" s="3">
        <v>110.49</v>
      </c>
      <c r="G2448" s="3">
        <v>3.23</v>
      </c>
    </row>
    <row r="2449" spans="1:7" x14ac:dyDescent="0.2">
      <c r="A2449" s="2">
        <v>42403</v>
      </c>
      <c r="B2449" s="1">
        <f t="shared" si="76"/>
        <v>42401</v>
      </c>
      <c r="C2449" s="4" t="str">
        <f t="shared" si="77"/>
        <v>2016-02</v>
      </c>
      <c r="D2449" s="3">
        <v>24.09</v>
      </c>
      <c r="E2449" s="3">
        <v>0.71</v>
      </c>
      <c r="F2449" s="3">
        <v>112.69</v>
      </c>
      <c r="G2449" s="3">
        <v>3.21</v>
      </c>
    </row>
    <row r="2450" spans="1:7" x14ac:dyDescent="0.2">
      <c r="A2450" s="2">
        <v>42402</v>
      </c>
      <c r="B2450" s="1">
        <f t="shared" si="76"/>
        <v>42401</v>
      </c>
      <c r="C2450" s="4" t="str">
        <f t="shared" si="77"/>
        <v>2016-02</v>
      </c>
      <c r="D2450" s="3">
        <v>23.62</v>
      </c>
      <c r="E2450" s="3">
        <v>0.7</v>
      </c>
      <c r="F2450" s="3">
        <v>114.61</v>
      </c>
      <c r="G2450" s="3">
        <v>3.09</v>
      </c>
    </row>
    <row r="2451" spans="1:7" x14ac:dyDescent="0.2">
      <c r="A2451" s="2">
        <v>42401</v>
      </c>
      <c r="B2451" s="1">
        <f t="shared" si="76"/>
        <v>42401</v>
      </c>
      <c r="C2451" s="4" t="str">
        <f t="shared" si="77"/>
        <v>2016-02</v>
      </c>
      <c r="D2451" s="3">
        <v>24.11</v>
      </c>
      <c r="E2451" s="3">
        <v>0.73</v>
      </c>
      <c r="F2451" s="3">
        <v>115.09</v>
      </c>
      <c r="G2451" s="3">
        <v>3.14</v>
      </c>
    </row>
    <row r="2452" spans="1:7" x14ac:dyDescent="0.2">
      <c r="A2452" s="2">
        <v>42398</v>
      </c>
      <c r="B2452" s="1">
        <f t="shared" si="76"/>
        <v>42370</v>
      </c>
      <c r="C2452" s="4" t="str">
        <f t="shared" si="77"/>
        <v>2016-01</v>
      </c>
      <c r="D2452" s="3">
        <v>24.34</v>
      </c>
      <c r="E2452" s="3">
        <v>0.73</v>
      </c>
      <c r="F2452" s="3">
        <v>112.21</v>
      </c>
      <c r="G2452" s="3">
        <v>2.98</v>
      </c>
    </row>
    <row r="2453" spans="1:7" x14ac:dyDescent="0.2">
      <c r="A2453" s="2">
        <v>42397</v>
      </c>
      <c r="B2453" s="1">
        <f t="shared" si="76"/>
        <v>42370</v>
      </c>
      <c r="C2453" s="4" t="str">
        <f t="shared" si="77"/>
        <v>2016-01</v>
      </c>
      <c r="D2453" s="3">
        <v>23.52</v>
      </c>
      <c r="E2453" s="3">
        <v>0.7</v>
      </c>
      <c r="F2453" s="3">
        <v>109.11</v>
      </c>
      <c r="G2453" s="3">
        <v>2.7</v>
      </c>
    </row>
    <row r="2454" spans="1:7" x14ac:dyDescent="0.2">
      <c r="A2454" s="2">
        <v>42396</v>
      </c>
      <c r="B2454" s="1">
        <f t="shared" si="76"/>
        <v>42370</v>
      </c>
      <c r="C2454" s="4" t="str">
        <f t="shared" si="77"/>
        <v>2016-01</v>
      </c>
      <c r="D2454" s="3">
        <v>23.36</v>
      </c>
      <c r="E2454" s="3">
        <v>0.71</v>
      </c>
      <c r="F2454" s="3">
        <v>94.45</v>
      </c>
      <c r="G2454" s="3">
        <v>2.73</v>
      </c>
    </row>
    <row r="2455" spans="1:7" x14ac:dyDescent="0.2">
      <c r="A2455" s="2">
        <v>42395</v>
      </c>
      <c r="B2455" s="1">
        <f t="shared" si="76"/>
        <v>42370</v>
      </c>
      <c r="C2455" s="4" t="str">
        <f t="shared" si="77"/>
        <v>2016-01</v>
      </c>
      <c r="D2455" s="3">
        <v>25</v>
      </c>
      <c r="E2455" s="3">
        <v>0.72</v>
      </c>
      <c r="F2455" s="3">
        <v>97.34</v>
      </c>
      <c r="G2455" s="3">
        <v>2.65</v>
      </c>
    </row>
    <row r="2456" spans="1:7" x14ac:dyDescent="0.2">
      <c r="A2456" s="2">
        <v>42394</v>
      </c>
      <c r="B2456" s="1">
        <f t="shared" si="76"/>
        <v>42370</v>
      </c>
      <c r="C2456" s="4" t="str">
        <f t="shared" si="77"/>
        <v>2016-01</v>
      </c>
      <c r="D2456" s="3">
        <v>24.86</v>
      </c>
      <c r="E2456" s="3">
        <v>0.71</v>
      </c>
      <c r="F2456" s="3">
        <v>97.01</v>
      </c>
      <c r="G2456" s="3">
        <v>2.61</v>
      </c>
    </row>
    <row r="2457" spans="1:7" x14ac:dyDescent="0.2">
      <c r="A2457" s="2">
        <v>42391</v>
      </c>
      <c r="B2457" s="1">
        <f t="shared" si="76"/>
        <v>42370</v>
      </c>
      <c r="C2457" s="4" t="str">
        <f t="shared" si="77"/>
        <v>2016-01</v>
      </c>
      <c r="D2457" s="3">
        <v>25.36</v>
      </c>
      <c r="E2457" s="3">
        <v>0.71</v>
      </c>
      <c r="F2457" s="3">
        <v>97.94</v>
      </c>
      <c r="G2457" s="3">
        <v>2.6</v>
      </c>
    </row>
    <row r="2458" spans="1:7" x14ac:dyDescent="0.2">
      <c r="A2458" s="2">
        <v>42390</v>
      </c>
      <c r="B2458" s="1">
        <f t="shared" si="76"/>
        <v>42370</v>
      </c>
      <c r="C2458" s="4" t="str">
        <f t="shared" si="77"/>
        <v>2016-01</v>
      </c>
      <c r="D2458" s="3">
        <v>24.08</v>
      </c>
      <c r="E2458" s="3">
        <v>0.7</v>
      </c>
      <c r="F2458" s="3">
        <v>94.16</v>
      </c>
      <c r="G2458" s="3">
        <v>2.5</v>
      </c>
    </row>
    <row r="2459" spans="1:7" x14ac:dyDescent="0.2">
      <c r="A2459" s="2">
        <v>42389</v>
      </c>
      <c r="B2459" s="1">
        <f t="shared" si="76"/>
        <v>42370</v>
      </c>
      <c r="C2459" s="4" t="str">
        <f t="shared" si="77"/>
        <v>2016-01</v>
      </c>
      <c r="D2459" s="3">
        <v>24.2</v>
      </c>
      <c r="E2459" s="3">
        <v>0.69</v>
      </c>
      <c r="F2459" s="3">
        <v>94.35</v>
      </c>
      <c r="G2459" s="3">
        <v>2.52</v>
      </c>
    </row>
    <row r="2460" spans="1:7" x14ac:dyDescent="0.2">
      <c r="A2460" s="2">
        <v>42388</v>
      </c>
      <c r="B2460" s="1">
        <f t="shared" si="76"/>
        <v>42370</v>
      </c>
      <c r="C2460" s="4" t="str">
        <f t="shared" si="77"/>
        <v>2016-01</v>
      </c>
      <c r="D2460" s="3">
        <v>24.17</v>
      </c>
      <c r="E2460" s="3">
        <v>0.68</v>
      </c>
      <c r="F2460" s="3">
        <v>95.26</v>
      </c>
      <c r="G2460" s="3">
        <v>2.48</v>
      </c>
    </row>
    <row r="2461" spans="1:7" x14ac:dyDescent="0.2">
      <c r="A2461" s="2">
        <v>42384</v>
      </c>
      <c r="B2461" s="1">
        <f t="shared" si="76"/>
        <v>42370</v>
      </c>
      <c r="C2461" s="4" t="str">
        <f t="shared" si="77"/>
        <v>2016-01</v>
      </c>
      <c r="D2461" s="3">
        <v>24.28</v>
      </c>
      <c r="E2461" s="3">
        <v>0.68</v>
      </c>
      <c r="F2461" s="3">
        <v>94.97</v>
      </c>
      <c r="G2461" s="3">
        <v>2.44</v>
      </c>
    </row>
    <row r="2462" spans="1:7" x14ac:dyDescent="0.2">
      <c r="A2462" s="2">
        <v>42383</v>
      </c>
      <c r="B2462" s="1">
        <f t="shared" si="76"/>
        <v>42370</v>
      </c>
      <c r="C2462" s="4" t="str">
        <f t="shared" si="77"/>
        <v>2016-01</v>
      </c>
      <c r="D2462" s="3">
        <v>24.88</v>
      </c>
      <c r="E2462" s="3">
        <v>0.72</v>
      </c>
      <c r="F2462" s="3">
        <v>98.37</v>
      </c>
      <c r="G2462" s="3">
        <v>2.4500000000000002</v>
      </c>
    </row>
    <row r="2463" spans="1:7" x14ac:dyDescent="0.2">
      <c r="A2463" s="2">
        <v>42382</v>
      </c>
      <c r="B2463" s="1">
        <f t="shared" si="76"/>
        <v>42370</v>
      </c>
      <c r="C2463" s="4" t="str">
        <f t="shared" si="77"/>
        <v>2016-01</v>
      </c>
      <c r="D2463" s="3">
        <v>24.35</v>
      </c>
      <c r="E2463" s="3">
        <v>0.73</v>
      </c>
      <c r="F2463" s="3">
        <v>95.44</v>
      </c>
      <c r="G2463" s="3">
        <v>2.5</v>
      </c>
    </row>
    <row r="2464" spans="1:7" x14ac:dyDescent="0.2">
      <c r="A2464" s="2">
        <v>42381</v>
      </c>
      <c r="B2464" s="1">
        <f t="shared" si="76"/>
        <v>42370</v>
      </c>
      <c r="C2464" s="4" t="str">
        <f t="shared" si="77"/>
        <v>2016-01</v>
      </c>
      <c r="D2464" s="3">
        <v>24.99</v>
      </c>
      <c r="E2464" s="3">
        <v>0.75</v>
      </c>
      <c r="F2464" s="3">
        <v>99.37</v>
      </c>
      <c r="G2464" s="3">
        <v>2.73</v>
      </c>
    </row>
    <row r="2465" spans="1:7" x14ac:dyDescent="0.2">
      <c r="A2465" s="2">
        <v>42380</v>
      </c>
      <c r="B2465" s="1">
        <f t="shared" si="76"/>
        <v>42370</v>
      </c>
      <c r="C2465" s="4" t="str">
        <f t="shared" si="77"/>
        <v>2016-01</v>
      </c>
      <c r="D2465" s="3">
        <v>24.63</v>
      </c>
      <c r="E2465" s="3">
        <v>0.74</v>
      </c>
      <c r="F2465" s="3">
        <v>97.51</v>
      </c>
      <c r="G2465" s="3">
        <v>2.15</v>
      </c>
    </row>
    <row r="2466" spans="1:7" x14ac:dyDescent="0.2">
      <c r="A2466" s="2">
        <v>42377</v>
      </c>
      <c r="B2466" s="1">
        <f t="shared" si="76"/>
        <v>42370</v>
      </c>
      <c r="C2466" s="4" t="str">
        <f t="shared" si="77"/>
        <v>2016-01</v>
      </c>
      <c r="D2466" s="3">
        <v>24.24</v>
      </c>
      <c r="E2466" s="3">
        <v>0.74</v>
      </c>
      <c r="F2466" s="3">
        <v>97.33</v>
      </c>
      <c r="G2466" s="3">
        <v>2.2000000000000002</v>
      </c>
    </row>
    <row r="2467" spans="1:7" x14ac:dyDescent="0.2">
      <c r="A2467" s="2">
        <v>42376</v>
      </c>
      <c r="B2467" s="1">
        <f t="shared" si="76"/>
        <v>42370</v>
      </c>
      <c r="C2467" s="4" t="str">
        <f t="shared" si="77"/>
        <v>2016-01</v>
      </c>
      <c r="D2467" s="3">
        <v>24.11</v>
      </c>
      <c r="E2467" s="3">
        <v>0.76</v>
      </c>
      <c r="F2467" s="3">
        <v>97.92</v>
      </c>
      <c r="G2467" s="3">
        <v>2.2000000000000002</v>
      </c>
    </row>
    <row r="2468" spans="1:7" x14ac:dyDescent="0.2">
      <c r="A2468" s="2">
        <v>42375</v>
      </c>
      <c r="B2468" s="1">
        <f t="shared" si="76"/>
        <v>42370</v>
      </c>
      <c r="C2468" s="4" t="str">
        <f t="shared" si="77"/>
        <v>2016-01</v>
      </c>
      <c r="D2468" s="3">
        <v>25.18</v>
      </c>
      <c r="E2468" s="3">
        <v>0.79</v>
      </c>
      <c r="F2468" s="3">
        <v>102.97</v>
      </c>
      <c r="G2468" s="3">
        <v>2.29</v>
      </c>
    </row>
    <row r="2469" spans="1:7" x14ac:dyDescent="0.2">
      <c r="A2469" s="2">
        <v>42374</v>
      </c>
      <c r="B2469" s="1">
        <f t="shared" si="76"/>
        <v>42370</v>
      </c>
      <c r="C2469" s="4" t="str">
        <f t="shared" si="77"/>
        <v>2016-01</v>
      </c>
      <c r="D2469" s="3">
        <v>25.68</v>
      </c>
      <c r="E2469" s="3">
        <v>0.82</v>
      </c>
      <c r="F2469" s="3">
        <v>102.73</v>
      </c>
      <c r="G2469" s="3">
        <v>2.31</v>
      </c>
    </row>
    <row r="2470" spans="1:7" x14ac:dyDescent="0.2">
      <c r="A2470" s="2">
        <v>42373</v>
      </c>
      <c r="B2470" s="1">
        <f t="shared" si="76"/>
        <v>42370</v>
      </c>
      <c r="C2470" s="4" t="str">
        <f t="shared" si="77"/>
        <v>2016-01</v>
      </c>
      <c r="D2470" s="3">
        <v>26.34</v>
      </c>
      <c r="E2470" s="3">
        <v>0.81</v>
      </c>
      <c r="F2470" s="3">
        <v>102.22</v>
      </c>
      <c r="G2470" s="3">
        <v>2.37</v>
      </c>
    </row>
    <row r="2471" spans="1:7" x14ac:dyDescent="0.2">
      <c r="A2471" s="2">
        <v>42369</v>
      </c>
      <c r="B2471" s="1">
        <f t="shared" si="76"/>
        <v>42339</v>
      </c>
      <c r="C2471" s="4" t="str">
        <f t="shared" si="77"/>
        <v>2015-12</v>
      </c>
      <c r="D2471" s="3">
        <v>26.32</v>
      </c>
      <c r="E2471" s="3">
        <v>0.82</v>
      </c>
      <c r="F2471" s="3">
        <v>104.66</v>
      </c>
      <c r="G2471" s="3">
        <v>2.4500000000000002</v>
      </c>
    </row>
    <row r="2472" spans="1:7" x14ac:dyDescent="0.2">
      <c r="A2472" s="2">
        <v>42368</v>
      </c>
      <c r="B2472" s="1">
        <f t="shared" si="76"/>
        <v>42339</v>
      </c>
      <c r="C2472" s="4" t="str">
        <f t="shared" si="77"/>
        <v>2015-12</v>
      </c>
      <c r="D2472" s="3">
        <v>26.83</v>
      </c>
      <c r="E2472" s="3">
        <v>0.83</v>
      </c>
      <c r="F2472" s="3">
        <v>106.22</v>
      </c>
      <c r="G2472" s="3">
        <v>2.42</v>
      </c>
    </row>
    <row r="2473" spans="1:7" x14ac:dyDescent="0.2">
      <c r="A2473" s="2">
        <v>42367</v>
      </c>
      <c r="B2473" s="1">
        <f t="shared" si="76"/>
        <v>42339</v>
      </c>
      <c r="C2473" s="4" t="str">
        <f t="shared" si="77"/>
        <v>2015-12</v>
      </c>
      <c r="D2473" s="3">
        <v>27.19</v>
      </c>
      <c r="E2473" s="3">
        <v>0.84</v>
      </c>
      <c r="F2473" s="3">
        <v>107.26</v>
      </c>
      <c r="G2473" s="3">
        <v>2.4700000000000002</v>
      </c>
    </row>
    <row r="2474" spans="1:7" x14ac:dyDescent="0.2">
      <c r="A2474" s="2">
        <v>42366</v>
      </c>
      <c r="B2474" s="1">
        <f t="shared" si="76"/>
        <v>42339</v>
      </c>
      <c r="C2474" s="4" t="str">
        <f t="shared" si="77"/>
        <v>2015-12</v>
      </c>
      <c r="D2474" s="3">
        <v>26.71</v>
      </c>
      <c r="E2474" s="3">
        <v>0.83</v>
      </c>
      <c r="F2474" s="3">
        <v>105.93</v>
      </c>
      <c r="G2474" s="3">
        <v>2.44</v>
      </c>
    </row>
    <row r="2475" spans="1:7" x14ac:dyDescent="0.2">
      <c r="A2475" s="2">
        <v>42362</v>
      </c>
      <c r="B2475" s="1">
        <f t="shared" si="76"/>
        <v>42339</v>
      </c>
      <c r="C2475" s="4" t="str">
        <f t="shared" si="77"/>
        <v>2015-12</v>
      </c>
      <c r="D2475" s="3">
        <v>27.01</v>
      </c>
      <c r="E2475" s="3">
        <v>0.83</v>
      </c>
      <c r="F2475" s="3">
        <v>105.02</v>
      </c>
      <c r="G2475" s="3">
        <v>2.4700000000000002</v>
      </c>
    </row>
    <row r="2476" spans="1:7" x14ac:dyDescent="0.2">
      <c r="A2476" s="2">
        <v>42361</v>
      </c>
      <c r="B2476" s="1">
        <f t="shared" si="76"/>
        <v>42339</v>
      </c>
      <c r="C2476" s="4" t="str">
        <f t="shared" si="77"/>
        <v>2015-12</v>
      </c>
      <c r="D2476" s="3">
        <v>27.15</v>
      </c>
      <c r="E2476" s="3">
        <v>0.83</v>
      </c>
      <c r="F2476" s="3">
        <v>104.63</v>
      </c>
      <c r="G2476" s="3">
        <v>2.48</v>
      </c>
    </row>
    <row r="2477" spans="1:7" x14ac:dyDescent="0.2">
      <c r="A2477" s="2">
        <v>42360</v>
      </c>
      <c r="B2477" s="1">
        <f t="shared" si="76"/>
        <v>42339</v>
      </c>
      <c r="C2477" s="4" t="str">
        <f t="shared" si="77"/>
        <v>2015-12</v>
      </c>
      <c r="D2477" s="3">
        <v>26.81</v>
      </c>
      <c r="E2477" s="3">
        <v>0.82</v>
      </c>
      <c r="F2477" s="3">
        <v>105.51</v>
      </c>
      <c r="G2477" s="3">
        <v>2.4</v>
      </c>
    </row>
    <row r="2478" spans="1:7" x14ac:dyDescent="0.2">
      <c r="A2478" s="2">
        <v>42359</v>
      </c>
      <c r="B2478" s="1">
        <f t="shared" si="76"/>
        <v>42339</v>
      </c>
      <c r="C2478" s="4" t="str">
        <f t="shared" si="77"/>
        <v>2015-12</v>
      </c>
      <c r="D2478" s="3">
        <v>26.83</v>
      </c>
      <c r="E2478" s="3">
        <v>0.82</v>
      </c>
      <c r="F2478" s="3">
        <v>104.77</v>
      </c>
      <c r="G2478" s="3">
        <v>2.31</v>
      </c>
    </row>
    <row r="2479" spans="1:7" x14ac:dyDescent="0.2">
      <c r="A2479" s="2">
        <v>42356</v>
      </c>
      <c r="B2479" s="1">
        <f t="shared" si="76"/>
        <v>42339</v>
      </c>
      <c r="C2479" s="4" t="str">
        <f t="shared" si="77"/>
        <v>2015-12</v>
      </c>
      <c r="D2479" s="3">
        <v>26.51</v>
      </c>
      <c r="E2479" s="3">
        <v>0.8</v>
      </c>
      <c r="F2479" s="3">
        <v>104.04</v>
      </c>
      <c r="G2479" s="3">
        <v>2.23</v>
      </c>
    </row>
    <row r="2480" spans="1:7" x14ac:dyDescent="0.2">
      <c r="A2480" s="2">
        <v>42355</v>
      </c>
      <c r="B2480" s="1">
        <f t="shared" si="76"/>
        <v>42339</v>
      </c>
      <c r="C2480" s="4" t="str">
        <f t="shared" si="77"/>
        <v>2015-12</v>
      </c>
      <c r="D2480" s="3">
        <v>27.25</v>
      </c>
      <c r="E2480" s="3">
        <v>0.82</v>
      </c>
      <c r="F2480" s="3">
        <v>106.22</v>
      </c>
      <c r="G2480" s="3">
        <v>2.2799999999999998</v>
      </c>
    </row>
    <row r="2481" spans="1:7" x14ac:dyDescent="0.2">
      <c r="A2481" s="2">
        <v>42354</v>
      </c>
      <c r="B2481" s="1">
        <f t="shared" si="76"/>
        <v>42339</v>
      </c>
      <c r="C2481" s="4" t="str">
        <f t="shared" si="77"/>
        <v>2015-12</v>
      </c>
      <c r="D2481" s="3">
        <v>27.84</v>
      </c>
      <c r="E2481" s="3">
        <v>0.83</v>
      </c>
      <c r="F2481" s="3">
        <v>106.79</v>
      </c>
      <c r="G2481" s="3">
        <v>2.3199999999999998</v>
      </c>
    </row>
    <row r="2482" spans="1:7" x14ac:dyDescent="0.2">
      <c r="A2482" s="2">
        <v>42353</v>
      </c>
      <c r="B2482" s="1">
        <f t="shared" si="76"/>
        <v>42339</v>
      </c>
      <c r="C2482" s="4" t="str">
        <f t="shared" si="77"/>
        <v>2015-12</v>
      </c>
      <c r="D2482" s="3">
        <v>27.62</v>
      </c>
      <c r="E2482" s="3">
        <v>0.82</v>
      </c>
      <c r="F2482" s="3">
        <v>104.55</v>
      </c>
      <c r="G2482" s="3">
        <v>2.29</v>
      </c>
    </row>
    <row r="2483" spans="1:7" x14ac:dyDescent="0.2">
      <c r="A2483" s="2">
        <v>42352</v>
      </c>
      <c r="B2483" s="1">
        <f t="shared" si="76"/>
        <v>42339</v>
      </c>
      <c r="C2483" s="4" t="str">
        <f t="shared" si="77"/>
        <v>2015-12</v>
      </c>
      <c r="D2483" s="3">
        <v>28.12</v>
      </c>
      <c r="E2483" s="3">
        <v>0.81</v>
      </c>
      <c r="F2483" s="3">
        <v>104.66</v>
      </c>
      <c r="G2483" s="3">
        <v>2.2799999999999998</v>
      </c>
    </row>
    <row r="2484" spans="1:7" x14ac:dyDescent="0.2">
      <c r="A2484" s="2">
        <v>42349</v>
      </c>
      <c r="B2484" s="1">
        <f t="shared" si="76"/>
        <v>42339</v>
      </c>
      <c r="C2484" s="4" t="str">
        <f t="shared" si="77"/>
        <v>2015-12</v>
      </c>
      <c r="D2484" s="3">
        <v>28.3</v>
      </c>
      <c r="E2484" s="3">
        <v>0.81</v>
      </c>
      <c r="F2484" s="3">
        <v>102.12</v>
      </c>
      <c r="G2484" s="3">
        <v>2.42</v>
      </c>
    </row>
    <row r="2485" spans="1:7" x14ac:dyDescent="0.2">
      <c r="A2485" s="2">
        <v>42348</v>
      </c>
      <c r="B2485" s="1">
        <f t="shared" si="76"/>
        <v>42339</v>
      </c>
      <c r="C2485" s="4" t="str">
        <f t="shared" si="77"/>
        <v>2015-12</v>
      </c>
      <c r="D2485" s="3">
        <v>29.04</v>
      </c>
      <c r="E2485" s="3">
        <v>0.82</v>
      </c>
      <c r="F2485" s="3">
        <v>105.42</v>
      </c>
      <c r="G2485" s="3">
        <v>2.48</v>
      </c>
    </row>
    <row r="2486" spans="1:7" x14ac:dyDescent="0.2">
      <c r="A2486" s="2">
        <v>42347</v>
      </c>
      <c r="B2486" s="1">
        <f t="shared" si="76"/>
        <v>42339</v>
      </c>
      <c r="C2486" s="4" t="str">
        <f t="shared" si="77"/>
        <v>2015-12</v>
      </c>
      <c r="D2486" s="3">
        <v>28.91</v>
      </c>
      <c r="E2486" s="3">
        <v>0.82</v>
      </c>
      <c r="F2486" s="3">
        <v>104.6</v>
      </c>
      <c r="G2486" s="3">
        <v>2.39</v>
      </c>
    </row>
    <row r="2487" spans="1:7" x14ac:dyDescent="0.2">
      <c r="A2487" s="2">
        <v>42346</v>
      </c>
      <c r="B2487" s="1">
        <f t="shared" si="76"/>
        <v>42339</v>
      </c>
      <c r="C2487" s="4" t="str">
        <f t="shared" si="77"/>
        <v>2015-12</v>
      </c>
      <c r="D2487" s="3">
        <v>29.56</v>
      </c>
      <c r="E2487" s="3">
        <v>0.84</v>
      </c>
      <c r="F2487" s="3">
        <v>106.49</v>
      </c>
      <c r="G2487" s="3">
        <v>2.5299999999999998</v>
      </c>
    </row>
    <row r="2488" spans="1:7" x14ac:dyDescent="0.2">
      <c r="A2488" s="2">
        <v>42345</v>
      </c>
      <c r="B2488" s="1">
        <f t="shared" si="76"/>
        <v>42339</v>
      </c>
      <c r="C2488" s="4" t="str">
        <f t="shared" si="77"/>
        <v>2015-12</v>
      </c>
      <c r="D2488" s="3">
        <v>29.57</v>
      </c>
      <c r="E2488" s="3">
        <v>0.83</v>
      </c>
      <c r="F2488" s="3">
        <v>105.61</v>
      </c>
      <c r="G2488" s="3">
        <v>2.4900000000000002</v>
      </c>
    </row>
    <row r="2489" spans="1:7" x14ac:dyDescent="0.2">
      <c r="A2489" s="2">
        <v>42342</v>
      </c>
      <c r="B2489" s="1">
        <f t="shared" si="76"/>
        <v>42339</v>
      </c>
      <c r="C2489" s="4" t="str">
        <f t="shared" si="77"/>
        <v>2015-12</v>
      </c>
      <c r="D2489" s="3">
        <v>29.76</v>
      </c>
      <c r="E2489" s="3">
        <v>0.84</v>
      </c>
      <c r="F2489" s="3">
        <v>106.18</v>
      </c>
      <c r="G2489" s="3">
        <v>2.65</v>
      </c>
    </row>
    <row r="2490" spans="1:7" x14ac:dyDescent="0.2">
      <c r="A2490" s="2">
        <v>42341</v>
      </c>
      <c r="B2490" s="1">
        <f t="shared" si="76"/>
        <v>42339</v>
      </c>
      <c r="C2490" s="4" t="str">
        <f t="shared" si="77"/>
        <v>2015-12</v>
      </c>
      <c r="D2490" s="3">
        <v>28.8</v>
      </c>
      <c r="E2490" s="3">
        <v>0.81</v>
      </c>
      <c r="F2490" s="3">
        <v>104.38</v>
      </c>
      <c r="G2490" s="3">
        <v>2.64</v>
      </c>
    </row>
    <row r="2491" spans="1:7" x14ac:dyDescent="0.2">
      <c r="A2491" s="2">
        <v>42340</v>
      </c>
      <c r="B2491" s="1">
        <f t="shared" si="76"/>
        <v>42339</v>
      </c>
      <c r="C2491" s="4" t="str">
        <f t="shared" si="77"/>
        <v>2015-12</v>
      </c>
      <c r="D2491" s="3">
        <v>29.07</v>
      </c>
      <c r="E2491" s="3">
        <v>0.81</v>
      </c>
      <c r="F2491" s="3">
        <v>106.07</v>
      </c>
      <c r="G2491" s="3">
        <v>2.66</v>
      </c>
    </row>
    <row r="2492" spans="1:7" x14ac:dyDescent="0.2">
      <c r="A2492" s="2">
        <v>42339</v>
      </c>
      <c r="B2492" s="1">
        <f t="shared" si="76"/>
        <v>42339</v>
      </c>
      <c r="C2492" s="4" t="str">
        <f t="shared" si="77"/>
        <v>2015-12</v>
      </c>
      <c r="D2492" s="3">
        <v>29.34</v>
      </c>
      <c r="E2492" s="3">
        <v>0.82</v>
      </c>
      <c r="F2492" s="3">
        <v>107.12</v>
      </c>
      <c r="G2492" s="3">
        <v>2.62</v>
      </c>
    </row>
    <row r="2493" spans="1:7" x14ac:dyDescent="0.2">
      <c r="A2493" s="2">
        <v>42338</v>
      </c>
      <c r="B2493" s="1">
        <f t="shared" si="76"/>
        <v>42309</v>
      </c>
      <c r="C2493" s="4" t="str">
        <f t="shared" si="77"/>
        <v>2015-11</v>
      </c>
      <c r="D2493" s="3">
        <v>29.58</v>
      </c>
      <c r="E2493" s="3">
        <v>0.79</v>
      </c>
      <c r="F2493" s="3">
        <v>104.24</v>
      </c>
      <c r="G2493" s="3">
        <v>2.46</v>
      </c>
    </row>
    <row r="2494" spans="1:7" x14ac:dyDescent="0.2">
      <c r="A2494" s="2">
        <v>42335</v>
      </c>
      <c r="B2494" s="1">
        <f t="shared" si="76"/>
        <v>42309</v>
      </c>
      <c r="C2494" s="4" t="str">
        <f t="shared" si="77"/>
        <v>2015-11</v>
      </c>
      <c r="D2494" s="3">
        <v>29.45</v>
      </c>
      <c r="E2494" s="3">
        <v>0.78</v>
      </c>
      <c r="F2494" s="3">
        <v>105.45</v>
      </c>
      <c r="G2494" s="3">
        <v>2.44</v>
      </c>
    </row>
    <row r="2495" spans="1:7" x14ac:dyDescent="0.2">
      <c r="A2495" s="2">
        <v>42333</v>
      </c>
      <c r="B2495" s="1">
        <f t="shared" si="76"/>
        <v>42309</v>
      </c>
      <c r="C2495" s="4" t="str">
        <f t="shared" si="77"/>
        <v>2015-11</v>
      </c>
      <c r="D2495" s="3">
        <v>29.51</v>
      </c>
      <c r="E2495" s="3">
        <v>0.78</v>
      </c>
      <c r="F2495" s="3">
        <v>105.41</v>
      </c>
      <c r="G2495" s="3">
        <v>2.41</v>
      </c>
    </row>
    <row r="2496" spans="1:7" x14ac:dyDescent="0.2">
      <c r="A2496" s="2">
        <v>42332</v>
      </c>
      <c r="B2496" s="1">
        <f t="shared" si="76"/>
        <v>42309</v>
      </c>
      <c r="C2496" s="4" t="str">
        <f t="shared" si="77"/>
        <v>2015-11</v>
      </c>
      <c r="D2496" s="3">
        <v>29.72</v>
      </c>
      <c r="E2496" s="3">
        <v>0.78</v>
      </c>
      <c r="F2496" s="3">
        <v>105.74</v>
      </c>
      <c r="G2496" s="3">
        <v>2.39</v>
      </c>
    </row>
    <row r="2497" spans="1:7" x14ac:dyDescent="0.2">
      <c r="A2497" s="2">
        <v>42331</v>
      </c>
      <c r="B2497" s="1">
        <f t="shared" si="76"/>
        <v>42309</v>
      </c>
      <c r="C2497" s="4" t="str">
        <f t="shared" si="77"/>
        <v>2015-11</v>
      </c>
      <c r="D2497" s="3">
        <v>29.44</v>
      </c>
      <c r="E2497" s="3">
        <v>0.77</v>
      </c>
      <c r="F2497" s="3">
        <v>106.95</v>
      </c>
      <c r="G2497" s="3">
        <v>2.36</v>
      </c>
    </row>
    <row r="2498" spans="1:7" x14ac:dyDescent="0.2">
      <c r="A2498" s="2">
        <v>42328</v>
      </c>
      <c r="B2498" s="1">
        <f t="shared" si="76"/>
        <v>42309</v>
      </c>
      <c r="C2498" s="4" t="str">
        <f t="shared" si="77"/>
        <v>2015-11</v>
      </c>
      <c r="D2498" s="3">
        <v>29.83</v>
      </c>
      <c r="E2498" s="3">
        <v>0.78</v>
      </c>
      <c r="F2498" s="3">
        <v>107.32</v>
      </c>
      <c r="G2498" s="3">
        <v>2.34</v>
      </c>
    </row>
    <row r="2499" spans="1:7" x14ac:dyDescent="0.2">
      <c r="A2499" s="2">
        <v>42327</v>
      </c>
      <c r="B2499" s="1">
        <f t="shared" ref="B2499:B2515" si="78">EOMONTH(A2499, -1)+1</f>
        <v>42309</v>
      </c>
      <c r="C2499" s="4" t="str">
        <f t="shared" ref="C2499:C2515" si="79">TEXT(A2499, "yyyy-mm")</f>
        <v>2015-11</v>
      </c>
      <c r="D2499" s="3">
        <v>29.7</v>
      </c>
      <c r="E2499" s="3">
        <v>0.78</v>
      </c>
      <c r="F2499" s="3">
        <v>106.26</v>
      </c>
      <c r="G2499" s="3">
        <v>2.35</v>
      </c>
    </row>
    <row r="2500" spans="1:7" x14ac:dyDescent="0.2">
      <c r="A2500" s="2">
        <v>42326</v>
      </c>
      <c r="B2500" s="1">
        <f t="shared" si="78"/>
        <v>42309</v>
      </c>
      <c r="C2500" s="4" t="str">
        <f t="shared" si="79"/>
        <v>2015-11</v>
      </c>
      <c r="D2500" s="3">
        <v>29.32</v>
      </c>
      <c r="E2500" s="3">
        <v>0.78</v>
      </c>
      <c r="F2500" s="3">
        <v>107.77</v>
      </c>
      <c r="G2500" s="3">
        <v>2.37</v>
      </c>
    </row>
    <row r="2501" spans="1:7" x14ac:dyDescent="0.2">
      <c r="A2501" s="2">
        <v>42325</v>
      </c>
      <c r="B2501" s="1">
        <f t="shared" si="78"/>
        <v>42309</v>
      </c>
      <c r="C2501" s="4" t="str">
        <f t="shared" si="79"/>
        <v>2015-11</v>
      </c>
      <c r="D2501" s="3">
        <v>28.42</v>
      </c>
      <c r="E2501" s="3">
        <v>0.76</v>
      </c>
      <c r="F2501" s="3">
        <v>105.13</v>
      </c>
      <c r="G2501" s="3">
        <v>2.4300000000000002</v>
      </c>
    </row>
    <row r="2502" spans="1:7" x14ac:dyDescent="0.2">
      <c r="A2502" s="2">
        <v>42324</v>
      </c>
      <c r="B2502" s="1">
        <f t="shared" si="78"/>
        <v>42309</v>
      </c>
      <c r="C2502" s="4" t="str">
        <f t="shared" si="79"/>
        <v>2015-11</v>
      </c>
      <c r="D2502" s="3">
        <v>28.54</v>
      </c>
      <c r="E2502" s="3">
        <v>0.76</v>
      </c>
      <c r="F2502" s="3">
        <v>104.04</v>
      </c>
      <c r="G2502" s="3">
        <v>2.4700000000000002</v>
      </c>
    </row>
    <row r="2503" spans="1:7" x14ac:dyDescent="0.2">
      <c r="A2503" s="2">
        <v>42321</v>
      </c>
      <c r="B2503" s="1">
        <f t="shared" si="78"/>
        <v>42309</v>
      </c>
      <c r="C2503" s="4" t="str">
        <f t="shared" si="79"/>
        <v>2015-11</v>
      </c>
      <c r="D2503" s="3">
        <v>28.09</v>
      </c>
      <c r="E2503" s="3">
        <v>0.75</v>
      </c>
      <c r="F2503" s="3">
        <v>103.95</v>
      </c>
      <c r="G2503" s="3">
        <v>2.5499999999999998</v>
      </c>
    </row>
    <row r="2504" spans="1:7" x14ac:dyDescent="0.2">
      <c r="A2504" s="2">
        <v>42320</v>
      </c>
      <c r="B2504" s="1">
        <f t="shared" si="78"/>
        <v>42309</v>
      </c>
      <c r="C2504" s="4" t="str">
        <f t="shared" si="79"/>
        <v>2015-11</v>
      </c>
      <c r="D2504" s="3">
        <v>28.93</v>
      </c>
      <c r="E2504" s="3">
        <v>0.76</v>
      </c>
      <c r="F2504" s="3">
        <v>108.02</v>
      </c>
      <c r="G2504" s="3">
        <v>2.64</v>
      </c>
    </row>
    <row r="2505" spans="1:7" x14ac:dyDescent="0.2">
      <c r="A2505" s="2">
        <v>42319</v>
      </c>
      <c r="B2505" s="1">
        <f t="shared" si="78"/>
        <v>42309</v>
      </c>
      <c r="C2505" s="4" t="str">
        <f t="shared" si="79"/>
        <v>2015-11</v>
      </c>
      <c r="D2505" s="3">
        <v>29.03</v>
      </c>
      <c r="E2505" s="3">
        <v>0.76</v>
      </c>
      <c r="F2505" s="3">
        <v>109.01</v>
      </c>
      <c r="G2505" s="3">
        <v>2.62</v>
      </c>
    </row>
    <row r="2506" spans="1:7" x14ac:dyDescent="0.2">
      <c r="A2506" s="2">
        <v>42318</v>
      </c>
      <c r="B2506" s="1">
        <f t="shared" si="78"/>
        <v>42309</v>
      </c>
      <c r="C2506" s="4" t="str">
        <f t="shared" si="79"/>
        <v>2015-11</v>
      </c>
      <c r="D2506" s="3">
        <v>29.19</v>
      </c>
      <c r="E2506" s="3">
        <v>0.77</v>
      </c>
      <c r="F2506" s="3">
        <v>107.91</v>
      </c>
      <c r="G2506" s="3">
        <v>2.93</v>
      </c>
    </row>
    <row r="2507" spans="1:7" x14ac:dyDescent="0.2">
      <c r="A2507" s="2">
        <v>42317</v>
      </c>
      <c r="B2507" s="1">
        <f t="shared" si="78"/>
        <v>42309</v>
      </c>
      <c r="C2507" s="4" t="str">
        <f t="shared" si="79"/>
        <v>2015-11</v>
      </c>
      <c r="D2507" s="3">
        <v>30.14</v>
      </c>
      <c r="E2507" s="3">
        <v>0.79</v>
      </c>
      <c r="F2507" s="3">
        <v>106.49</v>
      </c>
      <c r="G2507" s="3">
        <v>3.03</v>
      </c>
    </row>
    <row r="2508" spans="1:7" x14ac:dyDescent="0.2">
      <c r="A2508" s="2">
        <v>42314</v>
      </c>
      <c r="B2508" s="1">
        <f t="shared" si="78"/>
        <v>42309</v>
      </c>
      <c r="C2508" s="4" t="str">
        <f t="shared" si="79"/>
        <v>2015-11</v>
      </c>
      <c r="D2508" s="3">
        <v>30.27</v>
      </c>
      <c r="E2508" s="3">
        <v>0.79</v>
      </c>
      <c r="F2508" s="3">
        <v>107.1</v>
      </c>
      <c r="G2508" s="3">
        <v>3.08</v>
      </c>
    </row>
    <row r="2509" spans="1:7" x14ac:dyDescent="0.2">
      <c r="A2509" s="2">
        <v>42313</v>
      </c>
      <c r="B2509" s="1">
        <f t="shared" si="78"/>
        <v>42309</v>
      </c>
      <c r="C2509" s="4" t="str">
        <f t="shared" si="79"/>
        <v>2015-11</v>
      </c>
      <c r="D2509" s="3">
        <v>30.23</v>
      </c>
      <c r="E2509" s="3">
        <v>0.69</v>
      </c>
      <c r="F2509" s="3">
        <v>108.76</v>
      </c>
      <c r="G2509" s="3">
        <v>3.01</v>
      </c>
    </row>
    <row r="2510" spans="1:7" x14ac:dyDescent="0.2">
      <c r="A2510" s="2">
        <v>42312</v>
      </c>
      <c r="B2510" s="1">
        <f t="shared" si="78"/>
        <v>42309</v>
      </c>
      <c r="C2510" s="4" t="str">
        <f t="shared" si="79"/>
        <v>2015-11</v>
      </c>
      <c r="D2510" s="3">
        <v>30.5</v>
      </c>
      <c r="E2510" s="3">
        <v>0.7</v>
      </c>
      <c r="F2510" s="3">
        <v>103.94</v>
      </c>
      <c r="G2510" s="3">
        <v>3.01</v>
      </c>
    </row>
    <row r="2511" spans="1:7" x14ac:dyDescent="0.2">
      <c r="A2511" s="2">
        <v>42311</v>
      </c>
      <c r="B2511" s="1">
        <f t="shared" si="78"/>
        <v>42309</v>
      </c>
      <c r="C2511" s="4" t="str">
        <f t="shared" si="79"/>
        <v>2015-11</v>
      </c>
      <c r="D2511" s="3">
        <v>30.64</v>
      </c>
      <c r="E2511" s="3">
        <v>0.71</v>
      </c>
      <c r="F2511" s="3">
        <v>102.58</v>
      </c>
      <c r="G2511" s="3">
        <v>2.99</v>
      </c>
    </row>
    <row r="2512" spans="1:7" x14ac:dyDescent="0.2">
      <c r="A2512" s="2">
        <v>42310</v>
      </c>
      <c r="B2512" s="1">
        <f t="shared" si="78"/>
        <v>42309</v>
      </c>
      <c r="C2512" s="4" t="str">
        <f t="shared" si="79"/>
        <v>2015-11</v>
      </c>
      <c r="D2512" s="3">
        <v>30.3</v>
      </c>
      <c r="E2512" s="3">
        <v>0.72</v>
      </c>
      <c r="F2512" s="3">
        <v>103.31</v>
      </c>
      <c r="G2512" s="3">
        <v>2.97</v>
      </c>
    </row>
    <row r="2513" spans="1:7" x14ac:dyDescent="0.2">
      <c r="A2513" s="2">
        <v>42307</v>
      </c>
      <c r="B2513" s="1">
        <f t="shared" si="78"/>
        <v>42278</v>
      </c>
      <c r="C2513" s="4" t="str">
        <f t="shared" si="79"/>
        <v>2015-10</v>
      </c>
      <c r="D2513" s="3">
        <v>29.88</v>
      </c>
      <c r="E2513" s="3">
        <v>0.71</v>
      </c>
      <c r="F2513" s="3">
        <v>101.97</v>
      </c>
      <c r="G2513" s="3">
        <v>2.82</v>
      </c>
    </row>
    <row r="2514" spans="1:7" x14ac:dyDescent="0.2">
      <c r="A2514" s="2">
        <v>42306</v>
      </c>
      <c r="B2514" s="1">
        <f t="shared" si="78"/>
        <v>42278</v>
      </c>
      <c r="C2514" s="4" t="str">
        <f t="shared" si="79"/>
        <v>2015-10</v>
      </c>
      <c r="D2514" s="3">
        <v>30.13</v>
      </c>
      <c r="E2514" s="3">
        <v>0.69</v>
      </c>
      <c r="F2514" s="3">
        <v>104.88</v>
      </c>
      <c r="G2514" s="3">
        <v>2.79</v>
      </c>
    </row>
    <row r="2515" spans="1:7" x14ac:dyDescent="0.2">
      <c r="A2515" s="2">
        <v>42305</v>
      </c>
      <c r="B2515" s="1">
        <f t="shared" si="78"/>
        <v>42278</v>
      </c>
      <c r="C2515" s="4" t="str">
        <f t="shared" si="79"/>
        <v>2015-10</v>
      </c>
      <c r="D2515" s="3">
        <v>29.82</v>
      </c>
      <c r="E2515" s="3">
        <v>0.72</v>
      </c>
      <c r="F2515" s="3">
        <v>104.2</v>
      </c>
      <c r="G2515" s="3">
        <v>2.84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7A5C-84BB-D44C-B41F-349BBA6AE54A}">
  <dimension ref="A1:F126"/>
  <sheetViews>
    <sheetView tabSelected="1" zoomScale="88" workbookViewId="0">
      <selection activeCell="G111" sqref="G111"/>
    </sheetView>
  </sheetViews>
  <sheetFormatPr baseColWidth="10" defaultRowHeight="16" x14ac:dyDescent="0.2"/>
  <cols>
    <col min="1" max="1" width="18.83203125" bestFit="1" customWidth="1"/>
    <col min="3" max="5" width="19.6640625" bestFit="1" customWidth="1"/>
    <col min="6" max="6" width="16.6640625" bestFit="1" customWidth="1"/>
  </cols>
  <sheetData>
    <row r="1" spans="1:6" x14ac:dyDescent="0.2">
      <c r="A1" t="s">
        <v>7</v>
      </c>
      <c r="C1" t="s">
        <v>1</v>
      </c>
      <c r="D1" t="s">
        <v>2</v>
      </c>
      <c r="E1" t="s">
        <v>12</v>
      </c>
      <c r="F1" t="s">
        <v>13</v>
      </c>
    </row>
    <row r="2" spans="1:6" x14ac:dyDescent="0.2">
      <c r="A2" t="s">
        <v>8</v>
      </c>
      <c r="C2" t="s">
        <v>10</v>
      </c>
      <c r="D2" t="s">
        <v>11</v>
      </c>
      <c r="E2" t="s">
        <v>3</v>
      </c>
      <c r="F2" t="s">
        <v>4</v>
      </c>
    </row>
    <row r="3" spans="1:6" x14ac:dyDescent="0.2">
      <c r="A3" t="s">
        <v>9</v>
      </c>
      <c r="C3" s="5">
        <v>3989245235900</v>
      </c>
      <c r="D3" s="5">
        <v>4653207000000</v>
      </c>
      <c r="E3" s="5">
        <v>1886166062260</v>
      </c>
      <c r="F3" s="5">
        <v>30646674494</v>
      </c>
    </row>
    <row r="5" spans="1:6" x14ac:dyDescent="0.2">
      <c r="A5" t="s">
        <v>6</v>
      </c>
      <c r="B5" t="s">
        <v>0</v>
      </c>
      <c r="C5" t="s">
        <v>10</v>
      </c>
      <c r="D5" t="s">
        <v>11</v>
      </c>
      <c r="E5" t="s">
        <v>3</v>
      </c>
      <c r="F5" t="s">
        <v>4</v>
      </c>
    </row>
    <row r="6" spans="1:6" x14ac:dyDescent="0.2">
      <c r="A6" t="str" cm="1">
        <f t="array" ref="A6:A126">_xlfn.UNIQUE(Data!C2:C2515)</f>
        <v>2025-10</v>
      </c>
      <c r="B6" s="1">
        <f>_xlfn.MINIFS(Data!$A$2:$A$2515, Data!$C$2:$C$2515, MonthlyData!A126)</f>
        <v>42305</v>
      </c>
      <c r="C6">
        <f>_xlfn.XLOOKUP(B6, Data!$A$2:$A$2515, Data!$D$2:$D$2515, " ")</f>
        <v>29.82</v>
      </c>
      <c r="D6">
        <f>_xlfn.XLOOKUP(B6, Data!$A$2:$A$2515, Data!$E$2:$E$2515, " ")</f>
        <v>0.72</v>
      </c>
      <c r="E6">
        <f>_xlfn.XLOOKUP($B6, Data!$A$2:$A$2515, Data!$F$2:$F$2515, " ")</f>
        <v>104.2</v>
      </c>
      <c r="F6">
        <f>_xlfn.XLOOKUP($B6, Data!$A$2:$A$2515, Data!$G$2:$G$2515, " ")</f>
        <v>2.84</v>
      </c>
    </row>
    <row r="7" spans="1:6" x14ac:dyDescent="0.2">
      <c r="A7" t="str">
        <v>2025-09</v>
      </c>
      <c r="B7" s="1">
        <f>_xlfn.MINIFS(Data!$A$2:$A$2515, Data!$C$2:$C$2515, MonthlyData!A125)</f>
        <v>42310</v>
      </c>
      <c r="C7">
        <f>_xlfn.XLOOKUP(B7, Data!$A$2:$A$2515, Data!$D$2:$D$2515, " ")</f>
        <v>30.3</v>
      </c>
      <c r="D7">
        <f>_xlfn.XLOOKUP(B7, Data!$A$2:$A$2515, Data!$E$2:$E$2515, " ")</f>
        <v>0.72</v>
      </c>
      <c r="E7">
        <f>_xlfn.XLOOKUP($B7, Data!$A$2:$A$2515, Data!$F$2:$F$2515, " ")</f>
        <v>103.31</v>
      </c>
      <c r="F7">
        <f>_xlfn.XLOOKUP($B7, Data!$A$2:$A$2515, Data!$G$2:$G$2515, " ")</f>
        <v>2.97</v>
      </c>
    </row>
    <row r="8" spans="1:6" x14ac:dyDescent="0.2">
      <c r="A8" t="str">
        <v>2025-08</v>
      </c>
      <c r="B8" s="1">
        <f>_xlfn.MINIFS(Data!$A$2:$A$2515, Data!$C$2:$C$2515, MonthlyData!A124)</f>
        <v>42339</v>
      </c>
      <c r="C8">
        <f>_xlfn.XLOOKUP(B8, Data!$A$2:$A$2515, Data!$D$2:$D$2515, " ")</f>
        <v>29.34</v>
      </c>
      <c r="D8">
        <f>_xlfn.XLOOKUP(B8, Data!$A$2:$A$2515, Data!$E$2:$E$2515, " ")</f>
        <v>0.82</v>
      </c>
      <c r="E8">
        <f>_xlfn.XLOOKUP($B8, Data!$A$2:$A$2515, Data!$F$2:$F$2515, " ")</f>
        <v>107.12</v>
      </c>
      <c r="F8">
        <f>_xlfn.XLOOKUP($B8, Data!$A$2:$A$2515, Data!$G$2:$G$2515, " ")</f>
        <v>2.62</v>
      </c>
    </row>
    <row r="9" spans="1:6" x14ac:dyDescent="0.2">
      <c r="A9" t="str">
        <v>2025-07</v>
      </c>
      <c r="B9" s="1">
        <f>_xlfn.MINIFS(Data!$A$2:$A$2515, Data!$C$2:$C$2515, MonthlyData!A123)</f>
        <v>42373</v>
      </c>
      <c r="C9">
        <f>_xlfn.XLOOKUP(B9, Data!$A$2:$A$2515, Data!$D$2:$D$2515, " ")</f>
        <v>26.34</v>
      </c>
      <c r="D9">
        <f>_xlfn.XLOOKUP(B9, Data!$A$2:$A$2515, Data!$E$2:$E$2515, " ")</f>
        <v>0.81</v>
      </c>
      <c r="E9">
        <f>_xlfn.XLOOKUP($B9, Data!$A$2:$A$2515, Data!$F$2:$F$2515, " ")</f>
        <v>102.22</v>
      </c>
      <c r="F9">
        <f>_xlfn.XLOOKUP($B9, Data!$A$2:$A$2515, Data!$G$2:$G$2515, " ")</f>
        <v>2.37</v>
      </c>
    </row>
    <row r="10" spans="1:6" x14ac:dyDescent="0.2">
      <c r="A10" t="str">
        <v>2025-06</v>
      </c>
      <c r="B10" s="1">
        <f>_xlfn.MINIFS(Data!$A$2:$A$2515, Data!$C$2:$C$2515, MonthlyData!A122)</f>
        <v>42401</v>
      </c>
      <c r="C10">
        <f>_xlfn.XLOOKUP(B10, Data!$A$2:$A$2515, Data!$D$2:$D$2515, " ")</f>
        <v>24.11</v>
      </c>
      <c r="D10">
        <f>_xlfn.XLOOKUP(B10, Data!$A$2:$A$2515, Data!$E$2:$E$2515, " ")</f>
        <v>0.73</v>
      </c>
      <c r="E10">
        <f>_xlfn.XLOOKUP($B10, Data!$A$2:$A$2515, Data!$F$2:$F$2515, " ")</f>
        <v>115.09</v>
      </c>
      <c r="F10">
        <f>_xlfn.XLOOKUP($B10, Data!$A$2:$A$2515, Data!$G$2:$G$2515, " ")</f>
        <v>3.14</v>
      </c>
    </row>
    <row r="11" spans="1:6" x14ac:dyDescent="0.2">
      <c r="A11" t="str">
        <v>2025-05</v>
      </c>
      <c r="B11" s="1">
        <f>_xlfn.MINIFS(Data!$A$2:$A$2515, Data!$C$2:$C$2515, MonthlyData!A121)</f>
        <v>42430</v>
      </c>
      <c r="C11">
        <f>_xlfn.XLOOKUP(B11, Data!$A$2:$A$2515, Data!$D$2:$D$2515, " ")</f>
        <v>25.13</v>
      </c>
      <c r="D11">
        <f>_xlfn.XLOOKUP(B11, Data!$A$2:$A$2515, Data!$E$2:$E$2515, " ")</f>
        <v>0.82</v>
      </c>
      <c r="E11">
        <f>_xlfn.XLOOKUP($B11, Data!$A$2:$A$2515, Data!$F$2:$F$2515, " ")</f>
        <v>109.82</v>
      </c>
      <c r="F11">
        <f>_xlfn.XLOOKUP($B11, Data!$A$2:$A$2515, Data!$G$2:$G$2515, " ")</f>
        <v>3.32</v>
      </c>
    </row>
    <row r="12" spans="1:6" x14ac:dyDescent="0.2">
      <c r="A12" t="str">
        <v>2025-04</v>
      </c>
      <c r="B12" s="1">
        <f>_xlfn.MINIFS(Data!$A$2:$A$2515, Data!$C$2:$C$2515, MonthlyData!A120)</f>
        <v>42461</v>
      </c>
      <c r="C12">
        <f>_xlfn.XLOOKUP(B12, Data!$A$2:$A$2515, Data!$D$2:$D$2515, " ")</f>
        <v>27.5</v>
      </c>
      <c r="D12">
        <f>_xlfn.XLOOKUP(B12, Data!$A$2:$A$2515, Data!$E$2:$E$2515, " ")</f>
        <v>0.9</v>
      </c>
      <c r="E12">
        <f>_xlfn.XLOOKUP($B12, Data!$A$2:$A$2515, Data!$F$2:$F$2515, " ")</f>
        <v>116.06</v>
      </c>
      <c r="F12">
        <f>_xlfn.XLOOKUP($B12, Data!$A$2:$A$2515, Data!$G$2:$G$2515, " ")</f>
        <v>3.45</v>
      </c>
    </row>
    <row r="13" spans="1:6" x14ac:dyDescent="0.2">
      <c r="A13" t="str">
        <v>2025-03</v>
      </c>
      <c r="B13" s="1">
        <f>_xlfn.MINIFS(Data!$A$2:$A$2515, Data!$C$2:$C$2515, MonthlyData!A119)</f>
        <v>42492</v>
      </c>
      <c r="C13">
        <f>_xlfn.XLOOKUP(B13, Data!$A$2:$A$2515, Data!$D$2:$D$2515, " ")</f>
        <v>23.41</v>
      </c>
      <c r="D13">
        <f>_xlfn.XLOOKUP(B13, Data!$A$2:$A$2515, Data!$E$2:$E$2515, " ")</f>
        <v>0.9</v>
      </c>
      <c r="E13">
        <f>_xlfn.XLOOKUP($B13, Data!$A$2:$A$2515, Data!$F$2:$F$2515, " ")</f>
        <v>118.57</v>
      </c>
      <c r="F13">
        <f>_xlfn.XLOOKUP($B13, Data!$A$2:$A$2515, Data!$G$2:$G$2515, " ")</f>
        <v>2.72</v>
      </c>
    </row>
    <row r="14" spans="1:6" x14ac:dyDescent="0.2">
      <c r="A14" t="str">
        <v>2025-02</v>
      </c>
      <c r="B14" s="1">
        <f>_xlfn.MINIFS(Data!$A$2:$A$2515, Data!$C$2:$C$2515, MonthlyData!A118)</f>
        <v>42522</v>
      </c>
      <c r="C14">
        <f>_xlfn.XLOOKUP(B14, Data!$A$2:$A$2515, Data!$D$2:$D$2515, " ")</f>
        <v>24.62</v>
      </c>
      <c r="D14">
        <f>_xlfn.XLOOKUP(B14, Data!$A$2:$A$2515, Data!$E$2:$E$2515, " ")</f>
        <v>1.17</v>
      </c>
      <c r="E14">
        <f>_xlfn.XLOOKUP($B14, Data!$A$2:$A$2515, Data!$F$2:$F$2515, " ")</f>
        <v>118.78</v>
      </c>
      <c r="F14">
        <f>_xlfn.XLOOKUP($B14, Data!$A$2:$A$2515, Data!$G$2:$G$2515, " ")</f>
        <v>2.64</v>
      </c>
    </row>
    <row r="15" spans="1:6" x14ac:dyDescent="0.2">
      <c r="A15" t="str">
        <v>2025-01</v>
      </c>
      <c r="B15" s="1">
        <f>_xlfn.MINIFS(Data!$A$2:$A$2515, Data!$C$2:$C$2515, MonthlyData!A117)</f>
        <v>42552</v>
      </c>
      <c r="C15">
        <f>_xlfn.XLOOKUP(B15, Data!$A$2:$A$2515, Data!$D$2:$D$2515, " ")</f>
        <v>23.97</v>
      </c>
      <c r="D15">
        <f>_xlfn.XLOOKUP(B15, Data!$A$2:$A$2515, Data!$E$2:$E$2515, " ")</f>
        <v>1.17</v>
      </c>
      <c r="E15">
        <f>_xlfn.XLOOKUP($B15, Data!$A$2:$A$2515, Data!$F$2:$F$2515, " ")</f>
        <v>114.19</v>
      </c>
      <c r="F15">
        <f>_xlfn.XLOOKUP($B15, Data!$A$2:$A$2515, Data!$G$2:$G$2515, " ")</f>
        <v>2.46</v>
      </c>
    </row>
    <row r="16" spans="1:6" x14ac:dyDescent="0.2">
      <c r="A16" t="str">
        <v>2024-12</v>
      </c>
      <c r="B16" s="1">
        <f>_xlfn.MINIFS(Data!$A$2:$A$2515, Data!$C$2:$C$2515, MonthlyData!A116)</f>
        <v>42583</v>
      </c>
      <c r="C16">
        <f>_xlfn.XLOOKUP(B16, Data!$A$2:$A$2515, Data!$D$2:$D$2515, " ")</f>
        <v>26.51</v>
      </c>
      <c r="D16">
        <f>_xlfn.XLOOKUP(B16, Data!$A$2:$A$2515, Data!$E$2:$E$2515, " ")</f>
        <v>1.42</v>
      </c>
      <c r="E16">
        <f>_xlfn.XLOOKUP($B16, Data!$A$2:$A$2515, Data!$F$2:$F$2515, " ")</f>
        <v>124.31</v>
      </c>
      <c r="F16">
        <f>_xlfn.XLOOKUP($B16, Data!$A$2:$A$2515, Data!$G$2:$G$2515, " ")</f>
        <v>2.16</v>
      </c>
    </row>
    <row r="17" spans="1:6" x14ac:dyDescent="0.2">
      <c r="A17" t="str">
        <v>2024-11</v>
      </c>
      <c r="B17" s="1">
        <f>_xlfn.MINIFS(Data!$A$2:$A$2515, Data!$C$2:$C$2515, MonthlyData!A115)</f>
        <v>42614</v>
      </c>
      <c r="C17">
        <f>_xlfn.XLOOKUP(B17, Data!$A$2:$A$2515, Data!$D$2:$D$2515, " ")</f>
        <v>26.68</v>
      </c>
      <c r="D17">
        <f>_xlfn.XLOOKUP(B17, Data!$A$2:$A$2515, Data!$E$2:$E$2515, " ")</f>
        <v>1.58</v>
      </c>
      <c r="E17">
        <f>_xlfn.XLOOKUP($B17, Data!$A$2:$A$2515, Data!$F$2:$F$2515, " ")</f>
        <v>126.17</v>
      </c>
      <c r="F17">
        <f>_xlfn.XLOOKUP($B17, Data!$A$2:$A$2515, Data!$G$2:$G$2515, " ")</f>
        <v>2.21</v>
      </c>
    </row>
    <row r="18" spans="1:6" x14ac:dyDescent="0.2">
      <c r="A18" t="str">
        <v>2024-10</v>
      </c>
      <c r="B18" s="1">
        <f>_xlfn.MINIFS(Data!$A$2:$A$2515, Data!$C$2:$C$2515, MonthlyData!A114)</f>
        <v>42646</v>
      </c>
      <c r="C18">
        <f>_xlfn.XLOOKUP(B18, Data!$A$2:$A$2515, Data!$D$2:$D$2515, " ")</f>
        <v>28.13</v>
      </c>
      <c r="D18">
        <f>_xlfn.XLOOKUP(B18, Data!$A$2:$A$2515, Data!$E$2:$E$2515, " ")</f>
        <v>1.71</v>
      </c>
      <c r="E18">
        <f>_xlfn.XLOOKUP($B18, Data!$A$2:$A$2515, Data!$F$2:$F$2515, " ")</f>
        <v>128.77000000000001</v>
      </c>
      <c r="F18">
        <f>_xlfn.XLOOKUP($B18, Data!$A$2:$A$2515, Data!$G$2:$G$2515, " ")</f>
        <v>2.35</v>
      </c>
    </row>
    <row r="19" spans="1:6" x14ac:dyDescent="0.2">
      <c r="A19" t="str">
        <v>2024-09</v>
      </c>
      <c r="B19" s="1">
        <f>_xlfn.MINIFS(Data!$A$2:$A$2515, Data!$C$2:$C$2515, MonthlyData!A113)</f>
        <v>42675</v>
      </c>
      <c r="C19">
        <f>_xlfn.XLOOKUP(B19, Data!$A$2:$A$2515, Data!$D$2:$D$2515, " ")</f>
        <v>27.87</v>
      </c>
      <c r="D19">
        <f>_xlfn.XLOOKUP(B19, Data!$A$2:$A$2515, Data!$E$2:$E$2515, " ")</f>
        <v>1.73</v>
      </c>
      <c r="E19">
        <f>_xlfn.XLOOKUP($B19, Data!$A$2:$A$2515, Data!$F$2:$F$2515, " ")</f>
        <v>129.5</v>
      </c>
      <c r="F19">
        <f>_xlfn.XLOOKUP($B19, Data!$A$2:$A$2515, Data!$G$2:$G$2515, " ")</f>
        <v>2.2799999999999998</v>
      </c>
    </row>
    <row r="20" spans="1:6" x14ac:dyDescent="0.2">
      <c r="A20" t="str">
        <v>2024-08</v>
      </c>
      <c r="B20" s="1">
        <f>_xlfn.MINIFS(Data!$A$2:$A$2515, Data!$C$2:$C$2515, MonthlyData!A112)</f>
        <v>42705</v>
      </c>
      <c r="C20">
        <f>_xlfn.XLOOKUP(B20, Data!$A$2:$A$2515, Data!$D$2:$D$2515, " ")</f>
        <v>27.37</v>
      </c>
      <c r="D20">
        <f>_xlfn.XLOOKUP(B20, Data!$A$2:$A$2515, Data!$E$2:$E$2515, " ")</f>
        <v>2.19</v>
      </c>
      <c r="E20">
        <f>_xlfn.XLOOKUP($B20, Data!$A$2:$A$2515, Data!$F$2:$F$2515, " ")</f>
        <v>115.1</v>
      </c>
      <c r="F20">
        <f>_xlfn.XLOOKUP($B20, Data!$A$2:$A$2515, Data!$G$2:$G$2515, " ")</f>
        <v>2.62</v>
      </c>
    </row>
    <row r="21" spans="1:6" x14ac:dyDescent="0.2">
      <c r="A21" t="str">
        <v>2024-07</v>
      </c>
      <c r="B21" s="1">
        <f>_xlfn.MINIFS(Data!$A$2:$A$2515, Data!$C$2:$C$2515, MonthlyData!A111)</f>
        <v>42738</v>
      </c>
      <c r="C21">
        <f>_xlfn.XLOOKUP(B21, Data!$A$2:$A$2515, Data!$D$2:$D$2515, " ")</f>
        <v>29.04</v>
      </c>
      <c r="D21">
        <f>_xlfn.XLOOKUP(B21, Data!$A$2:$A$2515, Data!$E$2:$E$2515, " ")</f>
        <v>2.5499999999999998</v>
      </c>
      <c r="E21">
        <f>_xlfn.XLOOKUP($B21, Data!$A$2:$A$2515, Data!$F$2:$F$2515, " ")</f>
        <v>116.86</v>
      </c>
      <c r="F21">
        <f>_xlfn.XLOOKUP($B21, Data!$A$2:$A$2515, Data!$G$2:$G$2515, " ")</f>
        <v>2.85</v>
      </c>
    </row>
    <row r="22" spans="1:6" x14ac:dyDescent="0.2">
      <c r="A22" t="str">
        <v>2024-06</v>
      </c>
      <c r="B22" s="1">
        <f>_xlfn.MINIFS(Data!$A$2:$A$2515, Data!$C$2:$C$2515, MonthlyData!A110)</f>
        <v>42767</v>
      </c>
      <c r="C22">
        <f>_xlfn.XLOOKUP(B22, Data!$A$2:$A$2515, Data!$D$2:$D$2515, " ")</f>
        <v>32.19</v>
      </c>
      <c r="D22">
        <f>_xlfn.XLOOKUP(B22, Data!$A$2:$A$2515, Data!$E$2:$E$2515, " ")</f>
        <v>2.85</v>
      </c>
      <c r="E22">
        <f>_xlfn.XLOOKUP($B22, Data!$A$2:$A$2515, Data!$F$2:$F$2515, " ")</f>
        <v>133.22999999999999</v>
      </c>
      <c r="F22">
        <f>_xlfn.XLOOKUP($B22, Data!$A$2:$A$2515, Data!$G$2:$G$2515, " ")</f>
        <v>2.56</v>
      </c>
    </row>
    <row r="23" spans="1:6" x14ac:dyDescent="0.2">
      <c r="A23" t="str">
        <v>2024-05</v>
      </c>
      <c r="B23" s="1">
        <f>_xlfn.MINIFS(Data!$A$2:$A$2515, Data!$C$2:$C$2515, MonthlyData!A109)</f>
        <v>42795</v>
      </c>
      <c r="C23">
        <f>_xlfn.XLOOKUP(B23, Data!$A$2:$A$2515, Data!$D$2:$D$2515, " ")</f>
        <v>34.950000000000003</v>
      </c>
      <c r="D23">
        <f>_xlfn.XLOOKUP(B23, Data!$A$2:$A$2515, Data!$E$2:$E$2515, " ")</f>
        <v>2.57</v>
      </c>
      <c r="E23">
        <f>_xlfn.XLOOKUP($B23, Data!$A$2:$A$2515, Data!$F$2:$F$2515, " ")</f>
        <v>137.41999999999999</v>
      </c>
      <c r="F23">
        <f>_xlfn.XLOOKUP($B23, Data!$A$2:$A$2515, Data!$G$2:$G$2515, " ")</f>
        <v>2.66</v>
      </c>
    </row>
    <row r="24" spans="1:6" x14ac:dyDescent="0.2">
      <c r="A24" t="str">
        <v>2024-04</v>
      </c>
      <c r="B24" s="1">
        <f>_xlfn.MINIFS(Data!$A$2:$A$2515, Data!$C$2:$C$2515, MonthlyData!A108)</f>
        <v>42828</v>
      </c>
      <c r="C24">
        <f>_xlfn.XLOOKUP(B24, Data!$A$2:$A$2515, Data!$D$2:$D$2515, " ")</f>
        <v>35.93</v>
      </c>
      <c r="D24">
        <f>_xlfn.XLOOKUP(B24, Data!$A$2:$A$2515, Data!$E$2:$E$2515, " ")</f>
        <v>2.71</v>
      </c>
      <c r="E24">
        <f>_xlfn.XLOOKUP($B24, Data!$A$2:$A$2515, Data!$F$2:$F$2515, " ")</f>
        <v>142.28</v>
      </c>
      <c r="F24">
        <f>_xlfn.XLOOKUP($B24, Data!$A$2:$A$2515, Data!$G$2:$G$2515, " ")</f>
        <v>2.5099999999999998</v>
      </c>
    </row>
    <row r="25" spans="1:6" x14ac:dyDescent="0.2">
      <c r="A25" t="str">
        <v>2024-03</v>
      </c>
      <c r="B25" s="1">
        <f>_xlfn.MINIFS(Data!$A$2:$A$2515, Data!$C$2:$C$2515, MonthlyData!A107)</f>
        <v>42856</v>
      </c>
      <c r="C25">
        <f>_xlfn.XLOOKUP(B25, Data!$A$2:$A$2515, Data!$D$2:$D$2515, " ")</f>
        <v>36.65</v>
      </c>
      <c r="D25">
        <f>_xlfn.XLOOKUP(B25, Data!$A$2:$A$2515, Data!$E$2:$E$2515, " ")</f>
        <v>2.67</v>
      </c>
      <c r="E25">
        <f>_xlfn.XLOOKUP($B25, Data!$A$2:$A$2515, Data!$F$2:$F$2515, " ")</f>
        <v>152.46</v>
      </c>
      <c r="F25">
        <f>_xlfn.XLOOKUP($B25, Data!$A$2:$A$2515, Data!$G$2:$G$2515, " ")</f>
        <v>2.4500000000000002</v>
      </c>
    </row>
    <row r="26" spans="1:6" x14ac:dyDescent="0.2">
      <c r="A26" t="str">
        <v>2024-02</v>
      </c>
      <c r="B26" s="1">
        <f>_xlfn.MINIFS(Data!$A$2:$A$2515, Data!$C$2:$C$2515, MonthlyData!A106)</f>
        <v>42887</v>
      </c>
      <c r="C26">
        <f>_xlfn.XLOOKUP(B26, Data!$A$2:$A$2515, Data!$D$2:$D$2515, " ")</f>
        <v>38.299999999999997</v>
      </c>
      <c r="D26">
        <f>_xlfn.XLOOKUP(B26, Data!$A$2:$A$2515, Data!$E$2:$E$2515, " ")</f>
        <v>3.61</v>
      </c>
      <c r="E26">
        <f>_xlfn.XLOOKUP($B26, Data!$A$2:$A$2515, Data!$F$2:$F$2515, " ")</f>
        <v>151.53</v>
      </c>
      <c r="F26">
        <f>_xlfn.XLOOKUP($B26, Data!$A$2:$A$2515, Data!$G$2:$G$2515, " ")</f>
        <v>2.4700000000000002</v>
      </c>
    </row>
    <row r="27" spans="1:6" x14ac:dyDescent="0.2">
      <c r="A27" t="str">
        <v>2024-01</v>
      </c>
      <c r="B27" s="1">
        <f>_xlfn.MINIFS(Data!$A$2:$A$2515, Data!$C$2:$C$2515, MonthlyData!A105)</f>
        <v>42919</v>
      </c>
      <c r="C27">
        <f>_xlfn.XLOOKUP(B27, Data!$A$2:$A$2515, Data!$D$2:$D$2515, " ")</f>
        <v>35.880000000000003</v>
      </c>
      <c r="D27">
        <f>_xlfn.XLOOKUP(B27, Data!$A$2:$A$2515, Data!$E$2:$E$2515, " ")</f>
        <v>3.48</v>
      </c>
      <c r="E27">
        <f>_xlfn.XLOOKUP($B27, Data!$A$2:$A$2515, Data!$F$2:$F$2515, " ")</f>
        <v>148.43</v>
      </c>
      <c r="F27">
        <f>_xlfn.XLOOKUP($B27, Data!$A$2:$A$2515, Data!$G$2:$G$2515, " ")</f>
        <v>2.4500000000000002</v>
      </c>
    </row>
    <row r="28" spans="1:6" x14ac:dyDescent="0.2">
      <c r="A28" t="str">
        <v>2023-12</v>
      </c>
      <c r="B28" s="1">
        <f>_xlfn.MINIFS(Data!$A$2:$A$2515, Data!$C$2:$C$2515, MonthlyData!A104)</f>
        <v>42948</v>
      </c>
      <c r="C28">
        <f>_xlfn.XLOOKUP(B28, Data!$A$2:$A$2515, Data!$D$2:$D$2515, " ")</f>
        <v>37.51</v>
      </c>
      <c r="D28">
        <f>_xlfn.XLOOKUP(B28, Data!$A$2:$A$2515, Data!$E$2:$E$2515, " ")</f>
        <v>4.1100000000000003</v>
      </c>
      <c r="E28">
        <f>_xlfn.XLOOKUP($B28, Data!$A$2:$A$2515, Data!$F$2:$F$2515, " ")</f>
        <v>169.86</v>
      </c>
      <c r="F28">
        <f>_xlfn.XLOOKUP($B28, Data!$A$2:$A$2515, Data!$G$2:$G$2515, " ")</f>
        <v>2.71</v>
      </c>
    </row>
    <row r="29" spans="1:6" x14ac:dyDescent="0.2">
      <c r="A29" t="str">
        <v>2023-11</v>
      </c>
      <c r="B29" s="1">
        <f>_xlfn.MINIFS(Data!$A$2:$A$2515, Data!$C$2:$C$2515, MonthlyData!A103)</f>
        <v>42979</v>
      </c>
      <c r="C29">
        <f>_xlfn.XLOOKUP(B29, Data!$A$2:$A$2515, Data!$D$2:$D$2515, " ")</f>
        <v>41.01</v>
      </c>
      <c r="D29">
        <f>_xlfn.XLOOKUP(B29, Data!$A$2:$A$2515, Data!$E$2:$E$2515, " ")</f>
        <v>4.26</v>
      </c>
      <c r="E29">
        <f>_xlfn.XLOOKUP($B29, Data!$A$2:$A$2515, Data!$F$2:$F$2515, " ")</f>
        <v>172.02</v>
      </c>
      <c r="F29">
        <f>_xlfn.XLOOKUP($B29, Data!$A$2:$A$2515, Data!$G$2:$G$2515, " ")</f>
        <v>2.68</v>
      </c>
    </row>
    <row r="30" spans="1:6" x14ac:dyDescent="0.2">
      <c r="A30" t="str">
        <v>2023-10</v>
      </c>
      <c r="B30" s="1">
        <f>_xlfn.MINIFS(Data!$A$2:$A$2515, Data!$C$2:$C$2515, MonthlyData!A102)</f>
        <v>43010</v>
      </c>
      <c r="C30">
        <f>_xlfn.XLOOKUP(B30, Data!$A$2:$A$2515, Data!$D$2:$D$2515, " ")</f>
        <v>38.450000000000003</v>
      </c>
      <c r="D30">
        <f>_xlfn.XLOOKUP(B30, Data!$A$2:$A$2515, Data!$E$2:$E$2515, " ")</f>
        <v>4.4800000000000004</v>
      </c>
      <c r="E30">
        <f>_xlfn.XLOOKUP($B30, Data!$A$2:$A$2515, Data!$F$2:$F$2515, " ")</f>
        <v>169.47</v>
      </c>
      <c r="F30">
        <f>_xlfn.XLOOKUP($B30, Data!$A$2:$A$2515, Data!$G$2:$G$2515, " ")</f>
        <v>2.33</v>
      </c>
    </row>
    <row r="31" spans="1:6" x14ac:dyDescent="0.2">
      <c r="A31" t="str">
        <v>2023-09</v>
      </c>
      <c r="B31" s="1">
        <f>_xlfn.MINIFS(Data!$A$2:$A$2515, Data!$C$2:$C$2515, MonthlyData!A101)</f>
        <v>43040</v>
      </c>
      <c r="C31">
        <f>_xlfn.XLOOKUP(B31, Data!$A$2:$A$2515, Data!$D$2:$D$2515, " ")</f>
        <v>41.72</v>
      </c>
      <c r="D31">
        <f>_xlfn.XLOOKUP(B31, Data!$A$2:$A$2515, Data!$E$2:$E$2515, " ")</f>
        <v>5.18</v>
      </c>
      <c r="E31">
        <f>_xlfn.XLOOKUP($B31, Data!$A$2:$A$2515, Data!$F$2:$F$2515, " ")</f>
        <v>182.66</v>
      </c>
      <c r="F31">
        <f>_xlfn.XLOOKUP($B31, Data!$A$2:$A$2515, Data!$G$2:$G$2515, " ")</f>
        <v>2.0299999999999998</v>
      </c>
    </row>
    <row r="32" spans="1:6" x14ac:dyDescent="0.2">
      <c r="A32" t="str">
        <v>2023-08</v>
      </c>
      <c r="B32" s="1">
        <f>_xlfn.MINIFS(Data!$A$2:$A$2515, Data!$C$2:$C$2515, MonthlyData!A100)</f>
        <v>43070</v>
      </c>
      <c r="C32">
        <f>_xlfn.XLOOKUP(B32, Data!$A$2:$A$2515, Data!$D$2:$D$2515, " ")</f>
        <v>42.76</v>
      </c>
      <c r="D32">
        <f>_xlfn.XLOOKUP(B32, Data!$A$2:$A$2515, Data!$E$2:$E$2515, " ")</f>
        <v>4.9400000000000004</v>
      </c>
      <c r="E32">
        <f>_xlfn.XLOOKUP($B32, Data!$A$2:$A$2515, Data!$F$2:$F$2515, " ")</f>
        <v>175.1</v>
      </c>
      <c r="F32">
        <f>_xlfn.XLOOKUP($B32, Data!$A$2:$A$2515, Data!$G$2:$G$2515, " ")</f>
        <v>2.2000000000000002</v>
      </c>
    </row>
    <row r="33" spans="1:6" x14ac:dyDescent="0.2">
      <c r="A33" t="str">
        <v>2023-07</v>
      </c>
      <c r="B33" s="1">
        <f>_xlfn.MINIFS(Data!$A$2:$A$2515, Data!$C$2:$C$2515, MonthlyData!A99)</f>
        <v>43102</v>
      </c>
      <c r="C33">
        <f>_xlfn.XLOOKUP(B33, Data!$A$2:$A$2515, Data!$D$2:$D$2515, " ")</f>
        <v>43.07</v>
      </c>
      <c r="D33">
        <f>_xlfn.XLOOKUP(B33, Data!$A$2:$A$2515, Data!$E$2:$E$2515, " ")</f>
        <v>4.9800000000000004</v>
      </c>
      <c r="E33">
        <f>_xlfn.XLOOKUP($B33, Data!$A$2:$A$2515, Data!$F$2:$F$2515, " ")</f>
        <v>181.42</v>
      </c>
      <c r="F33">
        <f>_xlfn.XLOOKUP($B33, Data!$A$2:$A$2515, Data!$G$2:$G$2515, " ")</f>
        <v>2.15</v>
      </c>
    </row>
    <row r="34" spans="1:6" x14ac:dyDescent="0.2">
      <c r="A34" t="str">
        <v>2023-06</v>
      </c>
      <c r="B34" s="1">
        <f>_xlfn.MINIFS(Data!$A$2:$A$2515, Data!$C$2:$C$2515, MonthlyData!A98)</f>
        <v>43132</v>
      </c>
      <c r="C34">
        <f>_xlfn.XLOOKUP(B34, Data!$A$2:$A$2515, Data!$D$2:$D$2515, " ")</f>
        <v>41.95</v>
      </c>
      <c r="D34">
        <f>_xlfn.XLOOKUP(B34, Data!$A$2:$A$2515, Data!$E$2:$E$2515, " ")</f>
        <v>6.01</v>
      </c>
      <c r="E34">
        <f>_xlfn.XLOOKUP($B34, Data!$A$2:$A$2515, Data!$F$2:$F$2515, " ")</f>
        <v>193.09</v>
      </c>
      <c r="F34">
        <f>_xlfn.XLOOKUP($B34, Data!$A$2:$A$2515, Data!$G$2:$G$2515, " ")</f>
        <v>2.2599999999999998</v>
      </c>
    </row>
    <row r="35" spans="1:6" x14ac:dyDescent="0.2">
      <c r="A35" t="str">
        <v>2023-05</v>
      </c>
      <c r="B35" s="1">
        <f>_xlfn.MINIFS(Data!$A$2:$A$2515, Data!$C$2:$C$2515, MonthlyData!A97)</f>
        <v>43160</v>
      </c>
      <c r="C35">
        <f>_xlfn.XLOOKUP(B35, Data!$A$2:$A$2515, Data!$D$2:$D$2515, " ")</f>
        <v>43.75</v>
      </c>
      <c r="D35">
        <f>_xlfn.XLOOKUP(B35, Data!$A$2:$A$2515, Data!$E$2:$E$2515, " ")</f>
        <v>5.81</v>
      </c>
      <c r="E35">
        <f>_xlfn.XLOOKUP($B35, Data!$A$2:$A$2515, Data!$F$2:$F$2515, " ")</f>
        <v>175.94</v>
      </c>
      <c r="F35">
        <f>_xlfn.XLOOKUP($B35, Data!$A$2:$A$2515, Data!$G$2:$G$2515, " ")</f>
        <v>1.81</v>
      </c>
    </row>
    <row r="36" spans="1:6" x14ac:dyDescent="0.2">
      <c r="A36" t="str">
        <v>2023-04</v>
      </c>
      <c r="B36" s="1">
        <f>_xlfn.MINIFS(Data!$A$2:$A$2515, Data!$C$2:$C$2515, MonthlyData!A96)</f>
        <v>43192</v>
      </c>
      <c r="C36">
        <f>_xlfn.XLOOKUP(B36, Data!$A$2:$A$2515, Data!$D$2:$D$2515, " ")</f>
        <v>41.67</v>
      </c>
      <c r="D36">
        <f>_xlfn.XLOOKUP(B36, Data!$A$2:$A$2515, Data!$E$2:$E$2515, " ")</f>
        <v>5.53</v>
      </c>
      <c r="E36">
        <f>_xlfn.XLOOKUP($B36, Data!$A$2:$A$2515, Data!$F$2:$F$2515, " ")</f>
        <v>155.38999999999999</v>
      </c>
      <c r="F36">
        <f>_xlfn.XLOOKUP($B36, Data!$A$2:$A$2515, Data!$G$2:$G$2515, " ")</f>
        <v>1.64</v>
      </c>
    </row>
    <row r="37" spans="1:6" x14ac:dyDescent="0.2">
      <c r="A37" t="str">
        <v>2023-03</v>
      </c>
      <c r="B37" s="1">
        <f>_xlfn.MINIFS(Data!$A$2:$A$2515, Data!$C$2:$C$2515, MonthlyData!A95)</f>
        <v>43221</v>
      </c>
      <c r="C37">
        <f>_xlfn.XLOOKUP(B37, Data!$A$2:$A$2515, Data!$D$2:$D$2515, " ")</f>
        <v>42.28</v>
      </c>
      <c r="D37">
        <f>_xlfn.XLOOKUP(B37, Data!$A$2:$A$2515, Data!$E$2:$E$2515, " ")</f>
        <v>5.68</v>
      </c>
      <c r="E37">
        <f>_xlfn.XLOOKUP($B37, Data!$A$2:$A$2515, Data!$F$2:$F$2515, " ")</f>
        <v>173.86</v>
      </c>
      <c r="F37">
        <f>_xlfn.XLOOKUP($B37, Data!$A$2:$A$2515, Data!$G$2:$G$2515, " ")</f>
        <v>1.83</v>
      </c>
    </row>
    <row r="38" spans="1:6" x14ac:dyDescent="0.2">
      <c r="A38" t="str">
        <v>2023-02</v>
      </c>
      <c r="B38" s="1">
        <f>_xlfn.MINIFS(Data!$A$2:$A$2515, Data!$C$2:$C$2515, MonthlyData!A94)</f>
        <v>43252</v>
      </c>
      <c r="C38">
        <f>_xlfn.XLOOKUP(B38, Data!$A$2:$A$2515, Data!$D$2:$D$2515, " ")</f>
        <v>47.56</v>
      </c>
      <c r="D38">
        <f>_xlfn.XLOOKUP(B38, Data!$A$2:$A$2515, Data!$E$2:$E$2515, " ")</f>
        <v>6.44</v>
      </c>
      <c r="E38">
        <f>_xlfn.XLOOKUP($B38, Data!$A$2:$A$2515, Data!$F$2:$F$2515, " ")</f>
        <v>193.99</v>
      </c>
      <c r="F38">
        <f>_xlfn.XLOOKUP($B38, Data!$A$2:$A$2515, Data!$G$2:$G$2515, " ")</f>
        <v>2.44</v>
      </c>
    </row>
    <row r="39" spans="1:6" x14ac:dyDescent="0.2">
      <c r="A39" t="str">
        <v>2023-01</v>
      </c>
      <c r="B39" s="1">
        <f>_xlfn.MINIFS(Data!$A$2:$A$2515, Data!$C$2:$C$2515, MonthlyData!A93)</f>
        <v>43283</v>
      </c>
      <c r="C39">
        <f>_xlfn.XLOOKUP(B39, Data!$A$2:$A$2515, Data!$D$2:$D$2515, " ")</f>
        <v>46.8</v>
      </c>
      <c r="D39">
        <f>_xlfn.XLOOKUP(B39, Data!$A$2:$A$2515, Data!$E$2:$E$2515, " ")</f>
        <v>6.06</v>
      </c>
      <c r="E39">
        <f>_xlfn.XLOOKUP($B39, Data!$A$2:$A$2515, Data!$F$2:$F$2515, " ")</f>
        <v>197.36</v>
      </c>
      <c r="F39">
        <f>_xlfn.XLOOKUP($B39, Data!$A$2:$A$2515, Data!$G$2:$G$2515, " ")</f>
        <v>2.46</v>
      </c>
    </row>
    <row r="40" spans="1:6" x14ac:dyDescent="0.2">
      <c r="A40" t="str">
        <v>2022-12</v>
      </c>
      <c r="B40" s="1">
        <f>_xlfn.MINIFS(Data!$A$2:$A$2515, Data!$C$2:$C$2515, MonthlyData!A92)</f>
        <v>43313</v>
      </c>
      <c r="C40">
        <f>_xlfn.XLOOKUP(B40, Data!$A$2:$A$2515, Data!$D$2:$D$2515, " ")</f>
        <v>50.38</v>
      </c>
      <c r="D40">
        <f>_xlfn.XLOOKUP(B40, Data!$A$2:$A$2515, Data!$E$2:$E$2515, " ")</f>
        <v>6.16</v>
      </c>
      <c r="E40">
        <f>_xlfn.XLOOKUP($B40, Data!$A$2:$A$2515, Data!$F$2:$F$2515, " ")</f>
        <v>171.65</v>
      </c>
      <c r="F40">
        <f>_xlfn.XLOOKUP($B40, Data!$A$2:$A$2515, Data!$G$2:$G$2515, " ")</f>
        <v>2.17</v>
      </c>
    </row>
    <row r="41" spans="1:6" x14ac:dyDescent="0.2">
      <c r="A41" t="str">
        <v>2022-11</v>
      </c>
      <c r="B41" s="1">
        <f>_xlfn.MINIFS(Data!$A$2:$A$2515, Data!$C$2:$C$2515, MonthlyData!A91)</f>
        <v>43347</v>
      </c>
      <c r="C41">
        <f>_xlfn.XLOOKUP(B41, Data!$A$2:$A$2515, Data!$D$2:$D$2515, " ")</f>
        <v>57.09</v>
      </c>
      <c r="D41">
        <f>_xlfn.XLOOKUP(B41, Data!$A$2:$A$2515, Data!$E$2:$E$2515, " ")</f>
        <v>7.09</v>
      </c>
      <c r="E41">
        <f>_xlfn.XLOOKUP($B41, Data!$A$2:$A$2515, Data!$F$2:$F$2515, " ")</f>
        <v>171.16</v>
      </c>
      <c r="F41">
        <f>_xlfn.XLOOKUP($B41, Data!$A$2:$A$2515, Data!$G$2:$G$2515, " ")</f>
        <v>2.0499999999999998</v>
      </c>
    </row>
    <row r="42" spans="1:6" x14ac:dyDescent="0.2">
      <c r="A42" t="str">
        <v>2022-10</v>
      </c>
      <c r="B42" s="1">
        <f>_xlfn.MINIFS(Data!$A$2:$A$2515, Data!$C$2:$C$2515, MonthlyData!A90)</f>
        <v>43374</v>
      </c>
      <c r="C42">
        <f>_xlfn.XLOOKUP(B42, Data!$A$2:$A$2515, Data!$D$2:$D$2515, " ")</f>
        <v>56.82</v>
      </c>
      <c r="D42">
        <f>_xlfn.XLOOKUP(B42, Data!$A$2:$A$2515, Data!$E$2:$E$2515, " ")</f>
        <v>7.23</v>
      </c>
      <c r="E42">
        <f>_xlfn.XLOOKUP($B42, Data!$A$2:$A$2515, Data!$F$2:$F$2515, " ")</f>
        <v>162.44</v>
      </c>
      <c r="F42">
        <f>_xlfn.XLOOKUP($B42, Data!$A$2:$A$2515, Data!$G$2:$G$2515, " ")</f>
        <v>2.15</v>
      </c>
    </row>
    <row r="43" spans="1:6" x14ac:dyDescent="0.2">
      <c r="A43" t="str">
        <v>2022-09</v>
      </c>
      <c r="B43" s="1">
        <f>_xlfn.MINIFS(Data!$A$2:$A$2515, Data!$C$2:$C$2515, MonthlyData!A89)</f>
        <v>43405</v>
      </c>
      <c r="C43">
        <f>_xlfn.XLOOKUP(B43, Data!$A$2:$A$2515, Data!$D$2:$D$2515, " ")</f>
        <v>55.56</v>
      </c>
      <c r="D43">
        <f>_xlfn.XLOOKUP(B43, Data!$A$2:$A$2515, Data!$E$2:$E$2515, " ")</f>
        <v>5.45</v>
      </c>
      <c r="E43">
        <f>_xlfn.XLOOKUP($B43, Data!$A$2:$A$2515, Data!$F$2:$F$2515, " ")</f>
        <v>151.75</v>
      </c>
      <c r="F43">
        <f>_xlfn.XLOOKUP($B43, Data!$A$2:$A$2515, Data!$G$2:$G$2515, " ")</f>
        <v>1.38</v>
      </c>
    </row>
    <row r="44" spans="1:6" x14ac:dyDescent="0.2">
      <c r="A44" t="str">
        <v>2022-08</v>
      </c>
      <c r="B44" s="1">
        <f>_xlfn.MINIFS(Data!$A$2:$A$2515, Data!$C$2:$C$2515, MonthlyData!A88)</f>
        <v>43437</v>
      </c>
      <c r="C44">
        <f>_xlfn.XLOOKUP(B44, Data!$A$2:$A$2515, Data!$D$2:$D$2515, " ")</f>
        <v>46.21</v>
      </c>
      <c r="D44">
        <f>_xlfn.XLOOKUP(B44, Data!$A$2:$A$2515, Data!$E$2:$E$2515, " ")</f>
        <v>4.25</v>
      </c>
      <c r="E44">
        <f>_xlfn.XLOOKUP($B44, Data!$A$2:$A$2515, Data!$F$2:$F$2515, " ")</f>
        <v>141.09</v>
      </c>
      <c r="F44">
        <f>_xlfn.XLOOKUP($B44, Data!$A$2:$A$2515, Data!$G$2:$G$2515, " ")</f>
        <v>1.5</v>
      </c>
    </row>
    <row r="45" spans="1:6" x14ac:dyDescent="0.2">
      <c r="A45" t="str">
        <v>2022-07</v>
      </c>
      <c r="B45" s="1">
        <f>_xlfn.MINIFS(Data!$A$2:$A$2515, Data!$C$2:$C$2515, MonthlyData!A87)</f>
        <v>43467</v>
      </c>
      <c r="C45">
        <f>_xlfn.XLOOKUP(B45, Data!$A$2:$A$2515, Data!$D$2:$D$2515, " ")</f>
        <v>39.479999999999997</v>
      </c>
      <c r="D45">
        <f>_xlfn.XLOOKUP(B45, Data!$A$2:$A$2515, Data!$E$2:$E$2515, " ")</f>
        <v>3.41</v>
      </c>
      <c r="E45">
        <f>_xlfn.XLOOKUP($B45, Data!$A$2:$A$2515, Data!$F$2:$F$2515, " ")</f>
        <v>135.68</v>
      </c>
      <c r="F45">
        <f>_xlfn.XLOOKUP($B45, Data!$A$2:$A$2515, Data!$G$2:$G$2515, " ")</f>
        <v>1.51</v>
      </c>
    </row>
    <row r="46" spans="1:6" x14ac:dyDescent="0.2">
      <c r="A46" t="str">
        <v>2022-06</v>
      </c>
      <c r="B46" s="1">
        <f>_xlfn.MINIFS(Data!$A$2:$A$2515, Data!$C$2:$C$2515, MonthlyData!A86)</f>
        <v>43497</v>
      </c>
      <c r="C46">
        <f>_xlfn.XLOOKUP(B46, Data!$A$2:$A$2515, Data!$D$2:$D$2515, " ")</f>
        <v>41.63</v>
      </c>
      <c r="D46">
        <f>_xlfn.XLOOKUP(B46, Data!$A$2:$A$2515, Data!$E$2:$E$2515, " ")</f>
        <v>3.62</v>
      </c>
      <c r="E46">
        <f>_xlfn.XLOOKUP($B46, Data!$A$2:$A$2515, Data!$F$2:$F$2515, " ")</f>
        <v>165.71</v>
      </c>
      <c r="F46">
        <f>_xlfn.XLOOKUP($B46, Data!$A$2:$A$2515, Data!$G$2:$G$2515, " ")</f>
        <v>1.53</v>
      </c>
    </row>
    <row r="47" spans="1:6" x14ac:dyDescent="0.2">
      <c r="A47" t="str">
        <v>2022-05</v>
      </c>
      <c r="B47" s="1">
        <f>_xlfn.MINIFS(Data!$A$2:$A$2515, Data!$C$2:$C$2515, MonthlyData!A85)</f>
        <v>43525</v>
      </c>
      <c r="C47">
        <f>_xlfn.XLOOKUP(B47, Data!$A$2:$A$2515, Data!$D$2:$D$2515, " ")</f>
        <v>43.74</v>
      </c>
      <c r="D47">
        <f>_xlfn.XLOOKUP(B47, Data!$A$2:$A$2515, Data!$E$2:$E$2515, " ")</f>
        <v>3.91</v>
      </c>
      <c r="E47">
        <f>_xlfn.XLOOKUP($B47, Data!$A$2:$A$2515, Data!$F$2:$F$2515, " ")</f>
        <v>162.28</v>
      </c>
      <c r="F47">
        <f>_xlfn.XLOOKUP($B47, Data!$A$2:$A$2515, Data!$G$2:$G$2515, " ")</f>
        <v>1.96</v>
      </c>
    </row>
    <row r="48" spans="1:6" x14ac:dyDescent="0.2">
      <c r="A48" t="str">
        <v>2022-04</v>
      </c>
      <c r="B48" s="1">
        <f>_xlfn.MINIFS(Data!$A$2:$A$2515, Data!$C$2:$C$2515, MonthlyData!A84)</f>
        <v>43556</v>
      </c>
      <c r="C48">
        <f>_xlfn.XLOOKUP(B48, Data!$A$2:$A$2515, Data!$D$2:$D$2515, " ")</f>
        <v>47.81</v>
      </c>
      <c r="D48">
        <f>_xlfn.XLOOKUP(B48, Data!$A$2:$A$2515, Data!$E$2:$E$2515, " ")</f>
        <v>4.5599999999999996</v>
      </c>
      <c r="E48">
        <f>_xlfn.XLOOKUP($B48, Data!$A$2:$A$2515, Data!$F$2:$F$2515, " ")</f>
        <v>168.7</v>
      </c>
      <c r="F48">
        <f>_xlfn.XLOOKUP($B48, Data!$A$2:$A$2515, Data!$G$2:$G$2515, " ")</f>
        <v>2.19</v>
      </c>
    </row>
    <row r="49" spans="1:6" x14ac:dyDescent="0.2">
      <c r="A49" t="str">
        <v>2022-03</v>
      </c>
      <c r="B49" s="1">
        <f>_xlfn.MINIFS(Data!$A$2:$A$2515, Data!$C$2:$C$2515, MonthlyData!A83)</f>
        <v>43586</v>
      </c>
      <c r="C49">
        <f>_xlfn.XLOOKUP(B49, Data!$A$2:$A$2515, Data!$D$2:$D$2515, " ")</f>
        <v>52.63</v>
      </c>
      <c r="D49">
        <f>_xlfn.XLOOKUP(B49, Data!$A$2:$A$2515, Data!$E$2:$E$2515, " ")</f>
        <v>4.51</v>
      </c>
      <c r="E49">
        <f>_xlfn.XLOOKUP($B49, Data!$A$2:$A$2515, Data!$F$2:$F$2515, " ")</f>
        <v>193.03</v>
      </c>
      <c r="F49">
        <f>_xlfn.XLOOKUP($B49, Data!$A$2:$A$2515, Data!$G$2:$G$2515, " ")</f>
        <v>2.29</v>
      </c>
    </row>
    <row r="50" spans="1:6" x14ac:dyDescent="0.2">
      <c r="A50" t="str">
        <v>2022-02</v>
      </c>
      <c r="B50" s="1">
        <f>_xlfn.MINIFS(Data!$A$2:$A$2515, Data!$C$2:$C$2515, MonthlyData!A82)</f>
        <v>43619</v>
      </c>
      <c r="C50">
        <f>_xlfn.XLOOKUP(B50, Data!$A$2:$A$2515, Data!$D$2:$D$2515, " ")</f>
        <v>43.33</v>
      </c>
      <c r="D50">
        <f>_xlfn.XLOOKUP(B50, Data!$A$2:$A$2515, Data!$E$2:$E$2515, " ")</f>
        <v>3.34</v>
      </c>
      <c r="E50">
        <f>_xlfn.XLOOKUP($B50, Data!$A$2:$A$2515, Data!$F$2:$F$2515, " ")</f>
        <v>164.15</v>
      </c>
      <c r="F50">
        <f>_xlfn.XLOOKUP($B50, Data!$A$2:$A$2515, Data!$G$2:$G$2515, " ")</f>
        <v>1.93</v>
      </c>
    </row>
    <row r="51" spans="1:6" x14ac:dyDescent="0.2">
      <c r="A51" t="str">
        <v>2022-01</v>
      </c>
      <c r="B51" s="1">
        <f>_xlfn.MINIFS(Data!$A$2:$A$2515, Data!$C$2:$C$2515, MonthlyData!A81)</f>
        <v>43647</v>
      </c>
      <c r="C51">
        <f>_xlfn.XLOOKUP(B51, Data!$A$2:$A$2515, Data!$D$2:$D$2515, " ")</f>
        <v>50.39</v>
      </c>
      <c r="D51">
        <f>_xlfn.XLOOKUP(B51, Data!$A$2:$A$2515, Data!$E$2:$E$2515, " ")</f>
        <v>4.1500000000000004</v>
      </c>
      <c r="E51">
        <f>_xlfn.XLOOKUP($B51, Data!$A$2:$A$2515, Data!$F$2:$F$2515, " ")</f>
        <v>193</v>
      </c>
      <c r="F51">
        <f>_xlfn.XLOOKUP($B51, Data!$A$2:$A$2515, Data!$G$2:$G$2515, " ")</f>
        <v>1.93</v>
      </c>
    </row>
    <row r="52" spans="1:6" x14ac:dyDescent="0.2">
      <c r="A52" t="str">
        <v>2021-12</v>
      </c>
      <c r="B52" s="1">
        <f>_xlfn.MINIFS(Data!$A$2:$A$2515, Data!$C$2:$C$2515, MonthlyData!A80)</f>
        <v>43678</v>
      </c>
      <c r="C52">
        <f>_xlfn.XLOOKUP(B52, Data!$A$2:$A$2515, Data!$D$2:$D$2515, " ")</f>
        <v>52.11</v>
      </c>
      <c r="D52">
        <f>_xlfn.XLOOKUP(B52, Data!$A$2:$A$2515, Data!$E$2:$E$2515, " ")</f>
        <v>4.12</v>
      </c>
      <c r="E52">
        <f>_xlfn.XLOOKUP($B52, Data!$A$2:$A$2515, Data!$F$2:$F$2515, " ")</f>
        <v>192.73</v>
      </c>
      <c r="F52">
        <f>_xlfn.XLOOKUP($B52, Data!$A$2:$A$2515, Data!$G$2:$G$2515, " ")</f>
        <v>1.81</v>
      </c>
    </row>
    <row r="53" spans="1:6" x14ac:dyDescent="0.2">
      <c r="A53" t="str">
        <v>2021-11</v>
      </c>
      <c r="B53" s="1">
        <f>_xlfn.MINIFS(Data!$A$2:$A$2515, Data!$C$2:$C$2515, MonthlyData!A79)</f>
        <v>43711</v>
      </c>
      <c r="C53">
        <f>_xlfn.XLOOKUP(B53, Data!$A$2:$A$2515, Data!$D$2:$D$2515, " ")</f>
        <v>51.43</v>
      </c>
      <c r="D53">
        <f>_xlfn.XLOOKUP(B53, Data!$A$2:$A$2515, Data!$E$2:$E$2515, " ")</f>
        <v>4.0999999999999996</v>
      </c>
      <c r="E53">
        <f>_xlfn.XLOOKUP($B53, Data!$A$2:$A$2515, Data!$F$2:$F$2515, " ")</f>
        <v>182.39</v>
      </c>
      <c r="F53">
        <f>_xlfn.XLOOKUP($B53, Data!$A$2:$A$2515, Data!$G$2:$G$2515, " ")</f>
        <v>1.84</v>
      </c>
    </row>
    <row r="54" spans="1:6" x14ac:dyDescent="0.2">
      <c r="A54" t="str">
        <v>2021-10</v>
      </c>
      <c r="B54" s="1">
        <f>_xlfn.MINIFS(Data!$A$2:$A$2515, Data!$C$2:$C$2515, MonthlyData!A78)</f>
        <v>43739</v>
      </c>
      <c r="C54">
        <f>_xlfn.XLOOKUP(B54, Data!$A$2:$A$2515, Data!$D$2:$D$2515, " ")</f>
        <v>56.15</v>
      </c>
      <c r="D54">
        <f>_xlfn.XLOOKUP(B54, Data!$A$2:$A$2515, Data!$E$2:$E$2515, " ")</f>
        <v>4.3499999999999996</v>
      </c>
      <c r="E54">
        <f>_xlfn.XLOOKUP($B54, Data!$A$2:$A$2515, Data!$F$2:$F$2515, " ")</f>
        <v>175.81</v>
      </c>
      <c r="F54">
        <f>_xlfn.XLOOKUP($B54, Data!$A$2:$A$2515, Data!$G$2:$G$2515, " ")</f>
        <v>1.94</v>
      </c>
    </row>
    <row r="55" spans="1:6" x14ac:dyDescent="0.2">
      <c r="A55" t="str">
        <v>2021-09</v>
      </c>
      <c r="B55" s="1">
        <f>_xlfn.MINIFS(Data!$A$2:$A$2515, Data!$C$2:$C$2515, MonthlyData!A77)</f>
        <v>43770</v>
      </c>
      <c r="C55">
        <f>_xlfn.XLOOKUP(B55, Data!$A$2:$A$2515, Data!$D$2:$D$2515, " ")</f>
        <v>63.96</v>
      </c>
      <c r="D55">
        <f>_xlfn.XLOOKUP(B55, Data!$A$2:$A$2515, Data!$E$2:$E$2515, " ")</f>
        <v>5.0599999999999996</v>
      </c>
      <c r="E55">
        <f>_xlfn.XLOOKUP($B55, Data!$A$2:$A$2515, Data!$F$2:$F$2515, " ")</f>
        <v>193.62</v>
      </c>
      <c r="F55">
        <f>_xlfn.XLOOKUP($B55, Data!$A$2:$A$2515, Data!$G$2:$G$2515, " ")</f>
        <v>2.0499999999999998</v>
      </c>
    </row>
    <row r="56" spans="1:6" x14ac:dyDescent="0.2">
      <c r="A56" t="str">
        <v>2021-08</v>
      </c>
      <c r="B56" s="1">
        <f>_xlfn.MINIFS(Data!$A$2:$A$2515, Data!$C$2:$C$2515, MonthlyData!A76)</f>
        <v>43801</v>
      </c>
      <c r="C56">
        <f>_xlfn.XLOOKUP(B56, Data!$A$2:$A$2515, Data!$D$2:$D$2515, " ")</f>
        <v>66.040000000000006</v>
      </c>
      <c r="D56">
        <f>_xlfn.XLOOKUP(B56, Data!$A$2:$A$2515, Data!$E$2:$E$2515, " ")</f>
        <v>5.23</v>
      </c>
      <c r="E56">
        <f>_xlfn.XLOOKUP($B56, Data!$A$2:$A$2515, Data!$F$2:$F$2515, " ")</f>
        <v>199.7</v>
      </c>
      <c r="F56">
        <f>_xlfn.XLOOKUP($B56, Data!$A$2:$A$2515, Data!$G$2:$G$2515, " ")</f>
        <v>2.15</v>
      </c>
    </row>
    <row r="57" spans="1:6" x14ac:dyDescent="0.2">
      <c r="A57" t="str">
        <v>2021-07</v>
      </c>
      <c r="B57" s="1">
        <f>_xlfn.MINIFS(Data!$A$2:$A$2515, Data!$C$2:$C$2515, MonthlyData!A75)</f>
        <v>43832</v>
      </c>
      <c r="C57">
        <f>_xlfn.XLOOKUP(B57, Data!$A$2:$A$2515, Data!$D$2:$D$2515, " ")</f>
        <v>75.09</v>
      </c>
      <c r="D57">
        <f>_xlfn.XLOOKUP(B57, Data!$A$2:$A$2515, Data!$E$2:$E$2515, " ")</f>
        <v>6</v>
      </c>
      <c r="E57">
        <f>_xlfn.XLOOKUP($B57, Data!$A$2:$A$2515, Data!$F$2:$F$2515, " ")</f>
        <v>209.78</v>
      </c>
      <c r="F57">
        <f>_xlfn.XLOOKUP($B57, Data!$A$2:$A$2515, Data!$G$2:$G$2515, " ")</f>
        <v>2.36</v>
      </c>
    </row>
    <row r="58" spans="1:6" x14ac:dyDescent="0.2">
      <c r="A58" t="str">
        <v>2021-06</v>
      </c>
      <c r="B58" s="1">
        <f>_xlfn.MINIFS(Data!$A$2:$A$2515, Data!$C$2:$C$2515, MonthlyData!A74)</f>
        <v>43864</v>
      </c>
      <c r="C58">
        <f>_xlfn.XLOOKUP(B58, Data!$A$2:$A$2515, Data!$D$2:$D$2515, " ")</f>
        <v>77.17</v>
      </c>
      <c r="D58">
        <f>_xlfn.XLOOKUP(B58, Data!$A$2:$A$2515, Data!$E$2:$E$2515, " ")</f>
        <v>6.01</v>
      </c>
      <c r="E58">
        <f>_xlfn.XLOOKUP($B58, Data!$A$2:$A$2515, Data!$F$2:$F$2515, " ")</f>
        <v>204.19</v>
      </c>
      <c r="F58">
        <f>_xlfn.XLOOKUP($B58, Data!$A$2:$A$2515, Data!$G$2:$G$2515, " ")</f>
        <v>2.87</v>
      </c>
    </row>
    <row r="59" spans="1:6" x14ac:dyDescent="0.2">
      <c r="A59" t="str">
        <v>2021-05</v>
      </c>
      <c r="B59" s="1">
        <f>_xlfn.MINIFS(Data!$A$2:$A$2515, Data!$C$2:$C$2515, MonthlyData!A73)</f>
        <v>43892</v>
      </c>
      <c r="C59">
        <f>_xlfn.XLOOKUP(B59, Data!$A$2:$A$2515, Data!$D$2:$D$2515, " ")</f>
        <v>74.7</v>
      </c>
      <c r="D59">
        <f>_xlfn.XLOOKUP(B59, Data!$A$2:$A$2515, Data!$E$2:$E$2515, " ")</f>
        <v>6.91</v>
      </c>
      <c r="E59">
        <f>_xlfn.XLOOKUP($B59, Data!$A$2:$A$2515, Data!$F$2:$F$2515, " ")</f>
        <v>196.44</v>
      </c>
      <c r="F59">
        <f>_xlfn.XLOOKUP($B59, Data!$A$2:$A$2515, Data!$G$2:$G$2515, " ")</f>
        <v>2.62</v>
      </c>
    </row>
    <row r="60" spans="1:6" x14ac:dyDescent="0.2">
      <c r="A60" t="str">
        <v>2021-04</v>
      </c>
      <c r="B60" s="1">
        <f>_xlfn.MINIFS(Data!$A$2:$A$2515, Data!$C$2:$C$2515, MonthlyData!A72)</f>
        <v>43922</v>
      </c>
      <c r="C60">
        <f>_xlfn.XLOOKUP(B60, Data!$A$2:$A$2515, Data!$D$2:$D$2515, " ")</f>
        <v>60.23</v>
      </c>
      <c r="D60">
        <f>_xlfn.XLOOKUP(B60, Data!$A$2:$A$2515, Data!$E$2:$E$2515, " ")</f>
        <v>6.08</v>
      </c>
      <c r="E60">
        <f>_xlfn.XLOOKUP($B60, Data!$A$2:$A$2515, Data!$F$2:$F$2515, " ")</f>
        <v>159.6</v>
      </c>
      <c r="F60">
        <f>_xlfn.XLOOKUP($B60, Data!$A$2:$A$2515, Data!$G$2:$G$2515, " ")</f>
        <v>2.0499999999999998</v>
      </c>
    </row>
    <row r="61" spans="1:6" x14ac:dyDescent="0.2">
      <c r="A61" t="str">
        <v>2021-03</v>
      </c>
      <c r="B61" s="1">
        <f>_xlfn.MINIFS(Data!$A$2:$A$2515, Data!$C$2:$C$2515, MonthlyData!A71)</f>
        <v>43952</v>
      </c>
      <c r="C61">
        <f>_xlfn.XLOOKUP(B61, Data!$A$2:$A$2515, Data!$D$2:$D$2515, " ")</f>
        <v>72.27</v>
      </c>
      <c r="D61">
        <f>_xlfn.XLOOKUP(B61, Data!$A$2:$A$2515, Data!$E$2:$E$2515, " ")</f>
        <v>7.07</v>
      </c>
      <c r="E61">
        <f>_xlfn.XLOOKUP($B61, Data!$A$2:$A$2515, Data!$F$2:$F$2515, " ")</f>
        <v>202.27</v>
      </c>
      <c r="F61">
        <f>_xlfn.XLOOKUP($B61, Data!$A$2:$A$2515, Data!$G$2:$G$2515, " ")</f>
        <v>2.2200000000000002</v>
      </c>
    </row>
    <row r="62" spans="1:6" x14ac:dyDescent="0.2">
      <c r="A62" t="str">
        <v>2021-02</v>
      </c>
      <c r="B62" s="1">
        <f>_xlfn.MINIFS(Data!$A$2:$A$2515, Data!$C$2:$C$2515, MonthlyData!A70)</f>
        <v>43983</v>
      </c>
      <c r="C62">
        <f>_xlfn.XLOOKUP(B62, Data!$A$2:$A$2515, Data!$D$2:$D$2515, " ")</f>
        <v>80.459999999999994</v>
      </c>
      <c r="D62">
        <f>_xlfn.XLOOKUP(B62, Data!$A$2:$A$2515, Data!$E$2:$E$2515, " ")</f>
        <v>8.81</v>
      </c>
      <c r="E62">
        <f>_xlfn.XLOOKUP($B62, Data!$A$2:$A$2515, Data!$F$2:$F$2515, " ")</f>
        <v>231.91</v>
      </c>
      <c r="F62">
        <f>_xlfn.XLOOKUP($B62, Data!$A$2:$A$2515, Data!$G$2:$G$2515, " ")</f>
        <v>2.66</v>
      </c>
    </row>
    <row r="63" spans="1:6" x14ac:dyDescent="0.2">
      <c r="A63" t="str">
        <v>2021-01</v>
      </c>
      <c r="B63" s="1">
        <f>_xlfn.MINIFS(Data!$A$2:$A$2515, Data!$C$2:$C$2515, MonthlyData!A69)</f>
        <v>44013</v>
      </c>
      <c r="C63">
        <f>_xlfn.XLOOKUP(B63, Data!$A$2:$A$2515, Data!$D$2:$D$2515, " ")</f>
        <v>91.03</v>
      </c>
      <c r="D63">
        <f>_xlfn.XLOOKUP(B63, Data!$A$2:$A$2515, Data!$E$2:$E$2515, " ")</f>
        <v>9.5299999999999994</v>
      </c>
      <c r="E63">
        <f>_xlfn.XLOOKUP($B63, Data!$A$2:$A$2515, Data!$F$2:$F$2515, " ")</f>
        <v>237.55</v>
      </c>
      <c r="F63">
        <f>_xlfn.XLOOKUP($B63, Data!$A$2:$A$2515, Data!$G$2:$G$2515, " ")</f>
        <v>2.79</v>
      </c>
    </row>
    <row r="64" spans="1:6" x14ac:dyDescent="0.2">
      <c r="A64" t="str">
        <v>2020-12</v>
      </c>
      <c r="B64" s="1">
        <f>_xlfn.MINIFS(Data!$A$2:$A$2515, Data!$C$2:$C$2515, MonthlyData!A68)</f>
        <v>44046</v>
      </c>
      <c r="C64">
        <f>_xlfn.XLOOKUP(B64, Data!$A$2:$A$2515, Data!$D$2:$D$2515, " ")</f>
        <v>108.94</v>
      </c>
      <c r="D64">
        <f>_xlfn.XLOOKUP(B64, Data!$A$2:$A$2515, Data!$E$2:$E$2515, " ")</f>
        <v>11.01</v>
      </c>
      <c r="E64">
        <f>_xlfn.XLOOKUP($B64, Data!$A$2:$A$2515, Data!$F$2:$F$2515, " ")</f>
        <v>251.96</v>
      </c>
      <c r="F64">
        <f>_xlfn.XLOOKUP($B64, Data!$A$2:$A$2515, Data!$G$2:$G$2515, " ")</f>
        <v>3.03</v>
      </c>
    </row>
    <row r="65" spans="1:6" x14ac:dyDescent="0.2">
      <c r="A65" t="str">
        <v>2020-11</v>
      </c>
      <c r="B65" s="1">
        <f>_xlfn.MINIFS(Data!$A$2:$A$2515, Data!$C$2:$C$2515, MonthlyData!A67)</f>
        <v>44075</v>
      </c>
      <c r="C65">
        <f>_xlfn.XLOOKUP(B65, Data!$A$2:$A$2515, Data!$D$2:$D$2515, " ")</f>
        <v>134.18</v>
      </c>
      <c r="D65">
        <f>_xlfn.XLOOKUP(B65, Data!$A$2:$A$2515, Data!$E$2:$E$2515, " ")</f>
        <v>13.82</v>
      </c>
      <c r="E65">
        <f>_xlfn.XLOOKUP($B65, Data!$A$2:$A$2515, Data!$F$2:$F$2515, " ")</f>
        <v>295.44</v>
      </c>
      <c r="F65">
        <f>_xlfn.XLOOKUP($B65, Data!$A$2:$A$2515, Data!$G$2:$G$2515, " ")</f>
        <v>2.71</v>
      </c>
    </row>
    <row r="66" spans="1:6" x14ac:dyDescent="0.2">
      <c r="A66" t="str">
        <v>2020-10</v>
      </c>
      <c r="B66" s="1">
        <f>_xlfn.MINIFS(Data!$A$2:$A$2515, Data!$C$2:$C$2515, MonthlyData!A66)</f>
        <v>44105</v>
      </c>
      <c r="C66">
        <f>_xlfn.XLOOKUP(B66, Data!$A$2:$A$2515, Data!$D$2:$D$2515, " ")</f>
        <v>116.79</v>
      </c>
      <c r="D66">
        <f>_xlfn.XLOOKUP(B66, Data!$A$2:$A$2515, Data!$E$2:$E$2515, " ")</f>
        <v>13.61</v>
      </c>
      <c r="E66">
        <f>_xlfn.XLOOKUP($B66, Data!$A$2:$A$2515, Data!$F$2:$F$2515, " ")</f>
        <v>266.63</v>
      </c>
      <c r="F66">
        <f>_xlfn.XLOOKUP($B66, Data!$A$2:$A$2515, Data!$G$2:$G$2515, " ")</f>
        <v>2.62</v>
      </c>
    </row>
    <row r="67" spans="1:6" x14ac:dyDescent="0.2">
      <c r="A67" t="str">
        <v>2020-09</v>
      </c>
      <c r="B67" s="1">
        <f>_xlfn.MINIFS(Data!$A$2:$A$2515, Data!$C$2:$C$2515, MonthlyData!A65)</f>
        <v>44137</v>
      </c>
      <c r="C67">
        <f>_xlfn.XLOOKUP(B67, Data!$A$2:$A$2515, Data!$D$2:$D$2515, " ")</f>
        <v>108.77</v>
      </c>
      <c r="D67">
        <f>_xlfn.XLOOKUP(B67, Data!$A$2:$A$2515, Data!$E$2:$E$2515, " ")</f>
        <v>12.58</v>
      </c>
      <c r="E67">
        <f>_xlfn.XLOOKUP($B67, Data!$A$2:$A$2515, Data!$F$2:$F$2515, " ")</f>
        <v>261.36</v>
      </c>
      <c r="F67">
        <f>_xlfn.XLOOKUP($B67, Data!$A$2:$A$2515, Data!$G$2:$G$2515, " ")</f>
        <v>2.2999999999999998</v>
      </c>
    </row>
    <row r="68" spans="1:6" x14ac:dyDescent="0.2">
      <c r="A68" t="str">
        <v>2020-08</v>
      </c>
      <c r="B68" s="1">
        <f>_xlfn.MINIFS(Data!$A$2:$A$2515, Data!$C$2:$C$2515, MonthlyData!A64)</f>
        <v>44166</v>
      </c>
      <c r="C68">
        <f>_xlfn.XLOOKUP(B68, Data!$A$2:$A$2515, Data!$D$2:$D$2515, " ")</f>
        <v>122.72</v>
      </c>
      <c r="D68">
        <f>_xlfn.XLOOKUP(B68, Data!$A$2:$A$2515, Data!$E$2:$E$2515, " ")</f>
        <v>13.39</v>
      </c>
      <c r="E68">
        <f>_xlfn.XLOOKUP($B68, Data!$A$2:$A$2515, Data!$F$2:$F$2515, " ")</f>
        <v>286.55</v>
      </c>
      <c r="F68">
        <f>_xlfn.XLOOKUP($B68, Data!$A$2:$A$2515, Data!$G$2:$G$2515, " ")</f>
        <v>2.89</v>
      </c>
    </row>
    <row r="69" spans="1:6" x14ac:dyDescent="0.2">
      <c r="A69" t="str">
        <v>2020-07</v>
      </c>
      <c r="B69" s="1">
        <f>_xlfn.MINIFS(Data!$A$2:$A$2515, Data!$C$2:$C$2515, MonthlyData!A63)</f>
        <v>44200</v>
      </c>
      <c r="C69">
        <f>_xlfn.XLOOKUP(B69, Data!$A$2:$A$2515, Data!$D$2:$D$2515, " ")</f>
        <v>129.41</v>
      </c>
      <c r="D69">
        <f>_xlfn.XLOOKUP(B69, Data!$A$2:$A$2515, Data!$E$2:$E$2515, " ")</f>
        <v>13.11</v>
      </c>
      <c r="E69">
        <f>_xlfn.XLOOKUP($B69, Data!$A$2:$A$2515, Data!$F$2:$F$2515, " ")</f>
        <v>268.94</v>
      </c>
      <c r="F69">
        <f>_xlfn.XLOOKUP($B69, Data!$A$2:$A$2515, Data!$G$2:$G$2515, " ")</f>
        <v>3.11</v>
      </c>
    </row>
    <row r="70" spans="1:6" x14ac:dyDescent="0.2">
      <c r="A70" t="str">
        <v>2020-06</v>
      </c>
      <c r="B70" s="1">
        <f>_xlfn.MINIFS(Data!$A$2:$A$2515, Data!$C$2:$C$2515, MonthlyData!A62)</f>
        <v>44228</v>
      </c>
      <c r="C70">
        <f>_xlfn.XLOOKUP(B70, Data!$A$2:$A$2515, Data!$D$2:$D$2515, " ")</f>
        <v>134.13999999999999</v>
      </c>
      <c r="D70">
        <f>_xlfn.XLOOKUP(B70, Data!$A$2:$A$2515, Data!$E$2:$E$2515, " ")</f>
        <v>13.24</v>
      </c>
      <c r="E70">
        <f>_xlfn.XLOOKUP($B70, Data!$A$2:$A$2515, Data!$F$2:$F$2515, " ")</f>
        <v>262.01</v>
      </c>
      <c r="F70">
        <f>_xlfn.XLOOKUP($B70, Data!$A$2:$A$2515, Data!$G$2:$G$2515, " ")</f>
        <v>3.15</v>
      </c>
    </row>
    <row r="71" spans="1:6" x14ac:dyDescent="0.2">
      <c r="A71" t="str">
        <v>2020-05</v>
      </c>
      <c r="B71" s="1">
        <f>_xlfn.MINIFS(Data!$A$2:$A$2515, Data!$C$2:$C$2515, MonthlyData!A61)</f>
        <v>44256</v>
      </c>
      <c r="C71">
        <f>_xlfn.XLOOKUP(B71, Data!$A$2:$A$2515, Data!$D$2:$D$2515, " ")</f>
        <v>127.79</v>
      </c>
      <c r="D71">
        <f>_xlfn.XLOOKUP(B71, Data!$A$2:$A$2515, Data!$E$2:$E$2515, " ")</f>
        <v>13.84</v>
      </c>
      <c r="E71">
        <f>_xlfn.XLOOKUP($B71, Data!$A$2:$A$2515, Data!$F$2:$F$2515, " ")</f>
        <v>264.91000000000003</v>
      </c>
      <c r="F71">
        <f>_xlfn.XLOOKUP($B71, Data!$A$2:$A$2515, Data!$G$2:$G$2515, " ")</f>
        <v>3.43</v>
      </c>
    </row>
    <row r="72" spans="1:6" x14ac:dyDescent="0.2">
      <c r="A72" t="str">
        <v>2020-04</v>
      </c>
      <c r="B72" s="1">
        <f>_xlfn.MINIFS(Data!$A$2:$A$2515, Data!$C$2:$C$2515, MonthlyData!A60)</f>
        <v>44287</v>
      </c>
      <c r="C72">
        <f>_xlfn.XLOOKUP(B72, Data!$A$2:$A$2515, Data!$D$2:$D$2515, " ")</f>
        <v>123</v>
      </c>
      <c r="D72">
        <f>_xlfn.XLOOKUP(B72, Data!$A$2:$A$2515, Data!$E$2:$E$2515, " ")</f>
        <v>13.81</v>
      </c>
      <c r="E72">
        <f>_xlfn.XLOOKUP($B72, Data!$A$2:$A$2515, Data!$F$2:$F$2515, " ")</f>
        <v>298.66000000000003</v>
      </c>
      <c r="F72">
        <f>_xlfn.XLOOKUP($B72, Data!$A$2:$A$2515, Data!$G$2:$G$2515, " ")</f>
        <v>3.96</v>
      </c>
    </row>
    <row r="73" spans="1:6" x14ac:dyDescent="0.2">
      <c r="A73" t="str">
        <v>2020-03</v>
      </c>
      <c r="B73" s="1">
        <f>_xlfn.MINIFS(Data!$A$2:$A$2515, Data!$C$2:$C$2515, MonthlyData!A59)</f>
        <v>44319</v>
      </c>
      <c r="C73">
        <f>_xlfn.XLOOKUP(B73, Data!$A$2:$A$2515, Data!$D$2:$D$2515, " ")</f>
        <v>132.54</v>
      </c>
      <c r="D73">
        <f>_xlfn.XLOOKUP(B73, Data!$A$2:$A$2515, Data!$E$2:$E$2515, " ")</f>
        <v>14.84</v>
      </c>
      <c r="E73">
        <f>_xlfn.XLOOKUP($B73, Data!$A$2:$A$2515, Data!$F$2:$F$2515, " ")</f>
        <v>322.58</v>
      </c>
      <c r="F73">
        <f>_xlfn.XLOOKUP($B73, Data!$A$2:$A$2515, Data!$G$2:$G$2515, " ")</f>
        <v>3.73</v>
      </c>
    </row>
    <row r="74" spans="1:6" x14ac:dyDescent="0.2">
      <c r="A74" t="str">
        <v>2020-02</v>
      </c>
      <c r="B74" s="1">
        <f>_xlfn.MINIFS(Data!$A$2:$A$2515, Data!$C$2:$C$2515, MonthlyData!A58)</f>
        <v>44348</v>
      </c>
      <c r="C74">
        <f>_xlfn.XLOOKUP(B74, Data!$A$2:$A$2515, Data!$D$2:$D$2515, " ")</f>
        <v>124.28</v>
      </c>
      <c r="D74">
        <f>_xlfn.XLOOKUP(B74, Data!$A$2:$A$2515, Data!$E$2:$E$2515, " ")</f>
        <v>16.260000000000002</v>
      </c>
      <c r="E74">
        <f>_xlfn.XLOOKUP($B74, Data!$A$2:$A$2515, Data!$F$2:$F$2515, " ")</f>
        <v>329.13</v>
      </c>
      <c r="F74">
        <f>_xlfn.XLOOKUP($B74, Data!$A$2:$A$2515, Data!$G$2:$G$2515, " ")</f>
        <v>3.52</v>
      </c>
    </row>
    <row r="75" spans="1:6" x14ac:dyDescent="0.2">
      <c r="A75" t="str">
        <v>2020-01</v>
      </c>
      <c r="B75" s="1">
        <f>_xlfn.MINIFS(Data!$A$2:$A$2515, Data!$C$2:$C$2515, MonthlyData!A57)</f>
        <v>44378</v>
      </c>
      <c r="C75">
        <f>_xlfn.XLOOKUP(B75, Data!$A$2:$A$2515, Data!$D$2:$D$2515, " ")</f>
        <v>137.27000000000001</v>
      </c>
      <c r="D75">
        <f>_xlfn.XLOOKUP(B75, Data!$A$2:$A$2515, Data!$E$2:$E$2515, " ")</f>
        <v>20.21</v>
      </c>
      <c r="E75">
        <f>_xlfn.XLOOKUP($B75, Data!$A$2:$A$2515, Data!$F$2:$F$2515, " ")</f>
        <v>354.39</v>
      </c>
      <c r="F75">
        <f>_xlfn.XLOOKUP($B75, Data!$A$2:$A$2515, Data!$G$2:$G$2515, " ")</f>
        <v>3.55</v>
      </c>
    </row>
    <row r="76" spans="1:6" x14ac:dyDescent="0.2">
      <c r="A76" t="str">
        <v>2019-12</v>
      </c>
      <c r="B76" s="1">
        <f>_xlfn.MINIFS(Data!$A$2:$A$2515, Data!$C$2:$C$2515, MonthlyData!A56)</f>
        <v>44410</v>
      </c>
      <c r="C76">
        <f>_xlfn.XLOOKUP(B76, Data!$A$2:$A$2515, Data!$D$2:$D$2515, " ")</f>
        <v>145.52000000000001</v>
      </c>
      <c r="D76">
        <f>_xlfn.XLOOKUP(B76, Data!$A$2:$A$2515, Data!$E$2:$E$2515, " ")</f>
        <v>19.75</v>
      </c>
      <c r="E76">
        <f>_xlfn.XLOOKUP($B76, Data!$A$2:$A$2515, Data!$F$2:$F$2515, " ")</f>
        <v>351.95</v>
      </c>
      <c r="F76">
        <f>_xlfn.XLOOKUP($B76, Data!$A$2:$A$2515, Data!$G$2:$G$2515, " ")</f>
        <v>3.75</v>
      </c>
    </row>
    <row r="77" spans="1:6" x14ac:dyDescent="0.2">
      <c r="A77" t="str">
        <v>2019-11</v>
      </c>
      <c r="B77" s="1">
        <f>_xlfn.MINIFS(Data!$A$2:$A$2515, Data!$C$2:$C$2515, MonthlyData!A55)</f>
        <v>44440</v>
      </c>
      <c r="C77">
        <f>_xlfn.XLOOKUP(B77, Data!$A$2:$A$2515, Data!$D$2:$D$2515, " ")</f>
        <v>152.51</v>
      </c>
      <c r="D77">
        <f>_xlfn.XLOOKUP(B77, Data!$A$2:$A$2515, Data!$E$2:$E$2515, " ")</f>
        <v>22.44</v>
      </c>
      <c r="E77">
        <f>_xlfn.XLOOKUP($B77, Data!$A$2:$A$2515, Data!$F$2:$F$2515, " ")</f>
        <v>382.05</v>
      </c>
      <c r="F77">
        <f>_xlfn.XLOOKUP($B77, Data!$A$2:$A$2515, Data!$G$2:$G$2515, " ")</f>
        <v>3.75</v>
      </c>
    </row>
    <row r="78" spans="1:6" x14ac:dyDescent="0.2">
      <c r="A78" t="str">
        <v>2019-10</v>
      </c>
      <c r="B78" s="1">
        <f>_xlfn.MINIFS(Data!$A$2:$A$2515, Data!$C$2:$C$2515, MonthlyData!A54)</f>
        <v>44470</v>
      </c>
      <c r="C78">
        <f>_xlfn.XLOOKUP(B78, Data!$A$2:$A$2515, Data!$D$2:$D$2515, " ")</f>
        <v>142.65</v>
      </c>
      <c r="D78">
        <f>_xlfn.XLOOKUP(B78, Data!$A$2:$A$2515, Data!$E$2:$E$2515, " ")</f>
        <v>20.74</v>
      </c>
      <c r="E78">
        <f>_xlfn.XLOOKUP($B78, Data!$A$2:$A$2515, Data!$F$2:$F$2515, " ")</f>
        <v>343.01</v>
      </c>
      <c r="F78">
        <f>_xlfn.XLOOKUP($B78, Data!$A$2:$A$2515, Data!$G$2:$G$2515, " ")</f>
        <v>3.74</v>
      </c>
    </row>
    <row r="79" spans="1:6" x14ac:dyDescent="0.2">
      <c r="A79" t="str">
        <v>2019-09</v>
      </c>
      <c r="B79" s="1">
        <f>_xlfn.MINIFS(Data!$A$2:$A$2515, Data!$C$2:$C$2515, MonthlyData!A53)</f>
        <v>44501</v>
      </c>
      <c r="C79">
        <f>_xlfn.XLOOKUP(B79, Data!$A$2:$A$2515, Data!$D$2:$D$2515, " ")</f>
        <v>148.96</v>
      </c>
      <c r="D79">
        <f>_xlfn.XLOOKUP(B79, Data!$A$2:$A$2515, Data!$E$2:$E$2515, " ")</f>
        <v>25.83</v>
      </c>
      <c r="E79">
        <f>_xlfn.XLOOKUP($B79, Data!$A$2:$A$2515, Data!$F$2:$F$2515, " ")</f>
        <v>329.98</v>
      </c>
      <c r="F79">
        <f>_xlfn.XLOOKUP($B79, Data!$A$2:$A$2515, Data!$G$2:$G$2515, " ")</f>
        <v>3.67</v>
      </c>
    </row>
    <row r="80" spans="1:6" x14ac:dyDescent="0.2">
      <c r="A80" t="str">
        <v>2019-08</v>
      </c>
      <c r="B80" s="1">
        <f>_xlfn.MINIFS(Data!$A$2:$A$2515, Data!$C$2:$C$2515, MonthlyData!A52)</f>
        <v>44531</v>
      </c>
      <c r="C80">
        <f>_xlfn.XLOOKUP(B80, Data!$A$2:$A$2515, Data!$D$2:$D$2515, " ")</f>
        <v>164.77</v>
      </c>
      <c r="D80">
        <f>_xlfn.XLOOKUP(B80, Data!$A$2:$A$2515, Data!$E$2:$E$2515, " ")</f>
        <v>31.44</v>
      </c>
      <c r="E80">
        <f>_xlfn.XLOOKUP($B80, Data!$A$2:$A$2515, Data!$F$2:$F$2515, " ")</f>
        <v>310.60000000000002</v>
      </c>
      <c r="F80">
        <f>_xlfn.XLOOKUP($B80, Data!$A$2:$A$2515, Data!$G$2:$G$2515, " ")</f>
        <v>4.24</v>
      </c>
    </row>
    <row r="81" spans="1:6" x14ac:dyDescent="0.2">
      <c r="A81" t="str">
        <v>2019-07</v>
      </c>
      <c r="B81" s="1">
        <f>_xlfn.MINIFS(Data!$A$2:$A$2515, Data!$C$2:$C$2515, MonthlyData!A51)</f>
        <v>44564</v>
      </c>
      <c r="C81">
        <f>_xlfn.XLOOKUP(B81, Data!$A$2:$A$2515, Data!$D$2:$D$2515, " ")</f>
        <v>182.01</v>
      </c>
      <c r="D81">
        <f>_xlfn.XLOOKUP(B81, Data!$A$2:$A$2515, Data!$E$2:$E$2515, " ")</f>
        <v>30.12</v>
      </c>
      <c r="E81">
        <f>_xlfn.XLOOKUP($B81, Data!$A$2:$A$2515, Data!$F$2:$F$2515, " ")</f>
        <v>338.54</v>
      </c>
      <c r="F81">
        <f>_xlfn.XLOOKUP($B81, Data!$A$2:$A$2515, Data!$G$2:$G$2515, " ")</f>
        <v>4.5599999999999996</v>
      </c>
    </row>
    <row r="82" spans="1:6" x14ac:dyDescent="0.2">
      <c r="A82" t="str">
        <v>2019-06</v>
      </c>
      <c r="B82" s="1">
        <f>_xlfn.MINIFS(Data!$A$2:$A$2515, Data!$C$2:$C$2515, MonthlyData!A50)</f>
        <v>44593</v>
      </c>
      <c r="C82">
        <f>_xlfn.XLOOKUP(B82, Data!$A$2:$A$2515, Data!$D$2:$D$2515, " ")</f>
        <v>174.61</v>
      </c>
      <c r="D82">
        <f>_xlfn.XLOOKUP(B82, Data!$A$2:$A$2515, Data!$E$2:$E$2515, " ")</f>
        <v>24.64</v>
      </c>
      <c r="E82">
        <f>_xlfn.XLOOKUP($B82, Data!$A$2:$A$2515, Data!$F$2:$F$2515, " ")</f>
        <v>319</v>
      </c>
      <c r="F82">
        <f>_xlfn.XLOOKUP($B82, Data!$A$2:$A$2515, Data!$G$2:$G$2515, " ")</f>
        <v>4.17</v>
      </c>
    </row>
    <row r="83" spans="1:6" x14ac:dyDescent="0.2">
      <c r="A83" t="str">
        <v>2019-05</v>
      </c>
      <c r="B83" s="1">
        <f>_xlfn.MINIFS(Data!$A$2:$A$2515, Data!$C$2:$C$2515, MonthlyData!A49)</f>
        <v>44621</v>
      </c>
      <c r="C83">
        <f>_xlfn.XLOOKUP(B83, Data!$A$2:$A$2515, Data!$D$2:$D$2515, " ")</f>
        <v>163.19999999999999</v>
      </c>
      <c r="D83">
        <f>_xlfn.XLOOKUP(B83, Data!$A$2:$A$2515, Data!$E$2:$E$2515, " ")</f>
        <v>23.48</v>
      </c>
      <c r="E83">
        <f>_xlfn.XLOOKUP($B83, Data!$A$2:$A$2515, Data!$F$2:$F$2515, " ")</f>
        <v>203.49</v>
      </c>
      <c r="F83">
        <f>_xlfn.XLOOKUP($B83, Data!$A$2:$A$2515, Data!$G$2:$G$2515, " ")</f>
        <v>3.99</v>
      </c>
    </row>
    <row r="84" spans="1:6" x14ac:dyDescent="0.2">
      <c r="A84" t="str">
        <v>2019-04</v>
      </c>
      <c r="B84" s="1">
        <f>_xlfn.MINIFS(Data!$A$2:$A$2515, Data!$C$2:$C$2515, MonthlyData!A48)</f>
        <v>44652</v>
      </c>
      <c r="C84">
        <f>_xlfn.XLOOKUP(B84, Data!$A$2:$A$2515, Data!$D$2:$D$2515, " ")</f>
        <v>174.31</v>
      </c>
      <c r="D84">
        <f>_xlfn.XLOOKUP(B84, Data!$A$2:$A$2515, Data!$E$2:$E$2515, " ")</f>
        <v>26.71</v>
      </c>
      <c r="E84">
        <f>_xlfn.XLOOKUP($B84, Data!$A$2:$A$2515, Data!$F$2:$F$2515, " ")</f>
        <v>224.85</v>
      </c>
      <c r="F84">
        <f>_xlfn.XLOOKUP($B84, Data!$A$2:$A$2515, Data!$G$2:$G$2515, " ")</f>
        <v>3.79</v>
      </c>
    </row>
    <row r="85" spans="1:6" x14ac:dyDescent="0.2">
      <c r="A85" t="str">
        <v>2019-03</v>
      </c>
      <c r="B85" s="1">
        <f>_xlfn.MINIFS(Data!$A$2:$A$2515, Data!$C$2:$C$2515, MonthlyData!A47)</f>
        <v>44683</v>
      </c>
      <c r="C85">
        <f>_xlfn.XLOOKUP(B85, Data!$A$2:$A$2515, Data!$D$2:$D$2515, " ")</f>
        <v>157.96</v>
      </c>
      <c r="D85">
        <f>_xlfn.XLOOKUP(B85, Data!$A$2:$A$2515, Data!$E$2:$E$2515, " ")</f>
        <v>19.53</v>
      </c>
      <c r="E85">
        <f>_xlfn.XLOOKUP($B85, Data!$A$2:$A$2515, Data!$F$2:$F$2515, " ")</f>
        <v>211.13</v>
      </c>
      <c r="F85">
        <f>_xlfn.XLOOKUP($B85, Data!$A$2:$A$2515, Data!$G$2:$G$2515, " ")</f>
        <v>4.24</v>
      </c>
    </row>
    <row r="86" spans="1:6" x14ac:dyDescent="0.2">
      <c r="A86" t="str">
        <v>2019-02</v>
      </c>
      <c r="B86" s="1">
        <f>_xlfn.MINIFS(Data!$A$2:$A$2515, Data!$C$2:$C$2515, MonthlyData!A46)</f>
        <v>44713</v>
      </c>
      <c r="C86">
        <f>_xlfn.XLOOKUP(B86, Data!$A$2:$A$2515, Data!$D$2:$D$2515, " ")</f>
        <v>148.71</v>
      </c>
      <c r="D86">
        <f>_xlfn.XLOOKUP(B86, Data!$A$2:$A$2515, Data!$E$2:$E$2515, " ")</f>
        <v>18.32</v>
      </c>
      <c r="E86">
        <f>_xlfn.XLOOKUP($B86, Data!$A$2:$A$2515, Data!$F$2:$F$2515, " ")</f>
        <v>188.64</v>
      </c>
      <c r="F86">
        <f>_xlfn.XLOOKUP($B86, Data!$A$2:$A$2515, Data!$G$2:$G$2515, " ")</f>
        <v>5.17</v>
      </c>
    </row>
    <row r="87" spans="1:6" x14ac:dyDescent="0.2">
      <c r="A87" t="str">
        <v>2019-01</v>
      </c>
      <c r="B87" s="1">
        <f>_xlfn.MINIFS(Data!$A$2:$A$2515, Data!$C$2:$C$2515, MonthlyData!A45)</f>
        <v>44743</v>
      </c>
      <c r="C87">
        <f>_xlfn.XLOOKUP(B87, Data!$A$2:$A$2515, Data!$D$2:$D$2515, " ")</f>
        <v>138.93</v>
      </c>
      <c r="D87">
        <f>_xlfn.XLOOKUP(B87, Data!$A$2:$A$2515, Data!$E$2:$E$2515, " ")</f>
        <v>14.52</v>
      </c>
      <c r="E87">
        <f>_xlfn.XLOOKUP($B87, Data!$A$2:$A$2515, Data!$F$2:$F$2515, " ")</f>
        <v>160.03</v>
      </c>
      <c r="F87">
        <f>_xlfn.XLOOKUP($B87, Data!$A$2:$A$2515, Data!$G$2:$G$2515, " ")</f>
        <v>3.91</v>
      </c>
    </row>
    <row r="88" spans="1:6" x14ac:dyDescent="0.2">
      <c r="A88" t="str">
        <v>2018-12</v>
      </c>
      <c r="B88" s="1">
        <f>_xlfn.MINIFS(Data!$A$2:$A$2515, Data!$C$2:$C$2515, MonthlyData!A44)</f>
        <v>44774</v>
      </c>
      <c r="C88">
        <f>_xlfn.XLOOKUP(B88, Data!$A$2:$A$2515, Data!$D$2:$D$2515, " ")</f>
        <v>161.51</v>
      </c>
      <c r="D88">
        <f>_xlfn.XLOOKUP(B88, Data!$A$2:$A$2515, Data!$E$2:$E$2515, " ")</f>
        <v>18.440000000000001</v>
      </c>
      <c r="E88">
        <f>_xlfn.XLOOKUP($B88, Data!$A$2:$A$2515, Data!$F$2:$F$2515, " ")</f>
        <v>159.93</v>
      </c>
      <c r="F88">
        <f>_xlfn.XLOOKUP($B88, Data!$A$2:$A$2515, Data!$G$2:$G$2515, " ")</f>
        <v>5.52</v>
      </c>
    </row>
    <row r="89" spans="1:6" x14ac:dyDescent="0.2">
      <c r="A89" t="str">
        <v>2018-11</v>
      </c>
      <c r="B89" s="1">
        <f>_xlfn.MINIFS(Data!$A$2:$A$2515, Data!$C$2:$C$2515, MonthlyData!A43)</f>
        <v>44805</v>
      </c>
      <c r="C89">
        <f>_xlfn.XLOOKUP(B89, Data!$A$2:$A$2515, Data!$D$2:$D$2515, " ")</f>
        <v>157.96</v>
      </c>
      <c r="D89">
        <f>_xlfn.XLOOKUP(B89, Data!$A$2:$A$2515, Data!$E$2:$E$2515, " ")</f>
        <v>13.94</v>
      </c>
      <c r="E89">
        <f>_xlfn.XLOOKUP($B89, Data!$A$2:$A$2515, Data!$F$2:$F$2515, " ")</f>
        <v>165.36</v>
      </c>
      <c r="F89">
        <f>_xlfn.XLOOKUP($B89, Data!$A$2:$A$2515, Data!$G$2:$G$2515, " ")</f>
        <v>6.33</v>
      </c>
    </row>
    <row r="90" spans="1:6" x14ac:dyDescent="0.2">
      <c r="A90" t="str">
        <v>2018-10</v>
      </c>
      <c r="B90" s="1">
        <f>_xlfn.MINIFS(Data!$A$2:$A$2515, Data!$C$2:$C$2515, MonthlyData!A42)</f>
        <v>44837</v>
      </c>
      <c r="C90">
        <f>_xlfn.XLOOKUP(B90, Data!$A$2:$A$2515, Data!$D$2:$D$2515, " ")</f>
        <v>142.44999999999999</v>
      </c>
      <c r="D90">
        <f>_xlfn.XLOOKUP(B90, Data!$A$2:$A$2515, Data!$E$2:$E$2515, " ")</f>
        <v>12.51</v>
      </c>
      <c r="E90">
        <f>_xlfn.XLOOKUP($B90, Data!$A$2:$A$2515, Data!$F$2:$F$2515, " ")</f>
        <v>138.61000000000001</v>
      </c>
      <c r="F90">
        <f>_xlfn.XLOOKUP($B90, Data!$A$2:$A$2515, Data!$G$2:$G$2515, " ")</f>
        <v>5.71</v>
      </c>
    </row>
    <row r="91" spans="1:6" x14ac:dyDescent="0.2">
      <c r="A91" t="str">
        <v>2018-09</v>
      </c>
      <c r="B91" s="1">
        <f>_xlfn.MINIFS(Data!$A$2:$A$2515, Data!$C$2:$C$2515, MonthlyData!A41)</f>
        <v>44866</v>
      </c>
      <c r="C91">
        <f>_xlfn.XLOOKUP(B91, Data!$A$2:$A$2515, Data!$D$2:$D$2515, " ")</f>
        <v>150.65</v>
      </c>
      <c r="D91">
        <f>_xlfn.XLOOKUP(B91, Data!$A$2:$A$2515, Data!$E$2:$E$2515, " ")</f>
        <v>13.54</v>
      </c>
      <c r="E91">
        <f>_xlfn.XLOOKUP($B91, Data!$A$2:$A$2515, Data!$F$2:$F$2515, " ")</f>
        <v>95.2</v>
      </c>
      <c r="F91">
        <f>_xlfn.XLOOKUP($B91, Data!$A$2:$A$2515, Data!$G$2:$G$2515, " ")</f>
        <v>7.19</v>
      </c>
    </row>
    <row r="92" spans="1:6" x14ac:dyDescent="0.2">
      <c r="A92" t="str">
        <v>2018-08</v>
      </c>
      <c r="B92" s="1">
        <f>_xlfn.MINIFS(Data!$A$2:$A$2515, Data!$C$2:$C$2515, MonthlyData!A40)</f>
        <v>44896</v>
      </c>
      <c r="C92">
        <f>_xlfn.XLOOKUP(B92, Data!$A$2:$A$2515, Data!$D$2:$D$2515, " ")</f>
        <v>148.31</v>
      </c>
      <c r="D92">
        <f>_xlfn.XLOOKUP(B92, Data!$A$2:$A$2515, Data!$E$2:$E$2515, " ")</f>
        <v>17.14</v>
      </c>
      <c r="E92">
        <f>_xlfn.XLOOKUP($B92, Data!$A$2:$A$2515, Data!$F$2:$F$2515, " ")</f>
        <v>120.44</v>
      </c>
      <c r="F92">
        <f>_xlfn.XLOOKUP($B92, Data!$A$2:$A$2515, Data!$G$2:$G$2515, " ")</f>
        <v>9.0500000000000007</v>
      </c>
    </row>
    <row r="93" spans="1:6" x14ac:dyDescent="0.2">
      <c r="A93" t="str">
        <v>2018-07</v>
      </c>
      <c r="B93" s="1">
        <f>_xlfn.MINIFS(Data!$A$2:$A$2515, Data!$C$2:$C$2515, MonthlyData!A39)</f>
        <v>44929</v>
      </c>
      <c r="C93">
        <f>_xlfn.XLOOKUP(B93, Data!$A$2:$A$2515, Data!$D$2:$D$2515, " ")</f>
        <v>125.07</v>
      </c>
      <c r="D93">
        <f>_xlfn.XLOOKUP(B93, Data!$A$2:$A$2515, Data!$E$2:$E$2515, " ")</f>
        <v>14.32</v>
      </c>
      <c r="E93">
        <f>_xlfn.XLOOKUP($B93, Data!$A$2:$A$2515, Data!$F$2:$F$2515, " ")</f>
        <v>124.74</v>
      </c>
      <c r="F93">
        <f>_xlfn.XLOOKUP($B93, Data!$A$2:$A$2515, Data!$G$2:$G$2515, " ")</f>
        <v>8.39</v>
      </c>
    </row>
    <row r="94" spans="1:6" x14ac:dyDescent="0.2">
      <c r="A94" t="str">
        <v>2018-06</v>
      </c>
      <c r="B94" s="1">
        <f>_xlfn.MINIFS(Data!$A$2:$A$2515, Data!$C$2:$C$2515, MonthlyData!A38)</f>
        <v>44958</v>
      </c>
      <c r="C94">
        <f>_xlfn.XLOOKUP(B94, Data!$A$2:$A$2515, Data!$D$2:$D$2515, " ")</f>
        <v>145.43</v>
      </c>
      <c r="D94">
        <f>_xlfn.XLOOKUP(B94, Data!$A$2:$A$2515, Data!$E$2:$E$2515, " ")</f>
        <v>20.94</v>
      </c>
      <c r="E94">
        <f>_xlfn.XLOOKUP($B94, Data!$A$2:$A$2515, Data!$F$2:$F$2515, " ")</f>
        <v>153.12</v>
      </c>
      <c r="F94">
        <f>_xlfn.XLOOKUP($B94, Data!$A$2:$A$2515, Data!$G$2:$G$2515, " ")</f>
        <v>7.97</v>
      </c>
    </row>
    <row r="95" spans="1:6" x14ac:dyDescent="0.2">
      <c r="A95" t="str">
        <v>2018-05</v>
      </c>
      <c r="B95" s="1">
        <f>_xlfn.MINIFS(Data!$A$2:$A$2515, Data!$C$2:$C$2515, MonthlyData!A37)</f>
        <v>44986</v>
      </c>
      <c r="C95">
        <f>_xlfn.XLOOKUP(B95, Data!$A$2:$A$2515, Data!$D$2:$D$2515, " ")</f>
        <v>145.31</v>
      </c>
      <c r="D95">
        <f>_xlfn.XLOOKUP(B95, Data!$A$2:$A$2515, Data!$E$2:$E$2515, " ")</f>
        <v>22.7</v>
      </c>
      <c r="E95">
        <f>_xlfn.XLOOKUP($B95, Data!$A$2:$A$2515, Data!$F$2:$F$2515, " ")</f>
        <v>173.42</v>
      </c>
      <c r="F95">
        <f>_xlfn.XLOOKUP($B95, Data!$A$2:$A$2515, Data!$G$2:$G$2515, " ")</f>
        <v>10.199999999999999</v>
      </c>
    </row>
    <row r="96" spans="1:6" x14ac:dyDescent="0.2">
      <c r="A96" t="str">
        <v>2018-04</v>
      </c>
      <c r="B96" s="1">
        <f>_xlfn.MINIFS(Data!$A$2:$A$2515, Data!$C$2:$C$2515, MonthlyData!A36)</f>
        <v>45019</v>
      </c>
      <c r="C96">
        <f>_xlfn.XLOOKUP(B96, Data!$A$2:$A$2515, Data!$D$2:$D$2515, " ")</f>
        <v>166.17</v>
      </c>
      <c r="D96">
        <f>_xlfn.XLOOKUP(B96, Data!$A$2:$A$2515, Data!$E$2:$E$2515, " ")</f>
        <v>27.97</v>
      </c>
      <c r="E96">
        <f>_xlfn.XLOOKUP($B96, Data!$A$2:$A$2515, Data!$F$2:$F$2515, " ")</f>
        <v>213.07</v>
      </c>
      <c r="F96">
        <f>_xlfn.XLOOKUP($B96, Data!$A$2:$A$2515, Data!$G$2:$G$2515, " ")</f>
        <v>11.27</v>
      </c>
    </row>
    <row r="97" spans="1:6" x14ac:dyDescent="0.2">
      <c r="A97" t="str">
        <v>2018-03</v>
      </c>
      <c r="B97" s="1">
        <f>_xlfn.MINIFS(Data!$A$2:$A$2515, Data!$C$2:$C$2515, MonthlyData!A35)</f>
        <v>45047</v>
      </c>
      <c r="C97">
        <f>_xlfn.XLOOKUP(B97, Data!$A$2:$A$2515, Data!$D$2:$D$2515, " ")</f>
        <v>169.59</v>
      </c>
      <c r="D97">
        <f>_xlfn.XLOOKUP(B97, Data!$A$2:$A$2515, Data!$E$2:$E$2515, " ")</f>
        <v>28.91</v>
      </c>
      <c r="E97">
        <f>_xlfn.XLOOKUP($B97, Data!$A$2:$A$2515, Data!$F$2:$F$2515, " ")</f>
        <v>243.18</v>
      </c>
      <c r="F97">
        <f>_xlfn.XLOOKUP($B97, Data!$A$2:$A$2515, Data!$G$2:$G$2515, " ")</f>
        <v>10.51</v>
      </c>
    </row>
    <row r="98" spans="1:6" x14ac:dyDescent="0.2">
      <c r="A98" t="str">
        <v>2018-02</v>
      </c>
      <c r="B98" s="1">
        <f>_xlfn.MINIFS(Data!$A$2:$A$2515, Data!$C$2:$C$2515, MonthlyData!A34)</f>
        <v>45078</v>
      </c>
      <c r="C98">
        <f>_xlfn.XLOOKUP(B98, Data!$A$2:$A$2515, Data!$D$2:$D$2515, " ")</f>
        <v>180.09</v>
      </c>
      <c r="D98">
        <f>_xlfn.XLOOKUP(B98, Data!$A$2:$A$2515, Data!$E$2:$E$2515, " ")</f>
        <v>39.770000000000003</v>
      </c>
      <c r="E98">
        <f>_xlfn.XLOOKUP($B98, Data!$A$2:$A$2515, Data!$F$2:$F$2515, " ")</f>
        <v>272.61</v>
      </c>
      <c r="F98">
        <f>_xlfn.XLOOKUP($B98, Data!$A$2:$A$2515, Data!$G$2:$G$2515, " ")</f>
        <v>23.1</v>
      </c>
    </row>
    <row r="99" spans="1:6" x14ac:dyDescent="0.2">
      <c r="A99" t="str">
        <v>2018-01</v>
      </c>
      <c r="B99" s="1">
        <f>_xlfn.MINIFS(Data!$A$2:$A$2515, Data!$C$2:$C$2515, MonthlyData!A33)</f>
        <v>45110</v>
      </c>
      <c r="C99">
        <f>_xlfn.XLOOKUP(B99, Data!$A$2:$A$2515, Data!$D$2:$D$2515, " ")</f>
        <v>192.46</v>
      </c>
      <c r="D99">
        <f>_xlfn.XLOOKUP(B99, Data!$A$2:$A$2515, Data!$E$2:$E$2515, " ")</f>
        <v>42.41</v>
      </c>
      <c r="E99">
        <f>_xlfn.XLOOKUP($B99, Data!$A$2:$A$2515, Data!$F$2:$F$2515, " ")</f>
        <v>286.02</v>
      </c>
      <c r="F99">
        <f>_xlfn.XLOOKUP($B99, Data!$A$2:$A$2515, Data!$G$2:$G$2515, " ")</f>
        <v>24.92</v>
      </c>
    </row>
    <row r="100" spans="1:6" x14ac:dyDescent="0.2">
      <c r="A100" t="str">
        <v>2017-12</v>
      </c>
      <c r="B100" s="1">
        <f>_xlfn.MINIFS(Data!$A$2:$A$2515, Data!$C$2:$C$2515, MonthlyData!A32)</f>
        <v>45139</v>
      </c>
      <c r="C100">
        <f>_xlfn.XLOOKUP(B100, Data!$A$2:$A$2515, Data!$D$2:$D$2515, " ")</f>
        <v>195.61</v>
      </c>
      <c r="D100">
        <f>_xlfn.XLOOKUP(B100, Data!$A$2:$A$2515, Data!$E$2:$E$2515, " ")</f>
        <v>46.51</v>
      </c>
      <c r="E100">
        <f>_xlfn.XLOOKUP($B100, Data!$A$2:$A$2515, Data!$F$2:$F$2515, " ")</f>
        <v>322.70999999999998</v>
      </c>
      <c r="F100">
        <f>_xlfn.XLOOKUP($B100, Data!$A$2:$A$2515, Data!$G$2:$G$2515, " ")</f>
        <v>33.76</v>
      </c>
    </row>
    <row r="101" spans="1:6" x14ac:dyDescent="0.2">
      <c r="A101" t="str">
        <v>2017-11</v>
      </c>
      <c r="B101" s="1">
        <f>_xlfn.MINIFS(Data!$A$2:$A$2515, Data!$C$2:$C$2515, MonthlyData!A31)</f>
        <v>45170</v>
      </c>
      <c r="C101">
        <f>_xlfn.XLOOKUP(B101, Data!$A$2:$A$2515, Data!$D$2:$D$2515, " ")</f>
        <v>189.46</v>
      </c>
      <c r="D101">
        <f>_xlfn.XLOOKUP(B101, Data!$A$2:$A$2515, Data!$E$2:$E$2515, " ")</f>
        <v>48.51</v>
      </c>
      <c r="E101">
        <f>_xlfn.XLOOKUP($B101, Data!$A$2:$A$2515, Data!$F$2:$F$2515, " ")</f>
        <v>296.38</v>
      </c>
      <c r="F101">
        <f>_xlfn.XLOOKUP($B101, Data!$A$2:$A$2515, Data!$G$2:$G$2515, " ")</f>
        <v>28.22</v>
      </c>
    </row>
    <row r="102" spans="1:6" x14ac:dyDescent="0.2">
      <c r="A102" t="str">
        <v>2017-10</v>
      </c>
      <c r="B102" s="1">
        <f>_xlfn.MINIFS(Data!$A$2:$A$2515, Data!$C$2:$C$2515, MonthlyData!A30)</f>
        <v>45201</v>
      </c>
      <c r="C102">
        <f>_xlfn.XLOOKUP(B102, Data!$A$2:$A$2515, Data!$D$2:$D$2515, " ")</f>
        <v>173.75</v>
      </c>
      <c r="D102">
        <f>_xlfn.XLOOKUP(B102, Data!$A$2:$A$2515, Data!$E$2:$E$2515, " ")</f>
        <v>44.78</v>
      </c>
      <c r="E102">
        <f>_xlfn.XLOOKUP($B102, Data!$A$2:$A$2515, Data!$F$2:$F$2515, " ")</f>
        <v>306.82</v>
      </c>
      <c r="F102">
        <f>_xlfn.XLOOKUP($B102, Data!$A$2:$A$2515, Data!$G$2:$G$2515, " ")</f>
        <v>28.89</v>
      </c>
    </row>
    <row r="103" spans="1:6" x14ac:dyDescent="0.2">
      <c r="A103" t="str">
        <v>2017-09</v>
      </c>
      <c r="B103" s="1">
        <f>_xlfn.MINIFS(Data!$A$2:$A$2515, Data!$C$2:$C$2515, MonthlyData!A29)</f>
        <v>45231</v>
      </c>
      <c r="C103">
        <f>_xlfn.XLOOKUP(B103, Data!$A$2:$A$2515, Data!$D$2:$D$2515, " ")</f>
        <v>173.97</v>
      </c>
      <c r="D103">
        <f>_xlfn.XLOOKUP(B103, Data!$A$2:$A$2515, Data!$E$2:$E$2515, " ")</f>
        <v>42.33</v>
      </c>
      <c r="E103">
        <f>_xlfn.XLOOKUP($B103, Data!$A$2:$A$2515, Data!$F$2:$F$2515, " ")</f>
        <v>311.85000000000002</v>
      </c>
      <c r="F103">
        <f>_xlfn.XLOOKUP($B103, Data!$A$2:$A$2515, Data!$G$2:$G$2515, " ")</f>
        <v>25.23</v>
      </c>
    </row>
    <row r="104" spans="1:6" x14ac:dyDescent="0.2">
      <c r="A104" t="str">
        <v>2017-08</v>
      </c>
      <c r="B104" s="1">
        <f>_xlfn.MINIFS(Data!$A$2:$A$2515, Data!$C$2:$C$2515, MonthlyData!A28)</f>
        <v>45261</v>
      </c>
      <c r="C104">
        <f>_xlfn.XLOOKUP(B104, Data!$A$2:$A$2515, Data!$D$2:$D$2515, " ")</f>
        <v>191.24</v>
      </c>
      <c r="D104">
        <f>_xlfn.XLOOKUP(B104, Data!$A$2:$A$2515, Data!$E$2:$E$2515, " ")</f>
        <v>46.77</v>
      </c>
      <c r="E104">
        <f>_xlfn.XLOOKUP($B104, Data!$A$2:$A$2515, Data!$F$2:$F$2515, " ")</f>
        <v>324.82</v>
      </c>
      <c r="F104">
        <f>_xlfn.XLOOKUP($B104, Data!$A$2:$A$2515, Data!$G$2:$G$2515, " ")</f>
        <v>26.96</v>
      </c>
    </row>
    <row r="105" spans="1:6" x14ac:dyDescent="0.2">
      <c r="A105" t="str">
        <v>2017-07</v>
      </c>
      <c r="B105" s="1">
        <f>_xlfn.MINIFS(Data!$A$2:$A$2515, Data!$C$2:$C$2515, MonthlyData!A27)</f>
        <v>45293</v>
      </c>
      <c r="C105">
        <f>_xlfn.XLOOKUP(B105, Data!$A$2:$A$2515, Data!$D$2:$D$2515, " ")</f>
        <v>185.64</v>
      </c>
      <c r="D105">
        <f>_xlfn.XLOOKUP(B105, Data!$A$2:$A$2515, Data!$E$2:$E$2515, " ")</f>
        <v>48.17</v>
      </c>
      <c r="E105">
        <f>_xlfn.XLOOKUP($B105, Data!$A$2:$A$2515, Data!$F$2:$F$2515, " ")</f>
        <v>346.29</v>
      </c>
      <c r="F105">
        <f>_xlfn.XLOOKUP($B105, Data!$A$2:$A$2515, Data!$G$2:$G$2515, " ")</f>
        <v>28.55</v>
      </c>
    </row>
    <row r="106" spans="1:6" x14ac:dyDescent="0.2">
      <c r="A106" t="str">
        <v>2017-06</v>
      </c>
      <c r="B106" s="1">
        <f>_xlfn.MINIFS(Data!$A$2:$A$2515, Data!$C$2:$C$2515, MonthlyData!A26)</f>
        <v>45323</v>
      </c>
      <c r="C106">
        <f>_xlfn.XLOOKUP(B106, Data!$A$2:$A$2515, Data!$D$2:$D$2515, " ")</f>
        <v>186.86</v>
      </c>
      <c r="D106">
        <f>_xlfn.XLOOKUP(B106, Data!$A$2:$A$2515, Data!$E$2:$E$2515, " ")</f>
        <v>63.03</v>
      </c>
      <c r="E106">
        <f>_xlfn.XLOOKUP($B106, Data!$A$2:$A$2515, Data!$F$2:$F$2515, " ")</f>
        <v>394.78</v>
      </c>
      <c r="F106">
        <f>_xlfn.XLOOKUP($B106, Data!$A$2:$A$2515, Data!$G$2:$G$2515, " ")</f>
        <v>58.35</v>
      </c>
    </row>
    <row r="107" spans="1:6" x14ac:dyDescent="0.2">
      <c r="A107" t="str">
        <v>2017-05</v>
      </c>
      <c r="B107" s="1">
        <f>_xlfn.MINIFS(Data!$A$2:$A$2515, Data!$C$2:$C$2515, MonthlyData!A25)</f>
        <v>45352</v>
      </c>
      <c r="C107">
        <f>_xlfn.XLOOKUP(B107, Data!$A$2:$A$2515, Data!$D$2:$D$2515, " ")</f>
        <v>179.66</v>
      </c>
      <c r="D107">
        <f>_xlfn.XLOOKUP(B107, Data!$A$2:$A$2515, Data!$E$2:$E$2515, " ")</f>
        <v>82.28</v>
      </c>
      <c r="E107">
        <f>_xlfn.XLOOKUP($B107, Data!$A$2:$A$2515, Data!$F$2:$F$2515, " ")</f>
        <v>502.3</v>
      </c>
      <c r="F107">
        <f>_xlfn.XLOOKUP($B107, Data!$A$2:$A$2515, Data!$G$2:$G$2515, " ")</f>
        <v>90.55</v>
      </c>
    </row>
    <row r="108" spans="1:6" x14ac:dyDescent="0.2">
      <c r="A108" t="str">
        <v>2017-04</v>
      </c>
      <c r="B108" s="1">
        <f>_xlfn.MINIFS(Data!$A$2:$A$2515, Data!$C$2:$C$2515, MonthlyData!A24)</f>
        <v>45383</v>
      </c>
      <c r="C108">
        <f>_xlfn.XLOOKUP(B108, Data!$A$2:$A$2515, Data!$D$2:$D$2515, " ")</f>
        <v>170.03</v>
      </c>
      <c r="D108">
        <f>_xlfn.XLOOKUP(B108, Data!$A$2:$A$2515, Data!$E$2:$E$2515, " ")</f>
        <v>90.36</v>
      </c>
      <c r="E108">
        <f>_xlfn.XLOOKUP($B108, Data!$A$2:$A$2515, Data!$F$2:$F$2515, " ")</f>
        <v>491.35</v>
      </c>
      <c r="F108">
        <f>_xlfn.XLOOKUP($B108, Data!$A$2:$A$2515, Data!$G$2:$G$2515, " ")</f>
        <v>103.72</v>
      </c>
    </row>
    <row r="109" spans="1:6" x14ac:dyDescent="0.2">
      <c r="A109" t="str">
        <v>2017-03</v>
      </c>
      <c r="B109" s="1">
        <f>_xlfn.MINIFS(Data!$A$2:$A$2515, Data!$C$2:$C$2515, MonthlyData!A23)</f>
        <v>45413</v>
      </c>
      <c r="C109">
        <f>_xlfn.XLOOKUP(B109, Data!$A$2:$A$2515, Data!$D$2:$D$2515, " ")</f>
        <v>169.3</v>
      </c>
      <c r="D109">
        <f>_xlfn.XLOOKUP(B109, Data!$A$2:$A$2515, Data!$E$2:$E$2515, " ")</f>
        <v>83.04</v>
      </c>
      <c r="E109">
        <f>_xlfn.XLOOKUP($B109, Data!$A$2:$A$2515, Data!$F$2:$F$2515, " ")</f>
        <v>439.19</v>
      </c>
      <c r="F109">
        <f>_xlfn.XLOOKUP($B109, Data!$A$2:$A$2515, Data!$G$2:$G$2515, " ")</f>
        <v>73.83</v>
      </c>
    </row>
    <row r="110" spans="1:6" x14ac:dyDescent="0.2">
      <c r="A110" t="str">
        <v>2017-02</v>
      </c>
      <c r="B110" s="1">
        <f>_xlfn.MINIFS(Data!$A$2:$A$2515, Data!$C$2:$C$2515, MonthlyData!A22)</f>
        <v>45446</v>
      </c>
      <c r="C110">
        <f>_xlfn.XLOOKUP(B110, Data!$A$2:$A$2515, Data!$D$2:$D$2515, " ")</f>
        <v>194.03</v>
      </c>
      <c r="D110">
        <f>_xlfn.XLOOKUP(B110, Data!$A$2:$A$2515, Data!$E$2:$E$2515, " ")</f>
        <v>115</v>
      </c>
      <c r="E110">
        <f>_xlfn.XLOOKUP($B110, Data!$A$2:$A$2515, Data!$F$2:$F$2515, " ")</f>
        <v>477.49</v>
      </c>
      <c r="F110">
        <f>_xlfn.XLOOKUP($B110, Data!$A$2:$A$2515, Data!$G$2:$G$2515, " ")</f>
        <v>77.06</v>
      </c>
    </row>
    <row r="111" spans="1:6" x14ac:dyDescent="0.2">
      <c r="A111" t="str">
        <v>2017-01</v>
      </c>
      <c r="B111" s="1">
        <f>_xlfn.MINIFS(Data!$A$2:$A$2515, Data!$C$2:$C$2515, MonthlyData!A21)</f>
        <v>45474</v>
      </c>
      <c r="C111">
        <f>_xlfn.XLOOKUP(B111, Data!$A$2:$A$2515, Data!$D$2:$D$2515, " ")</f>
        <v>216.75</v>
      </c>
      <c r="D111">
        <f>_xlfn.XLOOKUP(B111, Data!$A$2:$A$2515, Data!$E$2:$E$2515, " ")</f>
        <v>124.3</v>
      </c>
      <c r="E111">
        <f>_xlfn.XLOOKUP($B111, Data!$A$2:$A$2515, Data!$F$2:$F$2515, " ")</f>
        <v>504.68</v>
      </c>
      <c r="F111">
        <f>_xlfn.XLOOKUP($B111, Data!$A$2:$A$2515, Data!$G$2:$G$2515, " ")</f>
        <v>81.23</v>
      </c>
    </row>
    <row r="112" spans="1:6" x14ac:dyDescent="0.2">
      <c r="A112" t="str">
        <v>2016-12</v>
      </c>
      <c r="B112" s="1">
        <f>_xlfn.MINIFS(Data!$A$2:$A$2515, Data!$C$2:$C$2515, MonthlyData!A20)</f>
        <v>45505</v>
      </c>
      <c r="C112">
        <f>_xlfn.XLOOKUP(B112, Data!$A$2:$A$2515, Data!$D$2:$D$2515, " ")</f>
        <v>218.36</v>
      </c>
      <c r="D112">
        <f>_xlfn.XLOOKUP(B112, Data!$A$2:$A$2515, Data!$E$2:$E$2515, " ")</f>
        <v>109.21</v>
      </c>
      <c r="E112">
        <f>_xlfn.XLOOKUP($B112, Data!$A$2:$A$2515, Data!$F$2:$F$2515, " ")</f>
        <v>497.74</v>
      </c>
      <c r="F112">
        <f>_xlfn.XLOOKUP($B112, Data!$A$2:$A$2515, Data!$G$2:$G$2515, " ")</f>
        <v>67.22</v>
      </c>
    </row>
    <row r="113" spans="1:6" x14ac:dyDescent="0.2">
      <c r="A113" t="str">
        <v>2016-11</v>
      </c>
      <c r="B113" s="1">
        <f>_xlfn.MINIFS(Data!$A$2:$A$2515, Data!$C$2:$C$2515, MonthlyData!A19)</f>
        <v>45538</v>
      </c>
      <c r="C113">
        <f>_xlfn.XLOOKUP(B113, Data!$A$2:$A$2515, Data!$D$2:$D$2515, " ")</f>
        <v>222.77</v>
      </c>
      <c r="D113">
        <f>_xlfn.XLOOKUP(B113, Data!$A$2:$A$2515, Data!$E$2:$E$2515, " ")</f>
        <v>108</v>
      </c>
      <c r="E113">
        <f>_xlfn.XLOOKUP($B113, Data!$A$2:$A$2515, Data!$F$2:$F$2515, " ")</f>
        <v>511.76</v>
      </c>
      <c r="F113">
        <f>_xlfn.XLOOKUP($B113, Data!$A$2:$A$2515, Data!$G$2:$G$2515, " ")</f>
        <v>44.18</v>
      </c>
    </row>
    <row r="114" spans="1:6" x14ac:dyDescent="0.2">
      <c r="A114" t="str">
        <v>2016-10</v>
      </c>
      <c r="B114" s="1">
        <f>_xlfn.MINIFS(Data!$A$2:$A$2515, Data!$C$2:$C$2515, MonthlyData!A18)</f>
        <v>45566</v>
      </c>
      <c r="C114">
        <f>_xlfn.XLOOKUP(B114, Data!$A$2:$A$2515, Data!$D$2:$D$2515, " ")</f>
        <v>226.21</v>
      </c>
      <c r="D114">
        <f>_xlfn.XLOOKUP(B114, Data!$A$2:$A$2515, Data!$E$2:$E$2515, " ")</f>
        <v>117</v>
      </c>
      <c r="E114">
        <f>_xlfn.XLOOKUP($B114, Data!$A$2:$A$2515, Data!$F$2:$F$2515, " ")</f>
        <v>576.47</v>
      </c>
      <c r="F114">
        <f>_xlfn.XLOOKUP($B114, Data!$A$2:$A$2515, Data!$G$2:$G$2515, " ")</f>
        <v>40.549999999999997</v>
      </c>
    </row>
    <row r="115" spans="1:6" x14ac:dyDescent="0.2">
      <c r="A115" t="str">
        <v>2016-09</v>
      </c>
      <c r="B115" s="1">
        <f>_xlfn.MINIFS(Data!$A$2:$A$2515, Data!$C$2:$C$2515, MonthlyData!A17)</f>
        <v>45597</v>
      </c>
      <c r="C115">
        <f>_xlfn.XLOOKUP(B115, Data!$A$2:$A$2515, Data!$D$2:$D$2515, " ")</f>
        <v>222.91</v>
      </c>
      <c r="D115">
        <f>_xlfn.XLOOKUP(B115, Data!$A$2:$A$2515, Data!$E$2:$E$2515, " ")</f>
        <v>135.4</v>
      </c>
      <c r="E115">
        <f>_xlfn.XLOOKUP($B115, Data!$A$2:$A$2515, Data!$F$2:$F$2515, " ")</f>
        <v>567.16</v>
      </c>
      <c r="F115">
        <f>_xlfn.XLOOKUP($B115, Data!$A$2:$A$2515, Data!$G$2:$G$2515, " ")</f>
        <v>26.05</v>
      </c>
    </row>
    <row r="116" spans="1:6" x14ac:dyDescent="0.2">
      <c r="A116" t="str">
        <v>2016-08</v>
      </c>
      <c r="B116" s="1">
        <f>_xlfn.MINIFS(Data!$A$2:$A$2515, Data!$C$2:$C$2515, MonthlyData!A16)</f>
        <v>45628</v>
      </c>
      <c r="C116">
        <f>_xlfn.XLOOKUP(B116, Data!$A$2:$A$2515, Data!$D$2:$D$2515, " ")</f>
        <v>239.59</v>
      </c>
      <c r="D116">
        <f>_xlfn.XLOOKUP(B116, Data!$A$2:$A$2515, Data!$E$2:$E$2515, " ")</f>
        <v>138.63</v>
      </c>
      <c r="E116">
        <f>_xlfn.XLOOKUP($B116, Data!$A$2:$A$2515, Data!$F$2:$F$2515, " ")</f>
        <v>592.83000000000004</v>
      </c>
      <c r="F116">
        <f>_xlfn.XLOOKUP($B116, Data!$A$2:$A$2515, Data!$G$2:$G$2515, " ")</f>
        <v>42</v>
      </c>
    </row>
    <row r="117" spans="1:6" x14ac:dyDescent="0.2">
      <c r="A117" t="str">
        <v>2016-07</v>
      </c>
      <c r="B117" s="1">
        <f>_xlfn.MINIFS(Data!$A$2:$A$2515, Data!$C$2:$C$2515, MonthlyData!A15)</f>
        <v>45659</v>
      </c>
      <c r="C117">
        <f>_xlfn.XLOOKUP(B117, Data!$A$2:$A$2515, Data!$D$2:$D$2515, " ")</f>
        <v>243.85</v>
      </c>
      <c r="D117">
        <f>_xlfn.XLOOKUP(B117, Data!$A$2:$A$2515, Data!$E$2:$E$2515, " ")</f>
        <v>138.31</v>
      </c>
      <c r="E117">
        <f>_xlfn.XLOOKUP($B117, Data!$A$2:$A$2515, Data!$F$2:$F$2515, " ")</f>
        <v>599.24</v>
      </c>
      <c r="F117">
        <f>_xlfn.XLOOKUP($B117, Data!$A$2:$A$2515, Data!$G$2:$G$2515, " ")</f>
        <v>30.05</v>
      </c>
    </row>
    <row r="118" spans="1:6" x14ac:dyDescent="0.2">
      <c r="A118" t="str">
        <v>2016-06</v>
      </c>
      <c r="B118" s="1">
        <f>_xlfn.MINIFS(Data!$A$2:$A$2515, Data!$C$2:$C$2515, MonthlyData!A14)</f>
        <v>45691</v>
      </c>
      <c r="C118">
        <f>_xlfn.XLOOKUP(B118, Data!$A$2:$A$2515, Data!$D$2:$D$2515, " ")</f>
        <v>228.01</v>
      </c>
      <c r="D118">
        <f>_xlfn.XLOOKUP(B118, Data!$A$2:$A$2515, Data!$E$2:$E$2515, " ")</f>
        <v>116.66</v>
      </c>
      <c r="E118">
        <f>_xlfn.XLOOKUP($B118, Data!$A$2:$A$2515, Data!$F$2:$F$2515, " ")</f>
        <v>697.46</v>
      </c>
      <c r="F118">
        <f>_xlfn.XLOOKUP($B118, Data!$A$2:$A$2515, Data!$G$2:$G$2515, " ")</f>
        <v>26.85</v>
      </c>
    </row>
    <row r="119" spans="1:6" x14ac:dyDescent="0.2">
      <c r="A119" t="str">
        <v>2016-05</v>
      </c>
      <c r="B119" s="1">
        <f>_xlfn.MINIFS(Data!$A$2:$A$2515, Data!$C$2:$C$2515, MonthlyData!A13)</f>
        <v>45719</v>
      </c>
      <c r="C119">
        <f>_xlfn.XLOOKUP(B119, Data!$A$2:$A$2515, Data!$D$2:$D$2515, " ")</f>
        <v>238.03</v>
      </c>
      <c r="D119">
        <f>_xlfn.XLOOKUP(B119, Data!$A$2:$A$2515, Data!$E$2:$E$2515, " ")</f>
        <v>114.06</v>
      </c>
      <c r="E119">
        <f>_xlfn.XLOOKUP($B119, Data!$A$2:$A$2515, Data!$F$2:$F$2515, " ")</f>
        <v>655.04999999999995</v>
      </c>
      <c r="F119">
        <f>_xlfn.XLOOKUP($B119, Data!$A$2:$A$2515, Data!$G$2:$G$2515, " ")</f>
        <v>36.07</v>
      </c>
    </row>
    <row r="120" spans="1:6" x14ac:dyDescent="0.2">
      <c r="A120" t="str">
        <v>2016-04</v>
      </c>
      <c r="B120" s="1">
        <f>_xlfn.MINIFS(Data!$A$2:$A$2515, Data!$C$2:$C$2515, MonthlyData!A12)</f>
        <v>45748</v>
      </c>
      <c r="C120">
        <f>_xlfn.XLOOKUP(B120, Data!$A$2:$A$2515, Data!$D$2:$D$2515, " ")</f>
        <v>223.19</v>
      </c>
      <c r="D120">
        <f>_xlfn.XLOOKUP(B120, Data!$A$2:$A$2515, Data!$E$2:$E$2515, " ")</f>
        <v>110.15</v>
      </c>
      <c r="E120">
        <f>_xlfn.XLOOKUP($B120, Data!$A$2:$A$2515, Data!$F$2:$F$2515, " ")</f>
        <v>586</v>
      </c>
      <c r="F120">
        <f>_xlfn.XLOOKUP($B120, Data!$A$2:$A$2515, Data!$G$2:$G$2515, " ")</f>
        <v>35.049999999999997</v>
      </c>
    </row>
    <row r="121" spans="1:6" x14ac:dyDescent="0.2">
      <c r="A121" t="str">
        <v>2016-03</v>
      </c>
      <c r="B121" s="1">
        <f>_xlfn.MINIFS(Data!$A$2:$A$2515, Data!$C$2:$C$2515, MonthlyData!A11)</f>
        <v>45778</v>
      </c>
      <c r="C121">
        <f>_xlfn.XLOOKUP(B121, Data!$A$2:$A$2515, Data!$D$2:$D$2515, " ")</f>
        <v>213.32</v>
      </c>
      <c r="D121">
        <f>_xlfn.XLOOKUP(B121, Data!$A$2:$A$2515, Data!$E$2:$E$2515, " ")</f>
        <v>111.61</v>
      </c>
      <c r="E121">
        <f>_xlfn.XLOOKUP($B121, Data!$A$2:$A$2515, Data!$F$2:$F$2515, " ")</f>
        <v>572.21</v>
      </c>
      <c r="F121">
        <f>_xlfn.XLOOKUP($B121, Data!$A$2:$A$2515, Data!$G$2:$G$2515, " ")</f>
        <v>32.729999999999997</v>
      </c>
    </row>
    <row r="122" spans="1:6" x14ac:dyDescent="0.2">
      <c r="A122" t="str">
        <v>2016-02</v>
      </c>
      <c r="B122" s="1">
        <f>_xlfn.MINIFS(Data!$A$2:$A$2515, Data!$C$2:$C$2515, MonthlyData!A10)</f>
        <v>45810</v>
      </c>
      <c r="C122">
        <f>_xlfn.XLOOKUP(B122, Data!$A$2:$A$2515, Data!$D$2:$D$2515, " ")</f>
        <v>201.7</v>
      </c>
      <c r="D122">
        <f>_xlfn.XLOOKUP(B122, Data!$A$2:$A$2515, Data!$E$2:$E$2515, " ")</f>
        <v>137.38</v>
      </c>
      <c r="E122">
        <f>_xlfn.XLOOKUP($B122, Data!$A$2:$A$2515, Data!$F$2:$F$2515, " ")</f>
        <v>670.9</v>
      </c>
      <c r="F122">
        <f>_xlfn.XLOOKUP($B122, Data!$A$2:$A$2515, Data!$G$2:$G$2515, " ")</f>
        <v>41.2</v>
      </c>
    </row>
    <row r="123" spans="1:6" x14ac:dyDescent="0.2">
      <c r="A123" t="str">
        <v>2016-01</v>
      </c>
      <c r="B123" s="1">
        <f>_xlfn.MINIFS(Data!$A$2:$A$2515, Data!$C$2:$C$2515, MonthlyData!A9)</f>
        <v>45839</v>
      </c>
      <c r="C123">
        <f>_xlfn.XLOOKUP(B123, Data!$A$2:$A$2515, Data!$D$2:$D$2515, " ")</f>
        <v>207.82</v>
      </c>
      <c r="D123">
        <f>_xlfn.XLOOKUP(B123, Data!$A$2:$A$2515, Data!$E$2:$E$2515, " ")</f>
        <v>153.30000000000001</v>
      </c>
      <c r="E123">
        <f>_xlfn.XLOOKUP($B123, Data!$A$2:$A$2515, Data!$F$2:$F$2515, " ")</f>
        <v>719.22</v>
      </c>
      <c r="F123">
        <f>_xlfn.XLOOKUP($B123, Data!$A$2:$A$2515, Data!$G$2:$G$2515, " ")</f>
        <v>47.2</v>
      </c>
    </row>
    <row r="124" spans="1:6" x14ac:dyDescent="0.2">
      <c r="A124" t="str">
        <v>2015-12</v>
      </c>
      <c r="B124" s="1">
        <f>_xlfn.MINIFS(Data!$A$2:$A$2515, Data!$C$2:$C$2515, MonthlyData!A8)</f>
        <v>45870</v>
      </c>
      <c r="C124">
        <f>_xlfn.XLOOKUP(B124, Data!$A$2:$A$2515, Data!$D$2:$D$2515, " ")</f>
        <v>202.38</v>
      </c>
      <c r="D124">
        <f>_xlfn.XLOOKUP(B124, Data!$A$2:$A$2515, Data!$E$2:$E$2515, " ")</f>
        <v>173.72</v>
      </c>
      <c r="E124">
        <f>_xlfn.XLOOKUP($B124, Data!$A$2:$A$2515, Data!$F$2:$F$2515, " ")</f>
        <v>750.01</v>
      </c>
      <c r="F124">
        <f>_xlfn.XLOOKUP($B124, Data!$A$2:$A$2515, Data!$G$2:$G$2515, " ")</f>
        <v>56.64</v>
      </c>
    </row>
    <row r="125" spans="1:6" x14ac:dyDescent="0.2">
      <c r="A125" t="str">
        <v>2015-11</v>
      </c>
      <c r="B125" s="1">
        <f>_xlfn.MINIFS(Data!$A$2:$A$2515, Data!$C$2:$C$2515, MonthlyData!A7)</f>
        <v>45902</v>
      </c>
      <c r="C125">
        <f>_xlfn.XLOOKUP(B125, Data!$A$2:$A$2515, Data!$D$2:$D$2515, " ")</f>
        <v>229.72</v>
      </c>
      <c r="D125">
        <f>_xlfn.XLOOKUP(B125, Data!$A$2:$A$2515, Data!$E$2:$E$2515, " ")</f>
        <v>170.78</v>
      </c>
      <c r="E125">
        <f>_xlfn.XLOOKUP($B125, Data!$A$2:$A$2515, Data!$F$2:$F$2515, " ")</f>
        <v>735.11</v>
      </c>
      <c r="F125">
        <f>_xlfn.XLOOKUP($B125, Data!$A$2:$A$2515, Data!$G$2:$G$2515, " ")</f>
        <v>40.78</v>
      </c>
    </row>
    <row r="126" spans="1:6" x14ac:dyDescent="0.2">
      <c r="A126" t="str">
        <v>2015-10</v>
      </c>
      <c r="B126" s="1">
        <f>_xlfn.MINIFS(Data!$A$2:$A$2515, Data!$C$2:$C$2515, MonthlyData!A6)</f>
        <v>45931</v>
      </c>
      <c r="C126">
        <f>_xlfn.XLOOKUP(B126, Data!$A$2:$A$2515, Data!$D$2:$D$2515, " ")</f>
        <v>255.45</v>
      </c>
      <c r="D126">
        <f>_xlfn.XLOOKUP(B126, Data!$A$2:$A$2515, Data!$E$2:$E$2515, " ")</f>
        <v>187.24</v>
      </c>
      <c r="E126">
        <f>_xlfn.XLOOKUP($B126, Data!$A$2:$A$2515, Data!$F$2:$F$2515, " ")</f>
        <v>717.34</v>
      </c>
      <c r="F126">
        <f>_xlfn.XLOOKUP($B126, Data!$A$2:$A$2515, Data!$G$2:$G$2515, " ")</f>
        <v>52.39</v>
      </c>
    </row>
  </sheetData>
  <sortState xmlns:xlrd2="http://schemas.microsoft.com/office/spreadsheetml/2017/richdata2" ref="B6:F126">
    <sortCondition ref="B5:B12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0EFB-8367-F949-89C1-90A49553C5CF}">
  <dimension ref="A1:R122"/>
  <sheetViews>
    <sheetView zoomScale="75" workbookViewId="0">
      <selection activeCell="G19" sqref="G19"/>
    </sheetView>
  </sheetViews>
  <sheetFormatPr baseColWidth="10" defaultRowHeight="16" x14ac:dyDescent="0.2"/>
  <cols>
    <col min="1" max="1" width="10.83203125" style="9"/>
    <col min="3" max="3" width="11.6640625" bestFit="1" customWidth="1"/>
    <col min="8" max="8" width="23.33203125" bestFit="1" customWidth="1"/>
    <col min="11" max="11" width="11.1640625" customWidth="1"/>
    <col min="12" max="12" width="10.83203125" customWidth="1"/>
    <col min="14" max="14" width="14.33203125" bestFit="1" customWidth="1"/>
  </cols>
  <sheetData>
    <row r="1" spans="1:18" x14ac:dyDescent="0.2">
      <c r="A1" s="9" t="s">
        <v>0</v>
      </c>
      <c r="B1" s="9" t="s">
        <v>10</v>
      </c>
      <c r="C1" s="10" t="s">
        <v>11</v>
      </c>
      <c r="D1" s="9" t="s">
        <v>3</v>
      </c>
      <c r="E1" s="9" t="s">
        <v>4</v>
      </c>
      <c r="I1" s="9" t="s">
        <v>10</v>
      </c>
      <c r="J1" s="9" t="s">
        <v>11</v>
      </c>
      <c r="K1" s="9" t="s">
        <v>3</v>
      </c>
      <c r="L1" s="9" t="s">
        <v>4</v>
      </c>
      <c r="O1" s="9" t="s">
        <v>27</v>
      </c>
    </row>
    <row r="2" spans="1:18" x14ac:dyDescent="0.2">
      <c r="A2" s="11">
        <v>42310</v>
      </c>
      <c r="B2" s="15" t="s">
        <v>31</v>
      </c>
      <c r="C2" s="15" t="s">
        <v>31</v>
      </c>
      <c r="D2" s="15" t="s">
        <v>31</v>
      </c>
      <c r="E2" s="15" t="s">
        <v>31</v>
      </c>
      <c r="H2" t="s">
        <v>16</v>
      </c>
      <c r="I2">
        <f>AVERAGE(B2:B121)</f>
        <v>2.0841136311942308E-2</v>
      </c>
      <c r="J2">
        <f>AVERAGE(C2:C121)</f>
        <v>5.6798393956781698E-2</v>
      </c>
      <c r="K2">
        <f>AVERAGE(D2:D121)</f>
        <v>2.2173364768438352E-2</v>
      </c>
      <c r="L2">
        <f>AVERAGE(E2:E121)</f>
        <v>4.1971450417311068E-2</v>
      </c>
      <c r="O2" s="13" t="s">
        <v>10</v>
      </c>
      <c r="P2" s="13" t="s">
        <v>11</v>
      </c>
      <c r="Q2" s="13" t="s">
        <v>3</v>
      </c>
      <c r="R2" s="13" t="s">
        <v>4</v>
      </c>
    </row>
    <row r="3" spans="1:18" x14ac:dyDescent="0.2">
      <c r="A3" s="11">
        <v>42339</v>
      </c>
      <c r="B3" s="7">
        <f>(MonthlyData!C7-MonthlyData!C6)/MonthlyData!C6</f>
        <v>1.6096579476861182E-2</v>
      </c>
      <c r="C3" s="7">
        <f>(MonthlyData!D7-MonthlyData!D6)/MonthlyData!D6</f>
        <v>0</v>
      </c>
      <c r="D3" s="7">
        <f>(MonthlyData!E7-MonthlyData!E6)/MonthlyData!E6</f>
        <v>-8.5412667946257251E-3</v>
      </c>
      <c r="E3" s="7">
        <f>(MonthlyData!F7-MonthlyData!F6)/MonthlyData!F6</f>
        <v>4.5774647887324063E-2</v>
      </c>
      <c r="H3" t="s">
        <v>14</v>
      </c>
      <c r="I3">
        <f>_xlfn.VAR.S(B2:B121)</f>
        <v>7.1758097465657441E-3</v>
      </c>
      <c r="J3">
        <f>_xlfn.VAR.S(C2:C121)</f>
        <v>2.0572775424057457E-2</v>
      </c>
      <c r="K3">
        <f>_xlfn.VAR.S(D2:D121)</f>
        <v>1.1073994236423586E-2</v>
      </c>
      <c r="L3">
        <f>_xlfn.VAR.S(E2:E121)</f>
        <v>4.8017242132915909E-2</v>
      </c>
      <c r="N3" s="13" t="s">
        <v>10</v>
      </c>
      <c r="O3">
        <f>_xlfn.COVARIANCE.S($B$2:$B$121, B2:B121)</f>
        <v>7.1758097465657459E-3</v>
      </c>
      <c r="P3">
        <f>_xlfn.COVARIANCE.S($B$2:$B$121, C2:C121)</f>
        <v>7.1068701472593344E-3</v>
      </c>
      <c r="Q3">
        <f>_xlfn.COVARIANCE.S($B$2:$B$121, D2:D121)</f>
        <v>3.8231867639145103E-3</v>
      </c>
      <c r="R3">
        <f>_xlfn.COVARIANCE.S($B$2:$B$121, E2:E121)</f>
        <v>2.9922134832485038E-3</v>
      </c>
    </row>
    <row r="4" spans="1:18" x14ac:dyDescent="0.2">
      <c r="A4" s="11">
        <v>42373</v>
      </c>
      <c r="B4" s="7">
        <f>(MonthlyData!C8-MonthlyData!C7)/MonthlyData!C7</f>
        <v>-3.1683168316831711E-2</v>
      </c>
      <c r="C4" s="7">
        <f>(MonthlyData!D8-MonthlyData!D7)/MonthlyData!D7</f>
        <v>0.13888888888888887</v>
      </c>
      <c r="D4" s="7">
        <f>(MonthlyData!E8-MonthlyData!E7)/MonthlyData!E7</f>
        <v>3.6879295324750774E-2</v>
      </c>
      <c r="E4" s="7">
        <f>(MonthlyData!F8-MonthlyData!F7)/MonthlyData!F7</f>
        <v>-0.11784511784511786</v>
      </c>
      <c r="H4" t="s">
        <v>15</v>
      </c>
      <c r="I4">
        <f>I2*12</f>
        <v>0.25009363574330767</v>
      </c>
      <c r="J4">
        <f t="shared" ref="J4:L4" si="0">J2*12</f>
        <v>0.68158072748138032</v>
      </c>
      <c r="K4">
        <f t="shared" si="0"/>
        <v>0.26608037722126021</v>
      </c>
      <c r="L4">
        <f t="shared" si="0"/>
        <v>0.50365740500773282</v>
      </c>
      <c r="N4" s="13" t="s">
        <v>11</v>
      </c>
      <c r="O4">
        <f>_xlfn.COVARIANCE.S($C$2:$C$121, B2:B121)</f>
        <v>7.1068701472593344E-3</v>
      </c>
      <c r="P4">
        <f>_xlfn.COVARIANCE.S($C$2:$C$121, C2:C121)</f>
        <v>2.0572775424057443E-2</v>
      </c>
      <c r="Q4">
        <f>_xlfn.COVARIANCE.S($C$2:$C$121, D2:D121)</f>
        <v>7.322143191011753E-3</v>
      </c>
      <c r="R4">
        <f>_xlfn.COVARIANCE.S($C$2:$C$121, E2:E121)</f>
        <v>1.1831141180693922E-2</v>
      </c>
    </row>
    <row r="5" spans="1:18" x14ac:dyDescent="0.2">
      <c r="A5" s="11">
        <v>42401</v>
      </c>
      <c r="B5" s="7">
        <f>(MonthlyData!C9-MonthlyData!C8)/MonthlyData!C8</f>
        <v>-0.10224948875255624</v>
      </c>
      <c r="C5" s="7">
        <f>(MonthlyData!D9-MonthlyData!D8)/MonthlyData!D8</f>
        <v>-1.2195121951219388E-2</v>
      </c>
      <c r="D5" s="7">
        <f>(MonthlyData!E9-MonthlyData!E8)/MonthlyData!E8</f>
        <v>-4.5743091859596768E-2</v>
      </c>
      <c r="E5" s="7">
        <f>(MonthlyData!F9-MonthlyData!F8)/MonthlyData!F8</f>
        <v>-9.5419847328244267E-2</v>
      </c>
      <c r="H5" t="s">
        <v>17</v>
      </c>
      <c r="I5">
        <f>I3*12</f>
        <v>8.6109716958788926E-2</v>
      </c>
      <c r="J5">
        <f t="shared" ref="J5:L5" si="1">J3*12</f>
        <v>0.24687330508868949</v>
      </c>
      <c r="K5">
        <f t="shared" si="1"/>
        <v>0.13288793083708303</v>
      </c>
      <c r="L5">
        <f t="shared" si="1"/>
        <v>0.57620690559499088</v>
      </c>
      <c r="N5" s="13" t="s">
        <v>3</v>
      </c>
      <c r="O5">
        <f>_xlfn.COVARIANCE.S($D$2:$D$121, B2:B121)</f>
        <v>3.8231867639145103E-3</v>
      </c>
      <c r="P5">
        <f>_xlfn.COVARIANCE.S($D$2:$D$121, C2:C121)</f>
        <v>7.322143191011753E-3</v>
      </c>
      <c r="Q5">
        <f>_xlfn.COVARIANCE.S($D$2:$D$121, D2:D121)</f>
        <v>1.1073994236423581E-2</v>
      </c>
      <c r="R5">
        <f>_xlfn.COVARIANCE.S($D$2:$D$121, E2:E121)</f>
        <v>6.9604076861842128E-3</v>
      </c>
    </row>
    <row r="6" spans="1:18" x14ac:dyDescent="0.2">
      <c r="A6" s="11">
        <v>42430</v>
      </c>
      <c r="B6" s="7">
        <f>(MonthlyData!C10-MonthlyData!C9)/MonthlyData!C9</f>
        <v>-8.4662110858010647E-2</v>
      </c>
      <c r="C6" s="7">
        <f>(MonthlyData!D10-MonthlyData!D9)/MonthlyData!D9</f>
        <v>-9.876543209876551E-2</v>
      </c>
      <c r="D6" s="7">
        <f>(MonthlyData!E10-MonthlyData!E9)/MonthlyData!E9</f>
        <v>0.12590491097632561</v>
      </c>
      <c r="E6" s="7">
        <f>(MonthlyData!F10-MonthlyData!F9)/MonthlyData!F9</f>
        <v>0.32489451476793246</v>
      </c>
      <c r="N6" s="13" t="s">
        <v>4</v>
      </c>
      <c r="O6">
        <f>_xlfn.COVARIANCE.S($E$2:$E$121, B2:B121)</f>
        <v>2.9922134832485038E-3</v>
      </c>
      <c r="P6">
        <f>_xlfn.COVARIANCE.S($E$2:$E$121, C2:C121)</f>
        <v>1.1831141180693922E-2</v>
      </c>
      <c r="Q6">
        <f>_xlfn.COVARIANCE.S($E$2:$E$121, D2:D121)</f>
        <v>6.9604076861842128E-3</v>
      </c>
      <c r="R6">
        <f>_xlfn.COVARIANCE.S($E$2:$E$121, E2:E121)</f>
        <v>4.8017242132915895E-2</v>
      </c>
    </row>
    <row r="7" spans="1:18" x14ac:dyDescent="0.2">
      <c r="A7" s="11">
        <v>42461</v>
      </c>
      <c r="B7" s="7">
        <f>(MonthlyData!C11-MonthlyData!C10)/MonthlyData!C10</f>
        <v>4.2306097055163819E-2</v>
      </c>
      <c r="C7" s="7">
        <f>(MonthlyData!D11-MonthlyData!D10)/MonthlyData!D10</f>
        <v>0.12328767123287668</v>
      </c>
      <c r="D7" s="7">
        <f>(MonthlyData!E11-MonthlyData!E10)/MonthlyData!E10</f>
        <v>-4.5790251107828743E-2</v>
      </c>
      <c r="E7" s="7">
        <f>(MonthlyData!F11-MonthlyData!F10)/MonthlyData!F10</f>
        <v>5.7324840764331114E-2</v>
      </c>
      <c r="H7" s="9" t="s">
        <v>18</v>
      </c>
    </row>
    <row r="8" spans="1:18" x14ac:dyDescent="0.2">
      <c r="A8" s="11">
        <v>42492</v>
      </c>
      <c r="B8" s="7">
        <f>(MonthlyData!C12-MonthlyData!C11)/MonthlyData!C11</f>
        <v>9.4309590131317192E-2</v>
      </c>
      <c r="C8" s="7">
        <f>(MonthlyData!D12-MonthlyData!D11)/MonthlyData!D11</f>
        <v>9.7560975609756184E-2</v>
      </c>
      <c r="D8" s="7">
        <f>(MonthlyData!E12-MonthlyData!E11)/MonthlyData!E11</f>
        <v>5.6820251320342463E-2</v>
      </c>
      <c r="E8" s="7">
        <f>(MonthlyData!F12-MonthlyData!F11)/MonthlyData!F11</f>
        <v>3.9156626506024202E-2</v>
      </c>
      <c r="H8" t="s">
        <v>10</v>
      </c>
      <c r="I8">
        <f>I4</f>
        <v>0.25009363574330767</v>
      </c>
      <c r="N8" t="s">
        <v>28</v>
      </c>
      <c r="O8" s="14">
        <v>0.04</v>
      </c>
    </row>
    <row r="9" spans="1:18" x14ac:dyDescent="0.2">
      <c r="A9" s="11">
        <v>42522</v>
      </c>
      <c r="B9" s="7">
        <f>(MonthlyData!C13-MonthlyData!C12)/MonthlyData!C12</f>
        <v>-0.14872727272727274</v>
      </c>
      <c r="C9" s="7">
        <f>(MonthlyData!D13-MonthlyData!D12)/MonthlyData!D12</f>
        <v>0</v>
      </c>
      <c r="D9" s="7">
        <f>(MonthlyData!E13-MonthlyData!E12)/MonthlyData!E12</f>
        <v>2.1626744787178968E-2</v>
      </c>
      <c r="E9" s="7">
        <f>(MonthlyData!F13-MonthlyData!F12)/MonthlyData!F12</f>
        <v>-0.21159420289855072</v>
      </c>
      <c r="H9" t="s">
        <v>11</v>
      </c>
      <c r="I9">
        <f>J4</f>
        <v>0.68158072748138032</v>
      </c>
      <c r="N9" t="s">
        <v>29</v>
      </c>
      <c r="O9">
        <v>18</v>
      </c>
    </row>
    <row r="10" spans="1:18" x14ac:dyDescent="0.2">
      <c r="A10" s="11">
        <v>42552</v>
      </c>
      <c r="B10" s="7">
        <f>(MonthlyData!C14-MonthlyData!C13)/MonthlyData!C13</f>
        <v>5.1687313114053862E-2</v>
      </c>
      <c r="C10" s="17">
        <f>(MonthlyData!D14-MonthlyData!D13)/MonthlyData!D13</f>
        <v>0.29999999999999988</v>
      </c>
      <c r="D10" s="7">
        <f>(MonthlyData!E14-MonthlyData!E13)/MonthlyData!E13</f>
        <v>1.771105675972067E-3</v>
      </c>
      <c r="E10" s="7">
        <f>(MonthlyData!F14-MonthlyData!F13)/MonthlyData!F13</f>
        <v>-2.9411764705882377E-2</v>
      </c>
      <c r="H10" t="s">
        <v>3</v>
      </c>
      <c r="I10">
        <f>K4</f>
        <v>0.26608037722126021</v>
      </c>
    </row>
    <row r="11" spans="1:18" x14ac:dyDescent="0.2">
      <c r="A11" s="11">
        <v>42583</v>
      </c>
      <c r="B11" s="7">
        <f>(MonthlyData!C15-MonthlyData!C14)/MonthlyData!C14</f>
        <v>-2.6401299756295779E-2</v>
      </c>
      <c r="C11" s="7">
        <f>(MonthlyData!D15-MonthlyData!D14)/MonthlyData!D14</f>
        <v>0</v>
      </c>
      <c r="D11" s="7">
        <f>(MonthlyData!E15-MonthlyData!E14)/MonthlyData!E14</f>
        <v>-3.8642869169893949E-2</v>
      </c>
      <c r="E11" s="7">
        <f>(MonthlyData!F15-MonthlyData!F14)/MonthlyData!F14</f>
        <v>-6.8181818181818232E-2</v>
      </c>
      <c r="H11" t="s">
        <v>4</v>
      </c>
      <c r="I11">
        <f>L4</f>
        <v>0.50365740500773282</v>
      </c>
    </row>
    <row r="12" spans="1:18" x14ac:dyDescent="0.2">
      <c r="A12" s="11">
        <v>42614</v>
      </c>
      <c r="B12" s="7">
        <f>(MonthlyData!C16-MonthlyData!C15)/MonthlyData!C15</f>
        <v>0.10596579057154788</v>
      </c>
      <c r="C12" s="7">
        <f>(MonthlyData!D16-MonthlyData!D15)/MonthlyData!D15</f>
        <v>0.21367521367521369</v>
      </c>
      <c r="D12" s="7">
        <f>(MonthlyData!E16-MonthlyData!E15)/MonthlyData!E15</f>
        <v>8.8624222786583801E-2</v>
      </c>
      <c r="E12" s="7">
        <f>(MonthlyData!F16-MonthlyData!F15)/MonthlyData!F15</f>
        <v>-0.12195121951219505</v>
      </c>
    </row>
    <row r="13" spans="1:18" x14ac:dyDescent="0.2">
      <c r="A13" s="11">
        <v>42646</v>
      </c>
      <c r="B13" s="7">
        <f>(MonthlyData!C17-MonthlyData!C16)/MonthlyData!C16</f>
        <v>6.4126744624669234E-3</v>
      </c>
      <c r="C13" s="7">
        <f>(MonthlyData!D17-MonthlyData!D16)/MonthlyData!D16</f>
        <v>0.11267605633802827</v>
      </c>
      <c r="D13" s="7">
        <f>(MonthlyData!E17-MonthlyData!E16)/MonthlyData!E16</f>
        <v>1.4962593516209471E-2</v>
      </c>
      <c r="E13" s="7">
        <f>(MonthlyData!F17-MonthlyData!F16)/MonthlyData!F16</f>
        <v>2.3148148148148064E-2</v>
      </c>
      <c r="H13" s="12" t="s">
        <v>19</v>
      </c>
      <c r="K13" s="12" t="s">
        <v>23</v>
      </c>
      <c r="O13" s="9" t="s">
        <v>30</v>
      </c>
    </row>
    <row r="14" spans="1:18" x14ac:dyDescent="0.2">
      <c r="A14" s="11">
        <v>42675</v>
      </c>
      <c r="B14" s="7">
        <f>(MonthlyData!C18-MonthlyData!C17)/MonthlyData!C17</f>
        <v>5.4347826086956492E-2</v>
      </c>
      <c r="C14" s="7">
        <f>(MonthlyData!D18-MonthlyData!D17)/MonthlyData!D17</f>
        <v>8.2278481012658153E-2</v>
      </c>
      <c r="D14" s="7">
        <f>(MonthlyData!E18-MonthlyData!E17)/MonthlyData!E17</f>
        <v>2.0607117381310998E-2</v>
      </c>
      <c r="E14" s="7">
        <f>(MonthlyData!F18-MonthlyData!F17)/MonthlyData!F17</f>
        <v>6.3348416289592813E-2</v>
      </c>
      <c r="O14" s="13" t="s">
        <v>10</v>
      </c>
      <c r="P14" s="13" t="s">
        <v>11</v>
      </c>
      <c r="Q14" s="13" t="s">
        <v>3</v>
      </c>
      <c r="R14" s="13" t="s">
        <v>4</v>
      </c>
    </row>
    <row r="15" spans="1:18" x14ac:dyDescent="0.2">
      <c r="A15" s="11">
        <v>42705</v>
      </c>
      <c r="B15" s="7">
        <f>(MonthlyData!C19-MonthlyData!C18)/MonthlyData!C18</f>
        <v>-9.2428012797724137E-3</v>
      </c>
      <c r="C15" s="7">
        <f>(MonthlyData!D19-MonthlyData!D18)/MonthlyData!D18</f>
        <v>1.169590643274855E-2</v>
      </c>
      <c r="D15" s="7">
        <f>(MonthlyData!E19-MonthlyData!E18)/MonthlyData!E18</f>
        <v>5.6690222877998735E-3</v>
      </c>
      <c r="E15" s="7">
        <f>(MonthlyData!F19-MonthlyData!F18)/MonthlyData!F18</f>
        <v>-2.9787234042553311E-2</v>
      </c>
      <c r="H15" t="s">
        <v>10</v>
      </c>
      <c r="I15">
        <v>0.25</v>
      </c>
      <c r="K15" t="s">
        <v>10</v>
      </c>
      <c r="L15" s="8">
        <v>0</v>
      </c>
      <c r="N15" s="13" t="s">
        <v>10</v>
      </c>
      <c r="O15">
        <f>CORREL($B$2:$B$121, B2:B121)</f>
        <v>1</v>
      </c>
      <c r="P15">
        <f>CORREL($B$2:$B$121, C2:C121)</f>
        <v>0.58492001149396222</v>
      </c>
      <c r="Q15">
        <f>CORREL($B$2:$B$121, D2:D121)</f>
        <v>0.42888208897394442</v>
      </c>
      <c r="R15">
        <f>CORREL($B$2:$B$121, E2:E121)</f>
        <v>0.16119757768253387</v>
      </c>
    </row>
    <row r="16" spans="1:18" x14ac:dyDescent="0.2">
      <c r="A16" s="11">
        <v>42738</v>
      </c>
      <c r="B16" s="7">
        <f>(MonthlyData!C20-MonthlyData!C19)/MonthlyData!C19</f>
        <v>-1.7940437746681019E-2</v>
      </c>
      <c r="C16" s="7">
        <f>(MonthlyData!D20-MonthlyData!D19)/MonthlyData!D19</f>
        <v>0.26589595375722541</v>
      </c>
      <c r="D16" s="7">
        <f>(MonthlyData!E20-MonthlyData!E19)/MonthlyData!E19</f>
        <v>-0.11119691119691125</v>
      </c>
      <c r="E16" s="7">
        <f>(MonthlyData!F20-MonthlyData!F19)/MonthlyData!F19</f>
        <v>0.14912280701754402</v>
      </c>
      <c r="H16" t="s">
        <v>11</v>
      </c>
      <c r="I16">
        <v>0.25</v>
      </c>
      <c r="K16" t="s">
        <v>11</v>
      </c>
      <c r="L16" s="8">
        <v>0.92856148858151999</v>
      </c>
      <c r="N16" s="13" t="s">
        <v>11</v>
      </c>
      <c r="O16">
        <f>CORREL($C$2:$C$121, B2:B121)</f>
        <v>0.58492001149396222</v>
      </c>
      <c r="P16">
        <f>CORREL($C$2:$C$121, C2:C121)</f>
        <v>1</v>
      </c>
      <c r="Q16">
        <f>CORREL($C$2:$C$121, D2:D121)</f>
        <v>0.4851093311569713</v>
      </c>
      <c r="R16">
        <f>CORREL($C$2:$C$121, E2:E121)</f>
        <v>0.37642771182981249</v>
      </c>
    </row>
    <row r="17" spans="1:18" x14ac:dyDescent="0.2">
      <c r="A17" s="11">
        <v>42767</v>
      </c>
      <c r="B17" s="7">
        <f>(MonthlyData!C21-MonthlyData!C20)/MonthlyData!C20</f>
        <v>6.1015710632078848E-2</v>
      </c>
      <c r="C17" s="7">
        <f>(MonthlyData!D21-MonthlyData!D20)/MonthlyData!D20</f>
        <v>0.16438356164383555</v>
      </c>
      <c r="D17" s="7">
        <f>(MonthlyData!E21-MonthlyData!E20)/MonthlyData!E20</f>
        <v>1.5291051259774155E-2</v>
      </c>
      <c r="E17" s="7">
        <f>(MonthlyData!F21-MonthlyData!F20)/MonthlyData!F20</f>
        <v>8.7786259541984726E-2</v>
      </c>
      <c r="H17" t="s">
        <v>3</v>
      </c>
      <c r="I17">
        <v>0.25</v>
      </c>
      <c r="K17" t="s">
        <v>3</v>
      </c>
      <c r="L17" s="8">
        <v>0</v>
      </c>
      <c r="N17" s="13" t="s">
        <v>3</v>
      </c>
      <c r="O17">
        <f>CORREL($D$2:$D$121, B2:B121)</f>
        <v>0.42888208897394442</v>
      </c>
      <c r="P17">
        <f>CORREL($D$2:$D$121, C2:C121)</f>
        <v>0.4851093311569713</v>
      </c>
      <c r="Q17">
        <f>CORREL($D$2:$D$121, D2:D121)</f>
        <v>1</v>
      </c>
      <c r="R17">
        <f>CORREL($D$2:$D$121, E2:E121)</f>
        <v>0.30184495741051454</v>
      </c>
    </row>
    <row r="18" spans="1:18" x14ac:dyDescent="0.2">
      <c r="A18" s="11">
        <v>42795</v>
      </c>
      <c r="B18" s="7">
        <f>(MonthlyData!C22-MonthlyData!C21)/MonthlyData!C21</f>
        <v>0.10847107438016525</v>
      </c>
      <c r="C18" s="7">
        <f>(MonthlyData!D22-MonthlyData!D21)/MonthlyData!D21</f>
        <v>0.11764705882352952</v>
      </c>
      <c r="D18" s="7">
        <f>(MonthlyData!E22-MonthlyData!E21)/MonthlyData!E21</f>
        <v>0.14008214958069476</v>
      </c>
      <c r="E18" s="7">
        <f>(MonthlyData!F22-MonthlyData!F21)/MonthlyData!F21</f>
        <v>-0.10175438596491229</v>
      </c>
      <c r="H18" t="s">
        <v>4</v>
      </c>
      <c r="I18">
        <v>0.25</v>
      </c>
      <c r="K18" t="s">
        <v>4</v>
      </c>
      <c r="L18" s="8">
        <v>7.1438511418479941E-2</v>
      </c>
      <c r="N18" s="13" t="s">
        <v>4</v>
      </c>
      <c r="O18">
        <f>CORREL($E$2:$E$121, B2:B121)</f>
        <v>0.16119757768253387</v>
      </c>
      <c r="P18">
        <f>CORREL($E$2:$E$121, C2:C121)</f>
        <v>0.37642771182981249</v>
      </c>
      <c r="Q18">
        <f>CORREL($E$2:$E$121, D2:D121)</f>
        <v>0.30184495741051454</v>
      </c>
      <c r="R18">
        <f>CORREL($E$2:$E$121, E2:E121)</f>
        <v>1</v>
      </c>
    </row>
    <row r="19" spans="1:18" x14ac:dyDescent="0.2">
      <c r="A19" s="11">
        <v>42828</v>
      </c>
      <c r="B19" s="7">
        <f>(MonthlyData!C23-MonthlyData!C22)/MonthlyData!C22</f>
        <v>8.5740913327120388E-2</v>
      </c>
      <c r="C19" s="7">
        <f>(MonthlyData!D23-MonthlyData!D22)/MonthlyData!D22</f>
        <v>-9.8245614035087803E-2</v>
      </c>
      <c r="D19" s="7">
        <f>(MonthlyData!E23-MonthlyData!E22)/MonthlyData!E22</f>
        <v>3.1449373264279802E-2</v>
      </c>
      <c r="E19" s="7">
        <f>(MonthlyData!F23-MonthlyData!F22)/MonthlyData!F22</f>
        <v>3.9062500000000035E-2</v>
      </c>
      <c r="H19" t="s">
        <v>20</v>
      </c>
      <c r="I19">
        <f>SUM(I15:I18)</f>
        <v>1</v>
      </c>
      <c r="K19" s="18" t="s">
        <v>20</v>
      </c>
      <c r="L19" s="19">
        <f>SUM(L15:L18)</f>
        <v>0.99999999999999989</v>
      </c>
    </row>
    <row r="20" spans="1:18" x14ac:dyDescent="0.2">
      <c r="A20" s="11">
        <v>42856</v>
      </c>
      <c r="B20" s="7">
        <f>(MonthlyData!C24-MonthlyData!C23)/MonthlyData!C23</f>
        <v>2.804005722460649E-2</v>
      </c>
      <c r="C20" s="7">
        <f>(MonthlyData!D24-MonthlyData!D23)/MonthlyData!D23</f>
        <v>5.4474708171206275E-2</v>
      </c>
      <c r="D20" s="7">
        <f>(MonthlyData!E24-MonthlyData!E23)/MonthlyData!E23</f>
        <v>3.5366031145393786E-2</v>
      </c>
      <c r="E20" s="7">
        <f>(MonthlyData!F24-MonthlyData!F23)/MonthlyData!F23</f>
        <v>-5.6390977443609151E-2</v>
      </c>
    </row>
    <row r="21" spans="1:18" x14ac:dyDescent="0.2">
      <c r="A21" s="11">
        <v>42887</v>
      </c>
      <c r="B21" s="7">
        <f>(MonthlyData!C25-MonthlyData!C24)/MonthlyData!C24</f>
        <v>2.003896465349287E-2</v>
      </c>
      <c r="C21" s="7">
        <f>(MonthlyData!D25-MonthlyData!D24)/MonthlyData!D24</f>
        <v>-1.4760147601476028E-2</v>
      </c>
      <c r="D21" s="7">
        <f>(MonthlyData!E25-MonthlyData!E24)/MonthlyData!E24</f>
        <v>7.1549058195108289E-2</v>
      </c>
      <c r="E21" s="7">
        <f>(MonthlyData!F25-MonthlyData!F24)/MonthlyData!F24</f>
        <v>-2.3904382470119369E-2</v>
      </c>
      <c r="H21" t="s">
        <v>21</v>
      </c>
      <c r="I21" s="6" cm="1">
        <f t="array" ref="I21">MMULT(TRANSPOSE(I15:I18), I8:I11)</f>
        <v>0.42535303636342026</v>
      </c>
      <c r="K21" t="s">
        <v>26</v>
      </c>
      <c r="L21" s="6" cm="1">
        <f t="array" ref="L21">MMULT(TRANSPOSE(L15:L18),I8:I11)</f>
        <v>0.66887015017723273</v>
      </c>
    </row>
    <row r="22" spans="1:18" x14ac:dyDescent="0.2">
      <c r="A22" s="11">
        <v>42919</v>
      </c>
      <c r="B22" s="7">
        <f>(MonthlyData!C26-MonthlyData!C25)/MonthlyData!C25</f>
        <v>4.5020463847203235E-2</v>
      </c>
      <c r="C22" s="7">
        <f>(MonthlyData!D26-MonthlyData!D25)/MonthlyData!D25</f>
        <v>0.35205992509363293</v>
      </c>
      <c r="D22" s="7">
        <f>(MonthlyData!E26-MonthlyData!E25)/MonthlyData!E25</f>
        <v>-6.0999606454152349E-3</v>
      </c>
      <c r="E22" s="7">
        <f>(MonthlyData!F26-MonthlyData!F25)/MonthlyData!F25</f>
        <v>8.1632653061224549E-3</v>
      </c>
      <c r="H22" t="s">
        <v>22</v>
      </c>
      <c r="I22" s="6" cm="1">
        <f t="array" ref="I22">SQRT(MMULT(MMULT(TRANSPOSE(I15:I18),O3:R6),I15:I18))</f>
        <v>0.10213708510030378</v>
      </c>
      <c r="K22" t="s">
        <v>24</v>
      </c>
      <c r="L22" s="6" cm="1">
        <f t="array" ref="L22">SQRT(MMULT(MMULT(TRANSPOSE(L15:L18), O3:R6), L15:L18))</f>
        <v>0.13983234135616571</v>
      </c>
    </row>
    <row r="23" spans="1:18" x14ac:dyDescent="0.2">
      <c r="A23" s="11">
        <v>42948</v>
      </c>
      <c r="B23" s="7">
        <f>(MonthlyData!C27-MonthlyData!C26)/MonthlyData!C26</f>
        <v>-6.3185378590078195E-2</v>
      </c>
      <c r="C23" s="7">
        <f>(MonthlyData!D27-MonthlyData!D26)/MonthlyData!D26</f>
        <v>-3.6011080332409941E-2</v>
      </c>
      <c r="D23" s="7">
        <f>(MonthlyData!E27-MonthlyData!E26)/MonthlyData!E26</f>
        <v>-2.0457995116478549E-2</v>
      </c>
      <c r="E23" s="7">
        <f>(MonthlyData!F27-MonthlyData!F26)/MonthlyData!F26</f>
        <v>-8.097165991902841E-3</v>
      </c>
      <c r="K23" t="s">
        <v>25</v>
      </c>
      <c r="L23" s="16">
        <f>(L21 - O8)/L22</f>
        <v>4.4973154570546967</v>
      </c>
    </row>
    <row r="24" spans="1:18" x14ac:dyDescent="0.2">
      <c r="A24" s="11">
        <v>42979</v>
      </c>
      <c r="B24" s="7">
        <f>(MonthlyData!C28-MonthlyData!C27)/MonthlyData!C27</f>
        <v>4.5429208472686604E-2</v>
      </c>
      <c r="C24" s="7">
        <f>(MonthlyData!D28-MonthlyData!D27)/MonthlyData!D27</f>
        <v>0.18103448275862077</v>
      </c>
      <c r="D24" s="7">
        <f>(MonthlyData!E28-MonthlyData!E27)/MonthlyData!E27</f>
        <v>0.14437782119517623</v>
      </c>
      <c r="E24" s="7">
        <f>(MonthlyData!F28-MonthlyData!F27)/MonthlyData!F27</f>
        <v>0.10612244897959174</v>
      </c>
    </row>
    <row r="25" spans="1:18" x14ac:dyDescent="0.2">
      <c r="A25" s="11">
        <v>43010</v>
      </c>
      <c r="B25" s="7">
        <f>(MonthlyData!C29-MonthlyData!C28)/MonthlyData!C28</f>
        <v>9.3308451079712085E-2</v>
      </c>
      <c r="C25" s="7">
        <f>(MonthlyData!D29-MonthlyData!D28)/MonthlyData!D28</f>
        <v>3.6496350364963369E-2</v>
      </c>
      <c r="D25" s="7">
        <f>(MonthlyData!E29-MonthlyData!E28)/MonthlyData!E28</f>
        <v>1.2716354645001746E-2</v>
      </c>
      <c r="E25" s="7">
        <f>(MonthlyData!F29-MonthlyData!F28)/MonthlyData!F28</f>
        <v>-1.1070110701106939E-2</v>
      </c>
      <c r="K25" s="12"/>
    </row>
    <row r="26" spans="1:18" x14ac:dyDescent="0.2">
      <c r="A26" s="11">
        <v>43040</v>
      </c>
      <c r="B26" s="7">
        <f>(MonthlyData!C30-MonthlyData!C29)/MonthlyData!C29</f>
        <v>-6.2423799073396617E-2</v>
      </c>
      <c r="C26" s="7">
        <f>(MonthlyData!D30-MonthlyData!D29)/MonthlyData!D29</f>
        <v>5.1643192488263066E-2</v>
      </c>
      <c r="D26" s="7">
        <f>(MonthlyData!E30-MonthlyData!E29)/MonthlyData!E29</f>
        <v>-1.4823857690966231E-2</v>
      </c>
      <c r="E26" s="7">
        <f>(MonthlyData!F30-MonthlyData!F29)/MonthlyData!F29</f>
        <v>-0.13059701492537315</v>
      </c>
      <c r="H26" t="s">
        <v>32</v>
      </c>
      <c r="I26">
        <f>(L21-O8)/(O9*L22)</f>
        <v>0.24985085872526089</v>
      </c>
      <c r="K26" t="s">
        <v>34</v>
      </c>
    </row>
    <row r="27" spans="1:18" x14ac:dyDescent="0.2">
      <c r="A27" s="11">
        <v>43070</v>
      </c>
      <c r="B27" s="7">
        <f>(MonthlyData!C31-MonthlyData!C30)/MonthlyData!C30</f>
        <v>8.5045513654096114E-2</v>
      </c>
      <c r="C27" s="7">
        <f>(MonthlyData!D31-MonthlyData!D30)/MonthlyData!D30</f>
        <v>0.15624999999999983</v>
      </c>
      <c r="D27" s="7">
        <f>(MonthlyData!E31-MonthlyData!E30)/MonthlyData!E30</f>
        <v>7.7830884522334318E-2</v>
      </c>
      <c r="E27" s="7">
        <f>(MonthlyData!F31-MonthlyData!F30)/MonthlyData!F30</f>
        <v>-0.12875536480686706</v>
      </c>
      <c r="L27">
        <f>I33</f>
        <v>6.9916170678082853E-2</v>
      </c>
      <c r="M27">
        <f>I32</f>
        <v>0.35443507508861638</v>
      </c>
    </row>
    <row r="28" spans="1:18" x14ac:dyDescent="0.2">
      <c r="A28" s="11">
        <v>43102</v>
      </c>
      <c r="B28" s="7">
        <f>(MonthlyData!C32-MonthlyData!C31)/MonthlyData!C31</f>
        <v>2.4928092042185983E-2</v>
      </c>
      <c r="C28" s="7">
        <f>(MonthlyData!D32-MonthlyData!D31)/MonthlyData!D31</f>
        <v>-4.6332046332046205E-2</v>
      </c>
      <c r="D28" s="7">
        <f>(MonthlyData!E32-MonthlyData!E31)/MonthlyData!E31</f>
        <v>-4.1388371838388276E-2</v>
      </c>
      <c r="E28" s="7">
        <f>(MonthlyData!F32-MonthlyData!F31)/MonthlyData!F31</f>
        <v>8.3743842364532209E-2</v>
      </c>
      <c r="K28">
        <v>1</v>
      </c>
      <c r="L28">
        <f t="dataTable" ref="L28:M48" dt2D="0" dtr="0" r1="I31"/>
        <v>0</v>
      </c>
      <c r="M28">
        <v>0.04</v>
      </c>
    </row>
    <row r="29" spans="1:18" x14ac:dyDescent="0.2">
      <c r="A29" s="11">
        <v>43132</v>
      </c>
      <c r="B29" s="7">
        <f>(MonthlyData!C33-MonthlyData!C32)/MonthlyData!C32</f>
        <v>7.2497661365762932E-3</v>
      </c>
      <c r="C29" s="7">
        <f>(MonthlyData!D33-MonthlyData!D32)/MonthlyData!D32</f>
        <v>8.097165991902841E-3</v>
      </c>
      <c r="D29" s="7">
        <f>(MonthlyData!E33-MonthlyData!E32)/MonthlyData!E32</f>
        <v>3.6093660765276946E-2</v>
      </c>
      <c r="E29" s="7">
        <f>(MonthlyData!F33-MonthlyData!F32)/MonthlyData!F32</f>
        <v>-2.2727272727272846E-2</v>
      </c>
      <c r="H29" t="s">
        <v>33</v>
      </c>
      <c r="K29">
        <v>0.9</v>
      </c>
      <c r="L29">
        <v>1.3983234135616567E-2</v>
      </c>
      <c r="M29">
        <v>0.10288701501772327</v>
      </c>
    </row>
    <row r="30" spans="1:18" x14ac:dyDescent="0.2">
      <c r="A30" s="11">
        <v>43160</v>
      </c>
      <c r="B30" s="7">
        <f>(MonthlyData!C34-MonthlyData!C33)/MonthlyData!C33</f>
        <v>-2.600417924309258E-2</v>
      </c>
      <c r="C30" s="7">
        <f>(MonthlyData!D34-MonthlyData!D33)/MonthlyData!D33</f>
        <v>0.20682730923694764</v>
      </c>
      <c r="D30" s="7">
        <f>(MonthlyData!E34-MonthlyData!E33)/MonthlyData!E33</f>
        <v>6.4325873663322763E-2</v>
      </c>
      <c r="E30" s="7">
        <f>(MonthlyData!F34-MonthlyData!F33)/MonthlyData!F33</f>
        <v>5.1162790697674362E-2</v>
      </c>
      <c r="K30">
        <v>0.8</v>
      </c>
      <c r="L30">
        <v>2.7966468271233134E-2</v>
      </c>
      <c r="M30">
        <v>0.16577403003544652</v>
      </c>
    </row>
    <row r="31" spans="1:18" x14ac:dyDescent="0.2">
      <c r="A31" s="11">
        <v>43192</v>
      </c>
      <c r="B31" s="7">
        <f>(MonthlyData!C35-MonthlyData!C34)/MonthlyData!C34</f>
        <v>4.2908224076281219E-2</v>
      </c>
      <c r="C31" s="7">
        <f>(MonthlyData!D35-MonthlyData!D34)/MonthlyData!D34</f>
        <v>-3.3277870216306189E-2</v>
      </c>
      <c r="D31" s="7">
        <f>(MonthlyData!E35-MonthlyData!E34)/MonthlyData!E34</f>
        <v>-8.8818685587031987E-2</v>
      </c>
      <c r="E31" s="7">
        <f>(MonthlyData!F35-MonthlyData!F34)/MonthlyData!F34</f>
        <v>-0.1991150442477875</v>
      </c>
      <c r="H31" t="s">
        <v>34</v>
      </c>
      <c r="I31">
        <f>K33</f>
        <v>0.5</v>
      </c>
      <c r="K31">
        <v>0.7</v>
      </c>
      <c r="L31">
        <v>4.1949702406849719E-2</v>
      </c>
      <c r="M31">
        <v>0.22866104505316984</v>
      </c>
    </row>
    <row r="32" spans="1:18" x14ac:dyDescent="0.2">
      <c r="A32" s="11">
        <v>43221</v>
      </c>
      <c r="B32" s="7">
        <f>(MonthlyData!C36-MonthlyData!C35)/MonthlyData!C35</f>
        <v>-4.7542857142857102E-2</v>
      </c>
      <c r="C32" s="7">
        <f>(MonthlyData!D36-MonthlyData!D35)/MonthlyData!D35</f>
        <v>-4.8192771084337241E-2</v>
      </c>
      <c r="D32" s="7">
        <f>(MonthlyData!E36-MonthlyData!E35)/MonthlyData!E35</f>
        <v>-0.11680118222121184</v>
      </c>
      <c r="E32" s="7">
        <f>(MonthlyData!F36-MonthlyData!F35)/MonthlyData!F35</f>
        <v>-9.3922651933701737E-2</v>
      </c>
      <c r="H32" t="s">
        <v>35</v>
      </c>
      <c r="I32">
        <f>I31*O8+(1-I31)*L21</f>
        <v>0.35443507508861638</v>
      </c>
      <c r="K32">
        <v>0.6</v>
      </c>
      <c r="L32">
        <v>5.5932936542466283E-2</v>
      </c>
      <c r="M32">
        <v>0.29154806007089312</v>
      </c>
    </row>
    <row r="33" spans="1:13" x14ac:dyDescent="0.2">
      <c r="A33" s="11">
        <v>43252</v>
      </c>
      <c r="B33" s="7">
        <f>(MonthlyData!C37-MonthlyData!C36)/MonthlyData!C36</f>
        <v>1.4638828893688491E-2</v>
      </c>
      <c r="C33" s="7">
        <f>(MonthlyData!D37-MonthlyData!D36)/MonthlyData!D36</f>
        <v>2.71247739602169E-2</v>
      </c>
      <c r="D33" s="7">
        <f>(MonthlyData!E37-MonthlyData!E36)/MonthlyData!E36</f>
        <v>0.11886221764592335</v>
      </c>
      <c r="E33" s="7">
        <f>(MonthlyData!F37-MonthlyData!F36)/MonthlyData!F36</f>
        <v>0.11585365853658547</v>
      </c>
      <c r="H33" t="s">
        <v>24</v>
      </c>
      <c r="I33">
        <f>(1-I31)*L22</f>
        <v>6.9916170678082853E-2</v>
      </c>
      <c r="K33">
        <v>0.5</v>
      </c>
      <c r="L33" s="7">
        <v>6.9916170678082853E-2</v>
      </c>
      <c r="M33">
        <v>0.35443507508861638</v>
      </c>
    </row>
    <row r="34" spans="1:13" x14ac:dyDescent="0.2">
      <c r="A34" s="11">
        <v>43283</v>
      </c>
      <c r="B34" s="7">
        <f>(MonthlyData!C38-MonthlyData!C37)/MonthlyData!C37</f>
        <v>0.12488174077578053</v>
      </c>
      <c r="C34" s="7">
        <f>(MonthlyData!D38-MonthlyData!D37)/MonthlyData!D37</f>
        <v>0.13380281690140858</v>
      </c>
      <c r="D34" s="7">
        <f>(MonthlyData!E38-MonthlyData!E37)/MonthlyData!E37</f>
        <v>0.11578281375819621</v>
      </c>
      <c r="E34" s="7">
        <f>(MonthlyData!F38-MonthlyData!F37)/MonthlyData!F37</f>
        <v>0.33333333333333326</v>
      </c>
      <c r="K34">
        <v>0.4</v>
      </c>
      <c r="L34" s="7">
        <v>8.3899404813699424E-2</v>
      </c>
      <c r="M34">
        <v>0.41732209010633964</v>
      </c>
    </row>
    <row r="35" spans="1:13" x14ac:dyDescent="0.2">
      <c r="A35" s="11">
        <v>43313</v>
      </c>
      <c r="B35" s="7">
        <f>(MonthlyData!C39-MonthlyData!C38)/MonthlyData!C38</f>
        <v>-1.5979814970563607E-2</v>
      </c>
      <c r="C35" s="7">
        <f>(MonthlyData!D39-MonthlyData!D38)/MonthlyData!D38</f>
        <v>-5.9006211180124342E-2</v>
      </c>
      <c r="D35" s="7">
        <f>(MonthlyData!E39-MonthlyData!E38)/MonthlyData!E38</f>
        <v>1.7372029486056005E-2</v>
      </c>
      <c r="E35" s="7">
        <f>(MonthlyData!F39-MonthlyData!F38)/MonthlyData!F38</f>
        <v>8.1967213114754172E-3</v>
      </c>
      <c r="K35">
        <v>0.3</v>
      </c>
      <c r="L35">
        <v>9.7882638949315995E-2</v>
      </c>
      <c r="M35">
        <v>0.4802091051240629</v>
      </c>
    </row>
    <row r="36" spans="1:13" x14ac:dyDescent="0.2">
      <c r="A36" s="11">
        <v>43347</v>
      </c>
      <c r="B36" s="7">
        <f>(MonthlyData!C40-MonthlyData!C39)/MonthlyData!C39</f>
        <v>7.6495726495726613E-2</v>
      </c>
      <c r="C36" s="7">
        <f>(MonthlyData!D40-MonthlyData!D39)/MonthlyData!D39</f>
        <v>1.650165016501659E-2</v>
      </c>
      <c r="D36" s="7">
        <f>(MonthlyData!E40-MonthlyData!E39)/MonthlyData!E39</f>
        <v>-0.13026955816781519</v>
      </c>
      <c r="E36" s="7">
        <f>(MonthlyData!F40-MonthlyData!F39)/MonthlyData!F39</f>
        <v>-0.11788617886178863</v>
      </c>
      <c r="K36">
        <v>0.2</v>
      </c>
      <c r="L36">
        <v>0.11186587308493257</v>
      </c>
      <c r="M36">
        <v>0.54309612014178621</v>
      </c>
    </row>
    <row r="37" spans="1:13" x14ac:dyDescent="0.2">
      <c r="A37" s="11">
        <v>43374</v>
      </c>
      <c r="B37" s="7">
        <f>(MonthlyData!C41-MonthlyData!C40)/MonthlyData!C40</f>
        <v>0.1331877729257642</v>
      </c>
      <c r="C37" s="7">
        <f>(MonthlyData!D41-MonthlyData!D40)/MonthlyData!D40</f>
        <v>0.15097402597402593</v>
      </c>
      <c r="D37" s="7">
        <f>(MonthlyData!E41-MonthlyData!E40)/MonthlyData!E40</f>
        <v>-2.8546460821439502E-3</v>
      </c>
      <c r="E37" s="7">
        <f>(MonthlyData!F41-MonthlyData!F40)/MonthlyData!F40</f>
        <v>-5.5299539170506964E-2</v>
      </c>
      <c r="K37">
        <v>0.1</v>
      </c>
      <c r="L37">
        <v>0.12584910722054915</v>
      </c>
      <c r="M37">
        <v>0.60598313515950952</v>
      </c>
    </row>
    <row r="38" spans="1:13" x14ac:dyDescent="0.2">
      <c r="A38" s="11">
        <v>43405</v>
      </c>
      <c r="B38" s="7">
        <f>(MonthlyData!C42-MonthlyData!C41)/MonthlyData!C41</f>
        <v>-4.7293746715712575E-3</v>
      </c>
      <c r="C38" s="7">
        <f>(MonthlyData!D42-MonthlyData!D41)/MonthlyData!D41</f>
        <v>1.9746121297602337E-2</v>
      </c>
      <c r="D38" s="7">
        <f>(MonthlyData!E42-MonthlyData!E41)/MonthlyData!E41</f>
        <v>-5.0946482823089501E-2</v>
      </c>
      <c r="E38" s="7">
        <f>(MonthlyData!F42-MonthlyData!F41)/MonthlyData!F41</f>
        <v>4.8780487804878099E-2</v>
      </c>
      <c r="K38">
        <v>0</v>
      </c>
      <c r="L38">
        <v>0.13983234135616571</v>
      </c>
      <c r="M38">
        <v>0.66887015017723273</v>
      </c>
    </row>
    <row r="39" spans="1:13" x14ac:dyDescent="0.2">
      <c r="A39" s="11">
        <v>43437</v>
      </c>
      <c r="B39" s="7">
        <f>(MonthlyData!C43-MonthlyData!C42)/MonthlyData!C42</f>
        <v>-2.2175290390707463E-2</v>
      </c>
      <c r="C39" s="7">
        <f>(MonthlyData!D43-MonthlyData!D42)/MonthlyData!D42</f>
        <v>-0.24619640387275243</v>
      </c>
      <c r="D39" s="7">
        <f>(MonthlyData!E43-MonthlyData!E42)/MonthlyData!E42</f>
        <v>-6.5808914060576193E-2</v>
      </c>
      <c r="E39" s="7">
        <f>(MonthlyData!F43-MonthlyData!F42)/MonthlyData!F42</f>
        <v>-0.35813953488372097</v>
      </c>
      <c r="K39">
        <v>-0.1</v>
      </c>
      <c r="L39">
        <v>0.15381557549178229</v>
      </c>
      <c r="M39">
        <v>0.73175716519495604</v>
      </c>
    </row>
    <row r="40" spans="1:13" x14ac:dyDescent="0.2">
      <c r="A40" s="11">
        <v>43467</v>
      </c>
      <c r="B40" s="7">
        <f>(MonthlyData!C44-MonthlyData!C43)/MonthlyData!C43</f>
        <v>-0.16828653707703387</v>
      </c>
      <c r="C40" s="7">
        <f>(MonthlyData!D44-MonthlyData!D43)/MonthlyData!D43</f>
        <v>-0.22018348623853212</v>
      </c>
      <c r="D40" s="7">
        <f>(MonthlyData!E44-MonthlyData!E43)/MonthlyData!E43</f>
        <v>-7.0247116968698495E-2</v>
      </c>
      <c r="E40" s="7">
        <f>(MonthlyData!F44-MonthlyData!F43)/MonthlyData!F43</f>
        <v>8.6956521739130516E-2</v>
      </c>
      <c r="K40">
        <v>-0.2</v>
      </c>
      <c r="L40">
        <v>0.16779880962739885</v>
      </c>
      <c r="M40">
        <v>0.79464418021267924</v>
      </c>
    </row>
    <row r="41" spans="1:13" x14ac:dyDescent="0.2">
      <c r="A41" s="11">
        <v>43497</v>
      </c>
      <c r="B41" s="7">
        <f>(MonthlyData!C45-MonthlyData!C44)/MonthlyData!C44</f>
        <v>-0.14563947197576291</v>
      </c>
      <c r="C41" s="7">
        <f>(MonthlyData!D45-MonthlyData!D44)/MonthlyData!D44</f>
        <v>-0.19764705882352937</v>
      </c>
      <c r="D41" s="7">
        <f>(MonthlyData!E45-MonthlyData!E44)/MonthlyData!E44</f>
        <v>-3.8344319228860987E-2</v>
      </c>
      <c r="E41" s="7">
        <f>(MonthlyData!F45-MonthlyData!F44)/MonthlyData!F44</f>
        <v>6.6666666666666723E-3</v>
      </c>
      <c r="K41">
        <v>-0.3</v>
      </c>
      <c r="L41">
        <v>0.18178204376301543</v>
      </c>
      <c r="M41">
        <v>0.85753119523040255</v>
      </c>
    </row>
    <row r="42" spans="1:13" x14ac:dyDescent="0.2">
      <c r="A42" s="11">
        <v>43525</v>
      </c>
      <c r="B42" s="7">
        <f>(MonthlyData!C46-MonthlyData!C45)/MonthlyData!C45</f>
        <v>5.4457953394123758E-2</v>
      </c>
      <c r="C42" s="7">
        <f>(MonthlyData!D46-MonthlyData!D45)/MonthlyData!D45</f>
        <v>6.1583577712609958E-2</v>
      </c>
      <c r="D42" s="7">
        <f>(MonthlyData!E46-MonthlyData!E45)/MonthlyData!E45</f>
        <v>0.22132959905660377</v>
      </c>
      <c r="E42" s="7">
        <f>(MonthlyData!F46-MonthlyData!F45)/MonthlyData!F45</f>
        <v>1.3245033112582794E-2</v>
      </c>
      <c r="K42">
        <v>-0.4</v>
      </c>
      <c r="L42">
        <v>0.19576527789863199</v>
      </c>
      <c r="M42">
        <v>0.92041821024812576</v>
      </c>
    </row>
    <row r="43" spans="1:13" x14ac:dyDescent="0.2">
      <c r="A43" s="11">
        <v>43556</v>
      </c>
      <c r="B43" s="7">
        <f>(MonthlyData!C47-MonthlyData!C46)/MonthlyData!C46</f>
        <v>5.0684602450156123E-2</v>
      </c>
      <c r="C43" s="7">
        <f>(MonthlyData!D47-MonthlyData!D46)/MonthlyData!D46</f>
        <v>8.0110497237569064E-2</v>
      </c>
      <c r="D43" s="7">
        <f>(MonthlyData!E47-MonthlyData!E46)/MonthlyData!E46</f>
        <v>-2.0698811176151147E-2</v>
      </c>
      <c r="E43" s="7">
        <f>(MonthlyData!F47-MonthlyData!F46)/MonthlyData!F46</f>
        <v>0.28104575163398687</v>
      </c>
      <c r="K43">
        <v>-0.5</v>
      </c>
      <c r="L43">
        <v>0.20974851203424855</v>
      </c>
      <c r="M43">
        <v>0.98330522526584918</v>
      </c>
    </row>
    <row r="44" spans="1:13" x14ac:dyDescent="0.2">
      <c r="A44" s="11">
        <v>43586</v>
      </c>
      <c r="B44" s="7">
        <f>(MonthlyData!C48-MonthlyData!C47)/MonthlyData!C47</f>
        <v>9.3049839963420214E-2</v>
      </c>
      <c r="C44" s="7">
        <f>(MonthlyData!D48-MonthlyData!D47)/MonthlyData!D47</f>
        <v>0.16624040920716099</v>
      </c>
      <c r="D44" s="7">
        <f>(MonthlyData!E48-MonthlyData!E47)/MonthlyData!E47</f>
        <v>3.9561252156766008E-2</v>
      </c>
      <c r="E44" s="7">
        <f>(MonthlyData!F48-MonthlyData!F47)/MonthlyData!F47</f>
        <v>0.1173469387755102</v>
      </c>
      <c r="K44">
        <v>-0.6</v>
      </c>
      <c r="L44">
        <v>0.22373174616986513</v>
      </c>
      <c r="M44">
        <v>1.0461922402835724</v>
      </c>
    </row>
    <row r="45" spans="1:13" x14ac:dyDescent="0.2">
      <c r="A45" s="11">
        <v>43619</v>
      </c>
      <c r="B45" s="7">
        <f>(MonthlyData!C49-MonthlyData!C48)/MonthlyData!C48</f>
        <v>0.10081572892700272</v>
      </c>
      <c r="C45" s="7">
        <f>(MonthlyData!D49-MonthlyData!D48)/MonthlyData!D48</f>
        <v>-1.0964912280701716E-2</v>
      </c>
      <c r="D45" s="7">
        <f>(MonthlyData!E49-MonthlyData!E48)/MonthlyData!E48</f>
        <v>0.14422050978067583</v>
      </c>
      <c r="E45" s="7">
        <f>(MonthlyData!F49-MonthlyData!F48)/MonthlyData!F48</f>
        <v>4.5662100456621044E-2</v>
      </c>
      <c r="K45">
        <v>-0.7</v>
      </c>
      <c r="L45">
        <v>0.23771498030548169</v>
      </c>
      <c r="M45">
        <v>1.1090792553012956</v>
      </c>
    </row>
    <row r="46" spans="1:13" x14ac:dyDescent="0.2">
      <c r="A46" s="11">
        <v>43647</v>
      </c>
      <c r="B46" s="7">
        <f>(MonthlyData!C50-MonthlyData!C49)/MonthlyData!C49</f>
        <v>-0.17670530115903485</v>
      </c>
      <c r="C46" s="7">
        <f>(MonthlyData!D50-MonthlyData!D49)/MonthlyData!D49</f>
        <v>-0.25942350332594233</v>
      </c>
      <c r="D46" s="7">
        <f>(MonthlyData!E50-MonthlyData!E49)/MonthlyData!E49</f>
        <v>-0.14961404962959124</v>
      </c>
      <c r="E46" s="7">
        <f>(MonthlyData!F50-MonthlyData!F49)/MonthlyData!F49</f>
        <v>-0.15720524017467252</v>
      </c>
      <c r="K46">
        <v>-0.8</v>
      </c>
      <c r="L46">
        <v>0.2516982144410983</v>
      </c>
      <c r="M46">
        <v>1.171966270319019</v>
      </c>
    </row>
    <row r="47" spans="1:13" x14ac:dyDescent="0.2">
      <c r="A47" s="11">
        <v>43678</v>
      </c>
      <c r="B47" s="7">
        <f>(MonthlyData!C51-MonthlyData!C50)/MonthlyData!C50</f>
        <v>0.16293561043157173</v>
      </c>
      <c r="C47" s="7">
        <f>(MonthlyData!D51-MonthlyData!D50)/MonthlyData!D50</f>
        <v>0.2425149700598804</v>
      </c>
      <c r="D47" s="7">
        <f>(MonthlyData!E51-MonthlyData!E50)/MonthlyData!E50</f>
        <v>0.1757538836430094</v>
      </c>
      <c r="E47" s="7">
        <f>(MonthlyData!F51-MonthlyData!F50)/MonthlyData!F50</f>
        <v>0</v>
      </c>
      <c r="K47">
        <v>-0.9</v>
      </c>
      <c r="L47">
        <v>0.26568144857671483</v>
      </c>
      <c r="M47">
        <v>1.234853285336742</v>
      </c>
    </row>
    <row r="48" spans="1:13" x14ac:dyDescent="0.2">
      <c r="A48" s="11">
        <v>43711</v>
      </c>
      <c r="B48" s="7">
        <f>(MonthlyData!C52-MonthlyData!C51)/MonthlyData!C51</f>
        <v>3.4133756697757471E-2</v>
      </c>
      <c r="C48" s="7">
        <f>(MonthlyData!D52-MonthlyData!D51)/MonthlyData!D51</f>
        <v>-7.2289156626506616E-3</v>
      </c>
      <c r="D48" s="7">
        <f>(MonthlyData!E52-MonthlyData!E51)/MonthlyData!E51</f>
        <v>-1.3989637305700012E-3</v>
      </c>
      <c r="E48" s="7">
        <f>(MonthlyData!F52-MonthlyData!F51)/MonthlyData!F51</f>
        <v>-6.2176165803108752E-2</v>
      </c>
      <c r="K48">
        <v>-1</v>
      </c>
      <c r="L48">
        <v>0.27966468271233141</v>
      </c>
      <c r="M48">
        <v>1.2977403003544654</v>
      </c>
    </row>
    <row r="49" spans="1:5" x14ac:dyDescent="0.2">
      <c r="A49" s="11">
        <v>43739</v>
      </c>
      <c r="B49" s="7">
        <f>(MonthlyData!C53-MonthlyData!C52)/MonthlyData!C52</f>
        <v>-1.3049318748800609E-2</v>
      </c>
      <c r="C49" s="7">
        <f>(MonthlyData!D53-MonthlyData!D52)/MonthlyData!D52</f>
        <v>-4.8543689320389473E-3</v>
      </c>
      <c r="D49" s="7">
        <f>(MonthlyData!E53-MonthlyData!E52)/MonthlyData!E52</f>
        <v>-5.3650184195506691E-2</v>
      </c>
      <c r="E49" s="7">
        <f>(MonthlyData!F53-MonthlyData!F52)/MonthlyData!F52</f>
        <v>1.6574585635359129E-2</v>
      </c>
    </row>
    <row r="50" spans="1:5" x14ac:dyDescent="0.2">
      <c r="A50" s="11">
        <v>43770</v>
      </c>
      <c r="B50" s="7">
        <f>(MonthlyData!C54-MonthlyData!C53)/MonthlyData!C53</f>
        <v>9.1775228465875922E-2</v>
      </c>
      <c r="C50" s="7">
        <f>(MonthlyData!D54-MonthlyData!D53)/MonthlyData!D53</f>
        <v>6.0975609756097567E-2</v>
      </c>
      <c r="D50" s="7">
        <f>(MonthlyData!E54-MonthlyData!E53)/MonthlyData!E53</f>
        <v>-3.6076539283951888E-2</v>
      </c>
      <c r="E50" s="7">
        <f>(MonthlyData!F54-MonthlyData!F53)/MonthlyData!F53</f>
        <v>5.4347826086956444E-2</v>
      </c>
    </row>
    <row r="51" spans="1:5" x14ac:dyDescent="0.2">
      <c r="A51" s="11">
        <v>43801</v>
      </c>
      <c r="B51" s="7">
        <f>(MonthlyData!C55-MonthlyData!C54)/MonthlyData!C54</f>
        <v>0.13909171861086381</v>
      </c>
      <c r="C51" s="7">
        <f>(MonthlyData!D55-MonthlyData!D54)/MonthlyData!D54</f>
        <v>0.16321839080459771</v>
      </c>
      <c r="D51" s="7">
        <f>(MonthlyData!E55-MonthlyData!E54)/MonthlyData!E54</f>
        <v>0.10130254251749049</v>
      </c>
      <c r="E51" s="7">
        <f>(MonthlyData!F55-MonthlyData!F54)/MonthlyData!F54</f>
        <v>5.6701030927834989E-2</v>
      </c>
    </row>
    <row r="52" spans="1:5" x14ac:dyDescent="0.2">
      <c r="A52" s="11">
        <v>43832</v>
      </c>
      <c r="B52" s="7">
        <f>(MonthlyData!C56-MonthlyData!C55)/MonthlyData!C55</f>
        <v>3.2520325203252119E-2</v>
      </c>
      <c r="C52" s="7">
        <f>(MonthlyData!D56-MonthlyData!D55)/MonthlyData!D55</f>
        <v>3.3596837944664198E-2</v>
      </c>
      <c r="D52" s="7">
        <f>(MonthlyData!E56-MonthlyData!E55)/MonthlyData!E55</f>
        <v>3.1401714698894662E-2</v>
      </c>
      <c r="E52" s="7">
        <f>(MonthlyData!F56-MonthlyData!F55)/MonthlyData!F55</f>
        <v>4.8780487804878099E-2</v>
      </c>
    </row>
    <row r="53" spans="1:5" x14ac:dyDescent="0.2">
      <c r="A53" s="11">
        <v>43864</v>
      </c>
      <c r="B53" s="7">
        <f>(MonthlyData!C57-MonthlyData!C56)/MonthlyData!C56</f>
        <v>0.13703815869170194</v>
      </c>
      <c r="C53" s="7">
        <f>(MonthlyData!D57-MonthlyData!D56)/MonthlyData!D56</f>
        <v>0.14722753346080297</v>
      </c>
      <c r="D53" s="7">
        <f>(MonthlyData!E57-MonthlyData!E56)/MonthlyData!E56</f>
        <v>5.0475713570355601E-2</v>
      </c>
      <c r="E53" s="7">
        <f>(MonthlyData!F57-MonthlyData!F56)/MonthlyData!F56</f>
        <v>9.7674418604651148E-2</v>
      </c>
    </row>
    <row r="54" spans="1:5" x14ac:dyDescent="0.2">
      <c r="A54" s="11">
        <v>43892</v>
      </c>
      <c r="B54" s="7">
        <f>(MonthlyData!C58-MonthlyData!C57)/MonthlyData!C57</f>
        <v>2.7700093221467548E-2</v>
      </c>
      <c r="C54" s="7">
        <f>(MonthlyData!D58-MonthlyData!D57)/MonthlyData!D57</f>
        <v>1.6666666666666312E-3</v>
      </c>
      <c r="D54" s="7">
        <f>(MonthlyData!E58-MonthlyData!E57)/MonthlyData!E57</f>
        <v>-2.6646963485556313E-2</v>
      </c>
      <c r="E54" s="7">
        <f>(MonthlyData!F58-MonthlyData!F57)/MonthlyData!F57</f>
        <v>0.21610169491525436</v>
      </c>
    </row>
    <row r="55" spans="1:5" x14ac:dyDescent="0.2">
      <c r="A55" s="11">
        <v>43922</v>
      </c>
      <c r="B55" s="7">
        <f>(MonthlyData!C59-MonthlyData!C58)/MonthlyData!C58</f>
        <v>-3.2007256705973812E-2</v>
      </c>
      <c r="C55" s="7">
        <f>(MonthlyData!D59-MonthlyData!D58)/MonthlyData!D58</f>
        <v>0.14975041597337777</v>
      </c>
      <c r="D55" s="7">
        <f>(MonthlyData!E59-MonthlyData!E58)/MonthlyData!E58</f>
        <v>-3.7954845976786326E-2</v>
      </c>
      <c r="E55" s="7">
        <f>(MonthlyData!F59-MonthlyData!F58)/MonthlyData!F58</f>
        <v>-8.7108013937282222E-2</v>
      </c>
    </row>
    <row r="56" spans="1:5" x14ac:dyDescent="0.2">
      <c r="A56" s="11">
        <v>43952</v>
      </c>
      <c r="B56" s="7">
        <f>(MonthlyData!C60-MonthlyData!C59)/MonthlyData!C59</f>
        <v>-0.19370816599732268</v>
      </c>
      <c r="C56" s="7">
        <f>(MonthlyData!D60-MonthlyData!D59)/MonthlyData!D59</f>
        <v>-0.12011577424023155</v>
      </c>
      <c r="D56" s="7">
        <f>(MonthlyData!E60-MonthlyData!E59)/MonthlyData!E59</f>
        <v>-0.18753817959682348</v>
      </c>
      <c r="E56" s="7">
        <f>(MonthlyData!F60-MonthlyData!F59)/MonthlyData!F59</f>
        <v>-0.21755725190839706</v>
      </c>
    </row>
    <row r="57" spans="1:5" x14ac:dyDescent="0.2">
      <c r="A57" s="11">
        <v>43983</v>
      </c>
      <c r="B57" s="7">
        <f>(MonthlyData!C61-MonthlyData!C60)/MonthlyData!C60</f>
        <v>0.19990038186950024</v>
      </c>
      <c r="C57" s="7">
        <f>(MonthlyData!D61-MonthlyData!D60)/MonthlyData!D60</f>
        <v>0.16282894736842107</v>
      </c>
      <c r="D57" s="7">
        <f>(MonthlyData!E61-MonthlyData!E60)/MonthlyData!E60</f>
        <v>0.2673558897243109</v>
      </c>
      <c r="E57" s="7">
        <f>(MonthlyData!F61-MonthlyData!F60)/MonthlyData!F60</f>
        <v>8.2926829268292868E-2</v>
      </c>
    </row>
    <row r="58" spans="1:5" x14ac:dyDescent="0.2">
      <c r="A58" s="11">
        <v>44013</v>
      </c>
      <c r="B58" s="7">
        <f>(MonthlyData!C62-MonthlyData!C61)/MonthlyData!C61</f>
        <v>0.11332503113325029</v>
      </c>
      <c r="C58" s="7">
        <f>(MonthlyData!D62-MonthlyData!D61)/MonthlyData!D61</f>
        <v>0.24611032531824614</v>
      </c>
      <c r="D58" s="7">
        <f>(MonthlyData!E62-MonthlyData!E61)/MonthlyData!E61</f>
        <v>0.14653680723785031</v>
      </c>
      <c r="E58" s="7">
        <f>(MonthlyData!F62-MonthlyData!F61)/MonthlyData!F61</f>
        <v>0.19819819819819814</v>
      </c>
    </row>
    <row r="59" spans="1:5" x14ac:dyDescent="0.2">
      <c r="A59" s="11">
        <v>44046</v>
      </c>
      <c r="B59" s="7">
        <f>(MonthlyData!C63-MonthlyData!C62)/MonthlyData!C62</f>
        <v>0.13136962465821536</v>
      </c>
      <c r="C59" s="7">
        <f>(MonthlyData!D63-MonthlyData!D62)/MonthlyData!D62</f>
        <v>8.1725312145289317E-2</v>
      </c>
      <c r="D59" s="7">
        <f>(MonthlyData!E63-MonthlyData!E62)/MonthlyData!E62</f>
        <v>2.4319779224699301E-2</v>
      </c>
      <c r="E59" s="7">
        <f>(MonthlyData!F63-MonthlyData!F62)/MonthlyData!F62</f>
        <v>4.8872180451127775E-2</v>
      </c>
    </row>
    <row r="60" spans="1:5" x14ac:dyDescent="0.2">
      <c r="A60" s="11">
        <v>44075</v>
      </c>
      <c r="B60" s="7">
        <f>(MonthlyData!C64-MonthlyData!C63)/MonthlyData!C63</f>
        <v>0.19674832472811157</v>
      </c>
      <c r="C60" s="7">
        <f>(MonthlyData!D64-MonthlyData!D63)/MonthlyData!D63</f>
        <v>0.15529905561385104</v>
      </c>
      <c r="D60" s="7">
        <f>(MonthlyData!E64-MonthlyData!E63)/MonthlyData!E63</f>
        <v>6.0660913491896423E-2</v>
      </c>
      <c r="E60" s="7">
        <f>(MonthlyData!F64-MonthlyData!F63)/MonthlyData!F63</f>
        <v>8.6021505376343996E-2</v>
      </c>
    </row>
    <row r="61" spans="1:5" x14ac:dyDescent="0.2">
      <c r="A61" s="11">
        <v>44105</v>
      </c>
      <c r="B61" s="7">
        <f>(MonthlyData!C65-MonthlyData!C64)/MonthlyData!C64</f>
        <v>0.23168716724802652</v>
      </c>
      <c r="C61" s="7">
        <f>(MonthlyData!D65-MonthlyData!D64)/MonthlyData!D64</f>
        <v>0.25522252497729342</v>
      </c>
      <c r="D61" s="7">
        <f>(MonthlyData!E65-MonthlyData!E64)/MonthlyData!E64</f>
        <v>0.17256707413875214</v>
      </c>
      <c r="E61" s="7">
        <f>(MonthlyData!F65-MonthlyData!F64)/MonthlyData!F64</f>
        <v>-0.10561056105610557</v>
      </c>
    </row>
    <row r="62" spans="1:5" x14ac:dyDescent="0.2">
      <c r="A62" s="11">
        <v>44137</v>
      </c>
      <c r="B62" s="7">
        <f>(MonthlyData!C66-MonthlyData!C65)/MonthlyData!C65</f>
        <v>-0.12960202712773886</v>
      </c>
      <c r="C62" s="7">
        <f>(MonthlyData!D66-MonthlyData!D65)/MonthlyData!D65</f>
        <v>-1.5195369030390799E-2</v>
      </c>
      <c r="D62" s="7">
        <f>(MonthlyData!E66-MonthlyData!E65)/MonthlyData!E65</f>
        <v>-9.751556999729219E-2</v>
      </c>
      <c r="E62" s="7">
        <f>(MonthlyData!F66-MonthlyData!F65)/MonthlyData!F65</f>
        <v>-3.3210332103320979E-2</v>
      </c>
    </row>
    <row r="63" spans="1:5" x14ac:dyDescent="0.2">
      <c r="A63" s="11">
        <v>44166</v>
      </c>
      <c r="B63" s="7">
        <f>(MonthlyData!C67-MonthlyData!C66)/MonthlyData!C66</f>
        <v>-6.8670262864971396E-2</v>
      </c>
      <c r="C63" s="7">
        <f>(MonthlyData!D67-MonthlyData!D66)/MonthlyData!D66</f>
        <v>-7.5679647318148371E-2</v>
      </c>
      <c r="D63" s="7">
        <f>(MonthlyData!E67-MonthlyData!E66)/MonthlyData!E66</f>
        <v>-1.9765217717436081E-2</v>
      </c>
      <c r="E63" s="7">
        <f>(MonthlyData!F67-MonthlyData!F66)/MonthlyData!F66</f>
        <v>-0.12213740458015278</v>
      </c>
    </row>
    <row r="64" spans="1:5" x14ac:dyDescent="0.2">
      <c r="A64" s="11">
        <v>44200</v>
      </c>
      <c r="B64" s="7">
        <f>(MonthlyData!C68-MonthlyData!C67)/MonthlyData!C67</f>
        <v>0.1282522754435966</v>
      </c>
      <c r="C64" s="7">
        <f>(MonthlyData!D68-MonthlyData!D67)/MonthlyData!D67</f>
        <v>6.4387917329093838E-2</v>
      </c>
      <c r="D64" s="7">
        <f>(MonthlyData!E68-MonthlyData!E67)/MonthlyData!E67</f>
        <v>9.6380471380471372E-2</v>
      </c>
      <c r="E64" s="7">
        <f>(MonthlyData!F68-MonthlyData!F67)/MonthlyData!F67</f>
        <v>0.25652173913043491</v>
      </c>
    </row>
    <row r="65" spans="1:5" x14ac:dyDescent="0.2">
      <c r="A65" s="11">
        <v>44228</v>
      </c>
      <c r="B65" s="7">
        <f>(MonthlyData!C69-MonthlyData!C68)/MonthlyData!C68</f>
        <v>5.4514341590612761E-2</v>
      </c>
      <c r="C65" s="7">
        <f>(MonthlyData!D69-MonthlyData!D68)/MonthlyData!D68</f>
        <v>-2.0911127707244296E-2</v>
      </c>
      <c r="D65" s="7">
        <f>(MonthlyData!E69-MonthlyData!E68)/MonthlyData!E68</f>
        <v>-6.1455243413016968E-2</v>
      </c>
      <c r="E65" s="7">
        <f>(MonthlyData!F69-MonthlyData!F68)/MonthlyData!F68</f>
        <v>7.612456747404836E-2</v>
      </c>
    </row>
    <row r="66" spans="1:5" x14ac:dyDescent="0.2">
      <c r="A66" s="11">
        <v>44256</v>
      </c>
      <c r="B66" s="7">
        <f>(MonthlyData!C70-MonthlyData!C69)/MonthlyData!C69</f>
        <v>3.6550498415887409E-2</v>
      </c>
      <c r="C66" s="7">
        <f>(MonthlyData!D70-MonthlyData!D69)/MonthlyData!D69</f>
        <v>9.916094584286864E-3</v>
      </c>
      <c r="D66" s="7">
        <f>(MonthlyData!E70-MonthlyData!E69)/MonthlyData!E69</f>
        <v>-2.5767829255596068E-2</v>
      </c>
      <c r="E66" s="7">
        <f>(MonthlyData!F70-MonthlyData!F69)/MonthlyData!F69</f>
        <v>1.2861736334405157E-2</v>
      </c>
    </row>
    <row r="67" spans="1:5" x14ac:dyDescent="0.2">
      <c r="A67" s="11">
        <v>44287</v>
      </c>
      <c r="B67" s="7">
        <f>(MonthlyData!C71-MonthlyData!C70)/MonthlyData!C70</f>
        <v>-4.733860146115984E-2</v>
      </c>
      <c r="C67" s="7">
        <f>(MonthlyData!D71-MonthlyData!D70)/MonthlyData!D70</f>
        <v>4.5317220543806616E-2</v>
      </c>
      <c r="D67" s="7">
        <f>(MonthlyData!E71-MonthlyData!E70)/MonthlyData!E70</f>
        <v>1.1068279836647587E-2</v>
      </c>
      <c r="E67" s="7">
        <f>(MonthlyData!F71-MonthlyData!F70)/MonthlyData!F70</f>
        <v>8.8888888888888976E-2</v>
      </c>
    </row>
    <row r="68" spans="1:5" x14ac:dyDescent="0.2">
      <c r="A68" s="11">
        <v>44319</v>
      </c>
      <c r="B68" s="7">
        <f>(MonthlyData!C72-MonthlyData!C71)/MonthlyData!C71</f>
        <v>-3.7483371155802539E-2</v>
      </c>
      <c r="C68" s="7">
        <f>(MonthlyData!D72-MonthlyData!D71)/MonthlyData!D71</f>
        <v>-2.167630057803422E-3</v>
      </c>
      <c r="D68" s="7">
        <f>(MonthlyData!E72-MonthlyData!E71)/MonthlyData!E71</f>
        <v>0.12740175908799214</v>
      </c>
      <c r="E68" s="7">
        <f>(MonthlyData!F72-MonthlyData!F71)/MonthlyData!F71</f>
        <v>0.15451895043731773</v>
      </c>
    </row>
    <row r="69" spans="1:5" x14ac:dyDescent="0.2">
      <c r="A69" s="11">
        <v>44348</v>
      </c>
      <c r="B69" s="7">
        <f>(MonthlyData!C73-MonthlyData!C72)/MonthlyData!C72</f>
        <v>7.7560975609756028E-2</v>
      </c>
      <c r="C69" s="7">
        <f>(MonthlyData!D73-MonthlyData!D72)/MonthlyData!D72</f>
        <v>7.458363504706729E-2</v>
      </c>
      <c r="D69" s="7">
        <f>(MonthlyData!E73-MonthlyData!E72)/MonthlyData!E72</f>
        <v>8.0091073461461049E-2</v>
      </c>
      <c r="E69" s="7">
        <f>(MonthlyData!F73-MonthlyData!F72)/MonthlyData!F72</f>
        <v>-5.808080808080808E-2</v>
      </c>
    </row>
    <row r="70" spans="1:5" x14ac:dyDescent="0.2">
      <c r="A70" s="11">
        <v>44378</v>
      </c>
      <c r="B70" s="7">
        <f>(MonthlyData!C74-MonthlyData!C73)/MonthlyData!C73</f>
        <v>-6.2320808812433917E-2</v>
      </c>
      <c r="C70" s="7">
        <f>(MonthlyData!D74-MonthlyData!D73)/MonthlyData!D73</f>
        <v>9.5687331536388254E-2</v>
      </c>
      <c r="D70" s="7">
        <f>(MonthlyData!E74-MonthlyData!E73)/MonthlyData!E73</f>
        <v>2.0305040610081256E-2</v>
      </c>
      <c r="E70" s="7">
        <f>(MonthlyData!F74-MonthlyData!F73)/MonthlyData!F73</f>
        <v>-5.6300268096514734E-2</v>
      </c>
    </row>
    <row r="71" spans="1:5" x14ac:dyDescent="0.2">
      <c r="A71" s="11">
        <v>44410</v>
      </c>
      <c r="B71" s="7">
        <f>(MonthlyData!C75-MonthlyData!C74)/MonthlyData!C74</f>
        <v>0.10452204699066631</v>
      </c>
      <c r="C71" s="7">
        <f>(MonthlyData!D75-MonthlyData!D74)/MonthlyData!D74</f>
        <v>0.24292742927429267</v>
      </c>
      <c r="D71" s="7">
        <f>(MonthlyData!E75-MonthlyData!E74)/MonthlyData!E74</f>
        <v>7.6747789627198956E-2</v>
      </c>
      <c r="E71" s="7">
        <f>(MonthlyData!F75-MonthlyData!F74)/MonthlyData!F74</f>
        <v>8.5227272727272166E-3</v>
      </c>
    </row>
    <row r="72" spans="1:5" x14ac:dyDescent="0.2">
      <c r="A72" s="11">
        <v>44440</v>
      </c>
      <c r="B72" s="7">
        <f>(MonthlyData!C76-MonthlyData!C75)/MonthlyData!C75</f>
        <v>6.0100531798645003E-2</v>
      </c>
      <c r="C72" s="7">
        <f>(MonthlyData!D76-MonthlyData!D75)/MonthlyData!D75</f>
        <v>-2.2761009401286534E-2</v>
      </c>
      <c r="D72" s="7">
        <f>(MonthlyData!E76-MonthlyData!E75)/MonthlyData!E75</f>
        <v>-6.8850701204887206E-3</v>
      </c>
      <c r="E72" s="7">
        <f>(MonthlyData!F76-MonthlyData!F75)/MonthlyData!F75</f>
        <v>5.6338028169014134E-2</v>
      </c>
    </row>
    <row r="73" spans="1:5" x14ac:dyDescent="0.2">
      <c r="A73" s="11">
        <v>44470</v>
      </c>
      <c r="B73" s="7">
        <f>(MonthlyData!C77-MonthlyData!C76)/MonthlyData!C76</f>
        <v>4.8034634414513333E-2</v>
      </c>
      <c r="C73" s="7">
        <f>(MonthlyData!D77-MonthlyData!D76)/MonthlyData!D76</f>
        <v>0.1362025316455697</v>
      </c>
      <c r="D73" s="7">
        <f>(MonthlyData!E77-MonthlyData!E76)/MonthlyData!E76</f>
        <v>8.5523511862480528E-2</v>
      </c>
      <c r="E73" s="7">
        <f>(MonthlyData!F77-MonthlyData!F76)/MonthlyData!F76</f>
        <v>0</v>
      </c>
    </row>
    <row r="74" spans="1:5" x14ac:dyDescent="0.2">
      <c r="A74" s="11">
        <v>44501</v>
      </c>
      <c r="B74" s="7">
        <f>(MonthlyData!C78-MonthlyData!C77)/MonthlyData!C77</f>
        <v>-6.465149826240893E-2</v>
      </c>
      <c r="C74" s="7">
        <f>(MonthlyData!D78-MonthlyData!D77)/MonthlyData!D77</f>
        <v>-7.5757575757575885E-2</v>
      </c>
      <c r="D74" s="7">
        <f>(MonthlyData!E78-MonthlyData!E77)/MonthlyData!E77</f>
        <v>-0.10218557780395242</v>
      </c>
      <c r="E74" s="7">
        <f>(MonthlyData!F78-MonthlyData!F77)/MonthlyData!F77</f>
        <v>-2.6666666666666098E-3</v>
      </c>
    </row>
    <row r="75" spans="1:5" x14ac:dyDescent="0.2">
      <c r="A75" s="11">
        <v>44531</v>
      </c>
      <c r="B75" s="7">
        <f>(MonthlyData!C79-MonthlyData!C78)/MonthlyData!C78</f>
        <v>4.4234139502278315E-2</v>
      </c>
      <c r="C75" s="7">
        <f>(MonthlyData!D79-MonthlyData!D78)/MonthlyData!D78</f>
        <v>0.24541947926711669</v>
      </c>
      <c r="D75" s="7">
        <f>(MonthlyData!E79-MonthlyData!E78)/MonthlyData!E78</f>
        <v>-3.7987230692982633E-2</v>
      </c>
      <c r="E75" s="7">
        <f>(MonthlyData!F79-MonthlyData!F78)/MonthlyData!F78</f>
        <v>-1.8716577540107027E-2</v>
      </c>
    </row>
    <row r="76" spans="1:5" x14ac:dyDescent="0.2">
      <c r="A76" s="11">
        <v>44564</v>
      </c>
      <c r="B76" s="7">
        <f>(MonthlyData!C80-MonthlyData!C79)/MonthlyData!C79</f>
        <v>0.10613587540279271</v>
      </c>
      <c r="C76" s="7">
        <f>(MonthlyData!D80-MonthlyData!D79)/MonthlyData!D79</f>
        <v>0.21718931475029049</v>
      </c>
      <c r="D76" s="7">
        <f>(MonthlyData!E80-MonthlyData!E79)/MonthlyData!E79</f>
        <v>-5.8730832171646749E-2</v>
      </c>
      <c r="E76" s="7">
        <f>(MonthlyData!F80-MonthlyData!F79)/MonthlyData!F79</f>
        <v>0.15531335149863768</v>
      </c>
    </row>
    <row r="77" spans="1:5" x14ac:dyDescent="0.2">
      <c r="A77" s="11">
        <v>44593</v>
      </c>
      <c r="B77" s="7">
        <f>(MonthlyData!C81-MonthlyData!C80)/MonthlyData!C80</f>
        <v>0.10463069733567991</v>
      </c>
      <c r="C77" s="7">
        <f>(MonthlyData!D81-MonthlyData!D80)/MonthlyData!D80</f>
        <v>-4.1984732824427488E-2</v>
      </c>
      <c r="D77" s="7">
        <f>(MonthlyData!E81-MonthlyData!E80)/MonthlyData!E80</f>
        <v>8.9954925949774611E-2</v>
      </c>
      <c r="E77" s="7">
        <f>(MonthlyData!F81-MonthlyData!F80)/MonthlyData!F80</f>
        <v>7.5471698113207406E-2</v>
      </c>
    </row>
    <row r="78" spans="1:5" x14ac:dyDescent="0.2">
      <c r="A78" s="11">
        <v>44621</v>
      </c>
      <c r="B78" s="7">
        <f>(MonthlyData!C82-MonthlyData!C81)/MonthlyData!C81</f>
        <v>-4.0657106752376118E-2</v>
      </c>
      <c r="C78" s="7">
        <f>(MonthlyData!D82-MonthlyData!D81)/MonthlyData!D81</f>
        <v>-0.18193891102257637</v>
      </c>
      <c r="D78" s="7">
        <f>(MonthlyData!E82-MonthlyData!E81)/MonthlyData!E81</f>
        <v>-5.7718437998464052E-2</v>
      </c>
      <c r="E78" s="7">
        <f>(MonthlyData!F82-MonthlyData!F81)/MonthlyData!F81</f>
        <v>-8.5526315789473617E-2</v>
      </c>
    </row>
    <row r="79" spans="1:5" x14ac:dyDescent="0.2">
      <c r="A79" s="11">
        <v>44652</v>
      </c>
      <c r="B79" s="7">
        <f>(MonthlyData!C83-MonthlyData!C82)/MonthlyData!C82</f>
        <v>-6.534562739820185E-2</v>
      </c>
      <c r="C79" s="7">
        <f>(MonthlyData!D83-MonthlyData!D82)/MonthlyData!D82</f>
        <v>-4.707792207792208E-2</v>
      </c>
      <c r="D79" s="7">
        <f>(MonthlyData!E83-MonthlyData!E82)/MonthlyData!E82</f>
        <v>-0.36210031347962379</v>
      </c>
      <c r="E79" s="7">
        <f>(MonthlyData!F83-MonthlyData!F82)/MonthlyData!F82</f>
        <v>-4.3165467625899213E-2</v>
      </c>
    </row>
    <row r="80" spans="1:5" x14ac:dyDescent="0.2">
      <c r="A80" s="11">
        <v>44683</v>
      </c>
      <c r="B80" s="7">
        <f>(MonthlyData!C84-MonthlyData!C83)/MonthlyData!C83</f>
        <v>6.8075980392156954E-2</v>
      </c>
      <c r="C80" s="7">
        <f>(MonthlyData!D84-MonthlyData!D83)/MonthlyData!D83</f>
        <v>0.13756388415672915</v>
      </c>
      <c r="D80" s="7">
        <f>(MonthlyData!E84-MonthlyData!E83)/MonthlyData!E83</f>
        <v>0.10496830311071789</v>
      </c>
      <c r="E80" s="7">
        <f>(MonthlyData!F84-MonthlyData!F83)/MonthlyData!F83</f>
        <v>-5.0125313283208059E-2</v>
      </c>
    </row>
    <row r="81" spans="1:5" x14ac:dyDescent="0.2">
      <c r="A81" s="11">
        <v>44713</v>
      </c>
      <c r="B81" s="7">
        <f>(MonthlyData!C85-MonthlyData!C84)/MonthlyData!C84</f>
        <v>-9.3798405140267299E-2</v>
      </c>
      <c r="C81" s="7">
        <f>(MonthlyData!D85-MonthlyData!D84)/MonthlyData!D84</f>
        <v>-0.26881317858479969</v>
      </c>
      <c r="D81" s="7">
        <f>(MonthlyData!E85-MonthlyData!E84)/MonthlyData!E84</f>
        <v>-6.1018456748943739E-2</v>
      </c>
      <c r="E81" s="7">
        <f>(MonthlyData!F85-MonthlyData!F84)/MonthlyData!F84</f>
        <v>0.11873350923482855</v>
      </c>
    </row>
    <row r="82" spans="1:5" x14ac:dyDescent="0.2">
      <c r="A82" s="11">
        <v>44743</v>
      </c>
      <c r="B82" s="7">
        <f>(MonthlyData!C86-MonthlyData!C85)/MonthlyData!C85</f>
        <v>-5.8559128893390731E-2</v>
      </c>
      <c r="C82" s="7">
        <f>(MonthlyData!D86-MonthlyData!D85)/MonthlyData!D85</f>
        <v>-6.1955965181771676E-2</v>
      </c>
      <c r="D82" s="7">
        <f>(MonthlyData!E86-MonthlyData!E85)/MonthlyData!E85</f>
        <v>-0.10652204802728181</v>
      </c>
      <c r="E82" s="7">
        <f>(MonthlyData!F86-MonthlyData!F85)/MonthlyData!F85</f>
        <v>0.21933962264150936</v>
      </c>
    </row>
    <row r="83" spans="1:5" x14ac:dyDescent="0.2">
      <c r="A83" s="11">
        <v>44774</v>
      </c>
      <c r="B83" s="7">
        <f>(MonthlyData!C87-MonthlyData!C86)/MonthlyData!C86</f>
        <v>-6.5765584022594317E-2</v>
      </c>
      <c r="C83" s="7">
        <f>(MonthlyData!D87-MonthlyData!D86)/MonthlyData!D86</f>
        <v>-0.20742358078602624</v>
      </c>
      <c r="D83" s="7">
        <f>(MonthlyData!E87-MonthlyData!E86)/MonthlyData!E86</f>
        <v>-0.15166454622561487</v>
      </c>
      <c r="E83" s="7">
        <f>(MonthlyData!F87-MonthlyData!F86)/MonthlyData!F86</f>
        <v>-0.24371373307543517</v>
      </c>
    </row>
    <row r="84" spans="1:5" x14ac:dyDescent="0.2">
      <c r="A84" s="11">
        <v>44805</v>
      </c>
      <c r="B84" s="7">
        <f>(MonthlyData!C88-MonthlyData!C87)/MonthlyData!C87</f>
        <v>0.16252789174404364</v>
      </c>
      <c r="C84" s="7">
        <f>(MonthlyData!D88-MonthlyData!D87)/MonthlyData!D87</f>
        <v>0.26997245179063373</v>
      </c>
      <c r="D84" s="7">
        <f>(MonthlyData!E88-MonthlyData!E87)/MonthlyData!E87</f>
        <v>-6.2488283446850167E-4</v>
      </c>
      <c r="E84" s="7">
        <f>(MonthlyData!F88-MonthlyData!F87)/MonthlyData!F87</f>
        <v>0.41176470588235276</v>
      </c>
    </row>
    <row r="85" spans="1:5" x14ac:dyDescent="0.2">
      <c r="A85" s="11">
        <v>44837</v>
      </c>
      <c r="B85" s="7">
        <f>(MonthlyData!C89-MonthlyData!C88)/MonthlyData!C88</f>
        <v>-2.198006315398417E-2</v>
      </c>
      <c r="C85" s="7">
        <f>(MonthlyData!D89-MonthlyData!D88)/MonthlyData!D88</f>
        <v>-0.24403470715835149</v>
      </c>
      <c r="D85" s="7">
        <f>(MonthlyData!E89-MonthlyData!E88)/MonthlyData!E88</f>
        <v>3.3952354154942826E-2</v>
      </c>
      <c r="E85" s="7">
        <f>(MonthlyData!F89-MonthlyData!F88)/MonthlyData!F88</f>
        <v>0.14673913043478271</v>
      </c>
    </row>
    <row r="86" spans="1:5" x14ac:dyDescent="0.2">
      <c r="A86" s="11">
        <v>44866</v>
      </c>
      <c r="B86" s="7">
        <f>(MonthlyData!C90-MonthlyData!C89)/MonthlyData!C89</f>
        <v>-9.8189415041782843E-2</v>
      </c>
      <c r="C86" s="7">
        <f>(MonthlyData!D90-MonthlyData!D89)/MonthlyData!D89</f>
        <v>-0.10258249641319941</v>
      </c>
      <c r="D86" s="7">
        <f>(MonthlyData!E90-MonthlyData!E89)/MonthlyData!E89</f>
        <v>-0.16176826318335752</v>
      </c>
      <c r="E86" s="7">
        <f>(MonthlyData!F90-MonthlyData!F89)/MonthlyData!F89</f>
        <v>-9.7946287519747252E-2</v>
      </c>
    </row>
    <row r="87" spans="1:5" x14ac:dyDescent="0.2">
      <c r="A87" s="11">
        <v>44896</v>
      </c>
      <c r="B87" s="7">
        <f>(MonthlyData!C91-MonthlyData!C90)/MonthlyData!C90</f>
        <v>5.7564057564057691E-2</v>
      </c>
      <c r="C87" s="7">
        <f>(MonthlyData!D91-MonthlyData!D90)/MonthlyData!D90</f>
        <v>8.2334132693844875E-2</v>
      </c>
      <c r="D87" s="7">
        <f>(MonthlyData!E91-MonthlyData!E90)/MonthlyData!E90</f>
        <v>-0.31318086718130012</v>
      </c>
      <c r="E87" s="7">
        <f>(MonthlyData!F91-MonthlyData!F90)/MonthlyData!F90</f>
        <v>0.25919439579684772</v>
      </c>
    </row>
    <row r="88" spans="1:5" x14ac:dyDescent="0.2">
      <c r="A88" s="11">
        <v>44929</v>
      </c>
      <c r="B88" s="7">
        <f>(MonthlyData!C92-MonthlyData!C91)/MonthlyData!C91</f>
        <v>-1.5532691669432481E-2</v>
      </c>
      <c r="C88" s="7">
        <f>(MonthlyData!D92-MonthlyData!D91)/MonthlyData!D91</f>
        <v>0.26587887740029553</v>
      </c>
      <c r="D88" s="7">
        <f>(MonthlyData!E92-MonthlyData!E91)/MonthlyData!E91</f>
        <v>0.26512605042016801</v>
      </c>
      <c r="E88" s="7">
        <f>(MonthlyData!F92-MonthlyData!F91)/MonthlyData!F91</f>
        <v>0.25869262865090409</v>
      </c>
    </row>
    <row r="89" spans="1:5" x14ac:dyDescent="0.2">
      <c r="A89" s="11">
        <v>44958</v>
      </c>
      <c r="B89" s="7">
        <f>(MonthlyData!C93-MonthlyData!C92)/MonthlyData!C92</f>
        <v>-0.15669880655384</v>
      </c>
      <c r="C89" s="7">
        <f>(MonthlyData!D93-MonthlyData!D92)/MonthlyData!D92</f>
        <v>-0.16452742123687283</v>
      </c>
      <c r="D89" s="7">
        <f>(MonthlyData!E93-MonthlyData!E92)/MonthlyData!E92</f>
        <v>3.5702424443706388E-2</v>
      </c>
      <c r="E89" s="7">
        <f>(MonthlyData!F93-MonthlyData!F92)/MonthlyData!F92</f>
        <v>-7.2928176795580127E-2</v>
      </c>
    </row>
    <row r="90" spans="1:5" x14ac:dyDescent="0.2">
      <c r="A90" s="11">
        <v>44986</v>
      </c>
      <c r="B90" s="7">
        <f>(MonthlyData!C94-MonthlyData!C93)/MonthlyData!C93</f>
        <v>0.1627888382505798</v>
      </c>
      <c r="C90" s="7">
        <f>(MonthlyData!D94-MonthlyData!D93)/MonthlyData!D93</f>
        <v>0.46229050279329614</v>
      </c>
      <c r="D90" s="7">
        <f>(MonthlyData!E94-MonthlyData!E93)/MonthlyData!E93</f>
        <v>0.22751322751322761</v>
      </c>
      <c r="E90" s="7">
        <f>(MonthlyData!F94-MonthlyData!F93)/MonthlyData!F93</f>
        <v>-5.0059594755661595E-2</v>
      </c>
    </row>
    <row r="91" spans="1:5" x14ac:dyDescent="0.2">
      <c r="A91" s="11">
        <v>45019</v>
      </c>
      <c r="B91" s="7">
        <f>(MonthlyData!C95-MonthlyData!C94)/MonthlyData!C94</f>
        <v>-8.2513924224716039E-4</v>
      </c>
      <c r="C91" s="7">
        <f>(MonthlyData!D95-MonthlyData!D94)/MonthlyData!D94</f>
        <v>8.4049665711556726E-2</v>
      </c>
      <c r="D91" s="7">
        <f>(MonthlyData!E95-MonthlyData!E94)/MonthlyData!E94</f>
        <v>0.13257575757575746</v>
      </c>
      <c r="E91" s="7">
        <f>(MonthlyData!F95-MonthlyData!F94)/MonthlyData!F94</f>
        <v>0.2797992471769134</v>
      </c>
    </row>
    <row r="92" spans="1:5" x14ac:dyDescent="0.2">
      <c r="A92" s="11">
        <v>45047</v>
      </c>
      <c r="B92" s="7">
        <f>(MonthlyData!C96-MonthlyData!C95)/MonthlyData!C95</f>
        <v>0.14355515793820098</v>
      </c>
      <c r="C92" s="7">
        <f>(MonthlyData!D96-MonthlyData!D95)/MonthlyData!D95</f>
        <v>0.23215859030837002</v>
      </c>
      <c r="D92" s="7">
        <f>(MonthlyData!E96-MonthlyData!E95)/MonthlyData!E95</f>
        <v>0.22863568215892058</v>
      </c>
      <c r="E92" s="7">
        <f>(MonthlyData!F96-MonthlyData!F95)/MonthlyData!F95</f>
        <v>0.10490196078431376</v>
      </c>
    </row>
    <row r="93" spans="1:5" x14ac:dyDescent="0.2">
      <c r="A93" s="11">
        <v>45078</v>
      </c>
      <c r="B93" s="7">
        <f>(MonthlyData!C97-MonthlyData!C96)/MonthlyData!C96</f>
        <v>2.058133237046408E-2</v>
      </c>
      <c r="C93" s="7">
        <f>(MonthlyData!D97-MonthlyData!D96)/MonthlyData!D96</f>
        <v>3.3607436539149133E-2</v>
      </c>
      <c r="D93" s="7">
        <f>(MonthlyData!E97-MonthlyData!E96)/MonthlyData!E96</f>
        <v>0.14131506077814809</v>
      </c>
      <c r="E93" s="7">
        <f>(MonthlyData!F97-MonthlyData!F96)/MonthlyData!F96</f>
        <v>-6.7435669920141952E-2</v>
      </c>
    </row>
    <row r="94" spans="1:5" x14ac:dyDescent="0.2">
      <c r="A94" s="11">
        <v>45110</v>
      </c>
      <c r="B94" s="7">
        <f>(MonthlyData!C98-MonthlyData!C97)/MonthlyData!C97</f>
        <v>6.191402794976119E-2</v>
      </c>
      <c r="C94" s="7">
        <f>(MonthlyData!D98-MonthlyData!D97)/MonthlyData!D97</f>
        <v>0.37564856451055006</v>
      </c>
      <c r="D94" s="7">
        <f>(MonthlyData!E98-MonthlyData!E97)/MonthlyData!E97</f>
        <v>0.1210214655810511</v>
      </c>
      <c r="E94" s="7">
        <f>(MonthlyData!F98-MonthlyData!F97)/MonthlyData!F97</f>
        <v>1.1979067554709801</v>
      </c>
    </row>
    <row r="95" spans="1:5" x14ac:dyDescent="0.2">
      <c r="A95" s="11">
        <v>45139</v>
      </c>
      <c r="B95" s="7">
        <f>(MonthlyData!C99-MonthlyData!C98)/MonthlyData!C98</f>
        <v>6.8687878283080706E-2</v>
      </c>
      <c r="C95" s="7">
        <f>(MonthlyData!D99-MonthlyData!D98)/MonthlyData!D98</f>
        <v>6.6381694744782324E-2</v>
      </c>
      <c r="D95" s="7">
        <f>(MonthlyData!E99-MonthlyData!E98)/MonthlyData!E98</f>
        <v>4.919115219544392E-2</v>
      </c>
      <c r="E95" s="7">
        <f>(MonthlyData!F99-MonthlyData!F98)/MonthlyData!F98</f>
        <v>7.8787878787878796E-2</v>
      </c>
    </row>
    <row r="96" spans="1:5" x14ac:dyDescent="0.2">
      <c r="A96" s="11">
        <v>45170</v>
      </c>
      <c r="B96" s="7">
        <f>(MonthlyData!C100-MonthlyData!C99)/MonthlyData!C99</f>
        <v>1.6367037306453319E-2</v>
      </c>
      <c r="C96" s="7">
        <f>(MonthlyData!D100-MonthlyData!D99)/MonthlyData!D99</f>
        <v>9.6675312426314594E-2</v>
      </c>
      <c r="D96" s="7">
        <f>(MonthlyData!E100-MonthlyData!E99)/MonthlyData!E99</f>
        <v>0.12827774281518775</v>
      </c>
      <c r="E96" s="7">
        <f>(MonthlyData!F100-MonthlyData!F99)/MonthlyData!F99</f>
        <v>0.35473515248796128</v>
      </c>
    </row>
    <row r="97" spans="1:5" x14ac:dyDescent="0.2">
      <c r="A97" s="11">
        <v>45201</v>
      </c>
      <c r="B97" s="7">
        <f>(MonthlyData!C101-MonthlyData!C100)/MonthlyData!C100</f>
        <v>-3.1440110423802493E-2</v>
      </c>
      <c r="C97" s="7">
        <f>(MonthlyData!D101-MonthlyData!D100)/MonthlyData!D100</f>
        <v>4.3001505052676844E-2</v>
      </c>
      <c r="D97" s="7">
        <f>(MonthlyData!E101-MonthlyData!E100)/MonthlyData!E100</f>
        <v>-8.1590282296798933E-2</v>
      </c>
      <c r="E97" s="7">
        <f>(MonthlyData!F101-MonthlyData!F100)/MonthlyData!F100</f>
        <v>-0.1640995260663507</v>
      </c>
    </row>
    <row r="98" spans="1:5" x14ac:dyDescent="0.2">
      <c r="A98" s="11">
        <v>45231</v>
      </c>
      <c r="B98" s="7">
        <f>(MonthlyData!C102-MonthlyData!C101)/MonthlyData!C101</f>
        <v>-8.2919877546711748E-2</v>
      </c>
      <c r="C98" s="7">
        <f>(MonthlyData!D102-MonthlyData!D101)/MonthlyData!D101</f>
        <v>-7.6891362605648259E-2</v>
      </c>
      <c r="D98" s="7">
        <f>(MonthlyData!E102-MonthlyData!E101)/MonthlyData!E101</f>
        <v>3.5225048923679052E-2</v>
      </c>
      <c r="E98" s="7">
        <f>(MonthlyData!F102-MonthlyData!F101)/MonthlyData!F101</f>
        <v>2.374202693125449E-2</v>
      </c>
    </row>
    <row r="99" spans="1:5" x14ac:dyDescent="0.2">
      <c r="A99" s="11">
        <v>45261</v>
      </c>
      <c r="B99" s="7">
        <f>(MonthlyData!C103-MonthlyData!C102)/MonthlyData!C102</f>
        <v>1.2661870503597058E-3</v>
      </c>
      <c r="C99" s="7">
        <f>(MonthlyData!D103-MonthlyData!D102)/MonthlyData!D102</f>
        <v>-5.4711924966502963E-2</v>
      </c>
      <c r="D99" s="7">
        <f>(MonthlyData!E103-MonthlyData!E102)/MonthlyData!E102</f>
        <v>1.6393976924581284E-2</v>
      </c>
      <c r="E99" s="7">
        <f>(MonthlyData!F103-MonthlyData!F102)/MonthlyData!F102</f>
        <v>-0.12668743509865005</v>
      </c>
    </row>
    <row r="100" spans="1:5" x14ac:dyDescent="0.2">
      <c r="A100" s="11">
        <v>45293</v>
      </c>
      <c r="B100" s="7">
        <f>(MonthlyData!C104-MonthlyData!C103)/MonthlyData!C103</f>
        <v>9.9269989078576829E-2</v>
      </c>
      <c r="C100" s="7">
        <f>(MonthlyData!D104-MonthlyData!D103)/MonthlyData!D103</f>
        <v>0.1048901488306167</v>
      </c>
      <c r="D100" s="7">
        <f>(MonthlyData!E104-MonthlyData!E103)/MonthlyData!E103</f>
        <v>4.1590508257174828E-2</v>
      </c>
      <c r="E100" s="7">
        <f>(MonthlyData!F104-MonthlyData!F103)/MonthlyData!F103</f>
        <v>6.8569163694015084E-2</v>
      </c>
    </row>
    <row r="101" spans="1:5" x14ac:dyDescent="0.2">
      <c r="A101" s="11">
        <v>45323</v>
      </c>
      <c r="B101" s="7">
        <f>(MonthlyData!C105-MonthlyData!C104)/MonthlyData!C104</f>
        <v>-2.9282576866764394E-2</v>
      </c>
      <c r="C101" s="7">
        <f>(MonthlyData!D105-MonthlyData!D104)/MonthlyData!D104</f>
        <v>2.9933718195424387E-2</v>
      </c>
      <c r="D101" s="7">
        <f>(MonthlyData!E105-MonthlyData!E104)/MonthlyData!E104</f>
        <v>6.6098146665845778E-2</v>
      </c>
      <c r="E101" s="7">
        <f>(MonthlyData!F105-MonthlyData!F104)/MonthlyData!F104</f>
        <v>5.8976261127596435E-2</v>
      </c>
    </row>
    <row r="102" spans="1:5" x14ac:dyDescent="0.2">
      <c r="A102" s="11">
        <v>45352</v>
      </c>
      <c r="B102" s="7">
        <f>(MonthlyData!C106-MonthlyData!C105)/MonthlyData!C105</f>
        <v>6.5718595130361311E-3</v>
      </c>
      <c r="C102" s="7">
        <f>(MonthlyData!D106-MonthlyData!D105)/MonthlyData!D105</f>
        <v>0.30849076188499064</v>
      </c>
      <c r="D102" s="7">
        <f>(MonthlyData!E106-MonthlyData!E105)/MonthlyData!E105</f>
        <v>0.14002714487856985</v>
      </c>
      <c r="E102" s="7">
        <f>(MonthlyData!F106-MonthlyData!F105)/MonthlyData!F105</f>
        <v>1.0437828371278459</v>
      </c>
    </row>
    <row r="103" spans="1:5" x14ac:dyDescent="0.2">
      <c r="A103" s="11">
        <v>45383</v>
      </c>
      <c r="B103" s="7">
        <f>(MonthlyData!C107-MonthlyData!C106)/MonthlyData!C106</f>
        <v>-3.853152092475659E-2</v>
      </c>
      <c r="C103" s="7">
        <f>(MonthlyData!D107-MonthlyData!D106)/MonthlyData!D106</f>
        <v>0.30541012216404884</v>
      </c>
      <c r="D103" s="7">
        <f>(MonthlyData!E107-MonthlyData!E106)/MonthlyData!E106</f>
        <v>0.27235422260499531</v>
      </c>
      <c r="E103" s="7">
        <f>(MonthlyData!F107-MonthlyData!F106)/MonthlyData!F106</f>
        <v>0.55184233076263911</v>
      </c>
    </row>
    <row r="104" spans="1:5" x14ac:dyDescent="0.2">
      <c r="A104" s="11">
        <v>45413</v>
      </c>
      <c r="B104" s="7">
        <f>(MonthlyData!C108-MonthlyData!C107)/MonthlyData!C107</f>
        <v>-5.3601246799510165E-2</v>
      </c>
      <c r="C104" s="7">
        <f>(MonthlyData!D108-MonthlyData!D107)/MonthlyData!D107</f>
        <v>9.8201263976665024E-2</v>
      </c>
      <c r="D104" s="7">
        <f>(MonthlyData!E108-MonthlyData!E107)/MonthlyData!E107</f>
        <v>-2.1799721282102308E-2</v>
      </c>
      <c r="E104" s="7">
        <f>(MonthlyData!F108-MonthlyData!F107)/MonthlyData!F107</f>
        <v>0.14544450579790175</v>
      </c>
    </row>
    <row r="105" spans="1:5" x14ac:dyDescent="0.2">
      <c r="A105" s="11">
        <v>45446</v>
      </c>
      <c r="B105" s="7">
        <f>(MonthlyData!C109-MonthlyData!C108)/MonthlyData!C108</f>
        <v>-4.2933599952948874E-3</v>
      </c>
      <c r="C105" s="7">
        <f>(MonthlyData!D109-MonthlyData!D108)/MonthlyData!D108</f>
        <v>-8.1009296148738308E-2</v>
      </c>
      <c r="D105" s="7">
        <f>(MonthlyData!E109-MonthlyData!E108)/MonthlyData!E108</f>
        <v>-0.10615650758115401</v>
      </c>
      <c r="E105" s="7">
        <f>(MonthlyData!F109-MonthlyData!F108)/MonthlyData!F108</f>
        <v>-0.28817971461627462</v>
      </c>
    </row>
    <row r="106" spans="1:5" x14ac:dyDescent="0.2">
      <c r="A106" s="11">
        <v>45474</v>
      </c>
      <c r="B106" s="7">
        <f>(MonthlyData!C110-MonthlyData!C109)/MonthlyData!C109</f>
        <v>0.14607206142941517</v>
      </c>
      <c r="C106" s="7">
        <f>(MonthlyData!D110-MonthlyData!D109)/MonthlyData!D109</f>
        <v>0.3848747591522157</v>
      </c>
      <c r="D106" s="7">
        <f>(MonthlyData!E110-MonthlyData!E109)/MonthlyData!E109</f>
        <v>8.720599285047477E-2</v>
      </c>
      <c r="E106" s="7">
        <f>(MonthlyData!F110-MonthlyData!F109)/MonthlyData!F109</f>
        <v>4.3749153460652904E-2</v>
      </c>
    </row>
    <row r="107" spans="1:5" x14ac:dyDescent="0.2">
      <c r="A107" s="11">
        <v>45505</v>
      </c>
      <c r="B107" s="7">
        <f>(MonthlyData!C111-MonthlyData!C110)/MonthlyData!C110</f>
        <v>0.11709529454208112</v>
      </c>
      <c r="C107" s="7">
        <f>(MonthlyData!D111-MonthlyData!D110)/MonthlyData!D110</f>
        <v>8.0869565217391276E-2</v>
      </c>
      <c r="D107" s="7">
        <f>(MonthlyData!E111-MonthlyData!E110)/MonthlyData!E110</f>
        <v>5.6943600913108121E-2</v>
      </c>
      <c r="E107" s="7">
        <f>(MonthlyData!F111-MonthlyData!F110)/MonthlyData!F110</f>
        <v>5.4113677653776296E-2</v>
      </c>
    </row>
    <row r="108" spans="1:5" x14ac:dyDescent="0.2">
      <c r="A108" s="11">
        <v>45538</v>
      </c>
      <c r="B108" s="7">
        <f>(MonthlyData!C112-MonthlyData!C111)/MonthlyData!C111</f>
        <v>7.4279123414072142E-3</v>
      </c>
      <c r="C108" s="7">
        <f>(MonthlyData!D112-MonthlyData!D111)/MonthlyData!D111</f>
        <v>-0.12139983909895417</v>
      </c>
      <c r="D108" s="7">
        <f>(MonthlyData!E112-MonthlyData!E111)/MonthlyData!E111</f>
        <v>-1.3751287944836326E-2</v>
      </c>
      <c r="E108" s="7">
        <f>(MonthlyData!F112-MonthlyData!F111)/MonthlyData!F111</f>
        <v>-0.1724732241782593</v>
      </c>
    </row>
    <row r="109" spans="1:5" x14ac:dyDescent="0.2">
      <c r="A109" s="11">
        <v>45566</v>
      </c>
      <c r="B109" s="7">
        <f>(MonthlyData!C113-MonthlyData!C112)/MonthlyData!C112</f>
        <v>2.0196006594614381E-2</v>
      </c>
      <c r="C109" s="7">
        <f>(MonthlyData!D113-MonthlyData!D112)/MonthlyData!D112</f>
        <v>-1.1079571467814246E-2</v>
      </c>
      <c r="D109" s="7">
        <f>(MonthlyData!E113-MonthlyData!E112)/MonthlyData!E112</f>
        <v>2.8167316269538275E-2</v>
      </c>
      <c r="E109" s="7">
        <f>(MonthlyData!F113-MonthlyData!F112)/MonthlyData!F112</f>
        <v>-0.34275513240107108</v>
      </c>
    </row>
    <row r="110" spans="1:5" x14ac:dyDescent="0.2">
      <c r="A110" s="11">
        <v>45597</v>
      </c>
      <c r="B110" s="7">
        <f>(MonthlyData!C114-MonthlyData!C113)/MonthlyData!C113</f>
        <v>1.5441935628675305E-2</v>
      </c>
      <c r="C110" s="7">
        <f>(MonthlyData!D114-MonthlyData!D113)/MonthlyData!D113</f>
        <v>8.3333333333333329E-2</v>
      </c>
      <c r="D110" s="7">
        <f>(MonthlyData!E114-MonthlyData!E113)/MonthlyData!E113</f>
        <v>0.12644599030795692</v>
      </c>
      <c r="E110" s="7">
        <f>(MonthlyData!F114-MonthlyData!F113)/MonthlyData!F113</f>
        <v>-8.2163875056586747E-2</v>
      </c>
    </row>
    <row r="111" spans="1:5" x14ac:dyDescent="0.2">
      <c r="A111" s="11">
        <v>45628</v>
      </c>
      <c r="B111" s="7">
        <f>(MonthlyData!C115-MonthlyData!C114)/MonthlyData!C114</f>
        <v>-1.4588214490959777E-2</v>
      </c>
      <c r="C111" s="7">
        <f>(MonthlyData!D115-MonthlyData!D114)/MonthlyData!D114</f>
        <v>0.15726495726495732</v>
      </c>
      <c r="D111" s="7">
        <f>(MonthlyData!E115-MonthlyData!E114)/MonthlyData!E114</f>
        <v>-1.6150016479608755E-2</v>
      </c>
      <c r="E111" s="7">
        <f>(MonthlyData!F115-MonthlyData!F114)/MonthlyData!F114</f>
        <v>-0.3575832305795314</v>
      </c>
    </row>
    <row r="112" spans="1:5" x14ac:dyDescent="0.2">
      <c r="A112" s="11">
        <v>45659</v>
      </c>
      <c r="B112" s="7">
        <f>(MonthlyData!C116-MonthlyData!C115)/MonthlyData!C115</f>
        <v>7.4828406083172608E-2</v>
      </c>
      <c r="C112" s="7">
        <f>(MonthlyData!D116-MonthlyData!D115)/MonthlyData!D115</f>
        <v>2.3855243722304208E-2</v>
      </c>
      <c r="D112" s="7">
        <f>(MonthlyData!E116-MonthlyData!E115)/MonthlyData!E115</f>
        <v>4.5260596657028133E-2</v>
      </c>
      <c r="E112" s="7">
        <f>(MonthlyData!F116-MonthlyData!F115)/MonthlyData!F115</f>
        <v>0.61228406909788868</v>
      </c>
    </row>
    <row r="113" spans="1:5" x14ac:dyDescent="0.2">
      <c r="A113" s="11">
        <v>45691</v>
      </c>
      <c r="B113" s="7">
        <f>(MonthlyData!C117-MonthlyData!C116)/MonthlyData!C116</f>
        <v>1.7780374806961857E-2</v>
      </c>
      <c r="C113" s="7">
        <f>(MonthlyData!D117-MonthlyData!D116)/MonthlyData!D116</f>
        <v>-2.3083026761883661E-3</v>
      </c>
      <c r="D113" s="7">
        <f>(MonthlyData!E117-MonthlyData!E116)/MonthlyData!E116</f>
        <v>1.0812543224870482E-2</v>
      </c>
      <c r="E113" s="7">
        <f>(MonthlyData!F117-MonthlyData!F116)/MonthlyData!F116</f>
        <v>-0.28452380952380951</v>
      </c>
    </row>
    <row r="114" spans="1:5" x14ac:dyDescent="0.2">
      <c r="A114" s="11">
        <v>45719</v>
      </c>
      <c r="B114" s="7">
        <f>(MonthlyData!C118-MonthlyData!C117)/MonthlyData!C117</f>
        <v>-6.4957965962681996E-2</v>
      </c>
      <c r="C114" s="7">
        <f>(MonthlyData!D118-MonthlyData!D117)/MonthlyData!D117</f>
        <v>-0.15653242715638788</v>
      </c>
      <c r="D114" s="7">
        <f>(MonthlyData!E118-MonthlyData!E117)/MonthlyData!E117</f>
        <v>0.16390761631399778</v>
      </c>
      <c r="E114" s="7">
        <f>(MonthlyData!F118-MonthlyData!F117)/MonthlyData!F117</f>
        <v>-0.10648918469217968</v>
      </c>
    </row>
    <row r="115" spans="1:5" x14ac:dyDescent="0.2">
      <c r="A115" s="11">
        <v>45748</v>
      </c>
      <c r="B115" s="7">
        <f>(MonthlyData!C119-MonthlyData!C118)/MonthlyData!C118</f>
        <v>4.3945440989430332E-2</v>
      </c>
      <c r="C115" s="7">
        <f>(MonthlyData!D119-MonthlyData!D118)/MonthlyData!D118</f>
        <v>-2.2286987827875832E-2</v>
      </c>
      <c r="D115" s="7">
        <f>(MonthlyData!E119-MonthlyData!E118)/MonthlyData!E118</f>
        <v>-6.0806354486278899E-2</v>
      </c>
      <c r="E115" s="7">
        <f>(MonthlyData!F119-MonthlyData!F118)/MonthlyData!F118</f>
        <v>0.34338919925512096</v>
      </c>
    </row>
    <row r="116" spans="1:5" x14ac:dyDescent="0.2">
      <c r="A116" s="11">
        <v>45778</v>
      </c>
      <c r="B116" s="7">
        <f>(MonthlyData!C120-MonthlyData!C119)/MonthlyData!C119</f>
        <v>-6.2345082552619432E-2</v>
      </c>
      <c r="C116" s="7">
        <f>(MonthlyData!D120-MonthlyData!D119)/MonthlyData!D119</f>
        <v>-3.4280203401718362E-2</v>
      </c>
      <c r="D116" s="7">
        <f>(MonthlyData!E120-MonthlyData!E119)/MonthlyData!E119</f>
        <v>-0.10541180062590635</v>
      </c>
      <c r="E116" s="7">
        <f>(MonthlyData!F120-MonthlyData!F119)/MonthlyData!F119</f>
        <v>-2.8278347657333051E-2</v>
      </c>
    </row>
    <row r="117" spans="1:5" x14ac:dyDescent="0.2">
      <c r="A117" s="11">
        <v>45810</v>
      </c>
      <c r="B117" s="7">
        <f>(MonthlyData!C121-MonthlyData!C120)/MonthlyData!C120</f>
        <v>-4.422241139836016E-2</v>
      </c>
      <c r="C117" s="7">
        <f>(MonthlyData!D121-MonthlyData!D120)/MonthlyData!D120</f>
        <v>1.325465274625505E-2</v>
      </c>
      <c r="D117" s="7">
        <f>(MonthlyData!E121-MonthlyData!E120)/MonthlyData!E120</f>
        <v>-2.3532423208191065E-2</v>
      </c>
      <c r="E117" s="7">
        <f>(MonthlyData!F121-MonthlyData!F120)/MonthlyData!F120</f>
        <v>-6.6191155492154083E-2</v>
      </c>
    </row>
    <row r="118" spans="1:5" x14ac:dyDescent="0.2">
      <c r="A118" s="11">
        <v>45839</v>
      </c>
      <c r="B118" s="7">
        <f>(MonthlyData!C122-MonthlyData!C121)/MonthlyData!C121</f>
        <v>-5.4472154509656874E-2</v>
      </c>
      <c r="C118" s="7">
        <f>(MonthlyData!D122-MonthlyData!D121)/MonthlyData!D121</f>
        <v>0.23089328913179819</v>
      </c>
      <c r="D118" s="7">
        <f>(MonthlyData!E122-MonthlyData!E121)/MonthlyData!E121</f>
        <v>0.17247164502542761</v>
      </c>
      <c r="E118" s="7">
        <f>(MonthlyData!F122-MonthlyData!F121)/MonthlyData!F121</f>
        <v>0.25878399022303716</v>
      </c>
    </row>
    <row r="119" spans="1:5" x14ac:dyDescent="0.2">
      <c r="A119" s="11">
        <v>45870</v>
      </c>
      <c r="B119" s="7">
        <f>(MonthlyData!C123-MonthlyData!C122)/MonthlyData!C122</f>
        <v>3.0342092216162641E-2</v>
      </c>
      <c r="C119" s="7">
        <f>(MonthlyData!D123-MonthlyData!D122)/MonthlyData!D122</f>
        <v>0.11588295239481741</v>
      </c>
      <c r="D119" s="7">
        <f>(MonthlyData!E123-MonthlyData!E122)/MonthlyData!E122</f>
        <v>7.2022656133552021E-2</v>
      </c>
      <c r="E119" s="7">
        <f>(MonthlyData!F123-MonthlyData!F122)/MonthlyData!F122</f>
        <v>0.14563106796116504</v>
      </c>
    </row>
    <row r="120" spans="1:5" x14ac:dyDescent="0.2">
      <c r="A120" s="11">
        <v>45902</v>
      </c>
      <c r="B120" s="7">
        <f>(MonthlyData!C124-MonthlyData!C123)/MonthlyData!C123</f>
        <v>-2.6176498893273014E-2</v>
      </c>
      <c r="C120" s="7">
        <f>(MonthlyData!D124-MonthlyData!D123)/MonthlyData!D123</f>
        <v>0.13320287018917146</v>
      </c>
      <c r="D120" s="7">
        <f>(MonthlyData!E124-MonthlyData!E123)/MonthlyData!E123</f>
        <v>4.2810266677789775E-2</v>
      </c>
      <c r="E120" s="7">
        <f>(MonthlyData!F124-MonthlyData!F123)/MonthlyData!F123</f>
        <v>0.19999999999999993</v>
      </c>
    </row>
    <row r="121" spans="1:5" x14ac:dyDescent="0.2">
      <c r="A121" s="11">
        <v>45931</v>
      </c>
      <c r="B121" s="7">
        <f>(MonthlyData!C125-MonthlyData!C124)/MonthlyData!C124</f>
        <v>0.13509240043482559</v>
      </c>
      <c r="C121" s="7">
        <f>(MonthlyData!D125-MonthlyData!D124)/MonthlyData!D124</f>
        <v>-1.6923785401795982E-2</v>
      </c>
      <c r="D121" s="7">
        <f>(MonthlyData!E125-MonthlyData!E124)/MonthlyData!E124</f>
        <v>-1.9866401781309554E-2</v>
      </c>
      <c r="E121" s="7">
        <f>(MonthlyData!F125-MonthlyData!F124)/MonthlyData!F124</f>
        <v>-0.2800141242937853</v>
      </c>
    </row>
    <row r="122" spans="1:5" x14ac:dyDescent="0.2">
      <c r="A122" s="11"/>
      <c r="B122" s="6"/>
      <c r="C122" s="6"/>
    </row>
  </sheetData>
  <scenarios current="0">
    <scenario name="Optimized Portfolio" count="4" user="Arnav Mathur" comment="Created by Arnav Mathur on 11/1/2025">
      <inputCells r="L15" val="0"/>
      <inputCells r="L16" val="0.92856148858152"/>
      <inputCells r="L17" val="0"/>
      <inputCells r="L18" val="0.0714385114184799"/>
    </scenario>
  </scenarios>
  <sortState xmlns:xlrd2="http://schemas.microsoft.com/office/spreadsheetml/2017/richdata2" ref="A2:E122">
    <sortCondition ref="A1:A122"/>
  </sortState>
  <pageMargins left="0.7" right="0.7" top="0.75" bottom="0.75" header="0.3" footer="0.3"/>
  <pageSetup orientation="portrait" horizontalDpi="0" verticalDpi="0"/>
  <drawing r:id="rId1"/>
</worksheet>
</file>

<file path=docMetadata/LabelInfo.xml><?xml version="1.0" encoding="utf-8"?>
<clbl:labelList xmlns:clbl="http://schemas.microsoft.com/office/2020/mipLabelMetadata">
  <clbl:label id="{809929af-2d25-45bf-9837-089eb9cfbd01}" enabled="0" method="" siteId="{809929af-2d25-45bf-9837-089eb9cfbd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Data</vt:lpstr>
      <vt:lpstr>MonthlyData</vt:lpstr>
      <vt:lpstr>MonthlyReturns</vt:lpstr>
      <vt:lpstr>AAPL</vt:lpstr>
      <vt:lpstr>META</vt:lpstr>
      <vt:lpstr>NVDA</vt:lpstr>
      <vt:lpstr>SMCI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Mathur, Arnie (Student)</dc:creator>
  <cp:lastModifiedBy>Mathur, Arnie (Student)</cp:lastModifiedBy>
  <dcterms:created xsi:type="dcterms:W3CDTF">2025-10-28T23:38:42Z</dcterms:created>
  <dcterms:modified xsi:type="dcterms:W3CDTF">2025-11-23T01:16:59Z</dcterms:modified>
</cp:coreProperties>
</file>