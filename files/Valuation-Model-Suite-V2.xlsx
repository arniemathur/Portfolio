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05"/>
  <workbookPr/>
  <mc:AlternateContent xmlns:mc="http://schemas.openxmlformats.org/markup-compatibility/2006">
    <mc:Choice Requires="x15">
      <x15ac:absPath xmlns:x15ac="http://schemas.microsoft.com/office/spreadsheetml/2010/11/ac" url="https://chapman0-my.sharepoint.com/personal/ksumida_chapman_edu/Documents/"/>
    </mc:Choice>
  </mc:AlternateContent>
  <xr:revisionPtr revIDLastSave="0" documentId="8_{EB4D9588-28AC-4493-846D-FAF0665CAAF6}" xr6:coauthVersionLast="47" xr6:coauthVersionMax="47" xr10:uidLastSave="{00000000-0000-0000-0000-000000000000}"/>
  <bookViews>
    <workbookView xWindow="28680" yWindow="-120" windowWidth="29040" windowHeight="15720" firstSheet="4" activeTab="4" xr2:uid="{22414032-A515-4F63-8700-CFBB580670C6}"/>
  </bookViews>
  <sheets>
    <sheet name="Historicals" sheetId="1" r:id="rId1"/>
    <sheet name="Revenue Build" sheetId="2" r:id="rId2"/>
    <sheet name="FSM" sheetId="3" r:id="rId3"/>
    <sheet name="FCFM" sheetId="4" r:id="rId4"/>
    <sheet name="WACC" sheetId="5" r:id="rId5"/>
    <sheet name="DDM" sheetId="6" r:id="rId6"/>
    <sheet name="RIM" sheetId="7" r:id="rId7"/>
    <sheet name="MVA" sheetId="8" r:id="rId8"/>
    <sheet name="Relative" sheetId="9" r:id="rId9"/>
    <sheet name="Blended" sheetId="10" r:id="rId10"/>
  </sheet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10" l="1" a="1"/>
  <c r="I9" i="10" l="1"/>
  <c r="Q7" i="1" a="1"/>
  <c r="Q7" i="1" l="1"/>
  <c r="Q18" i="1" a="1"/>
  <c r="O11" i="1" a="1"/>
  <c r="R18" i="1" a="1"/>
  <c r="S18" i="1" a="1"/>
  <c r="S18" i="1" l="1"/>
  <c r="R18" i="1"/>
  <c r="O11" i="1"/>
  <c r="Q18" i="1"/>
  <c r="P10" i="1" l="1"/>
  <c r="Q10" i="1"/>
  <c r="R10" i="1"/>
  <c r="S10" i="1"/>
  <c r="T10" i="1"/>
  <c r="O10" i="1"/>
  <c r="T18" i="1" a="1"/>
  <c r="P18" i="1" a="1"/>
  <c r="O18" i="1" a="1"/>
  <c r="O18" i="1" l="1"/>
  <c r="P18" i="1"/>
  <c r="T18" i="1"/>
  <c r="I10" i="10"/>
  <c r="C42" i="5"/>
  <c r="C41" i="5"/>
  <c r="C26" i="10"/>
  <c r="E26" i="10"/>
  <c r="C61" i="8"/>
  <c r="C62" i="8" s="1"/>
  <c r="C59" i="8"/>
  <c r="C58" i="8" s="1"/>
  <c r="D57" i="8"/>
  <c r="E57" i="8"/>
  <c r="H57" i="8"/>
  <c r="G57" i="8"/>
  <c r="F104" i="3"/>
  <c r="F15" i="3"/>
  <c r="F14" i="4"/>
  <c r="H6" i="5" a="1"/>
  <c r="H6" i="5"/>
  <c r="D17" i="9" a="1"/>
  <c r="D17" i="9"/>
  <c r="E16" i="9" a="1"/>
  <c r="E16" i="9"/>
  <c r="F5" i="5" a="1"/>
  <c r="F5" i="5"/>
  <c r="E19" i="9" a="1"/>
  <c r="E19" i="9"/>
  <c r="E15" i="9" a="1"/>
  <c r="E15" i="9"/>
  <c r="D14" i="9" a="1"/>
  <c r="D14" i="9"/>
  <c r="D16" i="9" a="1"/>
  <c r="D16" i="9"/>
  <c r="I6" i="5" a="1"/>
  <c r="I6" i="5"/>
  <c r="D15" i="9" a="1"/>
  <c r="D15" i="9"/>
  <c r="H5" i="5" a="1"/>
  <c r="H5" i="5"/>
  <c r="F6" i="5" a="1"/>
  <c r="F6" i="5"/>
  <c r="D18" i="9" a="1"/>
  <c r="D18" i="9"/>
  <c r="E18" i="9" a="1"/>
  <c r="E18" i="9"/>
  <c r="I5" i="5" a="1"/>
  <c r="I5" i="5"/>
  <c r="D19" i="9" a="1"/>
  <c r="D19" i="9"/>
  <c r="E14" i="9" a="1"/>
  <c r="E14" i="9"/>
  <c r="E17" i="9" a="1"/>
  <c r="E17" i="9"/>
  <c r="H7" i="5" a="1"/>
  <c r="H7" i="5"/>
  <c r="F7" i="5" a="1"/>
  <c r="F7" i="5"/>
  <c r="I7" i="5" a="1"/>
  <c r="I7" i="5"/>
  <c r="D8" i="3" a="1"/>
  <c r="D8" i="3"/>
  <c r="D4" i="9" a="1"/>
  <c r="D4" i="9"/>
  <c r="C16" i="5" a="1"/>
  <c r="C16" i="5"/>
  <c r="J19" i="9" a="1"/>
  <c r="J19" i="9"/>
  <c r="J16" i="9" a="1"/>
  <c r="J16" i="9"/>
  <c r="J13" i="5" a="1"/>
  <c r="J13" i="5"/>
  <c r="D5" i="9" a="1"/>
  <c r="D5" i="9"/>
  <c r="D8" i="9" a="1"/>
  <c r="D8" i="9"/>
  <c r="J15" i="9" a="1"/>
  <c r="J15" i="9"/>
  <c r="C34" i="5" a="1"/>
  <c r="C34" i="5"/>
  <c r="D6" i="9" a="1"/>
  <c r="D6" i="9"/>
  <c r="G6" i="7" a="1"/>
  <c r="G6" i="7"/>
  <c r="G6" i="8" a="1"/>
  <c r="G6" i="8"/>
  <c r="G5" i="4" a="1"/>
  <c r="G5" i="4"/>
  <c r="G6" i="6" a="1"/>
  <c r="G6" i="6"/>
  <c r="J14" i="9" a="1"/>
  <c r="J14" i="9"/>
  <c r="J14" i="5" a="1"/>
  <c r="J14" i="5"/>
  <c r="D3" i="9" a="1"/>
  <c r="D3" i="9"/>
  <c r="D7" i="9" a="1"/>
  <c r="D7" i="9"/>
  <c r="J18" i="9" a="1"/>
  <c r="J18" i="9"/>
  <c r="J17" i="9" a="1"/>
  <c r="J17" i="9"/>
  <c r="C22" i="5" a="1"/>
  <c r="C22" i="5"/>
  <c r="E37" i="9"/>
  <c r="E36" i="9"/>
  <c r="E33" i="9"/>
  <c r="E32" i="9"/>
  <c r="E21" i="9"/>
  <c r="F21" i="9" s="1"/>
  <c r="G21" i="9" s="1"/>
  <c r="H21" i="9" s="1"/>
  <c r="H29" i="9" a="1"/>
  <c r="F29" i="9" a="1"/>
  <c r="G28" i="9" a="1"/>
  <c r="G29" i="9" a="1"/>
  <c r="F28" i="9" a="1"/>
  <c r="H28" i="9" a="1"/>
  <c r="E28" i="9" a="1"/>
  <c r="E29" i="9" a="1"/>
  <c r="D28" i="9" a="1"/>
  <c r="D29" i="9" a="1"/>
  <c r="H27" i="9" a="1"/>
  <c r="G27" i="9" a="1"/>
  <c r="F27" i="9" a="1"/>
  <c r="E27" i="9" a="1"/>
  <c r="D27" i="9" a="1"/>
  <c r="F22" i="9" a="1"/>
  <c r="H24" i="9" a="1"/>
  <c r="E25" i="9" a="1"/>
  <c r="H23" i="9" a="1"/>
  <c r="E26" i="9" a="1"/>
  <c r="F26" i="9" a="1"/>
  <c r="G23" i="9" a="1"/>
  <c r="E23" i="9" a="1"/>
  <c r="F25" i="9" a="1"/>
  <c r="G26" i="9" a="1"/>
  <c r="F23" i="9" a="1"/>
  <c r="H25" i="9" a="1"/>
  <c r="E24" i="9" a="1"/>
  <c r="F24" i="9" a="1"/>
  <c r="E22" i="9" a="1"/>
  <c r="G25" i="9" a="1"/>
  <c r="H22" i="9" a="1"/>
  <c r="G24" i="9" a="1"/>
  <c r="H26" i="9" a="1"/>
  <c r="G22" i="9" a="1"/>
  <c r="D24" i="9" a="1"/>
  <c r="D26" i="9" a="1"/>
  <c r="D25" i="9" a="1"/>
  <c r="D23" i="9" a="1"/>
  <c r="D22" i="9" a="1"/>
  <c r="H28" i="9" l="1"/>
  <c r="F28" i="9"/>
  <c r="G29" i="9"/>
  <c r="G28" i="9"/>
  <c r="F29" i="9"/>
  <c r="H29" i="9"/>
  <c r="E29" i="9"/>
  <c r="E28" i="9"/>
  <c r="D29" i="9"/>
  <c r="D28" i="9"/>
  <c r="F27" i="9"/>
  <c r="G27" i="9"/>
  <c r="H27" i="9"/>
  <c r="E27" i="9"/>
  <c r="D27" i="9"/>
  <c r="G22" i="9"/>
  <c r="H26" i="9"/>
  <c r="G24" i="9"/>
  <c r="H22" i="9"/>
  <c r="G25" i="9"/>
  <c r="E22" i="9"/>
  <c r="F24" i="9"/>
  <c r="E24" i="9"/>
  <c r="H25" i="9"/>
  <c r="F23" i="9"/>
  <c r="G26" i="9"/>
  <c r="F25" i="9"/>
  <c r="E23" i="9"/>
  <c r="G23" i="9"/>
  <c r="F26" i="9"/>
  <c r="E26" i="9"/>
  <c r="H23" i="9"/>
  <c r="E25" i="9"/>
  <c r="H24" i="9"/>
  <c r="F22" i="9"/>
  <c r="D23" i="9"/>
  <c r="D25" i="9"/>
  <c r="D26" i="9"/>
  <c r="D24" i="9"/>
  <c r="D22" i="9"/>
  <c r="J11" i="9" l="1"/>
  <c r="I16" i="9" l="1"/>
  <c r="D34" i="9" s="1"/>
  <c r="E34" i="9" s="1"/>
  <c r="E38" i="9" s="1"/>
  <c r="I17" i="9"/>
  <c r="D35" i="9" s="1"/>
  <c r="E35" i="9" s="1"/>
  <c r="I15" i="9" l="1"/>
  <c r="D33" i="9" s="1"/>
  <c r="I19" i="9"/>
  <c r="D37" i="9" s="1"/>
  <c r="C8" i="10"/>
  <c r="I18" i="9"/>
  <c r="D36" i="9" s="1"/>
  <c r="I14" i="9" l="1"/>
  <c r="D32" i="9" s="1"/>
  <c r="E40" i="9" l="1"/>
  <c r="E41" i="9" s="1"/>
  <c r="G249" i="3"/>
  <c r="H249" i="3"/>
  <c r="I249" i="3"/>
  <c r="J249" i="3"/>
  <c r="F249" i="3"/>
  <c r="E27" i="10"/>
  <c r="C27" i="10"/>
  <c r="D27" i="10" s="1"/>
  <c r="C38" i="7"/>
  <c r="C39" i="7" s="1"/>
  <c r="C47" i="7"/>
  <c r="C48" i="7" s="1"/>
  <c r="C45" i="7"/>
  <c r="C44" i="7" s="1"/>
  <c r="C36" i="7"/>
  <c r="C35" i="7" s="1"/>
  <c r="D34" i="7"/>
  <c r="E34" i="7"/>
  <c r="H34" i="7"/>
  <c r="G34" i="7"/>
  <c r="C25" i="10"/>
  <c r="E25" i="10"/>
  <c r="H43" i="7"/>
  <c r="G43" i="7"/>
  <c r="D43" i="7"/>
  <c r="E43" i="7"/>
  <c r="C24" i="10"/>
  <c r="E24" i="10"/>
  <c r="C37" i="6"/>
  <c r="C38" i="6" s="1"/>
  <c r="C35" i="6"/>
  <c r="C34" i="6"/>
  <c r="G33" i="6"/>
  <c r="H33" i="6" s="1"/>
  <c r="E33" i="6"/>
  <c r="D33" i="6"/>
  <c r="C23" i="10"/>
  <c r="D80" i="4"/>
  <c r="E80" i="4"/>
  <c r="H80" i="4"/>
  <c r="G80" i="4"/>
  <c r="C84" i="4"/>
  <c r="C85" i="4" s="1"/>
  <c r="C82" i="4"/>
  <c r="C81" i="4" s="1"/>
  <c r="E23" i="10"/>
  <c r="C87" i="4"/>
  <c r="D50" i="8"/>
  <c r="D44" i="8"/>
  <c r="D48" i="8" s="1"/>
  <c r="C8" i="8"/>
  <c r="C8" i="7"/>
  <c r="C8" i="6"/>
  <c r="E15" i="8"/>
  <c r="G5" i="8"/>
  <c r="G7" i="8"/>
  <c r="E15" i="7"/>
  <c r="E16" i="6"/>
  <c r="F36" i="4"/>
  <c r="E280" i="3"/>
  <c r="E274" i="3"/>
  <c r="F277" i="3"/>
  <c r="G277" i="3"/>
  <c r="H277" i="3"/>
  <c r="I277" i="3"/>
  <c r="J277" i="3"/>
  <c r="E277" i="3"/>
  <c r="F273" i="3"/>
  <c r="G273" i="3"/>
  <c r="H273" i="3"/>
  <c r="I273" i="3"/>
  <c r="J273" i="3"/>
  <c r="F274" i="3"/>
  <c r="G274" i="3"/>
  <c r="H274" i="3"/>
  <c r="I274" i="3"/>
  <c r="J274" i="3"/>
  <c r="E275" i="3"/>
  <c r="E279" i="3" s="1"/>
  <c r="E273" i="3"/>
  <c r="E272" i="3"/>
  <c r="E265" i="3"/>
  <c r="E268" i="3"/>
  <c r="E225" i="3"/>
  <c r="F264" i="3"/>
  <c r="G264" i="3"/>
  <c r="H264" i="3"/>
  <c r="I264" i="3"/>
  <c r="J264" i="3"/>
  <c r="E264" i="3"/>
  <c r="E263" i="3"/>
  <c r="G7" i="7"/>
  <c r="G5" i="7"/>
  <c r="C40" i="7" s="1"/>
  <c r="J43" i="4"/>
  <c r="J42" i="4"/>
  <c r="D57" i="4"/>
  <c r="C16" i="10"/>
  <c r="D9" i="10"/>
  <c r="G15" i="6"/>
  <c r="H15" i="6" s="1"/>
  <c r="I15" i="6" s="1"/>
  <c r="G5" i="6"/>
  <c r="C40" i="6" s="1"/>
  <c r="G7" i="6"/>
  <c r="G35" i="3"/>
  <c r="H35" i="3" s="1"/>
  <c r="I35" i="3" s="1"/>
  <c r="J35" i="3" s="1"/>
  <c r="F35" i="3"/>
  <c r="H22" i="4"/>
  <c r="I22" i="4" s="1"/>
  <c r="J22" i="4" s="1"/>
  <c r="G22" i="4"/>
  <c r="F37" i="3"/>
  <c r="F25" i="3" s="1"/>
  <c r="E31" i="1"/>
  <c r="F31" i="1"/>
  <c r="G31" i="1"/>
  <c r="H31" i="1"/>
  <c r="I31" i="1"/>
  <c r="D31" i="1"/>
  <c r="F17" i="6"/>
  <c r="G17" i="6"/>
  <c r="H17" i="6"/>
  <c r="I17" i="6"/>
  <c r="E13" i="6"/>
  <c r="F13" i="6" s="1"/>
  <c r="G37" i="3" l="1"/>
  <c r="H37" i="3" s="1"/>
  <c r="I37" i="3" s="1"/>
  <c r="J37" i="3" s="1"/>
  <c r="D24" i="10"/>
  <c r="D23" i="10"/>
  <c r="C49" i="7"/>
  <c r="D25" i="10"/>
  <c r="F19" i="6"/>
  <c r="H18" i="6"/>
  <c r="D23" i="6"/>
  <c r="D24" i="6" s="1"/>
  <c r="I18" i="6"/>
  <c r="G13" i="6"/>
  <c r="G19" i="6" s="1"/>
  <c r="F16" i="6"/>
  <c r="G18" i="6"/>
  <c r="G16" i="6" l="1"/>
  <c r="H13" i="6"/>
  <c r="H19" i="6" s="1"/>
  <c r="D60" i="4"/>
  <c r="D56" i="4"/>
  <c r="J45" i="4"/>
  <c r="D68" i="4" s="1"/>
  <c r="H36" i="4"/>
  <c r="I36" i="4"/>
  <c r="J36" i="4"/>
  <c r="G36" i="4"/>
  <c r="D37" i="4"/>
  <c r="H35" i="4"/>
  <c r="I35" i="4" s="1"/>
  <c r="J35" i="4" s="1"/>
  <c r="B34" i="4"/>
  <c r="G27" i="4"/>
  <c r="F27" i="4"/>
  <c r="E32" i="4"/>
  <c r="G25" i="4"/>
  <c r="F25" i="4"/>
  <c r="E12" i="4"/>
  <c r="F12" i="4" s="1"/>
  <c r="G12" i="4" s="1"/>
  <c r="H12" i="4" s="1"/>
  <c r="I12" i="4" s="1"/>
  <c r="J12" i="4" s="1"/>
  <c r="C8" i="4"/>
  <c r="G6" i="4"/>
  <c r="H16" i="6" l="1"/>
  <c r="I13" i="6"/>
  <c r="D62" i="4"/>
  <c r="D66" i="4" s="1"/>
  <c r="I16" i="6" l="1"/>
  <c r="D25" i="6"/>
  <c r="I19" i="6"/>
  <c r="D26" i="6" s="1"/>
  <c r="G226" i="3"/>
  <c r="H226" i="3" s="1"/>
  <c r="I226" i="3" s="1"/>
  <c r="J226" i="3" s="1"/>
  <c r="F226" i="3"/>
  <c r="F96" i="3"/>
  <c r="G96" i="3"/>
  <c r="F51" i="3"/>
  <c r="G51" i="3" s="1"/>
  <c r="H51" i="3" s="1"/>
  <c r="I51" i="3" s="1"/>
  <c r="J51" i="3" s="1"/>
  <c r="F193" i="3"/>
  <c r="G193" i="3"/>
  <c r="H193" i="3"/>
  <c r="I193" i="3"/>
  <c r="J193" i="3"/>
  <c r="F237" i="3"/>
  <c r="G237" i="3" s="1"/>
  <c r="H237" i="3" s="1"/>
  <c r="I237" i="3" s="1"/>
  <c r="J237" i="3" s="1"/>
  <c r="F63" i="3"/>
  <c r="G63" i="3" s="1"/>
  <c r="H63" i="3" s="1"/>
  <c r="I63" i="3" s="1"/>
  <c r="J63" i="3" s="1"/>
  <c r="F255" i="3"/>
  <c r="F58" i="3" s="1"/>
  <c r="G255" i="3"/>
  <c r="G58" i="3" s="1"/>
  <c r="H255" i="3"/>
  <c r="H58" i="3" s="1"/>
  <c r="I255" i="3"/>
  <c r="I58" i="3" s="1"/>
  <c r="J255" i="3"/>
  <c r="J58" i="3" s="1"/>
  <c r="G248" i="3"/>
  <c r="G101" i="3" s="1"/>
  <c r="H248" i="3"/>
  <c r="H101" i="3" s="1"/>
  <c r="I248" i="3"/>
  <c r="I101" i="3" s="1"/>
  <c r="J248" i="3"/>
  <c r="J102" i="3" s="1"/>
  <c r="F88" i="3"/>
  <c r="H145" i="3"/>
  <c r="I145" i="3" s="1"/>
  <c r="J145" i="3" s="1"/>
  <c r="F225" i="3"/>
  <c r="G225" i="3" s="1"/>
  <c r="H225" i="3" s="1"/>
  <c r="I225" i="3" s="1"/>
  <c r="J225" i="3" s="1"/>
  <c r="F55" i="3"/>
  <c r="F66" i="3"/>
  <c r="F93" i="3" s="1"/>
  <c r="F50" i="3"/>
  <c r="G50" i="3" s="1"/>
  <c r="H50" i="3" s="1"/>
  <c r="I50" i="3" s="1"/>
  <c r="J50" i="3" s="1"/>
  <c r="F75" i="3"/>
  <c r="G75" i="3" s="1"/>
  <c r="H75" i="3" s="1"/>
  <c r="I75" i="3" s="1"/>
  <c r="J75" i="3" s="1"/>
  <c r="G88" i="3"/>
  <c r="H88" i="3"/>
  <c r="I88" i="3"/>
  <c r="J88" i="3"/>
  <c r="F64" i="3"/>
  <c r="G64" i="3" s="1"/>
  <c r="H64" i="3" s="1"/>
  <c r="I64" i="3" s="1"/>
  <c r="J64" i="3" s="1"/>
  <c r="E245" i="3"/>
  <c r="F248" i="3" s="1"/>
  <c r="F101" i="3" s="1"/>
  <c r="E252" i="3"/>
  <c r="F252" i="3" s="1"/>
  <c r="G252" i="3" s="1"/>
  <c r="H252" i="3" s="1"/>
  <c r="I252" i="3" s="1"/>
  <c r="J252" i="3" s="1"/>
  <c r="E250" i="3"/>
  <c r="F247" i="3" s="1"/>
  <c r="D27" i="6" l="1"/>
  <c r="I102" i="3"/>
  <c r="H102" i="3"/>
  <c r="J101" i="3"/>
  <c r="G102" i="3"/>
  <c r="F92" i="3"/>
  <c r="F102" i="3"/>
  <c r="G66" i="3"/>
  <c r="G93" i="3" s="1"/>
  <c r="G55" i="3"/>
  <c r="G92" i="3" s="1"/>
  <c r="C5" i="10" l="1"/>
  <c r="C13" i="10" s="1"/>
  <c r="C33" i="6"/>
  <c r="F250" i="3"/>
  <c r="F253" i="3" s="1"/>
  <c r="F23" i="3" s="1"/>
  <c r="H66" i="3"/>
  <c r="H93" i="3" s="1"/>
  <c r="H55" i="3"/>
  <c r="H92" i="3" l="1"/>
  <c r="G247" i="3"/>
  <c r="G250" i="3" s="1"/>
  <c r="G253" i="3" s="1"/>
  <c r="G23" i="3" s="1"/>
  <c r="F256" i="3"/>
  <c r="F62" i="3" s="1"/>
  <c r="I66" i="3"/>
  <c r="I93" i="3" s="1"/>
  <c r="I55" i="3"/>
  <c r="I92" i="3" l="1"/>
  <c r="J66" i="3"/>
  <c r="J93" i="3" s="1"/>
  <c r="H247" i="3"/>
  <c r="H250" i="3" s="1"/>
  <c r="G256" i="3"/>
  <c r="G62" i="3" s="1"/>
  <c r="J55" i="3"/>
  <c r="J92" i="3" s="1"/>
  <c r="I247" i="3" l="1"/>
  <c r="I250" i="3" s="1"/>
  <c r="I256" i="3" s="1"/>
  <c r="I62" i="3" s="1"/>
  <c r="H256" i="3"/>
  <c r="H62" i="3" s="1"/>
  <c r="H253" i="3"/>
  <c r="H23" i="3" s="1"/>
  <c r="F99" i="3"/>
  <c r="G99" i="3"/>
  <c r="E238" i="3"/>
  <c r="F238" i="3" s="1"/>
  <c r="G238" i="3" s="1"/>
  <c r="H238" i="3" s="1"/>
  <c r="I238" i="3" s="1"/>
  <c r="J238" i="3" s="1"/>
  <c r="E239" i="3"/>
  <c r="F236" i="3" s="1"/>
  <c r="F239" i="3" s="1"/>
  <c r="F73" i="3"/>
  <c r="G73" i="3" s="1"/>
  <c r="H73" i="3" s="1"/>
  <c r="I73" i="3" s="1"/>
  <c r="J73" i="3" s="1"/>
  <c r="E233" i="3"/>
  <c r="F230" i="3" s="1"/>
  <c r="F233" i="3" s="1"/>
  <c r="G215" i="3"/>
  <c r="H215" i="3"/>
  <c r="I215" i="3"/>
  <c r="J215" i="3"/>
  <c r="F215" i="3"/>
  <c r="E223" i="3"/>
  <c r="F219" i="3" s="1"/>
  <c r="E216" i="3"/>
  <c r="F214" i="3" s="1"/>
  <c r="F216" i="3" s="1"/>
  <c r="E212" i="3"/>
  <c r="F212" i="3" s="1"/>
  <c r="G212" i="3" s="1"/>
  <c r="H212" i="3" s="1"/>
  <c r="I212" i="3" s="1"/>
  <c r="J212" i="3" s="1"/>
  <c r="E211" i="3"/>
  <c r="F211" i="3" s="1"/>
  <c r="G211" i="3" s="1"/>
  <c r="H211" i="3" s="1"/>
  <c r="I211" i="3" s="1"/>
  <c r="J211" i="3" s="1"/>
  <c r="G60" i="3"/>
  <c r="H60" i="3"/>
  <c r="G206" i="3"/>
  <c r="H206" i="3"/>
  <c r="I206" i="3"/>
  <c r="J206" i="3"/>
  <c r="F206" i="3"/>
  <c r="E208" i="3"/>
  <c r="G196" i="3"/>
  <c r="H196" i="3"/>
  <c r="I196" i="3"/>
  <c r="I60" i="3" s="1"/>
  <c r="J196" i="3"/>
  <c r="J60" i="3" s="1"/>
  <c r="F196" i="3"/>
  <c r="F60" i="3" s="1"/>
  <c r="E194" i="3"/>
  <c r="F190" i="3" s="1"/>
  <c r="F192" i="3" s="1"/>
  <c r="F91" i="3" s="1"/>
  <c r="J104" i="3" l="1"/>
  <c r="H104" i="3"/>
  <c r="I104" i="3"/>
  <c r="G104" i="3"/>
  <c r="J201" i="3"/>
  <c r="G201" i="3"/>
  <c r="F201" i="3"/>
  <c r="H201" i="3"/>
  <c r="I201" i="3"/>
  <c r="I253" i="3"/>
  <c r="I23" i="3" s="1"/>
  <c r="J247" i="3"/>
  <c r="J250" i="3" s="1"/>
  <c r="G214" i="3"/>
  <c r="G216" i="3" s="1"/>
  <c r="F71" i="3"/>
  <c r="F205" i="3"/>
  <c r="F194" i="3"/>
  <c r="G236" i="3"/>
  <c r="G239" i="3" s="1"/>
  <c r="F76" i="3"/>
  <c r="G230" i="3"/>
  <c r="G233" i="3" s="1"/>
  <c r="F74" i="3"/>
  <c r="G227" i="3"/>
  <c r="G221" i="3" s="1"/>
  <c r="G103" i="3" s="1"/>
  <c r="F227" i="3"/>
  <c r="F221" i="3" s="1"/>
  <c r="F103" i="3" s="1"/>
  <c r="F202" i="3"/>
  <c r="F203" i="3" s="1"/>
  <c r="J253" i="3" l="1"/>
  <c r="J23" i="3" s="1"/>
  <c r="J256" i="3"/>
  <c r="J62" i="3" s="1"/>
  <c r="G71" i="3"/>
  <c r="H214" i="3"/>
  <c r="H216" i="3" s="1"/>
  <c r="F207" i="3"/>
  <c r="F208" i="3" s="1"/>
  <c r="G190" i="3"/>
  <c r="G192" i="3" s="1"/>
  <c r="G91" i="3" s="1"/>
  <c r="F197" i="3"/>
  <c r="F65" i="3" s="1"/>
  <c r="G76" i="3"/>
  <c r="H236" i="3"/>
  <c r="H239" i="3" s="1"/>
  <c r="G74" i="3"/>
  <c r="H230" i="3"/>
  <c r="H233" i="3" s="1"/>
  <c r="G105" i="3"/>
  <c r="F105" i="3"/>
  <c r="H227" i="3"/>
  <c r="H221" i="3" s="1"/>
  <c r="H103" i="3" s="1"/>
  <c r="H71" i="3" l="1"/>
  <c r="I214" i="3"/>
  <c r="I216" i="3" s="1"/>
  <c r="H105" i="3"/>
  <c r="G202" i="3"/>
  <c r="G203" i="3" s="1"/>
  <c r="G207" i="3" s="1"/>
  <c r="G194" i="3"/>
  <c r="G205" i="3"/>
  <c r="F54" i="3"/>
  <c r="H76" i="3"/>
  <c r="I236" i="3"/>
  <c r="I239" i="3" s="1"/>
  <c r="H74" i="3"/>
  <c r="I230" i="3"/>
  <c r="I233" i="3" s="1"/>
  <c r="J227" i="3"/>
  <c r="J221" i="3" s="1"/>
  <c r="J103" i="3" s="1"/>
  <c r="I227" i="3"/>
  <c r="I221" i="3" s="1"/>
  <c r="I103" i="3" s="1"/>
  <c r="I105" i="3" l="1"/>
  <c r="I71" i="3"/>
  <c r="J214" i="3"/>
  <c r="J216" i="3" s="1"/>
  <c r="J71" i="3" s="1"/>
  <c r="H190" i="3"/>
  <c r="H192" i="3" s="1"/>
  <c r="H91" i="3" s="1"/>
  <c r="G197" i="3"/>
  <c r="G65" i="3" s="1"/>
  <c r="G208" i="3"/>
  <c r="I76" i="3"/>
  <c r="J236" i="3"/>
  <c r="J239" i="3" s="1"/>
  <c r="J76" i="3" s="1"/>
  <c r="I74" i="3"/>
  <c r="J230" i="3"/>
  <c r="J233" i="3" s="1"/>
  <c r="J74" i="3" s="1"/>
  <c r="J105" i="3"/>
  <c r="G54" i="3" l="1"/>
  <c r="H205" i="3"/>
  <c r="H194" i="3" l="1"/>
  <c r="H202" i="3"/>
  <c r="H203" i="3" s="1"/>
  <c r="H207" i="3" s="1"/>
  <c r="H208" i="3" s="1"/>
  <c r="H197" i="3" l="1"/>
  <c r="H65" i="3" s="1"/>
  <c r="I190" i="3"/>
  <c r="I192" i="3" s="1"/>
  <c r="I91" i="3" s="1"/>
  <c r="I205" i="3"/>
  <c r="H54" i="3"/>
  <c r="I194" i="3" l="1"/>
  <c r="I202" i="3"/>
  <c r="I203" i="3" s="1"/>
  <c r="I207" i="3" s="1"/>
  <c r="I208" i="3" s="1"/>
  <c r="I197" i="3" l="1"/>
  <c r="I65" i="3" s="1"/>
  <c r="J190" i="3"/>
  <c r="J192" i="3" s="1"/>
  <c r="J91" i="3" s="1"/>
  <c r="J205" i="3"/>
  <c r="I54" i="3"/>
  <c r="J194" i="3" l="1"/>
  <c r="J197" i="3" s="1"/>
  <c r="J65" i="3" s="1"/>
  <c r="J202" i="3"/>
  <c r="J203" i="3" s="1"/>
  <c r="J207" i="3" s="1"/>
  <c r="J208" i="3" s="1"/>
  <c r="J54" i="3" s="1"/>
  <c r="E184" i="3"/>
  <c r="F184" i="3" s="1"/>
  <c r="G184" i="3" s="1"/>
  <c r="H184" i="3" s="1"/>
  <c r="I184" i="3" s="1"/>
  <c r="J184" i="3" s="1"/>
  <c r="E183" i="3"/>
  <c r="F183" i="3" s="1"/>
  <c r="E178" i="3"/>
  <c r="F175" i="3" s="1"/>
  <c r="F178" i="3" s="1"/>
  <c r="O44" i="1"/>
  <c r="M44" i="1"/>
  <c r="N44" i="1"/>
  <c r="L44" i="1"/>
  <c r="H96" i="3"/>
  <c r="E146" i="3"/>
  <c r="E149" i="3" s="1"/>
  <c r="D146" i="3"/>
  <c r="D149" i="3" s="1"/>
  <c r="E147" i="3"/>
  <c r="F144" i="3" s="1"/>
  <c r="D158" i="3"/>
  <c r="D156" i="3"/>
  <c r="E159" i="3"/>
  <c r="E141" i="3"/>
  <c r="F141" i="3" s="1"/>
  <c r="G141" i="3" s="1"/>
  <c r="H141" i="3" s="1"/>
  <c r="I141" i="3" s="1"/>
  <c r="J141" i="3" s="1"/>
  <c r="E142" i="3"/>
  <c r="F142" i="3" s="1"/>
  <c r="G142" i="3" s="1"/>
  <c r="H142" i="3" s="1"/>
  <c r="I142" i="3" s="1"/>
  <c r="J142" i="3" s="1"/>
  <c r="G137" i="3"/>
  <c r="H137" i="3"/>
  <c r="I137" i="3"/>
  <c r="J137" i="3"/>
  <c r="F137" i="3"/>
  <c r="E136" i="3"/>
  <c r="E137" i="3"/>
  <c r="D137" i="3"/>
  <c r="D136" i="3"/>
  <c r="E79" i="1"/>
  <c r="F79" i="1"/>
  <c r="G79" i="1"/>
  <c r="H79" i="1"/>
  <c r="I79" i="1"/>
  <c r="D79" i="1"/>
  <c r="G132" i="3"/>
  <c r="H132" i="3"/>
  <c r="I132" i="3"/>
  <c r="J132" i="3"/>
  <c r="F132" i="3"/>
  <c r="E132" i="3"/>
  <c r="D132" i="3"/>
  <c r="E78" i="1"/>
  <c r="F78" i="1"/>
  <c r="G78" i="1"/>
  <c r="H78" i="1"/>
  <c r="I78" i="1"/>
  <c r="E127" i="3"/>
  <c r="F125" i="3" s="1"/>
  <c r="E67" i="3"/>
  <c r="E79" i="3" s="1"/>
  <c r="D79" i="3"/>
  <c r="G121" i="3"/>
  <c r="G120" i="3"/>
  <c r="F121" i="3"/>
  <c r="E116" i="3"/>
  <c r="F114" i="3" s="1"/>
  <c r="H121" i="3"/>
  <c r="I121" i="3"/>
  <c r="J121" i="3"/>
  <c r="E121" i="3"/>
  <c r="D121" i="3"/>
  <c r="F77" i="1"/>
  <c r="G77" i="1"/>
  <c r="H77" i="1"/>
  <c r="I77" i="1"/>
  <c r="E77" i="1"/>
  <c r="H120" i="3"/>
  <c r="I120" i="3"/>
  <c r="J120" i="3"/>
  <c r="F120" i="3"/>
  <c r="E111" i="3"/>
  <c r="F111" i="3" s="1"/>
  <c r="G111" i="3" s="1"/>
  <c r="H111" i="3" s="1"/>
  <c r="I111" i="3" s="1"/>
  <c r="J111" i="3" s="1"/>
  <c r="E110" i="3"/>
  <c r="F110" i="3" s="1"/>
  <c r="G110" i="3" s="1"/>
  <c r="H110" i="3" s="1"/>
  <c r="I110" i="3" s="1"/>
  <c r="J110" i="3" s="1"/>
  <c r="F61" i="3"/>
  <c r="G61" i="3" s="1"/>
  <c r="H61" i="3" s="1"/>
  <c r="I61" i="3" s="1"/>
  <c r="J61" i="3" s="1"/>
  <c r="G69" i="3"/>
  <c r="F70" i="3"/>
  <c r="G70" i="3" s="1"/>
  <c r="H70" i="3" s="1"/>
  <c r="I70" i="3" s="1"/>
  <c r="J70" i="3" s="1"/>
  <c r="F48" i="3"/>
  <c r="G48" i="3" s="1"/>
  <c r="H48" i="3" s="1"/>
  <c r="I48" i="3" s="1"/>
  <c r="J48" i="3" s="1"/>
  <c r="F52" i="3"/>
  <c r="G52" i="3" s="1"/>
  <c r="H52" i="3" s="1"/>
  <c r="I52" i="3" s="1"/>
  <c r="J52" i="3" s="1"/>
  <c r="E36" i="3"/>
  <c r="E34" i="3"/>
  <c r="E28" i="3"/>
  <c r="D28" i="3"/>
  <c r="E17" i="3"/>
  <c r="E35" i="3" s="1"/>
  <c r="D17" i="3"/>
  <c r="D35" i="3" s="1"/>
  <c r="L10" i="1"/>
  <c r="K10" i="1"/>
  <c r="E82" i="3"/>
  <c r="F82" i="3" s="1"/>
  <c r="G82" i="3" s="1"/>
  <c r="H82" i="3" s="1"/>
  <c r="I82" i="3" s="1"/>
  <c r="J82" i="3" s="1"/>
  <c r="E83" i="3"/>
  <c r="F83" i="3" s="1"/>
  <c r="G83" i="3" s="1"/>
  <c r="H83" i="3" s="1"/>
  <c r="I83" i="3" s="1"/>
  <c r="J83" i="3" s="1"/>
  <c r="E41" i="3"/>
  <c r="F41" i="3" s="1"/>
  <c r="G41" i="3" s="1"/>
  <c r="H41" i="3" s="1"/>
  <c r="I41" i="3" s="1"/>
  <c r="J41" i="3" s="1"/>
  <c r="E42" i="3"/>
  <c r="F42" i="3" s="1"/>
  <c r="G42" i="3" s="1"/>
  <c r="H42" i="3" s="1"/>
  <c r="I42" i="3" s="1"/>
  <c r="J42" i="3" s="1"/>
  <c r="H99" i="3" l="1"/>
  <c r="H27" i="4"/>
  <c r="F16" i="3"/>
  <c r="F28" i="4"/>
  <c r="G183" i="3"/>
  <c r="F188" i="3"/>
  <c r="D164" i="3"/>
  <c r="G167" i="3" s="1"/>
  <c r="E162" i="3"/>
  <c r="G175" i="3"/>
  <c r="G178" i="3" s="1"/>
  <c r="F53" i="3"/>
  <c r="F122" i="3"/>
  <c r="F116" i="3" s="1"/>
  <c r="F133" i="3"/>
  <c r="F127" i="3" s="1"/>
  <c r="F47" i="3" s="1"/>
  <c r="G166" i="3"/>
  <c r="H169" i="3"/>
  <c r="I169" i="3"/>
  <c r="J169" i="3"/>
  <c r="I167" i="3"/>
  <c r="G168" i="3"/>
  <c r="J168" i="3"/>
  <c r="H69" i="3"/>
  <c r="E20" i="3"/>
  <c r="D20" i="3"/>
  <c r="F18" i="3"/>
  <c r="G18" i="3" s="1"/>
  <c r="H18" i="3" s="1"/>
  <c r="I18" i="3" s="1"/>
  <c r="J18" i="3" s="1"/>
  <c r="G15" i="3"/>
  <c r="E13" i="3"/>
  <c r="F13" i="3" s="1"/>
  <c r="G13" i="3" s="1"/>
  <c r="H13" i="3" s="1"/>
  <c r="I13" i="3" s="1"/>
  <c r="J13" i="3" s="1"/>
  <c r="C2" i="3"/>
  <c r="F59" i="3" l="1"/>
  <c r="F131" i="3"/>
  <c r="F17" i="3"/>
  <c r="G122" i="3"/>
  <c r="G116" i="3" s="1"/>
  <c r="G14" i="4"/>
  <c r="F167" i="3"/>
  <c r="H168" i="3"/>
  <c r="H167" i="3"/>
  <c r="F136" i="3"/>
  <c r="F138" i="3" s="1"/>
  <c r="F46" i="3" s="1"/>
  <c r="F45" i="3"/>
  <c r="F89" i="3" s="1"/>
  <c r="G188" i="3"/>
  <c r="H183" i="3"/>
  <c r="J167" i="3"/>
  <c r="F166" i="3"/>
  <c r="F172" i="3" s="1"/>
  <c r="F146" i="3" s="1"/>
  <c r="I168" i="3"/>
  <c r="J166" i="3"/>
  <c r="I166" i="3"/>
  <c r="H166" i="3"/>
  <c r="H172" i="3" s="1"/>
  <c r="H146" i="3" s="1"/>
  <c r="G53" i="3"/>
  <c r="H175" i="3"/>
  <c r="H178" i="3" s="1"/>
  <c r="I170" i="3"/>
  <c r="J170" i="3"/>
  <c r="I96" i="3"/>
  <c r="G172" i="3"/>
  <c r="G146" i="3" s="1"/>
  <c r="E29" i="3"/>
  <c r="E24" i="3"/>
  <c r="I69" i="3"/>
  <c r="D29" i="3"/>
  <c r="D24" i="3"/>
  <c r="G114" i="3"/>
  <c r="G115" i="3" s="1"/>
  <c r="F115" i="3"/>
  <c r="G125" i="3"/>
  <c r="F126" i="3"/>
  <c r="H15" i="3"/>
  <c r="G16" i="3"/>
  <c r="G59" i="3" s="1"/>
  <c r="G90" i="3" s="1"/>
  <c r="F67" i="3" l="1"/>
  <c r="F90" i="3"/>
  <c r="G45" i="3"/>
  <c r="H114" i="3"/>
  <c r="G136" i="3"/>
  <c r="G138" i="3" s="1"/>
  <c r="G46" i="3" s="1"/>
  <c r="G87" i="3" s="1"/>
  <c r="I99" i="3"/>
  <c r="I27" i="4"/>
  <c r="H122" i="3"/>
  <c r="H116" i="3" s="1"/>
  <c r="H14" i="4"/>
  <c r="F32" i="4"/>
  <c r="F26" i="4" s="1"/>
  <c r="G28" i="4"/>
  <c r="G15" i="4"/>
  <c r="F87" i="3"/>
  <c r="H188" i="3"/>
  <c r="I183" i="3"/>
  <c r="I172" i="3"/>
  <c r="I146" i="3" s="1"/>
  <c r="H53" i="3"/>
  <c r="I175" i="3"/>
  <c r="I178" i="3" s="1"/>
  <c r="J96" i="3"/>
  <c r="J171" i="3"/>
  <c r="J172" i="3" s="1"/>
  <c r="J146" i="3" s="1"/>
  <c r="F180" i="3"/>
  <c r="F19" i="3" s="1"/>
  <c r="G180" i="3"/>
  <c r="G19" i="3" s="1"/>
  <c r="G28" i="3" s="1"/>
  <c r="G86" i="3" s="1"/>
  <c r="G149" i="3"/>
  <c r="H180" i="3"/>
  <c r="H19" i="3" s="1"/>
  <c r="H28" i="3" s="1"/>
  <c r="E26" i="3"/>
  <c r="E37" i="3"/>
  <c r="J69" i="3"/>
  <c r="D26" i="3"/>
  <c r="D37" i="3"/>
  <c r="G17" i="3"/>
  <c r="G131" i="3"/>
  <c r="G133" i="3"/>
  <c r="G127" i="3" s="1"/>
  <c r="G47" i="3" s="1"/>
  <c r="I15" i="3"/>
  <c r="H16" i="3"/>
  <c r="H59" i="3" s="1"/>
  <c r="H90" i="3" s="1"/>
  <c r="H115" i="3" l="1"/>
  <c r="H136" i="3"/>
  <c r="H138" i="3" s="1"/>
  <c r="H46" i="3" s="1"/>
  <c r="H87" i="3" s="1"/>
  <c r="H45" i="3"/>
  <c r="I114" i="3"/>
  <c r="H86" i="3"/>
  <c r="H25" i="4"/>
  <c r="J99" i="3"/>
  <c r="J27" i="4"/>
  <c r="I122" i="3"/>
  <c r="I116" i="3" s="1"/>
  <c r="J114" i="3" s="1"/>
  <c r="I14" i="4"/>
  <c r="H15" i="4"/>
  <c r="H28" i="4"/>
  <c r="G89" i="3"/>
  <c r="G32" i="4"/>
  <c r="G26" i="4" s="1"/>
  <c r="I188" i="3"/>
  <c r="J183" i="3"/>
  <c r="J188" i="3" s="1"/>
  <c r="I180" i="3"/>
  <c r="I19" i="3" s="1"/>
  <c r="I28" i="3" s="1"/>
  <c r="I149" i="3"/>
  <c r="I53" i="3"/>
  <c r="J175" i="3"/>
  <c r="J178" i="3" s="1"/>
  <c r="J53" i="3" s="1"/>
  <c r="G20" i="3"/>
  <c r="G18" i="4" s="1"/>
  <c r="J180" i="3"/>
  <c r="J19" i="3" s="1"/>
  <c r="J28" i="3" s="1"/>
  <c r="J149" i="3"/>
  <c r="F149" i="3"/>
  <c r="F147" i="3"/>
  <c r="F49" i="3" s="1"/>
  <c r="F28" i="3"/>
  <c r="F86" i="3" s="1"/>
  <c r="F20" i="3"/>
  <c r="F18" i="4" s="1"/>
  <c r="H149" i="3"/>
  <c r="G67" i="3"/>
  <c r="H131" i="3"/>
  <c r="H133" i="3"/>
  <c r="H127" i="3" s="1"/>
  <c r="H47" i="3" s="1"/>
  <c r="G126" i="3"/>
  <c r="H125" i="3"/>
  <c r="H17" i="3"/>
  <c r="H20" i="3" s="1"/>
  <c r="H18" i="4" s="1"/>
  <c r="J15" i="3"/>
  <c r="I16" i="3"/>
  <c r="I59" i="3" s="1"/>
  <c r="I90" i="3" s="1"/>
  <c r="I45" i="3" l="1"/>
  <c r="I136" i="3"/>
  <c r="I138" i="3" s="1"/>
  <c r="I46" i="3" s="1"/>
  <c r="I115" i="3"/>
  <c r="I86" i="3"/>
  <c r="I25" i="4"/>
  <c r="J86" i="3"/>
  <c r="J25" i="4"/>
  <c r="J122" i="3"/>
  <c r="J116" i="3" s="1"/>
  <c r="J14" i="4"/>
  <c r="I15" i="4"/>
  <c r="I28" i="4"/>
  <c r="G19" i="4"/>
  <c r="G21" i="4"/>
  <c r="G23" i="4" s="1"/>
  <c r="H89" i="3"/>
  <c r="H32" i="4"/>
  <c r="H26" i="4" s="1"/>
  <c r="F21" i="4"/>
  <c r="F23" i="4" s="1"/>
  <c r="F19" i="4"/>
  <c r="H19" i="4"/>
  <c r="H21" i="4"/>
  <c r="H23" i="4" s="1"/>
  <c r="G16" i="8" s="1"/>
  <c r="I87" i="3"/>
  <c r="G24" i="3"/>
  <c r="G25" i="3" s="1"/>
  <c r="G26" i="3" s="1"/>
  <c r="G263" i="3" s="1"/>
  <c r="G29" i="3"/>
  <c r="G16" i="4" s="1"/>
  <c r="G17" i="4" s="1"/>
  <c r="F29" i="3"/>
  <c r="F16" i="4" s="1"/>
  <c r="F17" i="4" s="1"/>
  <c r="F24" i="3"/>
  <c r="F26" i="3" s="1"/>
  <c r="F263" i="3" s="1"/>
  <c r="G144" i="3"/>
  <c r="G147" i="3" s="1"/>
  <c r="G49" i="3" s="1"/>
  <c r="H24" i="3"/>
  <c r="H29" i="3"/>
  <c r="H16" i="4" s="1"/>
  <c r="H17" i="4" s="1"/>
  <c r="H126" i="3"/>
  <c r="I125" i="3"/>
  <c r="I17" i="3"/>
  <c r="I20" i="3" s="1"/>
  <c r="I18" i="4" s="1"/>
  <c r="I131" i="3"/>
  <c r="I133" i="3"/>
  <c r="I127" i="3" s="1"/>
  <c r="I47" i="3" s="1"/>
  <c r="H67" i="3"/>
  <c r="J16" i="3"/>
  <c r="G30" i="4" l="1"/>
  <c r="F16" i="8"/>
  <c r="F30" i="4"/>
  <c r="F31" i="4" s="1"/>
  <c r="E16" i="8"/>
  <c r="J45" i="3"/>
  <c r="J136" i="3"/>
  <c r="J138" i="3" s="1"/>
  <c r="J46" i="3" s="1"/>
  <c r="J87" i="3" s="1"/>
  <c r="J115" i="3"/>
  <c r="G268" i="3"/>
  <c r="G265" i="3"/>
  <c r="F268" i="3"/>
  <c r="F265" i="3"/>
  <c r="F266" i="3" s="1"/>
  <c r="H30" i="4"/>
  <c r="J15" i="4"/>
  <c r="J28" i="4"/>
  <c r="I89" i="3"/>
  <c r="I32" i="4"/>
  <c r="I26" i="4" s="1"/>
  <c r="I19" i="4"/>
  <c r="I21" i="4"/>
  <c r="I23" i="4" s="1"/>
  <c r="H16" i="8" s="1"/>
  <c r="J17" i="3"/>
  <c r="J20" i="3" s="1"/>
  <c r="J18" i="4" s="1"/>
  <c r="J59" i="3"/>
  <c r="J90" i="3" s="1"/>
  <c r="H144" i="3"/>
  <c r="H147" i="3" s="1"/>
  <c r="H49" i="3" s="1"/>
  <c r="G85" i="3"/>
  <c r="G94" i="3" s="1"/>
  <c r="G107" i="3" s="1"/>
  <c r="G220" i="3"/>
  <c r="F85" i="3"/>
  <c r="F94" i="3" s="1"/>
  <c r="F107" i="3" s="1"/>
  <c r="F220" i="3"/>
  <c r="F223" i="3" s="1"/>
  <c r="I67" i="3"/>
  <c r="I24" i="3"/>
  <c r="I29" i="3"/>
  <c r="I16" i="4" s="1"/>
  <c r="I17" i="4" s="1"/>
  <c r="I126" i="3"/>
  <c r="J125" i="3"/>
  <c r="H25" i="3"/>
  <c r="H26" i="3" s="1"/>
  <c r="H263" i="3" s="1"/>
  <c r="J131" i="3"/>
  <c r="J133" i="3"/>
  <c r="J127" i="3" s="1"/>
  <c r="J47" i="3" s="1"/>
  <c r="H37" i="4" l="1"/>
  <c r="H31" i="4"/>
  <c r="G37" i="4"/>
  <c r="G31" i="4"/>
  <c r="G266" i="3"/>
  <c r="G269" i="3"/>
  <c r="F16" i="7"/>
  <c r="F269" i="3"/>
  <c r="E16" i="7"/>
  <c r="H268" i="3"/>
  <c r="H265" i="3"/>
  <c r="H266" i="3" s="1"/>
  <c r="J89" i="3"/>
  <c r="J32" i="4"/>
  <c r="J26" i="4" s="1"/>
  <c r="I30" i="4"/>
  <c r="J19" i="4"/>
  <c r="J21" i="4"/>
  <c r="J23" i="4" s="1"/>
  <c r="I16" i="8" s="1"/>
  <c r="J16" i="8" s="1"/>
  <c r="J29" i="3"/>
  <c r="J16" i="4" s="1"/>
  <c r="J17" i="4" s="1"/>
  <c r="J24" i="3"/>
  <c r="J25" i="3" s="1"/>
  <c r="J26" i="3" s="1"/>
  <c r="J263" i="3" s="1"/>
  <c r="F44" i="3"/>
  <c r="G44" i="3" s="1"/>
  <c r="G56" i="3" s="1"/>
  <c r="J67" i="3"/>
  <c r="G219" i="3"/>
  <c r="G223" i="3" s="1"/>
  <c r="F72" i="3"/>
  <c r="F77" i="3" s="1"/>
  <c r="F272" i="3" s="1"/>
  <c r="F275" i="3" s="1"/>
  <c r="E17" i="8" s="1"/>
  <c r="D28" i="8" s="1"/>
  <c r="H85" i="3"/>
  <c r="H94" i="3" s="1"/>
  <c r="H107" i="3" s="1"/>
  <c r="H220" i="3"/>
  <c r="I144" i="3"/>
  <c r="I147" i="3" s="1"/>
  <c r="I49" i="3" s="1"/>
  <c r="I25" i="3"/>
  <c r="I26" i="3" s="1"/>
  <c r="I263" i="3" s="1"/>
  <c r="J126" i="3"/>
  <c r="E7" i="5"/>
  <c r="E6" i="5"/>
  <c r="E5" i="5"/>
  <c r="C33" i="5"/>
  <c r="C15" i="5"/>
  <c r="C29" i="5" s="1"/>
  <c r="I37" i="4" l="1"/>
  <c r="I31" i="4"/>
  <c r="H269" i="3"/>
  <c r="G16" i="7"/>
  <c r="J268" i="3"/>
  <c r="J265" i="3"/>
  <c r="F279" i="3"/>
  <c r="F280" i="3"/>
  <c r="E17" i="7" s="1"/>
  <c r="F17" i="7" s="1"/>
  <c r="I268" i="3"/>
  <c r="I265" i="3"/>
  <c r="I266" i="3" s="1"/>
  <c r="J30" i="4"/>
  <c r="H44" i="3"/>
  <c r="H56" i="3" s="1"/>
  <c r="F56" i="3"/>
  <c r="F79" i="3" s="1"/>
  <c r="J144" i="3"/>
  <c r="J147" i="3" s="1"/>
  <c r="J49" i="3" s="1"/>
  <c r="J85" i="3"/>
  <c r="J94" i="3" s="1"/>
  <c r="J107" i="3" s="1"/>
  <c r="J220" i="3"/>
  <c r="I85" i="3"/>
  <c r="I94" i="3" s="1"/>
  <c r="I107" i="3" s="1"/>
  <c r="I220" i="3"/>
  <c r="H219" i="3"/>
  <c r="H223" i="3" s="1"/>
  <c r="G72" i="3"/>
  <c r="G77" i="3" s="1"/>
  <c r="C30" i="5"/>
  <c r="D42" i="4" l="1"/>
  <c r="J31" i="4"/>
  <c r="J269" i="3"/>
  <c r="I16" i="7"/>
  <c r="F18" i="7"/>
  <c r="F19" i="7" s="1"/>
  <c r="G17" i="7"/>
  <c r="D27" i="7"/>
  <c r="I269" i="3"/>
  <c r="H16" i="7"/>
  <c r="J266" i="3"/>
  <c r="G79" i="3"/>
  <c r="G272" i="3"/>
  <c r="G275" i="3" s="1"/>
  <c r="F17" i="8" s="1"/>
  <c r="J37" i="4"/>
  <c r="I44" i="3"/>
  <c r="I219" i="3"/>
  <c r="I223" i="3" s="1"/>
  <c r="H72" i="3"/>
  <c r="H77" i="3" s="1"/>
  <c r="G7" i="5"/>
  <c r="J7" i="5"/>
  <c r="J5" i="5"/>
  <c r="G6" i="5"/>
  <c r="G5" i="5"/>
  <c r="C13" i="5"/>
  <c r="F18" i="8" l="1"/>
  <c r="F19" i="8" s="1"/>
  <c r="F20" i="8" s="1"/>
  <c r="G18" i="7"/>
  <c r="G19" i="7" s="1"/>
  <c r="H17" i="7"/>
  <c r="G279" i="3"/>
  <c r="G280" i="3"/>
  <c r="H79" i="3"/>
  <c r="H272" i="3"/>
  <c r="H275" i="3" s="1"/>
  <c r="G17" i="8" s="1"/>
  <c r="J44" i="3"/>
  <c r="J56" i="3" s="1"/>
  <c r="I56" i="3"/>
  <c r="J219" i="3"/>
  <c r="J223" i="3" s="1"/>
  <c r="J72" i="3" s="1"/>
  <c r="J77" i="3" s="1"/>
  <c r="J272" i="3" s="1"/>
  <c r="J275" i="3" s="1"/>
  <c r="I17" i="8" s="1"/>
  <c r="I72" i="3"/>
  <c r="I77" i="3" s="1"/>
  <c r="I272" i="3" s="1"/>
  <c r="I275" i="3" s="1"/>
  <c r="H17" i="8" s="1"/>
  <c r="C37" i="5"/>
  <c r="C36" i="5"/>
  <c r="J6" i="5"/>
  <c r="K6" i="5" s="1"/>
  <c r="K7" i="5"/>
  <c r="K5" i="5"/>
  <c r="G18" i="8" l="1"/>
  <c r="G19" i="8" s="1"/>
  <c r="G20" i="8" s="1"/>
  <c r="I18" i="8"/>
  <c r="I19" i="8" s="1"/>
  <c r="I20" i="8" s="1"/>
  <c r="D24" i="8" s="1"/>
  <c r="D25" i="8" s="1"/>
  <c r="D26" i="8" s="1"/>
  <c r="H18" i="8"/>
  <c r="H19" i="8" s="1"/>
  <c r="H20" i="8" s="1"/>
  <c r="H18" i="7"/>
  <c r="H19" i="7" s="1"/>
  <c r="I17" i="7"/>
  <c r="I18" i="7" s="1"/>
  <c r="H279" i="3"/>
  <c r="H280" i="3"/>
  <c r="J279" i="3"/>
  <c r="J280" i="3"/>
  <c r="I279" i="3"/>
  <c r="I280" i="3"/>
  <c r="J79" i="3"/>
  <c r="I79" i="3"/>
  <c r="K8" i="5"/>
  <c r="C12" i="5" s="1"/>
  <c r="C14" i="5" s="1"/>
  <c r="C17" i="5" s="1"/>
  <c r="C23" i="5" s="1"/>
  <c r="C25" i="5" s="1"/>
  <c r="C39" i="5" s="1"/>
  <c r="D27" i="8" l="1"/>
  <c r="I19" i="7"/>
  <c r="D26" i="7" s="1"/>
  <c r="D23" i="7"/>
  <c r="D24" i="7" s="1"/>
  <c r="D25" i="7" s="1"/>
  <c r="D43" i="4"/>
  <c r="H38" i="4"/>
  <c r="G38" i="4"/>
  <c r="I38" i="4"/>
  <c r="J38" i="4"/>
  <c r="I75" i="1"/>
  <c r="I73" i="1"/>
  <c r="H73" i="1"/>
  <c r="H75" i="1" s="1"/>
  <c r="H61" i="1"/>
  <c r="I61" i="1"/>
  <c r="H50" i="1"/>
  <c r="I50" i="1"/>
  <c r="E28" i="1"/>
  <c r="F28" i="1"/>
  <c r="E29" i="1"/>
  <c r="F29" i="1"/>
  <c r="E30" i="1"/>
  <c r="F30" i="1"/>
  <c r="D30" i="1"/>
  <c r="D29" i="1"/>
  <c r="D28" i="1"/>
  <c r="D22" i="1"/>
  <c r="E22" i="1"/>
  <c r="F22" i="1"/>
  <c r="E20" i="1"/>
  <c r="F20" i="1"/>
  <c r="D20" i="1"/>
  <c r="E16" i="1"/>
  <c r="F16" i="1"/>
  <c r="D16" i="1"/>
  <c r="E25" i="1"/>
  <c r="F25" i="1"/>
  <c r="E26" i="1"/>
  <c r="F26" i="1"/>
  <c r="E27" i="1"/>
  <c r="F27" i="1"/>
  <c r="D27" i="1"/>
  <c r="D26" i="1"/>
  <c r="D25" i="1"/>
  <c r="E12" i="1"/>
  <c r="F12" i="1"/>
  <c r="D12" i="1"/>
  <c r="E9" i="1"/>
  <c r="F24" i="1" s="1"/>
  <c r="F9" i="1"/>
  <c r="D9" i="1"/>
  <c r="G24" i="1"/>
  <c r="H24" i="1"/>
  <c r="I24" i="1"/>
  <c r="H29" i="1"/>
  <c r="I29" i="1"/>
  <c r="G29" i="1"/>
  <c r="H30" i="1"/>
  <c r="I30" i="1"/>
  <c r="G30" i="1"/>
  <c r="H28" i="1"/>
  <c r="I28" i="1"/>
  <c r="G28" i="1"/>
  <c r="H27" i="1"/>
  <c r="I27" i="1"/>
  <c r="G27" i="1"/>
  <c r="G26" i="1"/>
  <c r="H26" i="1"/>
  <c r="I26" i="1"/>
  <c r="H25" i="1"/>
  <c r="I25" i="1"/>
  <c r="G25" i="1"/>
  <c r="H22" i="1"/>
  <c r="I22" i="1"/>
  <c r="G22" i="1"/>
  <c r="H20" i="1"/>
  <c r="I20" i="1"/>
  <c r="H16" i="1"/>
  <c r="I16" i="1"/>
  <c r="H12" i="1"/>
  <c r="I12" i="1"/>
  <c r="H9" i="1"/>
  <c r="I9" i="1"/>
  <c r="G9" i="1"/>
  <c r="G12" i="1" s="1"/>
  <c r="G16" i="1" s="1"/>
  <c r="G20" i="1" s="1"/>
  <c r="D29" i="8" l="1"/>
  <c r="D32" i="8" s="1"/>
  <c r="D28" i="7"/>
  <c r="D45" i="4"/>
  <c r="D50" i="4"/>
  <c r="D44" i="4"/>
  <c r="E24" i="1"/>
  <c r="C6" i="10" l="1"/>
  <c r="C14" i="10" s="1"/>
  <c r="C43" i="7"/>
  <c r="C34" i="7"/>
  <c r="D31" i="8"/>
  <c r="D47" i="8"/>
  <c r="D46" i="4"/>
  <c r="D48" i="4" s="1"/>
  <c r="D49" i="8" l="1"/>
  <c r="D51" i="8" s="1"/>
  <c r="D49" i="4"/>
  <c r="D65" i="4"/>
  <c r="C7" i="10" l="1"/>
  <c r="C57" i="8"/>
  <c r="C15" i="10"/>
  <c r="D73" i="4"/>
  <c r="D74" i="4"/>
  <c r="D67" i="4"/>
  <c r="D69" i="4" s="1"/>
  <c r="D72" i="4"/>
  <c r="D26" i="10" l="1"/>
  <c r="C4" i="10"/>
  <c r="C12" i="10" s="1"/>
  <c r="C17" i="10" s="1"/>
  <c r="C80" i="4"/>
  <c r="C18" i="10" l="1"/>
  <c r="C9" i="10"/>
  <c r="O1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Sumida, Kian (Student)</author>
  </authors>
  <commentList>
    <comment ref="C40" authorId="0" shapeId="0" xr:uid="{2A789EC9-E637-4002-9986-9C153244B582}">
      <text>
        <r>
          <rPr>
            <b/>
            <sz val="9"/>
            <color indexed="81"/>
            <rFont val="Tahoma"/>
            <family val="2"/>
          </rPr>
          <t>Sumida, Kian (Student):</t>
        </r>
        <r>
          <rPr>
            <sz val="9"/>
            <color indexed="81"/>
            <rFont val="Tahoma"/>
            <family val="2"/>
          </rPr>
          <t xml:space="preserve">
Subtractred from AR to find net AR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Sumida, Kian (Student)</author>
    <author>Kian Sumida</author>
  </authors>
  <commentList>
    <comment ref="F21" authorId="0" shapeId="0" xr:uid="{1049DB70-7C98-4B13-9700-D7C106921093}">
      <text>
        <r>
          <rPr>
            <b/>
            <sz val="9"/>
            <color rgb="FF000000"/>
            <rFont val="Tahoma"/>
            <family val="2"/>
          </rPr>
          <t>Sumida, Kian (Student):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probably just 3 yr avg</t>
        </r>
      </text>
    </comment>
    <comment ref="F22" authorId="0" shapeId="0" xr:uid="{BCF23348-54B2-4D76-A1C6-264982ED46DA}">
      <text>
        <r>
          <rPr>
            <b/>
            <sz val="9"/>
            <color rgb="FF000000"/>
            <rFont val="Tahoma"/>
            <family val="2"/>
          </rPr>
          <t>Sumida, Kian (Student):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probably just 3 yr average
</t>
        </r>
      </text>
    </comment>
    <comment ref="F34" authorId="0" shapeId="0" xr:uid="{6C04CA55-660D-44B9-ABBA-CEF742E9484D}">
      <text>
        <r>
          <rPr>
            <b/>
            <sz val="9"/>
            <color rgb="FF000000"/>
            <rFont val="Tahoma"/>
            <family val="2"/>
          </rPr>
          <t>Sumida, Kian (Student):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link to rev build 
</t>
        </r>
      </text>
    </comment>
    <comment ref="C46" authorId="0" shapeId="0" xr:uid="{4B4AC69D-963E-499A-BECB-4EF2CC5C5CBB}">
      <text>
        <r>
          <rPr>
            <b/>
            <sz val="9"/>
            <color indexed="81"/>
            <rFont val="Tahoma"/>
            <family val="2"/>
          </rPr>
          <t>Sumida, Kian (Student):</t>
        </r>
        <r>
          <rPr>
            <sz val="9"/>
            <color indexed="81"/>
            <rFont val="Tahoma"/>
            <family val="2"/>
          </rPr>
          <t xml:space="preserve">
Subtracted from AR to find net AR
</t>
        </r>
      </text>
    </comment>
    <comment ref="F63" authorId="0" shapeId="0" xr:uid="{F0D2EC7E-29EB-4B3E-9845-44663014A48D}">
      <text>
        <r>
          <rPr>
            <b/>
            <sz val="9"/>
            <color rgb="FF000000"/>
            <rFont val="Tahoma"/>
            <family val="2"/>
          </rPr>
          <t>Sumida, Kian (Student):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check later</t>
        </r>
      </text>
    </comment>
    <comment ref="F73" authorId="0" shapeId="0" xr:uid="{08C04937-AA1C-4C5F-B477-2474AF5FE284}">
      <text>
        <r>
          <rPr>
            <b/>
            <sz val="9"/>
            <color rgb="FF000000"/>
            <rFont val="Tahoma"/>
            <family val="2"/>
          </rPr>
          <t>Sumida, Kian (Student):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just average it</t>
        </r>
      </text>
    </comment>
    <comment ref="G176" authorId="1" shapeId="0" xr:uid="{7AEB254C-38D7-4258-B647-7086B12E9949}">
      <text>
        <r>
          <rPr>
            <b/>
            <sz val="10"/>
            <color rgb="FF000000"/>
            <rFont val="Tahoma"/>
            <family val="2"/>
          </rPr>
          <t>Kian Sumida: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Estimates from 10-K PG 90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Kian Sumida</author>
    <author>Sumida, Kian (Student)</author>
  </authors>
  <commentList>
    <comment ref="C8" authorId="0" shapeId="0" xr:uid="{E2E285E3-EE3E-477F-9510-2A4E7557BB67}">
      <text>
        <r>
          <rPr>
            <b/>
            <sz val="10"/>
            <color rgb="FF000000"/>
            <rFont val="Tahoma"/>
            <family val="2"/>
          </rPr>
          <t>Kian Sumida: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do yearfrac, once 2025 financials come out </t>
        </r>
      </text>
    </comment>
    <comment ref="E11" authorId="1" shapeId="0" xr:uid="{BD8458CC-3449-4597-B5B7-7D932266AB72}">
      <text>
        <r>
          <rPr>
            <b/>
            <sz val="9"/>
            <color rgb="FF000000"/>
            <rFont val="Tahoma"/>
            <family val="2"/>
          </rPr>
          <t>Sumida, Kian (Student):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actual might not come out until mid Feb, so using mean analyst estimates from Bloomberg</t>
        </r>
      </text>
    </comment>
    <comment ref="J44" authorId="0" shapeId="0" xr:uid="{8AD4F98C-5217-46B2-AD9D-55B0133447AF}">
      <text>
        <r>
          <rPr>
            <b/>
            <sz val="10"/>
            <color rgb="FF000000"/>
            <rFont val="Tahoma"/>
            <family val="2"/>
          </rPr>
          <t>Kian Sumida: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option outstanding but breakdown of exercise prices not disclosed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Kian Sumida</author>
  </authors>
  <commentList>
    <comment ref="D4" authorId="0" shapeId="0" xr:uid="{339CC018-1D91-409C-A176-C81473FB954F}">
      <text>
        <r>
          <rPr>
            <b/>
            <sz val="10"/>
            <color rgb="FF000000"/>
            <rFont val="Tahoma"/>
            <family val="2"/>
          </rPr>
          <t>Kian Sumida: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5 yr monthly 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Kian Sumida</author>
    <author>Sumida, Kian (Student)</author>
  </authors>
  <commentList>
    <comment ref="C9" authorId="0" shapeId="0" xr:uid="{D87714D5-3803-4D10-991F-0CF438AC1915}">
      <text>
        <r>
          <rPr>
            <b/>
            <sz val="10"/>
            <color rgb="FF000000"/>
            <rFont val="Tahoma"/>
            <family val="2"/>
          </rPr>
          <t>Kian Sumida: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do yearfrac, once 2025 financials come out </t>
        </r>
      </text>
    </comment>
    <comment ref="D12" authorId="1" shapeId="0" xr:uid="{AEEE08EE-C8FB-4BAC-967C-4C22D9DEB408}">
      <text>
        <r>
          <rPr>
            <b/>
            <sz val="9"/>
            <color rgb="FF000000"/>
            <rFont val="Tahoma"/>
            <family val="2"/>
          </rPr>
          <t>Sumida, Kian (Student):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actual might not come out until mid Feb, so using mean analyst estimates from Bloomberg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Kian Sumida</author>
  </authors>
  <commentList>
    <comment ref="B17" authorId="0" shapeId="0" xr:uid="{57563709-5B85-AC48-AD34-A6DF916C4CCF}">
      <text>
        <r>
          <rPr>
            <b/>
            <sz val="10"/>
            <color rgb="FF000000"/>
            <rFont val="Tahoma"/>
            <family val="2"/>
          </rPr>
          <t>Kian Sumida: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since RIM is meant to get rid of forecast error, not inluding effect of share buyback in BVPS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<sst xmlns="http://schemas.openxmlformats.org/spreadsheetml/2006/main" count="682" uniqueCount="439">
  <si>
    <t>INCOME STATEMENT</t>
  </si>
  <si>
    <t>Fiscal year</t>
  </si>
  <si>
    <t>Fiscal year end date</t>
  </si>
  <si>
    <t xml:space="preserve">in $ millions, except share amounts </t>
  </si>
  <si>
    <t>PX_LAST</t>
  </si>
  <si>
    <t>Service revenue and other</t>
  </si>
  <si>
    <t>T US EQUITY</t>
  </si>
  <si>
    <t xml:space="preserve">Wireless Equipment revenues </t>
  </si>
  <si>
    <t>Total Operating Revenue</t>
  </si>
  <si>
    <t xml:space="preserve">Cost of services </t>
  </si>
  <si>
    <t xml:space="preserve">Cost of Wirelss Equipment </t>
  </si>
  <si>
    <t xml:space="preserve">Gross Profit </t>
  </si>
  <si>
    <t xml:space="preserve">Selling, General, and administrative expensse </t>
  </si>
  <si>
    <t>Depreciation and amortization expense</t>
  </si>
  <si>
    <t xml:space="preserve">Verizon Business Group goodwill impairment </t>
  </si>
  <si>
    <t xml:space="preserve">Operating Income </t>
  </si>
  <si>
    <t>Equity in earnings (losses) of unconsolidates busiensses</t>
  </si>
  <si>
    <t xml:space="preserve">Other income expense </t>
  </si>
  <si>
    <t>Cap Ex</t>
  </si>
  <si>
    <t>Interest expense</t>
  </si>
  <si>
    <t xml:space="preserve">Pretax Profit </t>
  </si>
  <si>
    <t xml:space="preserve">Provision for income taxes </t>
  </si>
  <si>
    <t xml:space="preserve">Net Income </t>
  </si>
  <si>
    <t>Revenue Growth</t>
  </si>
  <si>
    <t>Service GP margin</t>
  </si>
  <si>
    <t>Wireless Equipment GP margin</t>
  </si>
  <si>
    <t>Total GP Margin</t>
  </si>
  <si>
    <t xml:space="preserve">SG&amp;A as a % of revenue </t>
  </si>
  <si>
    <t>Profit Margin</t>
  </si>
  <si>
    <t>D&amp;A expense</t>
  </si>
  <si>
    <t>Tax rate</t>
  </si>
  <si>
    <t>BALANCE SHEET</t>
  </si>
  <si>
    <t xml:space="preserve">Cash and Cash Equivalents </t>
  </si>
  <si>
    <t xml:space="preserve">Accounts Recievable </t>
  </si>
  <si>
    <t>Less Allowance for Credit Loss</t>
  </si>
  <si>
    <t xml:space="preserve">Inventories </t>
  </si>
  <si>
    <t xml:space="preserve">Prepaid expenses and other </t>
  </si>
  <si>
    <t xml:space="preserve">Property, Plant, &amp; Equipment, Net </t>
  </si>
  <si>
    <t xml:space="preserve">Investments in unconsolidated businesses </t>
  </si>
  <si>
    <t xml:space="preserve">Wireless Licenses </t>
  </si>
  <si>
    <t>Goodwill</t>
  </si>
  <si>
    <t xml:space="preserve">Other Intaginable assets, net </t>
  </si>
  <si>
    <t xml:space="preserve">Operating Lease right-of-use assets </t>
  </si>
  <si>
    <t xml:space="preserve">Other assets </t>
  </si>
  <si>
    <t xml:space="preserve">Total Assets </t>
  </si>
  <si>
    <t xml:space="preserve">Debt maturing in one year </t>
  </si>
  <si>
    <t xml:space="preserve">Accounts payable and accrued liabilities </t>
  </si>
  <si>
    <t xml:space="preserve">Current Operating Lease Liabilties </t>
  </si>
  <si>
    <t xml:space="preserve">Other curretn laibiltiies </t>
  </si>
  <si>
    <t xml:space="preserve">Long-term Debt </t>
  </si>
  <si>
    <t xml:space="preserve">Employee Benefit Obligations </t>
  </si>
  <si>
    <t xml:space="preserve">Deferred income taxes </t>
  </si>
  <si>
    <t xml:space="preserve">Non-current Operating Lease lailbities </t>
  </si>
  <si>
    <t xml:space="preserve">Other laibilities </t>
  </si>
  <si>
    <t xml:space="preserve">Total Liabilities </t>
  </si>
  <si>
    <t xml:space="preserve">Commitments and Contingencies </t>
  </si>
  <si>
    <t xml:space="preserve">Series preffered Stock </t>
  </si>
  <si>
    <t>Common Stock</t>
  </si>
  <si>
    <t xml:space="preserve">Aditional Paid In Capital </t>
  </si>
  <si>
    <t xml:space="preserve">Retained Earnings </t>
  </si>
  <si>
    <t xml:space="preserve">Acummulated other comphrehensive loss </t>
  </si>
  <si>
    <t xml:space="preserve">Common stock in Treasury </t>
  </si>
  <si>
    <t xml:space="preserve">Deferred compensation- employeee stock ownership plans </t>
  </si>
  <si>
    <t xml:space="preserve">Noncontrolling interests </t>
  </si>
  <si>
    <t xml:space="preserve">Total Equity </t>
  </si>
  <si>
    <t>Balance Check</t>
  </si>
  <si>
    <t xml:space="preserve">DSO </t>
  </si>
  <si>
    <t xml:space="preserve">Inventory Turnover </t>
  </si>
  <si>
    <t>Credit allownace %</t>
  </si>
  <si>
    <t>$ thousands, except XX</t>
  </si>
  <si>
    <t>Company name</t>
  </si>
  <si>
    <t xml:space="preserve">Verizon </t>
  </si>
  <si>
    <t>Operating lease discount rate</t>
  </si>
  <si>
    <t>Ticker</t>
  </si>
  <si>
    <t>VZ</t>
  </si>
  <si>
    <t>Financing lease discount rate</t>
  </si>
  <si>
    <t>Circuit breaker (1=off)</t>
  </si>
  <si>
    <t xml:space="preserve">Weighted avg. OP lease life </t>
  </si>
  <si>
    <t xml:space="preserve">Last closing share price </t>
  </si>
  <si>
    <t>Weighted avg. Fin lease life</t>
  </si>
  <si>
    <t xml:space="preserve">Last fiscal year end date </t>
  </si>
  <si>
    <t xml:space="preserve">Revenue </t>
  </si>
  <si>
    <t xml:space="preserve">Cost of Sales </t>
  </si>
  <si>
    <t xml:space="preserve">Selling, General,  &amp; Administrative </t>
  </si>
  <si>
    <t xml:space="preserve">Depreciation and amortization </t>
  </si>
  <si>
    <t xml:space="preserve">Operating Profit </t>
  </si>
  <si>
    <t>Equity in earnings (losses) of unconsolidated businesses</t>
  </si>
  <si>
    <t>EBITDA</t>
  </si>
  <si>
    <t xml:space="preserve">Stock based Compensation </t>
  </si>
  <si>
    <t>Adjusted EBITDA</t>
  </si>
  <si>
    <t xml:space="preserve">Growth rate &amp; margins </t>
  </si>
  <si>
    <t>Revenue growth</t>
  </si>
  <si>
    <t xml:space="preserve">Gross profit margin </t>
  </si>
  <si>
    <t xml:space="preserve">SG&amp;A growth rate </t>
  </si>
  <si>
    <t xml:space="preserve">Tax rate </t>
  </si>
  <si>
    <t>SBC growth rate</t>
  </si>
  <si>
    <t xml:space="preserve">Accounts Receivable </t>
  </si>
  <si>
    <t xml:space="preserve">Other Imaginable assets, net </t>
  </si>
  <si>
    <t xml:space="preserve">Current Operating Lease Liabilities </t>
  </si>
  <si>
    <t xml:space="preserve">Other current liabilities </t>
  </si>
  <si>
    <t xml:space="preserve">Non-current Operating Lease labilities </t>
  </si>
  <si>
    <t xml:space="preserve">Other liabilities </t>
  </si>
  <si>
    <t xml:space="preserve">Series preferred Stock </t>
  </si>
  <si>
    <t xml:space="preserve">Additional Paid In Capital </t>
  </si>
  <si>
    <t xml:space="preserve">Accumulated other comprehensive loss </t>
  </si>
  <si>
    <t xml:space="preserve">Deferred compensation- employee stock ownership plans </t>
  </si>
  <si>
    <t xml:space="preserve">CASH FLOW STATEMENT </t>
  </si>
  <si>
    <t xml:space="preserve">Depreciation &amp; Amortization </t>
  </si>
  <si>
    <t xml:space="preserve">Provision for expected credit loss </t>
  </si>
  <si>
    <t>Equity in losses of unconsolidated business</t>
  </si>
  <si>
    <t xml:space="preserve">Change in working capital assets </t>
  </si>
  <si>
    <t xml:space="preserve">Change in working capital liabilities </t>
  </si>
  <si>
    <t xml:space="preserve">Operating lease liability </t>
  </si>
  <si>
    <t xml:space="preserve">other noncurrent assets </t>
  </si>
  <si>
    <t xml:space="preserve">other noncurrent liabilities </t>
  </si>
  <si>
    <t xml:space="preserve">Cash flow from operating activities </t>
  </si>
  <si>
    <t xml:space="preserve">Capital Expenditures </t>
  </si>
  <si>
    <t xml:space="preserve">Acquisition of wireless license </t>
  </si>
  <si>
    <t xml:space="preserve">Other, net </t>
  </si>
  <si>
    <t xml:space="preserve">Cash from investing activates </t>
  </si>
  <si>
    <t xml:space="preserve">Long term Debt </t>
  </si>
  <si>
    <t>Addition to Debt</t>
  </si>
  <si>
    <t xml:space="preserve">Dividends paid </t>
  </si>
  <si>
    <t xml:space="preserve">Cash from financing activities </t>
  </si>
  <si>
    <t>Net change in Cash</t>
  </si>
  <si>
    <t>WORKING CAPITAL ASSETS</t>
  </si>
  <si>
    <t>ACCOUNTS RECEIVABLE</t>
  </si>
  <si>
    <t xml:space="preserve">Beginning of period </t>
  </si>
  <si>
    <t>Increases / (decreases)</t>
  </si>
  <si>
    <t xml:space="preserve">End of period </t>
  </si>
  <si>
    <t>A/R forecasting approach</t>
  </si>
  <si>
    <t xml:space="preserve">Approach 1: Grow with revenue </t>
  </si>
  <si>
    <t>Approach 2: DSO Assumption</t>
  </si>
  <si>
    <t xml:space="preserve">INVENTORIES </t>
  </si>
  <si>
    <t>Inventory forecasting approach</t>
  </si>
  <si>
    <t>Approach 1: Grow wit COGS</t>
  </si>
  <si>
    <t xml:space="preserve">Approach 2: Inventory Turnover </t>
  </si>
  <si>
    <t>COGS</t>
  </si>
  <si>
    <t>PROVISION FOR CREDIT LOSS</t>
  </si>
  <si>
    <t xml:space="preserve">Accounts receivable </t>
  </si>
  <si>
    <t>Credit loss as a % of A/R</t>
  </si>
  <si>
    <t>End of period</t>
  </si>
  <si>
    <t>PROPERTY, PLANT, &amp; EQUIPMENT</t>
  </si>
  <si>
    <t>Beginning of period</t>
  </si>
  <si>
    <t>Capital expenditures</t>
  </si>
  <si>
    <t xml:space="preserve">Depreciation </t>
  </si>
  <si>
    <t>D&amp;A related to PP&amp;E as a % of Capex</t>
  </si>
  <si>
    <t>Depreciation waterfall</t>
  </si>
  <si>
    <t>Useful Life</t>
  </si>
  <si>
    <t xml:space="preserve">Building and equipment </t>
  </si>
  <si>
    <t xml:space="preserve">Central office and other network equipment </t>
  </si>
  <si>
    <t xml:space="preserve">Atenas, cable, conduit, poles, and towers </t>
  </si>
  <si>
    <t xml:space="preserve">Leasehold improvements </t>
  </si>
  <si>
    <t>work in progress</t>
  </si>
  <si>
    <t>Furniture, vehicles, and other</t>
  </si>
  <si>
    <t xml:space="preserve">Gross PP&amp;E excluding land </t>
  </si>
  <si>
    <t>Non-depreciable PP&amp;E</t>
  </si>
  <si>
    <t xml:space="preserve">Accumulated depreciation </t>
  </si>
  <si>
    <t xml:space="preserve">Net PP&amp;E </t>
  </si>
  <si>
    <t>Average useful life</t>
  </si>
  <si>
    <t>Depreciation from existing PP&amp;E</t>
  </si>
  <si>
    <t>Midyear adj.</t>
  </si>
  <si>
    <t>Depreciation from Capex purchased in 2026</t>
  </si>
  <si>
    <t>Depreciation from Capex purchased in 2027</t>
  </si>
  <si>
    <t>Depreciation from Capex purchased in 2028</t>
  </si>
  <si>
    <t>Depreciation from Capex purchased in 2029</t>
  </si>
  <si>
    <t>Depreciation from Capex purchased in 2030</t>
  </si>
  <si>
    <t>Total Depreciation</t>
  </si>
  <si>
    <t xml:space="preserve">INTANGIBLE ASSETS </t>
  </si>
  <si>
    <t xml:space="preserve">Amortization of intangible assets </t>
  </si>
  <si>
    <t>Additions</t>
  </si>
  <si>
    <t>Total Depreciation &amp; Amortization</t>
  </si>
  <si>
    <t>OPERATING LEASE LIABILITIES</t>
  </si>
  <si>
    <t>Operating Lease</t>
  </si>
  <si>
    <t>Payments due</t>
  </si>
  <si>
    <t>PV @ 4.3% discount rate</t>
  </si>
  <si>
    <t xml:space="preserve">Additions &amp; renewals </t>
  </si>
  <si>
    <t xml:space="preserve">Interest </t>
  </si>
  <si>
    <t xml:space="preserve">Cash payment </t>
  </si>
  <si>
    <t xml:space="preserve">Short term lease liability </t>
  </si>
  <si>
    <t xml:space="preserve">Long term lease liability </t>
  </si>
  <si>
    <t>Operating Right-of-use assets</t>
  </si>
  <si>
    <t>Annual lease expense</t>
  </si>
  <si>
    <t>Amortization</t>
  </si>
  <si>
    <t xml:space="preserve">Additions </t>
  </si>
  <si>
    <t>ADDITIONAL PAID IN CAPITAL</t>
  </si>
  <si>
    <t>Other</t>
  </si>
  <si>
    <t xml:space="preserve">Retained earnings </t>
  </si>
  <si>
    <t xml:space="preserve">Dividends </t>
  </si>
  <si>
    <t>Share Buybacks</t>
  </si>
  <si>
    <t>Shares outstanding</t>
  </si>
  <si>
    <t xml:space="preserve">Increase </t>
  </si>
  <si>
    <t>Dividend per share</t>
  </si>
  <si>
    <t>TREASURY STOCK</t>
  </si>
  <si>
    <t xml:space="preserve">Employee plans </t>
  </si>
  <si>
    <t xml:space="preserve">Shareholder plans </t>
  </si>
  <si>
    <t>NONCONTROLLING INTEREST</t>
  </si>
  <si>
    <t xml:space="preserve">Beginning of year </t>
  </si>
  <si>
    <t xml:space="preserve">Total comprehensive income </t>
  </si>
  <si>
    <t xml:space="preserve">Distributions and other </t>
  </si>
  <si>
    <t xml:space="preserve">INTEREST EXPENSE </t>
  </si>
  <si>
    <t xml:space="preserve">Maturities of long term debt </t>
  </si>
  <si>
    <t xml:space="preserve">Beginning of Period </t>
  </si>
  <si>
    <t>Payment of principal</t>
  </si>
  <si>
    <t xml:space="preserve">End of Period </t>
  </si>
  <si>
    <t xml:space="preserve">Weighted average interest expense </t>
  </si>
  <si>
    <t>Short term debt</t>
  </si>
  <si>
    <t>Long term Debt</t>
  </si>
  <si>
    <t>PER SHARE METRICS</t>
  </si>
  <si>
    <t>EARNINGS PER SHARE</t>
  </si>
  <si>
    <t>Shares Outstanding (in millions)</t>
  </si>
  <si>
    <t>EPS</t>
  </si>
  <si>
    <t xml:space="preserve"> % Growth</t>
  </si>
  <si>
    <t>No Share Buyback EPS</t>
  </si>
  <si>
    <t>BOOK VALUE PER SHARE</t>
  </si>
  <si>
    <t>Preferred stock</t>
  </si>
  <si>
    <t>Minority Interests</t>
  </si>
  <si>
    <t xml:space="preserve">Book Value </t>
  </si>
  <si>
    <t>BVPS</t>
  </si>
  <si>
    <t>BVPS no share buyback</t>
  </si>
  <si>
    <t>Discounted Cash Flow Valuation</t>
  </si>
  <si>
    <t xml:space="preserve">$ and shares in thousands, except per share </t>
  </si>
  <si>
    <t xml:space="preserve">Most recent fiscal year end </t>
  </si>
  <si>
    <t xml:space="preserve">Discount rate </t>
  </si>
  <si>
    <t xml:space="preserve">end of first fiscal year </t>
  </si>
  <si>
    <t xml:space="preserve">Share price </t>
  </si>
  <si>
    <t xml:space="preserve">most recent quarter end date </t>
  </si>
  <si>
    <t>Share price date</t>
  </si>
  <si>
    <t xml:space="preserve">Valuation date </t>
  </si>
  <si>
    <t>Midyear adjustment (1= off)</t>
  </si>
  <si>
    <t xml:space="preserve">Portion of first year cash flows </t>
  </si>
  <si>
    <t xml:space="preserve">Unlevered free cash flows </t>
  </si>
  <si>
    <t>2025E</t>
  </si>
  <si>
    <t>2026E</t>
  </si>
  <si>
    <t>2027E</t>
  </si>
  <si>
    <t>2028E</t>
  </si>
  <si>
    <t>2029E</t>
  </si>
  <si>
    <t>2030E</t>
  </si>
  <si>
    <t xml:space="preserve">  % growth</t>
  </si>
  <si>
    <t xml:space="preserve">EBITDA </t>
  </si>
  <si>
    <t xml:space="preserve">  % margin</t>
  </si>
  <si>
    <t xml:space="preserve">EBIT </t>
  </si>
  <si>
    <t xml:space="preserve">Tax on EBIT </t>
  </si>
  <si>
    <t xml:space="preserve">  Tax rate </t>
  </si>
  <si>
    <t xml:space="preserve">NOPAT </t>
  </si>
  <si>
    <t xml:space="preserve">Change in net working capital </t>
  </si>
  <si>
    <t xml:space="preserve">Capital expenditures </t>
  </si>
  <si>
    <t xml:space="preserve"> as a % of revenue </t>
  </si>
  <si>
    <t xml:space="preserve">Net working capital </t>
  </si>
  <si>
    <t>1 Yr- Target</t>
  </si>
  <si>
    <t xml:space="preserve">Date for discounting cash flows </t>
  </si>
  <si>
    <t>Stub adj.</t>
  </si>
  <si>
    <t>Unlevered free cash flows stub adjusted</t>
  </si>
  <si>
    <t>Present value of unlevered free cash flows</t>
  </si>
  <si>
    <t>Terminal value- growth to perpetuity</t>
  </si>
  <si>
    <t xml:space="preserve">Shares outstanding </t>
  </si>
  <si>
    <t xml:space="preserve">Long term growth rate </t>
  </si>
  <si>
    <t>2031 FCF</t>
  </si>
  <si>
    <t>RSUs</t>
  </si>
  <si>
    <t>Terminal value in 2030</t>
  </si>
  <si>
    <t>PSUs</t>
  </si>
  <si>
    <t xml:space="preserve">Present value of terminal value </t>
  </si>
  <si>
    <t>Stock options</t>
  </si>
  <si>
    <t xml:space="preserve">Present value of stage 1 cash flows </t>
  </si>
  <si>
    <t>Dilutive shares outstanding</t>
  </si>
  <si>
    <t>Total enterprise value (TEV)</t>
  </si>
  <si>
    <t>Terminal value as % of TEV</t>
  </si>
  <si>
    <t>Stage 1 cash flows as % of TEV</t>
  </si>
  <si>
    <t xml:space="preserve">Implied TV exit EBITDA multiple </t>
  </si>
  <si>
    <t xml:space="preserve">Net debt </t>
  </si>
  <si>
    <t xml:space="preserve">Source document </t>
  </si>
  <si>
    <t>10-K</t>
  </si>
  <si>
    <t xml:space="preserve">Source date </t>
  </si>
  <si>
    <t xml:space="preserve">Gross debt and equivalents </t>
  </si>
  <si>
    <t xml:space="preserve">Debt </t>
  </si>
  <si>
    <t>Minority Interest</t>
  </si>
  <si>
    <t xml:space="preserve">NEED TO ACCOUNT FOR MINORITY INTEREST </t>
  </si>
  <si>
    <t xml:space="preserve">Preferred stock </t>
  </si>
  <si>
    <t xml:space="preserve">Nonoperating assets </t>
  </si>
  <si>
    <t xml:space="preserve">Cash </t>
  </si>
  <si>
    <t>Valuation- growth to perpetuity</t>
  </si>
  <si>
    <t xml:space="preserve">Enterprise value </t>
  </si>
  <si>
    <t xml:space="preserve">Equity value </t>
  </si>
  <si>
    <t xml:space="preserve">Equity price per share </t>
  </si>
  <si>
    <t>Year 1 multiples- growth to perpetuity</t>
  </si>
  <si>
    <t xml:space="preserve">EV / revenue </t>
  </si>
  <si>
    <t>EV / EBITDA</t>
  </si>
  <si>
    <t xml:space="preserve">EV / EBIT </t>
  </si>
  <si>
    <t>Sensitvity Analysis</t>
  </si>
  <si>
    <t>Equity value per share</t>
  </si>
  <si>
    <t>Long term growth rate (g):</t>
  </si>
  <si>
    <t>Discount rate</t>
  </si>
  <si>
    <t>Check</t>
  </si>
  <si>
    <t>Bloomberg function WACC buildup</t>
  </si>
  <si>
    <t xml:space="preserve">Name </t>
  </si>
  <si>
    <t xml:space="preserve">Ticker </t>
  </si>
  <si>
    <t>Levered beta</t>
  </si>
  <si>
    <t>Debt/ equity</t>
  </si>
  <si>
    <t>Unlevered beta</t>
  </si>
  <si>
    <t>Cash</t>
  </si>
  <si>
    <t>Firm value ($ million)</t>
  </si>
  <si>
    <t>Cash / Firm value</t>
  </si>
  <si>
    <t>Cash Adj. unl. Beta</t>
  </si>
  <si>
    <t>AT&amp;T</t>
  </si>
  <si>
    <t>T-Mobile</t>
  </si>
  <si>
    <t>TMUS US EQUITY</t>
  </si>
  <si>
    <t>Charter Communication</t>
  </si>
  <si>
    <t>CHTR US EQUITY</t>
  </si>
  <si>
    <t>Average</t>
  </si>
  <si>
    <t>Average cash adj. unl. Beta</t>
  </si>
  <si>
    <t xml:space="preserve">VZ cash/firm value </t>
  </si>
  <si>
    <t>Plugs</t>
  </si>
  <si>
    <t>VZ unlevered beta</t>
  </si>
  <si>
    <t>TOT_DEBT_TO_TOT_EQY</t>
  </si>
  <si>
    <t>EV</t>
  </si>
  <si>
    <t>VZ tax rate</t>
  </si>
  <si>
    <t>CASH_AND_MARKETABLE_SECURITIES</t>
  </si>
  <si>
    <t>D/E ratio</t>
  </si>
  <si>
    <t>CURR_ENTP_VAL</t>
  </si>
  <si>
    <t>VZ's levered beta</t>
  </si>
  <si>
    <t>VZ US EQUITY</t>
  </si>
  <si>
    <t>USGG10YR Index</t>
  </si>
  <si>
    <t>WACC Buildup</t>
  </si>
  <si>
    <t>PX_Last</t>
  </si>
  <si>
    <t>CUR_MKT_CAP</t>
  </si>
  <si>
    <t xml:space="preserve">Cost of equity </t>
  </si>
  <si>
    <t>risk free rate</t>
  </si>
  <si>
    <t>Beta</t>
  </si>
  <si>
    <t xml:space="preserve">Equity risk premium </t>
  </si>
  <si>
    <t>Cost of debt</t>
  </si>
  <si>
    <t>Weighted average cost of debt</t>
  </si>
  <si>
    <t xml:space="preserve">Post tax cost of debt </t>
  </si>
  <si>
    <t xml:space="preserve">Weights </t>
  </si>
  <si>
    <t xml:space="preserve">Equity </t>
  </si>
  <si>
    <t>Wd</t>
  </si>
  <si>
    <t>We</t>
  </si>
  <si>
    <t>WACC</t>
  </si>
  <si>
    <t>Add</t>
  </si>
  <si>
    <t>Cost of Equity</t>
  </si>
  <si>
    <t>Discounted Dividend Valuation</t>
  </si>
  <si>
    <t>Dividends</t>
  </si>
  <si>
    <t xml:space="preserve"> % growth</t>
  </si>
  <si>
    <t>Present value of Dividends</t>
  </si>
  <si>
    <t>2031 Dividend</t>
  </si>
  <si>
    <t>Present value of term 1 dividends</t>
  </si>
  <si>
    <t>12-month price target</t>
  </si>
  <si>
    <t>Residual Income Valuation</t>
  </si>
  <si>
    <t>Residual Income</t>
  </si>
  <si>
    <t>Earnings per share</t>
  </si>
  <si>
    <t>ω</t>
  </si>
  <si>
    <t>Book value per share</t>
  </si>
  <si>
    <t>Present Value of Residual Incomes</t>
  </si>
  <si>
    <t>Terminal growth rate</t>
  </si>
  <si>
    <t xml:space="preserve">2031 Residual income </t>
  </si>
  <si>
    <t xml:space="preserve">Terminal value </t>
  </si>
  <si>
    <t xml:space="preserve">Present Value of terminal value </t>
  </si>
  <si>
    <t xml:space="preserve">Present value of term 1 Residual Income </t>
  </si>
  <si>
    <t>2026 BVPS</t>
  </si>
  <si>
    <t>Market Value Added Valuation</t>
  </si>
  <si>
    <t>CAPITAL</t>
  </si>
  <si>
    <t xml:space="preserve">EROIC </t>
  </si>
  <si>
    <t>Market Value Added</t>
  </si>
  <si>
    <t>Present value of Market Value Added</t>
  </si>
  <si>
    <t>2031 MVA</t>
  </si>
  <si>
    <t>Capital 2026</t>
  </si>
  <si>
    <t>Sensitivity Analysis</t>
  </si>
  <si>
    <t xml:space="preserve">last closing price </t>
  </si>
  <si>
    <t xml:space="preserve">PX_Last </t>
  </si>
  <si>
    <t>52 week high</t>
  </si>
  <si>
    <t>HIGH_52WEEK</t>
  </si>
  <si>
    <t>52 week low</t>
  </si>
  <si>
    <t>LOW_52WEEK</t>
  </si>
  <si>
    <t>Market cap</t>
  </si>
  <si>
    <t>EQY_SH_OUT</t>
  </si>
  <si>
    <t>YTD return</t>
  </si>
  <si>
    <t>CHG_PCT_YTD</t>
  </si>
  <si>
    <t xml:space="preserve">Equity 1 </t>
  </si>
  <si>
    <t xml:space="preserve">Equity 2 </t>
  </si>
  <si>
    <t xml:space="preserve">Equity 3 </t>
  </si>
  <si>
    <t xml:space="preserve">Equity 4 </t>
  </si>
  <si>
    <t xml:space="preserve">Equity 5 </t>
  </si>
  <si>
    <t xml:space="preserve">Peer group average </t>
  </si>
  <si>
    <t>My company</t>
  </si>
  <si>
    <t xml:space="preserve">Multiples </t>
  </si>
  <si>
    <t>Include?</t>
  </si>
  <si>
    <t>Price to sales ratio</t>
  </si>
  <si>
    <t>PX_TO_SALES_RATIO</t>
  </si>
  <si>
    <t/>
  </si>
  <si>
    <t>No</t>
  </si>
  <si>
    <t>Price to book ratio</t>
  </si>
  <si>
    <t>PX_TO_BOOK_RATIO</t>
  </si>
  <si>
    <t>Price to EBITDA</t>
  </si>
  <si>
    <t>PX_TO_EBITDA</t>
  </si>
  <si>
    <t>Yes</t>
  </si>
  <si>
    <t>Price to FCF</t>
  </si>
  <si>
    <t>PX_TO_FREE_CASH_FLOW</t>
  </si>
  <si>
    <t>Price to EPS</t>
  </si>
  <si>
    <t>PX_TO_EPS_BEFORE_ABNORMAL_ITEMS</t>
  </si>
  <si>
    <t>EV to trailing 12M sales</t>
  </si>
  <si>
    <t>EV_TO_T12M_SALES</t>
  </si>
  <si>
    <t xml:space="preserve">Data pull </t>
  </si>
  <si>
    <t>Trailing 12M sales per share</t>
  </si>
  <si>
    <t>TRAIL_12M_SALES_PER_SH</t>
  </si>
  <si>
    <t>Trailing 12M net sales</t>
  </si>
  <si>
    <t>TRAIL_12M_NET_SALES</t>
  </si>
  <si>
    <t>Short and long term debt</t>
  </si>
  <si>
    <t>SHORT_AND_LONG_TERM_DEBT</t>
  </si>
  <si>
    <t>Cash and cash equivalents</t>
  </si>
  <si>
    <t>BS_CASH_NEAR_CASH_ITEM</t>
  </si>
  <si>
    <t>BOOK_VAL_PER_SH</t>
  </si>
  <si>
    <t>EPS from Continuing Operations</t>
  </si>
  <si>
    <t>T12_EPS_CONT_OPS</t>
  </si>
  <si>
    <t>Trailing 12M FCF per share</t>
  </si>
  <si>
    <t>TRAIL_12M_FREE_CASH_FLOW_PER_SH</t>
  </si>
  <si>
    <t>Trailing 12M EBITDA per share</t>
  </si>
  <si>
    <t>TRAIL_12M_EBITDA_PER_SHARE</t>
  </si>
  <si>
    <t>Multiple</t>
  </si>
  <si>
    <t>Competitors' averages</t>
  </si>
  <si>
    <t>Price</t>
  </si>
  <si>
    <t>Final target price</t>
  </si>
  <si>
    <t>Last Price</t>
  </si>
  <si>
    <t>Potential Upside</t>
  </si>
  <si>
    <t>Models</t>
  </si>
  <si>
    <t>12-month Price Target</t>
  </si>
  <si>
    <t>Weight</t>
  </si>
  <si>
    <t>FCFM</t>
  </si>
  <si>
    <t>Givne current market price, what is implied discount rate</t>
  </si>
  <si>
    <t>DDM</t>
  </si>
  <si>
    <t>RIM</t>
  </si>
  <si>
    <t>Investors punshing FCF for its massive debt loads</t>
  </si>
  <si>
    <t>MVAM</t>
  </si>
  <si>
    <t>COMPS</t>
  </si>
  <si>
    <t>12 Month Target Price</t>
  </si>
  <si>
    <t xml:space="preserve">Weighted Valuation </t>
  </si>
  <si>
    <t>Blended 12-month price target</t>
  </si>
  <si>
    <t>Football Field</t>
  </si>
  <si>
    <t xml:space="preserve">Low </t>
  </si>
  <si>
    <t xml:space="preserve">Difference 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</si>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</sst>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7" formatCode="&quot;$&quot;#,##0.00_);\(&quot;$&quot;#,##0.00\)"/>
    <numFmt numFmtId="44" formatCode="_(&quot;$&quot;* #,##0.00_);_(&quot;$&quot;* \(#,##0.00\);_(&quot;$&quot;* &quot;-&quot;??_);_(@_)"/>
    <numFmt numFmtId="164" formatCode="#,##0.0_);\(#,##0.0\)"/>
    <numFmt numFmtId="165" formatCode="0.0%"/>
    <numFmt numFmtId="166" formatCode="0.0%_);\(0.0%\);@_)"/>
    <numFmt numFmtId="167" formatCode="0.0"/>
    <numFmt numFmtId="168" formatCode="0.0\x"/>
    <numFmt numFmtId="169" formatCode="0.0000"/>
    <numFmt numFmtId="170" formatCode="0.00000000000000%"/>
    <numFmt numFmtId="171" formatCode="#,##0.0"/>
    <numFmt numFmtId="172" formatCode="0\A;[Red]0\A"/>
    <numFmt numFmtId="173" formatCode="0\E;[Red]0\E"/>
    <numFmt numFmtId="174" formatCode="&quot;$&quot;#,##0.00"/>
    <numFmt numFmtId="175" formatCode="0\ &quot;days&quot;"/>
    <numFmt numFmtId="176" formatCode="0.0&quot;x&quot;"/>
    <numFmt numFmtId="177" formatCode="0.000"/>
    <numFmt numFmtId="178" formatCode="0&quot; years&quot;"/>
    <numFmt numFmtId="179" formatCode="#,##0.000_);\(#,##0.000\)"/>
    <numFmt numFmtId="180" formatCode="&quot;Year &quot;0"/>
    <numFmt numFmtId="181" formatCode="0.0\x_);\(0.0\x\);@_)"/>
    <numFmt numFmtId="182" formatCode="0.00\x_);\(0.00\x\);@_)"/>
  </numFmts>
  <fonts count="2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indexed="9"/>
      <name val="Arial"/>
      <family val="2"/>
    </font>
    <font>
      <b/>
      <sz val="10"/>
      <color indexed="9"/>
      <name val="Arial"/>
      <family val="2"/>
    </font>
    <font>
      <b/>
      <sz val="11"/>
      <color theme="1"/>
      <name val="Calibri"/>
      <family val="2"/>
    </font>
    <font>
      <sz val="11"/>
      <color rgb="FF0000FF"/>
      <name val="Calibri"/>
      <family val="2"/>
    </font>
    <font>
      <sz val="11"/>
      <color theme="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0"/>
      <name val="Aptos Narrow"/>
      <family val="2"/>
      <scheme val="minor"/>
    </font>
    <font>
      <sz val="10"/>
      <color rgb="FF0A0A0A"/>
      <name val="Arial Unicode MS"/>
      <family val="2"/>
    </font>
    <font>
      <b/>
      <sz val="10"/>
      <color rgb="FF000000"/>
      <name val="Tahoma"/>
      <family val="2"/>
    </font>
    <font>
      <sz val="10"/>
      <color rgb="FF000000"/>
      <name val="Tahoma"/>
      <family val="2"/>
    </font>
    <font>
      <sz val="11"/>
      <color theme="0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sz val="11"/>
      <color rgb="FF0000FF"/>
      <name val="Aptos Narrow"/>
      <family val="2"/>
      <scheme val="minor"/>
    </font>
    <font>
      <sz val="11"/>
      <color rgb="FF008000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9"/>
      <color theme="2" tint="-0.499984740745262"/>
      <name val="Aptos Narrow"/>
      <family val="2"/>
      <scheme val="minor"/>
    </font>
    <font>
      <u val="singleAccounting"/>
      <sz val="11"/>
      <color rgb="FF00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rgb="FF3232FF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98043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6C080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/>
      <bottom style="hair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3" fillId="2" borderId="1" applyNumberFormat="0" applyProtection="0">
      <alignment horizontal="left" vertical="center" readingOrder="1"/>
    </xf>
    <xf numFmtId="0" fontId="4" fillId="2" borderId="2">
      <alignment horizontal="left"/>
    </xf>
    <xf numFmtId="44" fontId="1" fillId="0" borderId="0" applyFont="0" applyFill="0" applyBorder="0" applyAlignment="0" applyProtection="0"/>
  </cellStyleXfs>
  <cellXfs count="155">
    <xf numFmtId="0" fontId="0" fillId="0" borderId="0" xfId="0"/>
    <xf numFmtId="0" fontId="5" fillId="0" borderId="4" xfId="0" applyFont="1" applyBorder="1"/>
    <xf numFmtId="0" fontId="6" fillId="0" borderId="4" xfId="0" applyFont="1" applyBorder="1" applyAlignment="1">
      <alignment horizontal="center"/>
    </xf>
    <xf numFmtId="0" fontId="7" fillId="0" borderId="4" xfId="0" applyFont="1" applyBorder="1"/>
    <xf numFmtId="0" fontId="7" fillId="0" borderId="0" xfId="0" applyFont="1"/>
    <xf numFmtId="0" fontId="5" fillId="0" borderId="0" xfId="0" applyFont="1"/>
    <xf numFmtId="0" fontId="5" fillId="0" borderId="3" xfId="0" applyFont="1" applyBorder="1"/>
    <xf numFmtId="14" fontId="7" fillId="0" borderId="4" xfId="0" applyNumberFormat="1" applyFont="1" applyBorder="1"/>
    <xf numFmtId="0" fontId="2" fillId="0" borderId="0" xfId="0" applyFont="1"/>
    <xf numFmtId="164" fontId="0" fillId="0" borderId="0" xfId="0" applyNumberFormat="1"/>
    <xf numFmtId="164" fontId="2" fillId="0" borderId="0" xfId="0" applyNumberFormat="1" applyFont="1"/>
    <xf numFmtId="165" fontId="0" fillId="0" borderId="0" xfId="1" applyNumberFormat="1" applyFont="1"/>
    <xf numFmtId="166" fontId="0" fillId="0" borderId="0" xfId="1" applyNumberFormat="1" applyFont="1"/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0" fontId="10" fillId="3" borderId="0" xfId="0" applyFont="1" applyFill="1"/>
    <xf numFmtId="0" fontId="0" fillId="4" borderId="0" xfId="0" applyFill="1"/>
    <xf numFmtId="0" fontId="1" fillId="0" borderId="0" xfId="0" applyFont="1"/>
    <xf numFmtId="2" fontId="0" fillId="0" borderId="0" xfId="1" applyNumberFormat="1" applyFont="1"/>
    <xf numFmtId="2" fontId="0" fillId="0" borderId="0" xfId="0" applyNumberFormat="1"/>
    <xf numFmtId="167" fontId="0" fillId="0" borderId="0" xfId="0" applyNumberFormat="1"/>
    <xf numFmtId="168" fontId="0" fillId="0" borderId="0" xfId="1" applyNumberFormat="1" applyFont="1"/>
    <xf numFmtId="169" fontId="0" fillId="0" borderId="0" xfId="0" applyNumberFormat="1"/>
    <xf numFmtId="9" fontId="0" fillId="0" borderId="0" xfId="0" applyNumberFormat="1"/>
    <xf numFmtId="2" fontId="2" fillId="0" borderId="0" xfId="1" applyNumberFormat="1" applyFont="1"/>
    <xf numFmtId="0" fontId="11" fillId="0" borderId="0" xfId="0" applyFont="1" applyAlignment="1">
      <alignment vertical="center"/>
    </xf>
    <xf numFmtId="10" fontId="0" fillId="0" borderId="0" xfId="1" applyNumberFormat="1" applyFont="1"/>
    <xf numFmtId="170" fontId="0" fillId="0" borderId="0" xfId="0" applyNumberFormat="1"/>
    <xf numFmtId="2" fontId="2" fillId="0" borderId="0" xfId="0" applyNumberFormat="1" applyFont="1"/>
    <xf numFmtId="171" fontId="0" fillId="0" borderId="0" xfId="0" applyNumberFormat="1"/>
    <xf numFmtId="10" fontId="2" fillId="0" borderId="0" xfId="1" applyNumberFormat="1" applyFont="1"/>
    <xf numFmtId="0" fontId="15" fillId="5" borderId="5" xfId="0" applyFont="1" applyFill="1" applyBorder="1"/>
    <xf numFmtId="0" fontId="14" fillId="5" borderId="5" xfId="0" applyFont="1" applyFill="1" applyBorder="1"/>
    <xf numFmtId="164" fontId="16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4" fontId="16" fillId="0" borderId="0" xfId="0" applyNumberFormat="1" applyFont="1" applyAlignment="1">
      <alignment horizontal="center"/>
    </xf>
    <xf numFmtId="0" fontId="10" fillId="5" borderId="4" xfId="0" applyFont="1" applyFill="1" applyBorder="1"/>
    <xf numFmtId="0" fontId="0" fillId="5" borderId="4" xfId="0" applyFill="1" applyBorder="1"/>
    <xf numFmtId="172" fontId="2" fillId="0" borderId="3" xfId="0" applyNumberFormat="1" applyFont="1" applyBorder="1" applyAlignment="1">
      <alignment horizontal="right"/>
    </xf>
    <xf numFmtId="173" fontId="2" fillId="0" borderId="3" xfId="0" applyNumberFormat="1" applyFont="1" applyBorder="1" applyAlignment="1">
      <alignment horizontal="right"/>
    </xf>
    <xf numFmtId="0" fontId="0" fillId="0" borderId="4" xfId="0" applyBorder="1"/>
    <xf numFmtId="14" fontId="0" fillId="0" borderId="4" xfId="0" applyNumberFormat="1" applyBorder="1"/>
    <xf numFmtId="174" fontId="16" fillId="0" borderId="0" xfId="0" applyNumberFormat="1" applyFont="1" applyAlignment="1">
      <alignment horizontal="center"/>
    </xf>
    <xf numFmtId="0" fontId="14" fillId="0" borderId="0" xfId="0" applyFont="1"/>
    <xf numFmtId="173" fontId="2" fillId="0" borderId="0" xfId="0" applyNumberFormat="1" applyFont="1" applyAlignment="1">
      <alignment horizontal="right"/>
    </xf>
    <xf numFmtId="14" fontId="0" fillId="0" borderId="0" xfId="0" applyNumberFormat="1"/>
    <xf numFmtId="0" fontId="18" fillId="0" borderId="0" xfId="0" applyFont="1"/>
    <xf numFmtId="0" fontId="0" fillId="5" borderId="0" xfId="0" applyFill="1"/>
    <xf numFmtId="0" fontId="14" fillId="5" borderId="0" xfId="0" applyFont="1" applyFill="1"/>
    <xf numFmtId="164" fontId="14" fillId="5" borderId="0" xfId="0" applyNumberFormat="1" applyFont="1" applyFill="1"/>
    <xf numFmtId="172" fontId="2" fillId="0" borderId="0" xfId="0" applyNumberFormat="1" applyFont="1" applyAlignment="1">
      <alignment horizontal="right"/>
    </xf>
    <xf numFmtId="166" fontId="16" fillId="0" borderId="0" xfId="1" applyNumberFormat="1" applyFont="1" applyFill="1"/>
    <xf numFmtId="0" fontId="10" fillId="5" borderId="0" xfId="0" applyFont="1" applyFill="1"/>
    <xf numFmtId="166" fontId="0" fillId="0" borderId="0" xfId="0" applyNumberFormat="1"/>
    <xf numFmtId="175" fontId="17" fillId="0" borderId="0" xfId="0" applyNumberFormat="1" applyFont="1"/>
    <xf numFmtId="175" fontId="0" fillId="0" borderId="0" xfId="0" applyNumberFormat="1"/>
    <xf numFmtId="164" fontId="0" fillId="0" borderId="4" xfId="0" applyNumberFormat="1" applyBorder="1"/>
    <xf numFmtId="176" fontId="0" fillId="0" borderId="0" xfId="0" applyNumberFormat="1"/>
    <xf numFmtId="176" fontId="17" fillId="0" borderId="0" xfId="0" applyNumberFormat="1" applyFont="1"/>
    <xf numFmtId="166" fontId="17" fillId="0" borderId="4" xfId="0" applyNumberFormat="1" applyFont="1" applyBorder="1"/>
    <xf numFmtId="166" fontId="0" fillId="0" borderId="4" xfId="0" applyNumberFormat="1" applyBorder="1"/>
    <xf numFmtId="0" fontId="14" fillId="5" borderId="4" xfId="0" applyFont="1" applyFill="1" applyBorder="1"/>
    <xf numFmtId="0" fontId="2" fillId="0" borderId="4" xfId="0" applyFont="1" applyBorder="1"/>
    <xf numFmtId="0" fontId="18" fillId="0" borderId="0" xfId="0" applyFont="1" applyAlignment="1">
      <alignment horizontal="right"/>
    </xf>
    <xf numFmtId="164" fontId="16" fillId="0" borderId="0" xfId="0" applyNumberFormat="1" applyFont="1"/>
    <xf numFmtId="0" fontId="0" fillId="0" borderId="6" xfId="0" applyBorder="1"/>
    <xf numFmtId="37" fontId="0" fillId="0" borderId="0" xfId="0" applyNumberFormat="1"/>
    <xf numFmtId="177" fontId="0" fillId="0" borderId="0" xfId="0" applyNumberFormat="1"/>
    <xf numFmtId="178" fontId="0" fillId="0" borderId="0" xfId="0" applyNumberFormat="1"/>
    <xf numFmtId="37" fontId="16" fillId="0" borderId="0" xfId="0" applyNumberFormat="1" applyFont="1"/>
    <xf numFmtId="10" fontId="0" fillId="0" borderId="0" xfId="0" applyNumberFormat="1"/>
    <xf numFmtId="167" fontId="2" fillId="0" borderId="0" xfId="0" applyNumberFormat="1" applyFont="1"/>
    <xf numFmtId="164" fontId="16" fillId="0" borderId="4" xfId="0" applyNumberFormat="1" applyFont="1" applyBorder="1"/>
    <xf numFmtId="179" fontId="0" fillId="0" borderId="0" xfId="0" applyNumberFormat="1"/>
    <xf numFmtId="179" fontId="16" fillId="0" borderId="0" xfId="0" applyNumberFormat="1" applyFont="1"/>
    <xf numFmtId="174" fontId="0" fillId="0" borderId="0" xfId="0" applyNumberFormat="1"/>
    <xf numFmtId="0" fontId="21" fillId="0" borderId="0" xfId="0" applyFont="1"/>
    <xf numFmtId="165" fontId="16" fillId="0" borderId="0" xfId="1" applyNumberFormat="1" applyFont="1"/>
    <xf numFmtId="14" fontId="0" fillId="0" borderId="0" xfId="0" applyNumberFormat="1" applyAlignment="1">
      <alignment horizontal="right"/>
    </xf>
    <xf numFmtId="0" fontId="0" fillId="0" borderId="3" xfId="0" applyBorder="1"/>
    <xf numFmtId="0" fontId="2" fillId="0" borderId="3" xfId="0" applyFont="1" applyBorder="1"/>
    <xf numFmtId="0" fontId="2" fillId="0" borderId="3" xfId="0" applyFont="1" applyBorder="1" applyAlignment="1">
      <alignment horizontal="right"/>
    </xf>
    <xf numFmtId="164" fontId="17" fillId="0" borderId="0" xfId="0" applyNumberFormat="1" applyFont="1" applyAlignment="1">
      <alignment horizontal="right"/>
    </xf>
    <xf numFmtId="165" fontId="0" fillId="0" borderId="0" xfId="0" applyNumberFormat="1"/>
    <xf numFmtId="180" fontId="22" fillId="0" borderId="7" xfId="0" applyNumberFormat="1" applyFont="1" applyBorder="1" applyAlignment="1">
      <alignment horizontal="center"/>
    </xf>
    <xf numFmtId="0" fontId="18" fillId="0" borderId="0" xfId="0" applyFont="1" applyAlignment="1">
      <alignment horizontal="center" vertical="center"/>
    </xf>
    <xf numFmtId="0" fontId="22" fillId="0" borderId="7" xfId="0" applyFont="1" applyBorder="1" applyAlignment="1">
      <alignment horizontal="center"/>
    </xf>
    <xf numFmtId="181" fontId="0" fillId="0" borderId="0" xfId="0" applyNumberFormat="1"/>
    <xf numFmtId="164" fontId="17" fillId="0" borderId="0" xfId="0" applyNumberFormat="1" applyFont="1"/>
    <xf numFmtId="0" fontId="16" fillId="0" borderId="0" xfId="0" applyFont="1" applyAlignment="1">
      <alignment horizontal="right"/>
    </xf>
    <xf numFmtId="14" fontId="16" fillId="0" borderId="0" xfId="0" applyNumberFormat="1" applyFont="1"/>
    <xf numFmtId="7" fontId="2" fillId="0" borderId="0" xfId="0" applyNumberFormat="1" applyFont="1"/>
    <xf numFmtId="0" fontId="0" fillId="0" borderId="0" xfId="0" applyAlignment="1">
      <alignment wrapText="1"/>
    </xf>
    <xf numFmtId="174" fontId="17" fillId="0" borderId="0" xfId="0" applyNumberFormat="1" applyFont="1" applyAlignment="1">
      <alignment horizontal="right"/>
    </xf>
    <xf numFmtId="165" fontId="17" fillId="0" borderId="0" xfId="1" applyNumberFormat="1" applyFont="1"/>
    <xf numFmtId="166" fontId="17" fillId="0" borderId="0" xfId="1" applyNumberFormat="1" applyFont="1" applyFill="1"/>
    <xf numFmtId="174" fontId="2" fillId="0" borderId="0" xfId="0" applyNumberFormat="1" applyFont="1"/>
    <xf numFmtId="39" fontId="0" fillId="0" borderId="0" xfId="0" applyNumberFormat="1"/>
    <xf numFmtId="0" fontId="23" fillId="0" borderId="0" xfId="0" applyFont="1"/>
    <xf numFmtId="9" fontId="23" fillId="0" borderId="0" xfId="1" applyFont="1"/>
    <xf numFmtId="0" fontId="24" fillId="0" borderId="0" xfId="0" applyFont="1"/>
    <xf numFmtId="165" fontId="24" fillId="0" borderId="0" xfId="0" applyNumberFormat="1" applyFont="1"/>
    <xf numFmtId="0" fontId="23" fillId="0" borderId="4" xfId="0" applyFont="1" applyBorder="1"/>
    <xf numFmtId="174" fontId="23" fillId="0" borderId="0" xfId="0" applyNumberFormat="1" applyFont="1"/>
    <xf numFmtId="174" fontId="23" fillId="0" borderId="4" xfId="0" applyNumberFormat="1" applyFont="1" applyBorder="1"/>
    <xf numFmtId="174" fontId="0" fillId="0" borderId="4" xfId="0" applyNumberFormat="1" applyBorder="1"/>
    <xf numFmtId="0" fontId="25" fillId="0" borderId="0" xfId="0" applyFont="1"/>
    <xf numFmtId="7" fontId="0" fillId="0" borderId="0" xfId="0" applyNumberFormat="1"/>
    <xf numFmtId="0" fontId="0" fillId="0" borderId="0" xfId="0" applyAlignment="1">
      <alignment horizontal="center" vertical="center"/>
    </xf>
    <xf numFmtId="7" fontId="14" fillId="0" borderId="0" xfId="0" applyNumberFormat="1" applyFont="1"/>
    <xf numFmtId="10" fontId="2" fillId="0" borderId="0" xfId="0" applyNumberFormat="1" applyFont="1"/>
    <xf numFmtId="165" fontId="2" fillId="0" borderId="0" xfId="0" applyNumberFormat="1" applyFont="1"/>
    <xf numFmtId="2" fontId="0" fillId="0" borderId="8" xfId="0" applyNumberFormat="1" applyBorder="1"/>
    <xf numFmtId="2" fontId="0" fillId="0" borderId="3" xfId="0" applyNumberFormat="1" applyBorder="1"/>
    <xf numFmtId="2" fontId="0" fillId="0" borderId="9" xfId="0" applyNumberFormat="1" applyBorder="1"/>
    <xf numFmtId="2" fontId="0" fillId="0" borderId="10" xfId="0" applyNumberFormat="1" applyBorder="1"/>
    <xf numFmtId="2" fontId="0" fillId="0" borderId="11" xfId="0" applyNumberFormat="1" applyBorder="1"/>
    <xf numFmtId="2" fontId="0" fillId="4" borderId="0" xfId="0" applyNumberFormat="1" applyFill="1"/>
    <xf numFmtId="2" fontId="0" fillId="0" borderId="12" xfId="0" applyNumberFormat="1" applyBorder="1"/>
    <xf numFmtId="2" fontId="0" fillId="0" borderId="4" xfId="0" applyNumberFormat="1" applyBorder="1"/>
    <xf numFmtId="2" fontId="0" fillId="0" borderId="13" xfId="0" applyNumberFormat="1" applyBorder="1"/>
    <xf numFmtId="0" fontId="2" fillId="0" borderId="14" xfId="0" applyFont="1" applyBorder="1"/>
    <xf numFmtId="0" fontId="2" fillId="0" borderId="1" xfId="0" applyFont="1" applyBorder="1"/>
    <xf numFmtId="0" fontId="2" fillId="0" borderId="15" xfId="0" applyFont="1" applyBorder="1" applyAlignment="1">
      <alignment horizontal="right"/>
    </xf>
    <xf numFmtId="0" fontId="0" fillId="0" borderId="8" xfId="0" applyBorder="1"/>
    <xf numFmtId="44" fontId="0" fillId="0" borderId="9" xfId="4" applyFont="1" applyBorder="1"/>
    <xf numFmtId="0" fontId="0" fillId="0" borderId="10" xfId="0" applyBorder="1"/>
    <xf numFmtId="2" fontId="0" fillId="0" borderId="11" xfId="4" applyNumberFormat="1" applyFont="1" applyBorder="1"/>
    <xf numFmtId="4" fontId="0" fillId="0" borderId="11" xfId="4" applyNumberFormat="1" applyFont="1" applyBorder="1"/>
    <xf numFmtId="0" fontId="0" fillId="0" borderId="12" xfId="0" applyBorder="1"/>
    <xf numFmtId="2" fontId="0" fillId="0" borderId="13" xfId="1" applyNumberFormat="1" applyFont="1" applyBorder="1"/>
    <xf numFmtId="0" fontId="14" fillId="3" borderId="0" xfId="0" applyFont="1" applyFill="1"/>
    <xf numFmtId="0" fontId="10" fillId="3" borderId="0" xfId="0" applyFont="1" applyFill="1" applyAlignment="1">
      <alignment horizontal="center"/>
    </xf>
    <xf numFmtId="0" fontId="0" fillId="0" borderId="16" xfId="0" applyBorder="1"/>
    <xf numFmtId="0" fontId="2" fillId="0" borderId="16" xfId="0" applyFont="1" applyBorder="1" applyAlignment="1">
      <alignment horizontal="center"/>
    </xf>
    <xf numFmtId="182" fontId="0" fillId="0" borderId="0" xfId="0" applyNumberFormat="1"/>
    <xf numFmtId="182" fontId="2" fillId="0" borderId="0" xfId="0" applyNumberFormat="1" applyFont="1"/>
    <xf numFmtId="14" fontId="10" fillId="3" borderId="0" xfId="0" applyNumberFormat="1" applyFont="1" applyFill="1" applyAlignment="1">
      <alignment horizontal="center"/>
    </xf>
    <xf numFmtId="0" fontId="2" fillId="0" borderId="16" xfId="0" applyFont="1" applyBorder="1"/>
    <xf numFmtId="44" fontId="0" fillId="0" borderId="0" xfId="0" applyNumberFormat="1"/>
    <xf numFmtId="0" fontId="0" fillId="6" borderId="0" xfId="0" applyFill="1"/>
    <xf numFmtId="174" fontId="2" fillId="0" borderId="16" xfId="0" applyNumberFormat="1" applyFont="1" applyBorder="1"/>
    <xf numFmtId="165" fontId="0" fillId="6" borderId="0" xfId="1" applyNumberFormat="1" applyFont="1" applyFill="1"/>
    <xf numFmtId="165" fontId="0" fillId="0" borderId="0" xfId="1" applyNumberFormat="1" applyFont="1" applyFill="1"/>
    <xf numFmtId="9" fontId="0" fillId="0" borderId="0" xfId="1" applyFont="1" applyFill="1"/>
    <xf numFmtId="10" fontId="2" fillId="0" borderId="0" xfId="1" applyNumberFormat="1" applyFont="1" applyFill="1"/>
    <xf numFmtId="164" fontId="6" fillId="0" borderId="0" xfId="0" applyNumberFormat="1" applyFont="1" applyAlignment="1">
      <alignment horizontal="right"/>
    </xf>
    <xf numFmtId="164" fontId="5" fillId="0" borderId="0" xfId="0" applyNumberFormat="1" applyFont="1"/>
    <xf numFmtId="164" fontId="6" fillId="0" borderId="4" xfId="0" applyNumberFormat="1" applyFont="1" applyBorder="1" applyAlignment="1">
      <alignment horizontal="right"/>
    </xf>
    <xf numFmtId="165" fontId="23" fillId="0" borderId="0" xfId="1" applyNumberFormat="1" applyFont="1"/>
    <xf numFmtId="44" fontId="0" fillId="0" borderId="0" xfId="4" applyFont="1"/>
    <xf numFmtId="0" fontId="2" fillId="0" borderId="4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</cellXfs>
  <cellStyles count="5">
    <cellStyle name="blp_title_header_row_left" xfId="2" xr:uid="{ED514647-3F05-45CE-9901-337CF21B3DB7}"/>
    <cellStyle name="Currency" xfId="4" builtinId="4"/>
    <cellStyle name="fa_column_header_bottom_left" xfId="3" xr:uid="{808A42B5-0FDE-4B0E-A6ED-F997093C69C6}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6C0800"/>
      <color rgb="FF008000"/>
      <color rgb="FF32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spPr>
            <a:noFill/>
            <a:ln>
              <a:noFill/>
            </a:ln>
            <a:effectLst/>
          </c:spPr>
          <c:invertIfNegative val="0"/>
          <c:cat>
            <c:strRef>
              <c:f>Blended!$B$23:$B$27</c:f>
              <c:strCache>
                <c:ptCount val="5"/>
                <c:pt idx="0">
                  <c:v>FCFM</c:v>
                </c:pt>
                <c:pt idx="1">
                  <c:v>DDM</c:v>
                </c:pt>
                <c:pt idx="2">
                  <c:v>RIM</c:v>
                </c:pt>
                <c:pt idx="3">
                  <c:v>MVAM</c:v>
                </c:pt>
                <c:pt idx="4">
                  <c:v>COMPS</c:v>
                </c:pt>
              </c:strCache>
            </c:strRef>
          </c:cat>
          <c:val>
            <c:numRef>
              <c:f>Blended!$C$23:$C$27</c:f>
              <c:numCache>
                <c:formatCode>"$"#,##0.00</c:formatCode>
                <c:ptCount val="5"/>
                <c:pt idx="0">
                  <c:v>100.7995332026918</c:v>
                </c:pt>
                <c:pt idx="1">
                  <c:v>47.393859009519595</c:v>
                </c:pt>
                <c:pt idx="2">
                  <c:v>34.626519575601037</c:v>
                </c:pt>
                <c:pt idx="3">
                  <c:v>73.425947041204921</c:v>
                </c:pt>
                <c:pt idx="4">
                  <c:v>53.195516880822908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02-9545-854A-969C16740C4E}"/>
            </c:ext>
          </c:extLst>
        </c:ser>
        <c:ser>
          <c:idx val="1"/>
          <c:order val="1"/>
          <c:spPr>
            <a:solidFill>
              <a:srgbClr val="6C0800"/>
            </a:solidFill>
            <a:ln>
              <a:noFill/>
            </a:ln>
            <a:effectLst/>
          </c:spPr>
          <c:invertIfNegative val="0"/>
          <c:cat>
            <c:strRef>
              <c:f>Blended!$B$23:$B$27</c:f>
              <c:strCache>
                <c:ptCount val="5"/>
                <c:pt idx="0">
                  <c:v>FCFM</c:v>
                </c:pt>
                <c:pt idx="1">
                  <c:v>DDM</c:v>
                </c:pt>
                <c:pt idx="2">
                  <c:v>RIM</c:v>
                </c:pt>
                <c:pt idx="3">
                  <c:v>MVAM</c:v>
                </c:pt>
                <c:pt idx="4">
                  <c:v>COMPS</c:v>
                </c:pt>
              </c:strCache>
            </c:strRef>
          </c:cat>
          <c:val>
            <c:numRef>
              <c:f>Blended!$D$23:$D$27</c:f>
              <c:numCache>
                <c:formatCode>"$"#,##0.00</c:formatCode>
                <c:ptCount val="5"/>
                <c:pt idx="0">
                  <c:v>32.257649239829533</c:v>
                </c:pt>
                <c:pt idx="1">
                  <c:v>8.3465341418855701</c:v>
                </c:pt>
                <c:pt idx="2">
                  <c:v>4.2928329721685259</c:v>
                </c:pt>
                <c:pt idx="3">
                  <c:v>17.706484165788453</c:v>
                </c:pt>
                <c:pt idx="4">
                  <c:v>5.5995280927182023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502-9545-854A-969C16740C4E}"/>
            </c:ext>
          </c:extLst>
        </c:ser>
        <c:ser>
          <c:idx val="2"/>
          <c:order val="2"/>
          <c:spPr>
            <a:noFill/>
            <a:ln>
              <a:noFill/>
            </a:ln>
            <a:effectLst/>
          </c:spPr>
          <c:invertIfNegative val="0"/>
          <c:cat>
            <c:strRef>
              <c:f>Blended!$B$23:$B$27</c:f>
              <c:strCache>
                <c:ptCount val="5"/>
                <c:pt idx="0">
                  <c:v>FCFM</c:v>
                </c:pt>
                <c:pt idx="1">
                  <c:v>DDM</c:v>
                </c:pt>
                <c:pt idx="2">
                  <c:v>RIM</c:v>
                </c:pt>
                <c:pt idx="3">
                  <c:v>MVAM</c:v>
                </c:pt>
                <c:pt idx="4">
                  <c:v>COMPS</c:v>
                </c:pt>
              </c:strCache>
            </c:strRef>
          </c:cat>
          <c:val>
            <c:numRef>
              <c:f>Blended!$E$23:$E$27</c:f>
              <c:numCache>
                <c:formatCode>"$"#,##0.00</c:formatCode>
                <c:ptCount val="5"/>
                <c:pt idx="0">
                  <c:v>133.05718244252134</c:v>
                </c:pt>
                <c:pt idx="1">
                  <c:v>55.740393151405165</c:v>
                </c:pt>
                <c:pt idx="2">
                  <c:v>38.919352547769563</c:v>
                </c:pt>
                <c:pt idx="3">
                  <c:v>91.132431206993374</c:v>
                </c:pt>
                <c:pt idx="4">
                  <c:v>58.79504497354111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502-9545-854A-969C16740C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1349049791"/>
        <c:axId val="1350055935"/>
      </c:barChart>
      <c:catAx>
        <c:axId val="13490497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venir Next LT Pro" panose="020B0504020202020204" pitchFamily="34" charset="77"/>
                <a:ea typeface="+mn-ea"/>
                <a:cs typeface="+mn-cs"/>
              </a:defRPr>
            </a:pPr>
            <a:endParaRPr lang="en-US"/>
          </a:p>
        </c:txPr>
        <c:crossAx val="1350055935"/>
        <c:crosses val="autoZero"/>
        <c:auto val="1"/>
        <c:lblAlgn val="ctr"/>
        <c:lblOffset val="100"/>
        <c:noMultiLvlLbl val="0"/>
      </c:catAx>
      <c:valAx>
        <c:axId val="1350055935"/>
        <c:scaling>
          <c:orientation val="minMax"/>
          <c:max val="150"/>
          <c:min val="0"/>
        </c:scaling>
        <c:delete val="0"/>
        <c:axPos val="b"/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venir Next LT Pro" panose="020B0504020202020204" pitchFamily="34" charset="77"/>
                <a:ea typeface="+mn-ea"/>
                <a:cs typeface="+mn-cs"/>
              </a:defRPr>
            </a:pPr>
            <a:endParaRPr lang="en-US"/>
          </a:p>
        </c:txPr>
        <c:crossAx val="1349049791"/>
        <c:crosses val="autoZero"/>
        <c:crossBetween val="between"/>
        <c:majorUnit val="3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193600152312569E-2"/>
          <c:y val="8.3863877399343187E-2"/>
          <c:w val="0.88557983037094445"/>
          <c:h val="0.82835436499010273"/>
        </c:manualLayout>
      </c:layout>
      <c:scatterChart>
        <c:scatterStyle val="smoothMarker"/>
        <c:varyColors val="0"/>
        <c:ser>
          <c:idx val="0"/>
          <c:order val="0"/>
          <c:spPr>
            <a:ln w="34925" cap="rnd">
              <a:solidFill>
                <a:schemeClr val="tx1">
                  <a:lumMod val="65000"/>
                  <a:lumOff val="35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(Blended!$C$17,Blended!$C$17)</c:f>
              <c:numCache>
                <c:formatCode>"$"#,##0.00</c:formatCode>
                <c:ptCount val="2"/>
                <c:pt idx="0">
                  <c:v>54.953160937241719</c:v>
                </c:pt>
                <c:pt idx="1">
                  <c:v>54.953160937241719</c:v>
                </c:pt>
              </c:numCache>
            </c:numRef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0-C0CC-BC49-9CF0-B9DE18997A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0695359"/>
        <c:axId val="1337839551"/>
      </c:scatterChart>
      <c:valAx>
        <c:axId val="1350695359"/>
        <c:scaling>
          <c:orientation val="minMax"/>
          <c:max val="150"/>
          <c:min val="0"/>
        </c:scaling>
        <c:delete val="0"/>
        <c:axPos val="b"/>
        <c:numFmt formatCode="&quot;$&quot;#,##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7839551"/>
        <c:crosses val="autoZero"/>
        <c:crossBetween val="midCat"/>
        <c:majorUnit val="50"/>
      </c:valAx>
      <c:valAx>
        <c:axId val="1337839551"/>
        <c:scaling>
          <c:orientation val="minMax"/>
          <c:max val="10"/>
        </c:scaling>
        <c:delete val="1"/>
        <c:axPos val="l"/>
        <c:numFmt formatCode="General" sourceLinked="1"/>
        <c:majorTickMark val="out"/>
        <c:minorTickMark val="none"/>
        <c:tickLblPos val="nextTo"/>
        <c:crossAx val="13506953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139327</xdr:colOff>
      <xdr:row>29</xdr:row>
      <xdr:rowOff>27268</xdr:rowOff>
    </xdr:from>
    <xdr:to>
      <xdr:col>8</xdr:col>
      <xdr:colOff>526677</xdr:colOff>
      <xdr:row>54</xdr:row>
      <xdr:rowOff>59018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6D75B1-0D71-B12F-AEE0-0AC7EC4F2B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139326</xdr:colOff>
      <xdr:row>54</xdr:row>
      <xdr:rowOff>124391</xdr:rowOff>
    </xdr:from>
    <xdr:to>
      <xdr:col>8</xdr:col>
      <xdr:colOff>530486</xdr:colOff>
      <xdr:row>79</xdr:row>
      <xdr:rowOff>153347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591E3A38-8384-A295-A5CD-C49EAF727C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9BE8E-750F-4ADE-AB30-989F75CEA294}">
  <dimension ref="C2:T79"/>
  <sheetViews>
    <sheetView showGridLines="0" workbookViewId="0">
      <selection activeCell="O8" sqref="O8"/>
    </sheetView>
  </sheetViews>
  <sheetFormatPr defaultColWidth="8.85546875" defaultRowHeight="15"/>
  <cols>
    <col min="3" max="3" width="51.85546875" bestFit="1" customWidth="1"/>
    <col min="4" max="5" width="11.42578125" bestFit="1" customWidth="1"/>
    <col min="6" max="8" width="12" bestFit="1" customWidth="1"/>
    <col min="9" max="9" width="12.42578125" bestFit="1" customWidth="1"/>
    <col min="11" max="11" width="9.42578125" bestFit="1" customWidth="1"/>
    <col min="15" max="20" width="11.42578125" bestFit="1" customWidth="1"/>
  </cols>
  <sheetData>
    <row r="2" spans="3:20">
      <c r="C2" s="1" t="s">
        <v>0</v>
      </c>
      <c r="D2" s="2"/>
      <c r="E2" s="3"/>
      <c r="F2" s="3"/>
      <c r="G2" s="3"/>
      <c r="H2" s="3"/>
    </row>
    <row r="3" spans="3:20">
      <c r="C3" s="4" t="s">
        <v>1</v>
      </c>
      <c r="D3" s="5">
        <v>2020</v>
      </c>
      <c r="E3" s="5">
        <v>2021</v>
      </c>
      <c r="F3" s="5">
        <v>2022</v>
      </c>
      <c r="G3" s="5">
        <v>2023</v>
      </c>
      <c r="H3" s="5">
        <v>2024</v>
      </c>
      <c r="I3" s="6">
        <v>2025</v>
      </c>
    </row>
    <row r="4" spans="3:20">
      <c r="C4" s="3" t="s">
        <v>2</v>
      </c>
      <c r="D4" s="7">
        <v>44196</v>
      </c>
      <c r="E4" s="7">
        <v>44561</v>
      </c>
      <c r="F4" s="7">
        <v>44926</v>
      </c>
      <c r="G4" s="7">
        <v>45291</v>
      </c>
      <c r="H4" s="7">
        <v>45657</v>
      </c>
      <c r="I4" s="7">
        <v>46022</v>
      </c>
      <c r="J4" s="7">
        <v>46022</v>
      </c>
    </row>
    <row r="5" spans="3:20">
      <c r="C5" t="s">
        <v>3</v>
      </c>
    </row>
    <row r="6" spans="3:20">
      <c r="P6" t="s">
        <v>4</v>
      </c>
    </row>
    <row r="7" spans="3:20">
      <c r="C7" t="s">
        <v>5</v>
      </c>
      <c r="D7" s="146">
        <v>109872</v>
      </c>
      <c r="E7" s="146">
        <v>110449</v>
      </c>
      <c r="F7" s="146">
        <v>109625</v>
      </c>
      <c r="G7" s="146">
        <v>109652</v>
      </c>
      <c r="H7" s="146">
        <v>111571</v>
      </c>
      <c r="I7" s="146">
        <v>112721</v>
      </c>
      <c r="O7" t="s">
        <v>6</v>
      </c>
      <c r="Q7" cm="1">
        <f t="array" ref="Q7">_xll.BDP(O7,P6)</f>
        <v>25.26</v>
      </c>
    </row>
    <row r="8" spans="3:20">
      <c r="C8" t="s">
        <v>7</v>
      </c>
      <c r="D8" s="146">
        <v>18420</v>
      </c>
      <c r="E8" s="146">
        <v>23164</v>
      </c>
      <c r="F8" s="146">
        <v>27210</v>
      </c>
      <c r="G8" s="146">
        <v>24322</v>
      </c>
      <c r="H8" s="146">
        <v>23217</v>
      </c>
      <c r="I8" s="146">
        <v>25470</v>
      </c>
    </row>
    <row r="9" spans="3:20">
      <c r="C9" s="8" t="s">
        <v>8</v>
      </c>
      <c r="D9" s="147">
        <f>SUM(D7:D8)</f>
        <v>128292</v>
      </c>
      <c r="E9" s="147">
        <f t="shared" ref="E9:F9" si="0">SUM(E7:E8)</f>
        <v>133613</v>
      </c>
      <c r="F9" s="147">
        <f t="shared" si="0"/>
        <v>136835</v>
      </c>
      <c r="G9" s="147">
        <f>SUM(G7:G8)</f>
        <v>133974</v>
      </c>
      <c r="H9" s="147">
        <f t="shared" ref="H9:I9" si="1">SUM(H7:H8)</f>
        <v>134788</v>
      </c>
      <c r="I9" s="147">
        <f t="shared" si="1"/>
        <v>138191</v>
      </c>
      <c r="L9" s="146"/>
      <c r="M9" s="146"/>
      <c r="N9" s="146"/>
    </row>
    <row r="10" spans="3:20">
      <c r="C10" t="s">
        <v>9</v>
      </c>
      <c r="D10" s="146">
        <v>-31401</v>
      </c>
      <c r="E10" s="146">
        <v>-31234</v>
      </c>
      <c r="F10" s="146">
        <v>-28637</v>
      </c>
      <c r="G10" s="146">
        <v>-28100</v>
      </c>
      <c r="H10" s="146">
        <v>-27997</v>
      </c>
      <c r="I10" s="146">
        <v>-27789</v>
      </c>
      <c r="K10" s="9">
        <f>SUM(H10:H11)</f>
        <v>-54097</v>
      </c>
      <c r="L10" s="9">
        <f>SUM(I10:I11)</f>
        <v>-56765</v>
      </c>
      <c r="M10" s="146"/>
      <c r="N10" s="146"/>
      <c r="O10" s="9">
        <f>D7</f>
        <v>109872</v>
      </c>
      <c r="P10" s="9">
        <f t="shared" ref="P10:T10" si="2">E7</f>
        <v>110449</v>
      </c>
      <c r="Q10" s="9">
        <f t="shared" si="2"/>
        <v>109625</v>
      </c>
      <c r="R10" s="9">
        <f t="shared" si="2"/>
        <v>109652</v>
      </c>
      <c r="S10" s="9">
        <f t="shared" si="2"/>
        <v>111571</v>
      </c>
      <c r="T10" s="9">
        <f t="shared" si="2"/>
        <v>112721</v>
      </c>
    </row>
    <row r="11" spans="3:20">
      <c r="C11" t="s">
        <v>10</v>
      </c>
      <c r="D11" s="146">
        <v>-19800</v>
      </c>
      <c r="E11" s="146">
        <v>-25067</v>
      </c>
      <c r="F11" s="146">
        <v>-30496</v>
      </c>
      <c r="G11" s="146">
        <v>-26787</v>
      </c>
      <c r="H11" s="146">
        <v>-26100</v>
      </c>
      <c r="I11" s="146">
        <v>-28976</v>
      </c>
      <c r="O11" s="45" cm="1">
        <f t="array" ref="O11:T12">_xll.BDH(O7, "CF_FREE_CASH_FLOW", D4,I4, "Per=Y","DIR=H")</f>
        <v>44196</v>
      </c>
      <c r="P11" s="45">
        <v>44561</v>
      </c>
      <c r="Q11" s="45">
        <v>44926</v>
      </c>
      <c r="R11" s="45">
        <v>45291</v>
      </c>
      <c r="S11" s="45">
        <v>45657</v>
      </c>
      <c r="T11" s="45">
        <v>46022</v>
      </c>
    </row>
    <row r="12" spans="3:20">
      <c r="C12" s="8" t="s">
        <v>11</v>
      </c>
      <c r="D12" s="10">
        <f>SUM(D9:D11)</f>
        <v>77091</v>
      </c>
      <c r="E12" s="10">
        <f t="shared" ref="E12:F12" si="3">SUM(E9:E11)</f>
        <v>77312</v>
      </c>
      <c r="F12" s="10">
        <f t="shared" si="3"/>
        <v>77702</v>
      </c>
      <c r="G12" s="10">
        <f>SUM(G9:G11)</f>
        <v>79087</v>
      </c>
      <c r="H12" s="10">
        <f t="shared" ref="H12:I12" si="4">SUM(H9:H11)</f>
        <v>80691</v>
      </c>
      <c r="I12" s="10">
        <f t="shared" si="4"/>
        <v>81426</v>
      </c>
      <c r="O12" s="150">
        <v>27455</v>
      </c>
      <c r="P12" s="150">
        <v>26413</v>
      </c>
      <c r="Q12" s="150">
        <v>12397</v>
      </c>
      <c r="R12" s="150">
        <v>20461</v>
      </c>
      <c r="S12" s="150">
        <v>18508</v>
      </c>
      <c r="T12" s="150">
        <v>19442</v>
      </c>
    </row>
    <row r="13" spans="3:20">
      <c r="C13" t="s">
        <v>12</v>
      </c>
      <c r="D13" s="146">
        <v>-31573</v>
      </c>
      <c r="E13" s="146">
        <v>-28658</v>
      </c>
      <c r="F13" s="146">
        <v>-30136</v>
      </c>
      <c r="G13" s="146">
        <v>-32745</v>
      </c>
      <c r="H13" s="146">
        <v>-34113</v>
      </c>
      <c r="I13" s="146">
        <v>-33818</v>
      </c>
      <c r="O13" s="45"/>
    </row>
    <row r="14" spans="3:20">
      <c r="C14" t="s">
        <v>13</v>
      </c>
      <c r="D14" s="146">
        <v>-16720</v>
      </c>
      <c r="E14" s="146">
        <v>-16206</v>
      </c>
      <c r="F14" s="146">
        <v>-17099</v>
      </c>
      <c r="G14" s="146">
        <v>-17624</v>
      </c>
      <c r="H14" s="146">
        <v>-17892</v>
      </c>
      <c r="I14" s="146">
        <v>-18349</v>
      </c>
      <c r="O14" s="45"/>
    </row>
    <row r="15" spans="3:20">
      <c r="C15" t="s">
        <v>14</v>
      </c>
      <c r="D15" s="146">
        <v>0</v>
      </c>
      <c r="E15" s="146">
        <v>0</v>
      </c>
      <c r="F15" s="146">
        <v>0</v>
      </c>
      <c r="G15" s="146">
        <v>-5841</v>
      </c>
      <c r="H15" s="146">
        <v>0</v>
      </c>
      <c r="I15" s="146">
        <v>0</v>
      </c>
      <c r="O15" s="45"/>
    </row>
    <row r="16" spans="3:20">
      <c r="C16" s="8" t="s">
        <v>15</v>
      </c>
      <c r="D16" s="10">
        <f>SUM(D12:D15)</f>
        <v>28798</v>
      </c>
      <c r="E16" s="10">
        <f t="shared" ref="E16:F16" si="5">SUM(E12:E15)</f>
        <v>32448</v>
      </c>
      <c r="F16" s="10">
        <f t="shared" si="5"/>
        <v>30467</v>
      </c>
      <c r="G16" s="10">
        <f>SUM(G12:G15)</f>
        <v>22877</v>
      </c>
      <c r="H16" s="10">
        <f t="shared" ref="H16:I16" si="6">SUM(H12:H15)</f>
        <v>28686</v>
      </c>
      <c r="I16" s="10">
        <f t="shared" si="6"/>
        <v>29259</v>
      </c>
      <c r="O16" s="45"/>
    </row>
    <row r="17" spans="3:20">
      <c r="C17" t="s">
        <v>16</v>
      </c>
      <c r="D17" s="146">
        <v>-45</v>
      </c>
      <c r="E17" s="146">
        <v>145</v>
      </c>
      <c r="F17" s="146">
        <v>44</v>
      </c>
      <c r="G17" s="146">
        <v>-53</v>
      </c>
      <c r="H17" s="146">
        <v>-53</v>
      </c>
      <c r="I17" s="146">
        <v>0</v>
      </c>
      <c r="O17" t="e">
        <f ca="1">_xll.BDH($O$7, "CF_FREE_CASH_FLOW", $D$4, $I$4, "Dir", "H", "Period", $O$17)</f>
        <v>#NAME?</v>
      </c>
    </row>
    <row r="18" spans="3:20">
      <c r="C18" t="s">
        <v>17</v>
      </c>
      <c r="D18" s="146">
        <v>-539</v>
      </c>
      <c r="E18" s="146">
        <v>312</v>
      </c>
      <c r="F18" s="146">
        <v>1373</v>
      </c>
      <c r="G18" s="146">
        <v>-313</v>
      </c>
      <c r="H18" s="146">
        <v>995</v>
      </c>
      <c r="I18" s="146">
        <v>107</v>
      </c>
      <c r="N18" t="s">
        <v>18</v>
      </c>
      <c r="O18" s="45" cm="1">
        <f t="array" ref="O18">_xll.BDH($O$7,"CAPITAL_EXPEND",D4)</f>
        <v>-2392</v>
      </c>
      <c r="P18" cm="1">
        <f t="array" ref="P18">_xll.BDH($O$7,"CAPITAL_EXPEND",E4)</f>
        <v>-3494</v>
      </c>
      <c r="Q18" cm="1">
        <f t="array" ref="Q18">_xll.BDH($O$7,"CAPITAL_EXPEND",F4)</f>
        <v>-4229</v>
      </c>
      <c r="R18" cm="1">
        <f t="array" ref="R18">_xll.BDH($O$7,"CAPITAL_EXPEND",G4)</f>
        <v>-4601</v>
      </c>
      <c r="S18" cm="1">
        <f t="array" ref="S18">_xll.BDH($O$7,"CAPITAL_EXPEND",H4)</f>
        <v>-6843</v>
      </c>
      <c r="T18" cm="1">
        <f t="array" ref="T18">_xll.BDH($O$7,"CAPITAL_EXPEND",I4)</f>
        <v>-6781</v>
      </c>
    </row>
    <row r="19" spans="3:20">
      <c r="C19" t="s">
        <v>19</v>
      </c>
      <c r="D19" s="146">
        <v>-4247</v>
      </c>
      <c r="E19" s="146">
        <v>-3485</v>
      </c>
      <c r="F19" s="146">
        <v>-3613</v>
      </c>
      <c r="G19" s="146">
        <v>-5524</v>
      </c>
      <c r="H19" s="146">
        <v>-6649</v>
      </c>
      <c r="I19" s="146">
        <v>-6694</v>
      </c>
    </row>
    <row r="20" spans="3:20">
      <c r="C20" s="8" t="s">
        <v>20</v>
      </c>
      <c r="D20" s="10">
        <f>SUM(D16:D19)</f>
        <v>23967</v>
      </c>
      <c r="E20" s="10">
        <f t="shared" ref="E20:F20" si="7">SUM(E16:E19)</f>
        <v>29420</v>
      </c>
      <c r="F20" s="10">
        <f t="shared" si="7"/>
        <v>28271</v>
      </c>
      <c r="G20" s="10">
        <f>SUM(G16:G19)</f>
        <v>16987</v>
      </c>
      <c r="H20" s="10">
        <f t="shared" ref="H20:I20" si="8">SUM(H16:H19)</f>
        <v>22979</v>
      </c>
      <c r="I20" s="10">
        <f t="shared" si="8"/>
        <v>22672</v>
      </c>
    </row>
    <row r="21" spans="3:20">
      <c r="C21" t="s">
        <v>21</v>
      </c>
      <c r="D21" s="146">
        <v>-5619</v>
      </c>
      <c r="E21" s="146">
        <v>-6802</v>
      </c>
      <c r="F21" s="146">
        <v>-6523</v>
      </c>
      <c r="G21" s="146">
        <v>-4892</v>
      </c>
      <c r="H21" s="146">
        <v>-5030</v>
      </c>
      <c r="I21" s="146">
        <v>-5064</v>
      </c>
    </row>
    <row r="22" spans="3:20">
      <c r="C22" s="8" t="s">
        <v>22</v>
      </c>
      <c r="D22" s="10">
        <f>SUM(D20:D21)</f>
        <v>18348</v>
      </c>
      <c r="E22" s="10">
        <f t="shared" ref="E22:F22" si="9">SUM(E20:E21)</f>
        <v>22618</v>
      </c>
      <c r="F22" s="10">
        <f t="shared" si="9"/>
        <v>21748</v>
      </c>
      <c r="G22" s="10">
        <f>SUM(G20:G21)</f>
        <v>12095</v>
      </c>
      <c r="H22" s="10">
        <f t="shared" ref="H22:I22" si="10">SUM(H20:H21)</f>
        <v>17949</v>
      </c>
      <c r="I22" s="10">
        <f t="shared" si="10"/>
        <v>17608</v>
      </c>
    </row>
    <row r="24" spans="3:20">
      <c r="C24" s="8" t="s">
        <v>23</v>
      </c>
      <c r="D24" s="11"/>
      <c r="E24" s="12">
        <f>E9/D9-1</f>
        <v>4.1475696068344003E-2</v>
      </c>
      <c r="F24" s="12">
        <f t="shared" ref="F24:I24" si="11">F9/E9-1</f>
        <v>2.4114420004041515E-2</v>
      </c>
      <c r="G24" s="12">
        <f t="shared" si="11"/>
        <v>-2.090839332042238E-2</v>
      </c>
      <c r="H24" s="12">
        <f t="shared" si="11"/>
        <v>6.0758057533552012E-3</v>
      </c>
      <c r="I24" s="12">
        <f t="shared" si="11"/>
        <v>2.5247054633943611E-2</v>
      </c>
    </row>
    <row r="25" spans="3:20">
      <c r="C25" s="8" t="s">
        <v>24</v>
      </c>
      <c r="D25" s="12">
        <f>(D7+D10)/D7</f>
        <v>0.71420380078636958</v>
      </c>
      <c r="E25" s="12">
        <f t="shared" ref="E25:F25" si="12">(E7+E10)/E7</f>
        <v>0.71720884752238589</v>
      </c>
      <c r="F25" s="12">
        <f t="shared" si="12"/>
        <v>0.73877309007981751</v>
      </c>
      <c r="G25" s="12">
        <f t="shared" ref="G25:I26" si="13">(G7+G10)/G7</f>
        <v>0.74373472440083177</v>
      </c>
      <c r="H25" s="12">
        <f t="shared" si="13"/>
        <v>0.74906561740954192</v>
      </c>
      <c r="I25" s="12">
        <f t="shared" si="13"/>
        <v>0.75347095927112073</v>
      </c>
    </row>
    <row r="26" spans="3:20">
      <c r="C26" s="8" t="s">
        <v>25</v>
      </c>
      <c r="D26" s="12">
        <f>(D8+D11)/D8</f>
        <v>-7.4918566775244305E-2</v>
      </c>
      <c r="E26" s="12">
        <f t="shared" ref="E26:F26" si="14">(E8+E11)/E8</f>
        <v>-8.2153341391814891E-2</v>
      </c>
      <c r="F26" s="12">
        <f t="shared" si="14"/>
        <v>-0.12076442484380742</v>
      </c>
      <c r="G26" s="12">
        <f t="shared" si="13"/>
        <v>-0.10134857330811611</v>
      </c>
      <c r="H26" s="12">
        <f t="shared" si="13"/>
        <v>-0.12417625016151958</v>
      </c>
      <c r="I26" s="12">
        <f t="shared" si="13"/>
        <v>-0.13765213977228111</v>
      </c>
    </row>
    <row r="27" spans="3:20">
      <c r="C27" s="8" t="s">
        <v>26</v>
      </c>
      <c r="D27" s="12">
        <f>D12/D9</f>
        <v>0.60090262837901043</v>
      </c>
      <c r="E27" s="12">
        <f t="shared" ref="E27:F27" si="15">E12/E9</f>
        <v>0.57862633127016083</v>
      </c>
      <c r="F27" s="12">
        <f t="shared" si="15"/>
        <v>0.56785179230460048</v>
      </c>
      <c r="G27" s="12">
        <f>G12/G9</f>
        <v>0.59031603146879241</v>
      </c>
      <c r="H27" s="12">
        <f>H12/H9</f>
        <v>0.59865121524171294</v>
      </c>
      <c r="I27" s="12">
        <f>I12/I9</f>
        <v>0.58922795261630645</v>
      </c>
    </row>
    <row r="28" spans="3:20">
      <c r="C28" s="8" t="s">
        <v>27</v>
      </c>
      <c r="D28" s="12">
        <f>-D13/D9</f>
        <v>0.24610264085055966</v>
      </c>
      <c r="E28" s="12">
        <f t="shared" ref="E28:F28" si="16">-E13/E9</f>
        <v>0.21448511746611482</v>
      </c>
      <c r="F28" s="12">
        <f t="shared" si="16"/>
        <v>0.22023605071801805</v>
      </c>
      <c r="G28" s="12">
        <f>-G13/G9</f>
        <v>0.24441309507814948</v>
      </c>
      <c r="H28" s="12">
        <f>-H13/H9</f>
        <v>0.25308632815977683</v>
      </c>
      <c r="I28" s="12">
        <f>-I13/I9</f>
        <v>0.24471926536460406</v>
      </c>
    </row>
    <row r="29" spans="3:20">
      <c r="C29" s="8" t="s">
        <v>28</v>
      </c>
      <c r="D29" s="12">
        <f>D22/D9</f>
        <v>0.14301749134786268</v>
      </c>
      <c r="E29" s="12">
        <f t="shared" ref="E29:F29" si="17">E22/E9</f>
        <v>0.16927993533563351</v>
      </c>
      <c r="F29" s="12">
        <f t="shared" si="17"/>
        <v>0.15893594475097744</v>
      </c>
      <c r="G29" s="12">
        <f>G22/G9</f>
        <v>9.0278710794631789E-2</v>
      </c>
      <c r="H29" s="12">
        <f>H22/H9</f>
        <v>0.13316467341306348</v>
      </c>
      <c r="I29" s="12">
        <f>I22/I9</f>
        <v>0.12741784920870389</v>
      </c>
    </row>
    <row r="30" spans="3:20">
      <c r="C30" s="8" t="s">
        <v>29</v>
      </c>
      <c r="D30" s="9">
        <f>-D14</f>
        <v>16720</v>
      </c>
      <c r="E30" s="9">
        <f t="shared" ref="E30:F30" si="18">-E14</f>
        <v>16206</v>
      </c>
      <c r="F30" s="9">
        <f t="shared" si="18"/>
        <v>17099</v>
      </c>
      <c r="G30" s="9">
        <f>-G14</f>
        <v>17624</v>
      </c>
      <c r="H30" s="9">
        <f>-H14</f>
        <v>17892</v>
      </c>
      <c r="I30" s="9">
        <f>-I14</f>
        <v>18349</v>
      </c>
    </row>
    <row r="31" spans="3:20">
      <c r="C31" s="8" t="s">
        <v>30</v>
      </c>
      <c r="D31" s="26">
        <f>D21/D20</f>
        <v>-0.23444736512704969</v>
      </c>
      <c r="E31" s="26">
        <f t="shared" ref="E31:I31" si="19">E21/E20</f>
        <v>-0.23120326308633582</v>
      </c>
      <c r="F31" s="26">
        <f t="shared" si="19"/>
        <v>-0.2307311379151781</v>
      </c>
      <c r="G31" s="26">
        <f t="shared" si="19"/>
        <v>-0.28798492965208689</v>
      </c>
      <c r="H31" s="26">
        <f t="shared" si="19"/>
        <v>-0.21889551329474738</v>
      </c>
      <c r="I31" s="26">
        <f t="shared" si="19"/>
        <v>-0.22335920959774172</v>
      </c>
    </row>
    <row r="33" spans="3:15">
      <c r="C33" s="1" t="s">
        <v>31</v>
      </c>
      <c r="D33" s="2"/>
      <c r="E33" s="3"/>
      <c r="F33" s="3"/>
      <c r="G33" s="3"/>
      <c r="H33" s="3"/>
    </row>
    <row r="34" spans="3:15">
      <c r="C34" s="4" t="s">
        <v>1</v>
      </c>
      <c r="D34" s="5">
        <v>2020</v>
      </c>
      <c r="E34" s="5">
        <v>2021</v>
      </c>
      <c r="F34" s="5">
        <v>2022</v>
      </c>
      <c r="G34" s="5">
        <v>2023</v>
      </c>
      <c r="H34" s="5">
        <v>2024</v>
      </c>
      <c r="I34" s="6">
        <v>2025</v>
      </c>
    </row>
    <row r="35" spans="3:15">
      <c r="C35" s="3" t="s">
        <v>2</v>
      </c>
      <c r="D35" s="7">
        <v>44196</v>
      </c>
      <c r="E35" s="7">
        <v>44561</v>
      </c>
      <c r="F35" s="7">
        <v>44926</v>
      </c>
      <c r="G35" s="7">
        <v>45291</v>
      </c>
      <c r="H35" s="7">
        <v>45657</v>
      </c>
      <c r="I35" s="7">
        <v>46022</v>
      </c>
    </row>
    <row r="36" spans="3:15">
      <c r="C36" t="s">
        <v>3</v>
      </c>
    </row>
    <row r="38" spans="3:15">
      <c r="C38" t="s">
        <v>32</v>
      </c>
      <c r="H38" s="146">
        <v>4194</v>
      </c>
      <c r="I38" s="146">
        <v>19048</v>
      </c>
    </row>
    <row r="39" spans="3:15">
      <c r="C39" t="s">
        <v>33</v>
      </c>
      <c r="D39" s="146">
        <v>23917</v>
      </c>
      <c r="E39" s="146">
        <v>23846</v>
      </c>
      <c r="F39" s="146">
        <v>25332</v>
      </c>
      <c r="G39" s="146">
        <v>26102</v>
      </c>
      <c r="H39" s="146">
        <v>27261</v>
      </c>
      <c r="I39" s="146">
        <v>28347</v>
      </c>
    </row>
    <row r="40" spans="3:15">
      <c r="C40" t="s">
        <v>34</v>
      </c>
      <c r="D40" s="146">
        <v>1252</v>
      </c>
      <c r="E40" s="146">
        <v>896</v>
      </c>
      <c r="F40" s="146">
        <v>826</v>
      </c>
      <c r="G40" s="146">
        <v>-1017</v>
      </c>
      <c r="H40" s="146">
        <v>-1152</v>
      </c>
      <c r="I40" s="146">
        <v>-1250</v>
      </c>
    </row>
    <row r="41" spans="3:15">
      <c r="C41" t="s">
        <v>35</v>
      </c>
      <c r="D41" s="146">
        <v>1796</v>
      </c>
      <c r="E41" s="146">
        <v>3055</v>
      </c>
      <c r="F41" s="146">
        <v>2388</v>
      </c>
      <c r="G41" s="146">
        <v>2057</v>
      </c>
      <c r="H41" s="146">
        <v>2247</v>
      </c>
      <c r="I41" s="146">
        <v>2441</v>
      </c>
    </row>
    <row r="42" spans="3:15">
      <c r="C42" t="s">
        <v>36</v>
      </c>
      <c r="H42" s="146">
        <v>7973</v>
      </c>
      <c r="I42" s="146">
        <v>8336</v>
      </c>
    </row>
    <row r="43" spans="3:15">
      <c r="C43" t="s">
        <v>37</v>
      </c>
      <c r="H43" s="146">
        <v>108522</v>
      </c>
      <c r="I43" s="146">
        <v>109467</v>
      </c>
    </row>
    <row r="44" spans="3:15">
      <c r="C44" t="s">
        <v>38</v>
      </c>
      <c r="F44" s="146">
        <v>1071</v>
      </c>
      <c r="G44" s="146">
        <v>953</v>
      </c>
      <c r="H44" s="146">
        <v>842</v>
      </c>
      <c r="I44" s="146">
        <v>785</v>
      </c>
      <c r="L44" s="9">
        <f>G44-F44</f>
        <v>-118</v>
      </c>
      <c r="M44" s="9">
        <f t="shared" ref="M44:N44" si="20">H44-G44</f>
        <v>-111</v>
      </c>
      <c r="N44" s="9">
        <f t="shared" si="20"/>
        <v>-57</v>
      </c>
      <c r="O44" s="9">
        <f>AVERAGE(L44:N44)</f>
        <v>-95.333333333333329</v>
      </c>
    </row>
    <row r="45" spans="3:15">
      <c r="C45" t="s">
        <v>39</v>
      </c>
      <c r="H45" s="146">
        <v>156613</v>
      </c>
      <c r="I45" s="146">
        <v>157039</v>
      </c>
    </row>
    <row r="46" spans="3:15">
      <c r="C46" t="s">
        <v>40</v>
      </c>
      <c r="H46" s="146">
        <v>22841</v>
      </c>
      <c r="I46" s="146">
        <v>22841</v>
      </c>
    </row>
    <row r="47" spans="3:15">
      <c r="C47" t="s">
        <v>41</v>
      </c>
      <c r="H47" s="146">
        <v>11129</v>
      </c>
      <c r="I47" s="146">
        <v>10458</v>
      </c>
    </row>
    <row r="48" spans="3:15">
      <c r="C48" t="s">
        <v>42</v>
      </c>
      <c r="H48" s="146">
        <v>24472</v>
      </c>
      <c r="I48" s="146">
        <v>23498</v>
      </c>
    </row>
    <row r="49" spans="3:9">
      <c r="C49" t="s">
        <v>43</v>
      </c>
      <c r="H49" s="146">
        <v>19769</v>
      </c>
      <c r="I49" s="146">
        <v>23248</v>
      </c>
    </row>
    <row r="50" spans="3:9">
      <c r="C50" s="8" t="s">
        <v>44</v>
      </c>
      <c r="H50" s="10">
        <f>SUM(H38:H49)</f>
        <v>384711</v>
      </c>
      <c r="I50" s="10">
        <f>SUM(I38:I49)</f>
        <v>404258</v>
      </c>
    </row>
    <row r="52" spans="3:9">
      <c r="C52" t="s">
        <v>45</v>
      </c>
      <c r="H52" s="146">
        <v>22633</v>
      </c>
      <c r="I52" s="146">
        <v>18618</v>
      </c>
    </row>
    <row r="53" spans="3:9">
      <c r="C53" t="s">
        <v>46</v>
      </c>
      <c r="H53" s="146">
        <v>23374</v>
      </c>
      <c r="I53" s="146">
        <v>24981</v>
      </c>
    </row>
    <row r="54" spans="3:9">
      <c r="C54" t="s">
        <v>47</v>
      </c>
      <c r="H54" s="146">
        <v>4415</v>
      </c>
      <c r="I54" s="146">
        <v>4542</v>
      </c>
    </row>
    <row r="55" spans="3:9">
      <c r="C55" t="s">
        <v>48</v>
      </c>
      <c r="H55" s="146">
        <v>14349</v>
      </c>
      <c r="I55" s="146">
        <v>14229</v>
      </c>
    </row>
    <row r="56" spans="3:9">
      <c r="C56" t="s">
        <v>49</v>
      </c>
      <c r="H56" s="146">
        <v>121381</v>
      </c>
      <c r="I56" s="146">
        <v>139532</v>
      </c>
    </row>
    <row r="57" spans="3:9">
      <c r="C57" t="s">
        <v>50</v>
      </c>
      <c r="H57" s="146">
        <v>11997</v>
      </c>
      <c r="I57" s="146">
        <v>11099</v>
      </c>
    </row>
    <row r="58" spans="3:9">
      <c r="C58" t="s">
        <v>51</v>
      </c>
      <c r="H58" s="146">
        <v>46732</v>
      </c>
      <c r="I58" s="146">
        <v>48717</v>
      </c>
    </row>
    <row r="59" spans="3:9">
      <c r="C59" t="s">
        <v>52</v>
      </c>
      <c r="H59" s="146">
        <v>19928</v>
      </c>
      <c r="I59" s="146">
        <v>18951</v>
      </c>
    </row>
    <row r="60" spans="3:9">
      <c r="C60" t="s">
        <v>53</v>
      </c>
      <c r="H60" s="146">
        <v>19327</v>
      </c>
      <c r="I60" s="146">
        <v>17848</v>
      </c>
    </row>
    <row r="61" spans="3:9">
      <c r="C61" s="8" t="s">
        <v>54</v>
      </c>
      <c r="H61" s="10">
        <f>SUM(H52:H60)</f>
        <v>284136</v>
      </c>
      <c r="I61" s="10">
        <f>SUM(I52:I60)</f>
        <v>298517</v>
      </c>
    </row>
    <row r="63" spans="3:9">
      <c r="C63" t="s">
        <v>55</v>
      </c>
    </row>
    <row r="65" spans="3:9">
      <c r="C65" t="s">
        <v>56</v>
      </c>
      <c r="H65" s="146">
        <v>0</v>
      </c>
      <c r="I65" s="146">
        <v>0</v>
      </c>
    </row>
    <row r="66" spans="3:9">
      <c r="C66" t="s">
        <v>57</v>
      </c>
      <c r="H66" s="146">
        <v>429</v>
      </c>
      <c r="I66" s="146">
        <v>429</v>
      </c>
    </row>
    <row r="67" spans="3:9">
      <c r="C67" t="s">
        <v>58</v>
      </c>
      <c r="H67" s="146">
        <v>13466</v>
      </c>
      <c r="I67" s="146">
        <v>13372</v>
      </c>
    </row>
    <row r="68" spans="3:9">
      <c r="C68" t="s">
        <v>59</v>
      </c>
      <c r="H68" s="146">
        <v>89110</v>
      </c>
      <c r="I68" s="146">
        <v>94744</v>
      </c>
    </row>
    <row r="69" spans="3:9">
      <c r="C69" t="s">
        <v>60</v>
      </c>
      <c r="H69" s="146">
        <v>-923</v>
      </c>
      <c r="I69" s="146">
        <v>-1727</v>
      </c>
    </row>
    <row r="70" spans="3:9">
      <c r="C70" t="s">
        <v>61</v>
      </c>
      <c r="H70" s="146">
        <v>-3583</v>
      </c>
      <c r="I70" s="146">
        <v>-3255</v>
      </c>
    </row>
    <row r="71" spans="3:9">
      <c r="C71" t="s">
        <v>62</v>
      </c>
      <c r="H71" s="146">
        <v>738</v>
      </c>
      <c r="I71" s="146">
        <v>897</v>
      </c>
    </row>
    <row r="72" spans="3:9">
      <c r="C72" t="s">
        <v>63</v>
      </c>
      <c r="H72" s="146">
        <v>1338</v>
      </c>
      <c r="I72" s="146">
        <v>1281</v>
      </c>
    </row>
    <row r="73" spans="3:9">
      <c r="C73" s="8" t="s">
        <v>64</v>
      </c>
      <c r="H73" s="10">
        <f>SUM(H65:H72)</f>
        <v>100575</v>
      </c>
      <c r="I73" s="10">
        <f>SUM(I65:I72)</f>
        <v>105741</v>
      </c>
    </row>
    <row r="75" spans="3:9">
      <c r="C75" t="s">
        <v>65</v>
      </c>
      <c r="D75" s="13"/>
      <c r="E75" s="13"/>
      <c r="F75" s="13"/>
      <c r="G75" s="13"/>
      <c r="H75" s="14">
        <f>IF(H50-H61-H73=0,H50-H61-H73,"Check")</f>
        <v>0</v>
      </c>
      <c r="I75" s="14">
        <f>I50-I61-I73</f>
        <v>0</v>
      </c>
    </row>
    <row r="77" spans="3:9">
      <c r="C77" t="s">
        <v>66</v>
      </c>
      <c r="E77" s="20">
        <f>(AVERAGE(D39:E39)/E7)*365</f>
        <v>78.921017845340387</v>
      </c>
      <c r="F77" s="20">
        <f t="shared" ref="F77:I77" si="21">(AVERAGE(E39:F39)/F7)*365</f>
        <v>81.869874572405934</v>
      </c>
      <c r="G77" s="20">
        <f t="shared" si="21"/>
        <v>85.604503337832412</v>
      </c>
      <c r="H77" s="20">
        <f t="shared" si="21"/>
        <v>87.287444766113069</v>
      </c>
      <c r="I77" s="20">
        <f t="shared" si="21"/>
        <v>90.031671117183137</v>
      </c>
    </row>
    <row r="78" spans="3:9">
      <c r="C78" t="s">
        <v>67</v>
      </c>
      <c r="E78" s="57">
        <f>SUM(E10:E11)/AVERAGE(D41:E41)</f>
        <v>-23.212121212121211</v>
      </c>
      <c r="F78" s="57">
        <f>SUM(F10:F11)/AVERAGE(F41:F41)</f>
        <v>-24.762562814070353</v>
      </c>
      <c r="G78" s="57">
        <f t="shared" ref="G78:I78" si="22">SUM(G10:G11)/AVERAGE(F41:G41)</f>
        <v>-24.696062992125984</v>
      </c>
      <c r="H78" s="57">
        <f t="shared" si="22"/>
        <v>-25.138011152416357</v>
      </c>
      <c r="I78" s="57">
        <f t="shared" si="22"/>
        <v>-24.217150170648463</v>
      </c>
    </row>
    <row r="79" spans="3:9">
      <c r="C79" t="s">
        <v>68</v>
      </c>
      <c r="D79" s="11">
        <f>D40/D39</f>
        <v>5.2347702471045698E-2</v>
      </c>
      <c r="E79" s="11">
        <f t="shared" ref="E79:I79" si="23">E40/E39</f>
        <v>3.7574435964102995E-2</v>
      </c>
      <c r="F79" s="11">
        <f t="shared" si="23"/>
        <v>3.2606979314700774E-2</v>
      </c>
      <c r="G79" s="11">
        <f t="shared" si="23"/>
        <v>-3.8962531606773425E-2</v>
      </c>
      <c r="H79" s="11">
        <f t="shared" si="23"/>
        <v>-4.2258171013535822E-2</v>
      </c>
      <c r="I79" s="11">
        <f t="shared" si="23"/>
        <v>-4.4096377041662256E-2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ACA1D-52CC-49D7-83FE-2A09E9DA8EC5}">
  <dimension ref="A1"/>
  <sheetViews>
    <sheetView workbookViewId="0">
      <selection activeCell="C3" sqref="C3"/>
    </sheetView>
  </sheetViews>
  <sheetFormatPr defaultColWidth="8.85546875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F253F-C39C-49A8-90C6-DE11F4533F9D}">
  <dimension ref="C2:Q280"/>
  <sheetViews>
    <sheetView showGridLines="0" topLeftCell="A123" zoomScaleNormal="100" workbookViewId="0">
      <selection activeCell="G127" sqref="G127"/>
    </sheetView>
  </sheetViews>
  <sheetFormatPr defaultColWidth="8.85546875" defaultRowHeight="15"/>
  <cols>
    <col min="1" max="1" width="2" customWidth="1"/>
    <col min="2" max="2" width="2.42578125" customWidth="1"/>
    <col min="3" max="3" width="52.42578125" bestFit="1" customWidth="1"/>
    <col min="4" max="11" width="13.42578125" customWidth="1"/>
    <col min="12" max="12" width="14" bestFit="1" customWidth="1"/>
    <col min="13" max="13" width="8.140625" bestFit="1" customWidth="1"/>
    <col min="14" max="14" width="9.42578125" bestFit="1" customWidth="1"/>
  </cols>
  <sheetData>
    <row r="2" spans="3:11" ht="21.75" thickBot="1">
      <c r="C2" s="31" t="str">
        <f>"Financial Statement Model for "&amp;D5</f>
        <v xml:space="preserve">Financial Statement Model for Verizon </v>
      </c>
      <c r="D2" s="32"/>
      <c r="E2" s="32"/>
      <c r="F2" s="32"/>
      <c r="G2" s="32"/>
      <c r="H2" s="32"/>
      <c r="I2" s="32"/>
      <c r="J2" s="32"/>
      <c r="K2" s="43"/>
    </row>
    <row r="3" spans="3:11">
      <c r="C3" t="s">
        <v>69</v>
      </c>
    </row>
    <row r="5" spans="3:11">
      <c r="C5" t="s">
        <v>70</v>
      </c>
      <c r="D5" s="33" t="s">
        <v>71</v>
      </c>
      <c r="F5" t="s">
        <v>72</v>
      </c>
      <c r="H5" s="11">
        <v>4.2999999999999997E-2</v>
      </c>
    </row>
    <row r="6" spans="3:11">
      <c r="C6" t="s">
        <v>73</v>
      </c>
      <c r="D6" s="33" t="s">
        <v>74</v>
      </c>
      <c r="F6" t="s">
        <v>75</v>
      </c>
      <c r="H6" s="11">
        <v>0.05</v>
      </c>
    </row>
    <row r="7" spans="3:11">
      <c r="C7" t="s">
        <v>76</v>
      </c>
      <c r="D7" s="34">
        <v>1</v>
      </c>
      <c r="F7" t="s">
        <v>77</v>
      </c>
      <c r="H7" s="68">
        <v>8</v>
      </c>
    </row>
    <row r="8" spans="3:11">
      <c r="C8" t="s">
        <v>78</v>
      </c>
      <c r="D8" s="42" cm="1">
        <f t="array" ref="D8">_xll.BDP("VZ US EQUITY", "PX_LAST")</f>
        <v>47.066600000000001</v>
      </c>
      <c r="F8" s="53" t="s">
        <v>79</v>
      </c>
      <c r="H8" s="68">
        <v>4</v>
      </c>
    </row>
    <row r="9" spans="3:11">
      <c r="C9" t="s">
        <v>80</v>
      </c>
      <c r="D9" s="35">
        <v>46022</v>
      </c>
    </row>
    <row r="11" spans="3:11">
      <c r="C11" s="36" t="s">
        <v>0</v>
      </c>
      <c r="D11" s="37"/>
      <c r="E11" s="37"/>
      <c r="F11" s="37"/>
      <c r="G11" s="37"/>
      <c r="H11" s="37"/>
      <c r="I11" s="37"/>
      <c r="J11" s="37"/>
    </row>
    <row r="12" spans="3:11">
      <c r="C12" t="s">
        <v>1</v>
      </c>
      <c r="D12" s="38">
        <v>2024</v>
      </c>
      <c r="E12" s="38">
        <v>2025</v>
      </c>
      <c r="F12" s="39">
        <v>2026</v>
      </c>
      <c r="G12" s="39">
        <v>2027</v>
      </c>
      <c r="H12" s="39">
        <v>2028</v>
      </c>
      <c r="I12" s="39">
        <v>2029</v>
      </c>
      <c r="J12" s="39">
        <v>2030</v>
      </c>
      <c r="K12" s="44"/>
    </row>
    <row r="13" spans="3:11">
      <c r="C13" s="40" t="s">
        <v>2</v>
      </c>
      <c r="D13" s="41">
        <v>45657</v>
      </c>
      <c r="E13" s="41">
        <f t="shared" ref="E13:J13" si="0">EOMONTH(D13,12)</f>
        <v>46022</v>
      </c>
      <c r="F13" s="41">
        <f t="shared" si="0"/>
        <v>46387</v>
      </c>
      <c r="G13" s="41">
        <f t="shared" si="0"/>
        <v>46752</v>
      </c>
      <c r="H13" s="41">
        <f t="shared" si="0"/>
        <v>47118</v>
      </c>
      <c r="I13" s="41">
        <f t="shared" si="0"/>
        <v>47483</v>
      </c>
      <c r="J13" s="41">
        <f t="shared" si="0"/>
        <v>47848</v>
      </c>
      <c r="K13" s="45"/>
    </row>
    <row r="15" spans="3:11">
      <c r="C15" t="s">
        <v>81</v>
      </c>
      <c r="D15" s="146">
        <v>134788</v>
      </c>
      <c r="E15" s="146">
        <v>138191</v>
      </c>
      <c r="F15" s="9">
        <f>E15*(1+F34)</f>
        <v>141645.77499999999</v>
      </c>
      <c r="G15" s="9">
        <f>F15*(1+G34)</f>
        <v>145186.91937499997</v>
      </c>
      <c r="H15" s="9">
        <f>G15*(1+H34)</f>
        <v>148453.62506093745</v>
      </c>
      <c r="I15" s="9">
        <f>H15*(1+I34)</f>
        <v>151422.69756215622</v>
      </c>
      <c r="J15" s="9">
        <f>I15*(1+J34)</f>
        <v>154451.15151339935</v>
      </c>
    </row>
    <row r="16" spans="3:11">
      <c r="C16" t="s">
        <v>82</v>
      </c>
      <c r="D16" s="146">
        <v>-54097</v>
      </c>
      <c r="E16" s="146">
        <v>-56765</v>
      </c>
      <c r="F16" s="9">
        <f>-F15*(1-F35)</f>
        <v>-58184.124999999993</v>
      </c>
      <c r="G16" s="9">
        <f t="shared" ref="G16:J16" si="1">-G15*(1-G35)</f>
        <v>-59638.72812499998</v>
      </c>
      <c r="H16" s="9">
        <f t="shared" si="1"/>
        <v>-60980.599507812476</v>
      </c>
      <c r="I16" s="9">
        <f t="shared" si="1"/>
        <v>-62200.211497968732</v>
      </c>
      <c r="J16" s="9">
        <f t="shared" si="1"/>
        <v>-63444.215727928109</v>
      </c>
    </row>
    <row r="17" spans="3:10">
      <c r="C17" s="8" t="s">
        <v>11</v>
      </c>
      <c r="D17" s="10">
        <f>SUM(D15:D16)</f>
        <v>80691</v>
      </c>
      <c r="E17" s="10">
        <f>SUM(E15:E16)</f>
        <v>81426</v>
      </c>
      <c r="F17" s="10">
        <f t="shared" ref="F17:J17" si="2">SUM(F15:F16)</f>
        <v>83461.649999999994</v>
      </c>
      <c r="G17" s="10">
        <f t="shared" si="2"/>
        <v>85548.191249999989</v>
      </c>
      <c r="H17" s="10">
        <f t="shared" si="2"/>
        <v>87473.025553124986</v>
      </c>
      <c r="I17" s="10">
        <f t="shared" si="2"/>
        <v>89222.486064187484</v>
      </c>
      <c r="J17" s="10">
        <f t="shared" si="2"/>
        <v>91006.935785471243</v>
      </c>
    </row>
    <row r="18" spans="3:10">
      <c r="C18" t="s">
        <v>83</v>
      </c>
      <c r="D18" s="146">
        <v>-34113</v>
      </c>
      <c r="E18" s="146">
        <v>-33818</v>
      </c>
      <c r="F18" s="9">
        <f>E18*(1+F36)</f>
        <v>-34156.18</v>
      </c>
      <c r="G18" s="9">
        <f t="shared" ref="G18:J18" si="3">F18*(1+G36)</f>
        <v>-34497.741800000003</v>
      </c>
      <c r="H18" s="9">
        <f t="shared" si="3"/>
        <v>-35187.696636000001</v>
      </c>
      <c r="I18" s="9">
        <f t="shared" si="3"/>
        <v>-35891.45056872</v>
      </c>
      <c r="J18" s="9">
        <f t="shared" si="3"/>
        <v>-36609.2795800944</v>
      </c>
    </row>
    <row r="19" spans="3:10">
      <c r="C19" t="s">
        <v>84</v>
      </c>
      <c r="D19" s="146">
        <v>-17892</v>
      </c>
      <c r="E19" s="146">
        <v>-18349</v>
      </c>
      <c r="F19" s="9">
        <f>-F180</f>
        <v>-21924.066749075631</v>
      </c>
      <c r="G19" s="9">
        <f>-G180</f>
        <v>-20233.066137370792</v>
      </c>
      <c r="H19" s="9">
        <f>-H180</f>
        <v>-18965.739242762476</v>
      </c>
      <c r="I19" s="9">
        <f>-I180</f>
        <v>-17775.795800614025</v>
      </c>
      <c r="J19" s="9">
        <f>-J180</f>
        <v>-17315.462765378066</v>
      </c>
    </row>
    <row r="20" spans="3:10">
      <c r="C20" s="8" t="s">
        <v>85</v>
      </c>
      <c r="D20" s="10">
        <f>SUM(D17:D19)</f>
        <v>28686</v>
      </c>
      <c r="E20" s="10">
        <f>SUM(E17:E19)</f>
        <v>29259</v>
      </c>
      <c r="F20" s="10">
        <f>SUM(F17:F19)</f>
        <v>27381.403250924363</v>
      </c>
      <c r="G20" s="10">
        <f t="shared" ref="G20:J20" si="4">SUM(G17:G19)</f>
        <v>30817.383312629194</v>
      </c>
      <c r="H20" s="10">
        <f t="shared" si="4"/>
        <v>33319.589674362505</v>
      </c>
      <c r="I20" s="10">
        <f t="shared" si="4"/>
        <v>35555.239694853459</v>
      </c>
      <c r="J20" s="10">
        <f t="shared" si="4"/>
        <v>37082.19343999878</v>
      </c>
    </row>
    <row r="21" spans="3:10">
      <c r="C21" t="s">
        <v>86</v>
      </c>
      <c r="D21" s="146">
        <v>-53</v>
      </c>
      <c r="E21" s="146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</row>
    <row r="22" spans="3:10">
      <c r="C22" t="s">
        <v>17</v>
      </c>
      <c r="D22" s="146">
        <v>995</v>
      </c>
      <c r="E22" s="146">
        <v>107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</row>
    <row r="23" spans="3:10">
      <c r="C23" t="s">
        <v>19</v>
      </c>
      <c r="D23" s="146">
        <v>-6649</v>
      </c>
      <c r="E23" s="146">
        <v>-6694</v>
      </c>
      <c r="F23" s="9">
        <f>-F253</f>
        <v>-7298.5390000000007</v>
      </c>
      <c r="G23" s="9">
        <f>-G253</f>
        <v>-7628.9890000000005</v>
      </c>
      <c r="H23" s="9">
        <f>-H253</f>
        <v>-7959.4390000000003</v>
      </c>
      <c r="I23" s="9">
        <f>-I253</f>
        <v>-8289.889000000001</v>
      </c>
      <c r="J23" s="9">
        <f>-J253</f>
        <v>-8620.3389999999999</v>
      </c>
    </row>
    <row r="24" spans="3:10">
      <c r="C24" s="8" t="s">
        <v>20</v>
      </c>
      <c r="D24" s="10">
        <f>SUM(D20:D23)</f>
        <v>22979</v>
      </c>
      <c r="E24" s="10">
        <f>SUM(E20:E23)</f>
        <v>22672</v>
      </c>
      <c r="F24" s="10">
        <f>SUM(F20:F23)</f>
        <v>20082.864250924362</v>
      </c>
      <c r="G24" s="10">
        <f t="shared" ref="G24:J24" si="5">SUM(G20:G23)</f>
        <v>23188.394312629192</v>
      </c>
      <c r="H24" s="10">
        <f t="shared" si="5"/>
        <v>25360.150674362507</v>
      </c>
      <c r="I24" s="10">
        <f t="shared" si="5"/>
        <v>27265.350694853456</v>
      </c>
      <c r="J24" s="10">
        <f t="shared" si="5"/>
        <v>28461.85443999878</v>
      </c>
    </row>
    <row r="25" spans="3:10">
      <c r="C25" t="s">
        <v>21</v>
      </c>
      <c r="D25" s="146">
        <v>-5030</v>
      </c>
      <c r="E25" s="146">
        <v>-5064</v>
      </c>
      <c r="F25" s="9">
        <f>F24*F37</f>
        <v>-4788.4539361680709</v>
      </c>
      <c r="G25" s="9">
        <f t="shared" ref="G25:J25" si="6">G24*G37</f>
        <v>-5528.9204085824476</v>
      </c>
      <c r="H25" s="9">
        <f t="shared" si="6"/>
        <v>-6046.7427255988705</v>
      </c>
      <c r="I25" s="9">
        <f t="shared" si="6"/>
        <v>-6501.0087318478281</v>
      </c>
      <c r="J25" s="9">
        <f t="shared" si="6"/>
        <v>-6786.2968758344241</v>
      </c>
    </row>
    <row r="26" spans="3:10">
      <c r="C26" s="8" t="s">
        <v>22</v>
      </c>
      <c r="D26" s="10">
        <f>SUM(D24:D25)</f>
        <v>17949</v>
      </c>
      <c r="E26" s="10">
        <f>SUM(E24:E25)</f>
        <v>17608</v>
      </c>
      <c r="F26" s="10">
        <f>SUM(F24:F25)</f>
        <v>15294.410314756291</v>
      </c>
      <c r="G26" s="10">
        <f t="shared" ref="G26:J26" si="7">SUM(G24:G25)</f>
        <v>17659.473904046747</v>
      </c>
      <c r="H26" s="10">
        <f t="shared" si="7"/>
        <v>19313.407948763637</v>
      </c>
      <c r="I26" s="10">
        <f t="shared" si="7"/>
        <v>20764.341963005627</v>
      </c>
      <c r="J26" s="10">
        <f t="shared" si="7"/>
        <v>21675.557564164355</v>
      </c>
    </row>
    <row r="28" spans="3:10">
      <c r="C28" t="s">
        <v>84</v>
      </c>
      <c r="D28" s="146">
        <f>-D19</f>
        <v>17892</v>
      </c>
      <c r="E28" s="146">
        <f>-E19</f>
        <v>18349</v>
      </c>
      <c r="F28" s="9">
        <f t="shared" ref="F28:J28" si="8">-F19</f>
        <v>21924.066749075631</v>
      </c>
      <c r="G28" s="9">
        <f t="shared" si="8"/>
        <v>20233.066137370792</v>
      </c>
      <c r="H28" s="9">
        <f t="shared" si="8"/>
        <v>18965.739242762476</v>
      </c>
      <c r="I28" s="9">
        <f t="shared" si="8"/>
        <v>17775.795800614025</v>
      </c>
      <c r="J28" s="9">
        <f t="shared" si="8"/>
        <v>17315.462765378066</v>
      </c>
    </row>
    <row r="29" spans="3:10">
      <c r="C29" s="8" t="s">
        <v>87</v>
      </c>
      <c r="D29" s="10">
        <f>D20+D28</f>
        <v>46578</v>
      </c>
      <c r="E29" s="10">
        <f>E20+E28</f>
        <v>47608</v>
      </c>
      <c r="F29" s="10">
        <f t="shared" ref="F29:J29" si="9">F20+F28</f>
        <v>49305.469999999994</v>
      </c>
      <c r="G29" s="10">
        <f t="shared" si="9"/>
        <v>51050.449449999986</v>
      </c>
      <c r="H29" s="10">
        <f t="shared" si="9"/>
        <v>52285.328917124978</v>
      </c>
      <c r="I29" s="10">
        <f t="shared" si="9"/>
        <v>53331.035495467484</v>
      </c>
      <c r="J29" s="10">
        <f t="shared" si="9"/>
        <v>54397.656205376843</v>
      </c>
    </row>
    <row r="30" spans="3:10">
      <c r="C30" t="s">
        <v>88</v>
      </c>
    </row>
    <row r="31" spans="3:10">
      <c r="C31" s="8" t="s">
        <v>89</v>
      </c>
    </row>
    <row r="33" spans="3:14">
      <c r="C33" s="46" t="s">
        <v>90</v>
      </c>
    </row>
    <row r="34" spans="3:14">
      <c r="C34" t="s">
        <v>91</v>
      </c>
      <c r="D34" s="12"/>
      <c r="E34" s="12">
        <f>E15/D15-1</f>
        <v>2.5247054633943611E-2</v>
      </c>
      <c r="F34" s="12">
        <v>2.5000000000000001E-2</v>
      </c>
      <c r="G34" s="12">
        <v>2.5000000000000001E-2</v>
      </c>
      <c r="H34" s="12">
        <v>2.2499999999999999E-2</v>
      </c>
      <c r="I34" s="12">
        <v>0.02</v>
      </c>
      <c r="J34" s="12">
        <v>0.02</v>
      </c>
      <c r="K34" s="12"/>
    </row>
    <row r="35" spans="3:14">
      <c r="C35" t="s">
        <v>92</v>
      </c>
      <c r="D35" s="12">
        <f>D17/D15</f>
        <v>0.59865121524171294</v>
      </c>
      <c r="E35" s="12">
        <f t="shared" ref="E35" si="10">E17/E15</f>
        <v>0.58922795261630645</v>
      </c>
      <c r="F35" s="51">
        <f>E35</f>
        <v>0.58922795261630645</v>
      </c>
      <c r="G35" s="51">
        <f t="shared" ref="G35:J35" si="11">F35</f>
        <v>0.58922795261630645</v>
      </c>
      <c r="H35" s="51">
        <f t="shared" si="11"/>
        <v>0.58922795261630645</v>
      </c>
      <c r="I35" s="51">
        <f t="shared" si="11"/>
        <v>0.58922795261630645</v>
      </c>
      <c r="J35" s="51">
        <f t="shared" si="11"/>
        <v>0.58922795261630645</v>
      </c>
    </row>
    <row r="36" spans="3:14">
      <c r="C36" t="s">
        <v>93</v>
      </c>
      <c r="D36" s="12"/>
      <c r="E36" s="12">
        <f>E18/D18-1</f>
        <v>-8.6477296045496255E-3</v>
      </c>
      <c r="F36" s="51">
        <v>0.01</v>
      </c>
      <c r="G36" s="51">
        <v>0.01</v>
      </c>
      <c r="H36" s="51">
        <v>0.02</v>
      </c>
      <c r="I36" s="51">
        <v>0.02</v>
      </c>
      <c r="J36" s="51">
        <v>0.02</v>
      </c>
    </row>
    <row r="37" spans="3:14">
      <c r="C37" t="s">
        <v>94</v>
      </c>
      <c r="D37" s="12">
        <f>D25/D24</f>
        <v>-0.21889551329474738</v>
      </c>
      <c r="E37" s="12">
        <f t="shared" ref="E37" si="12">E25/E24</f>
        <v>-0.22335920959774172</v>
      </c>
      <c r="F37" s="95">
        <f>AVERAGE(Historicals!E31:I31)</f>
        <v>-0.23843481070921796</v>
      </c>
      <c r="G37" s="51">
        <f>F37</f>
        <v>-0.23843481070921796</v>
      </c>
      <c r="H37" s="51">
        <f t="shared" ref="H37:J37" si="13">G37</f>
        <v>-0.23843481070921796</v>
      </c>
      <c r="I37" s="51">
        <f t="shared" si="13"/>
        <v>-0.23843481070921796</v>
      </c>
      <c r="J37" s="51">
        <f t="shared" si="13"/>
        <v>-0.23843481070921796</v>
      </c>
    </row>
    <row r="38" spans="3:14">
      <c r="C38" t="s">
        <v>95</v>
      </c>
      <c r="D38" s="12"/>
      <c r="E38" s="12"/>
      <c r="F38" s="51">
        <v>0.02</v>
      </c>
      <c r="G38" s="51">
        <v>0.02</v>
      </c>
      <c r="H38" s="51">
        <v>0.02</v>
      </c>
      <c r="I38" s="51">
        <v>0.02</v>
      </c>
      <c r="J38" s="51">
        <v>0.02</v>
      </c>
    </row>
    <row r="40" spans="3:14">
      <c r="C40" s="36" t="s">
        <v>31</v>
      </c>
      <c r="D40" s="37"/>
      <c r="E40" s="37"/>
      <c r="F40" s="47"/>
      <c r="G40" s="47"/>
      <c r="H40" s="47"/>
      <c r="I40" s="47"/>
      <c r="J40" s="47"/>
    </row>
    <row r="41" spans="3:14">
      <c r="C41" t="s">
        <v>1</v>
      </c>
      <c r="D41" s="38">
        <v>2024</v>
      </c>
      <c r="E41" s="38">
        <f>D41+1</f>
        <v>2025</v>
      </c>
      <c r="F41" s="38">
        <f t="shared" ref="F41:J41" si="14">E41+1</f>
        <v>2026</v>
      </c>
      <c r="G41" s="38">
        <f t="shared" si="14"/>
        <v>2027</v>
      </c>
      <c r="H41" s="38">
        <f t="shared" si="14"/>
        <v>2028</v>
      </c>
      <c r="I41" s="38">
        <f t="shared" si="14"/>
        <v>2029</v>
      </c>
      <c r="J41" s="38">
        <f t="shared" si="14"/>
        <v>2030</v>
      </c>
    </row>
    <row r="42" spans="3:14">
      <c r="C42" s="40" t="s">
        <v>2</v>
      </c>
      <c r="D42" s="41">
        <v>45657</v>
      </c>
      <c r="E42" s="41">
        <f t="shared" ref="E42:J42" si="15">EOMONTH(D42,12)</f>
        <v>46022</v>
      </c>
      <c r="F42" s="41">
        <f t="shared" si="15"/>
        <v>46387</v>
      </c>
      <c r="G42" s="41">
        <f t="shared" si="15"/>
        <v>46752</v>
      </c>
      <c r="H42" s="41">
        <f t="shared" si="15"/>
        <v>47118</v>
      </c>
      <c r="I42" s="41">
        <f t="shared" si="15"/>
        <v>47483</v>
      </c>
      <c r="J42" s="41">
        <f t="shared" si="15"/>
        <v>47848</v>
      </c>
    </row>
    <row r="44" spans="3:14">
      <c r="C44" t="s">
        <v>32</v>
      </c>
      <c r="D44" s="146">
        <v>4194</v>
      </c>
      <c r="E44" s="146">
        <v>19048</v>
      </c>
      <c r="F44" s="9">
        <f>E44+F107</f>
        <v>21883.018791852301</v>
      </c>
      <c r="G44" s="9">
        <f>F44+G107</f>
        <v>28921.536782203151</v>
      </c>
      <c r="H44" s="9">
        <f>G44+H107</f>
        <v>37369.651428983605</v>
      </c>
      <c r="I44" s="9">
        <f>H44+I107</f>
        <v>45359.130470273216</v>
      </c>
      <c r="J44" s="9">
        <f>I44+J107</f>
        <v>54164.733839917077</v>
      </c>
    </row>
    <row r="45" spans="3:14">
      <c r="C45" t="s">
        <v>96</v>
      </c>
      <c r="D45" s="146">
        <v>27261</v>
      </c>
      <c r="E45" s="146">
        <v>28347</v>
      </c>
      <c r="F45" s="9">
        <f>F116</f>
        <v>34010.976995782337</v>
      </c>
      <c r="G45" s="9">
        <f>G116</f>
        <v>34861.25142067689</v>
      </c>
      <c r="H45" s="9">
        <f>H116</f>
        <v>35645.62957764211</v>
      </c>
      <c r="I45" s="9">
        <f>I116</f>
        <v>36358.54216919496</v>
      </c>
      <c r="J45" s="9">
        <f>J116</f>
        <v>37085.713012578861</v>
      </c>
      <c r="L45" s="9"/>
      <c r="M45" s="9"/>
      <c r="N45" s="9"/>
    </row>
    <row r="46" spans="3:14">
      <c r="C46" t="s">
        <v>34</v>
      </c>
      <c r="D46" s="146">
        <v>-1152</v>
      </c>
      <c r="E46" s="146">
        <v>-1250</v>
      </c>
      <c r="F46" s="9">
        <f>F138</f>
        <v>-1420.7187711873119</v>
      </c>
      <c r="G46" s="9">
        <f>G138</f>
        <v>-1456.2367404669944</v>
      </c>
      <c r="H46" s="9">
        <f>H138</f>
        <v>-1489.0020671275013</v>
      </c>
      <c r="I46" s="9">
        <f>I138</f>
        <v>-1518.7821084700518</v>
      </c>
      <c r="J46" s="9">
        <f>J138</f>
        <v>-1549.1577506394528</v>
      </c>
      <c r="L46" s="9"/>
      <c r="N46" s="9"/>
    </row>
    <row r="47" spans="3:14">
      <c r="C47" t="s">
        <v>35</v>
      </c>
      <c r="D47" s="146">
        <v>2247</v>
      </c>
      <c r="E47" s="146">
        <v>2441</v>
      </c>
      <c r="F47" s="9">
        <f>F127</f>
        <v>2357.1841872193386</v>
      </c>
      <c r="G47" s="9">
        <f>G127</f>
        <v>2416.1137918998215</v>
      </c>
      <c r="H47" s="9">
        <f>H127</f>
        <v>2470.4763522175676</v>
      </c>
      <c r="I47" s="9">
        <f>I127</f>
        <v>2519.8858792619189</v>
      </c>
      <c r="J47" s="9">
        <f>J127</f>
        <v>2570.2835968471577</v>
      </c>
      <c r="L47" s="9"/>
    </row>
    <row r="48" spans="3:14">
      <c r="C48" t="s">
        <v>36</v>
      </c>
      <c r="D48" s="146">
        <v>7973</v>
      </c>
      <c r="E48" s="146">
        <v>8336</v>
      </c>
      <c r="F48" s="9">
        <f>E48*(1+F34)</f>
        <v>8544.4</v>
      </c>
      <c r="G48" s="9">
        <f>F48*(1+G34)</f>
        <v>8758.0099999999984</v>
      </c>
      <c r="H48" s="9">
        <f>G48*(1+H34)</f>
        <v>8955.0652249999985</v>
      </c>
      <c r="I48" s="9">
        <f>H48*(1+I34)</f>
        <v>9134.1665294999984</v>
      </c>
      <c r="J48" s="9">
        <f>I48*(1+J34)</f>
        <v>9316.8498600899984</v>
      </c>
      <c r="L48" s="9"/>
    </row>
    <row r="49" spans="3:10">
      <c r="C49" t="s">
        <v>37</v>
      </c>
      <c r="D49" s="146">
        <v>108522</v>
      </c>
      <c r="E49" s="146">
        <v>109467</v>
      </c>
      <c r="F49" s="9">
        <f>F147</f>
        <v>108747.98425092438</v>
      </c>
      <c r="G49" s="9">
        <f>G147</f>
        <v>109521.22655655359</v>
      </c>
      <c r="H49" s="9">
        <f>H147</f>
        <v>111510.87576984012</v>
      </c>
      <c r="I49" s="9">
        <f>I147</f>
        <v>114336.08632638521</v>
      </c>
      <c r="J49" s="9">
        <f>J147</f>
        <v>117706.27316797408</v>
      </c>
    </row>
    <row r="50" spans="3:10">
      <c r="C50" t="s">
        <v>38</v>
      </c>
      <c r="D50" s="146">
        <v>842</v>
      </c>
      <c r="E50" s="146">
        <v>785</v>
      </c>
      <c r="F50" s="9">
        <f>E50</f>
        <v>785</v>
      </c>
      <c r="G50" s="9">
        <f t="shared" ref="G50:J51" si="16">F50</f>
        <v>785</v>
      </c>
      <c r="H50" s="9">
        <f t="shared" si="16"/>
        <v>785</v>
      </c>
      <c r="I50" s="9">
        <f t="shared" si="16"/>
        <v>785</v>
      </c>
      <c r="J50" s="9">
        <f t="shared" si="16"/>
        <v>785</v>
      </c>
    </row>
    <row r="51" spans="3:10">
      <c r="C51" t="s">
        <v>39</v>
      </c>
      <c r="D51" s="146">
        <v>156613</v>
      </c>
      <c r="E51" s="146">
        <v>157039</v>
      </c>
      <c r="F51" s="9">
        <f>E51</f>
        <v>157039</v>
      </c>
      <c r="G51" s="9">
        <f t="shared" si="16"/>
        <v>157039</v>
      </c>
      <c r="H51" s="9">
        <f t="shared" si="16"/>
        <v>157039</v>
      </c>
      <c r="I51" s="9">
        <f t="shared" si="16"/>
        <v>157039</v>
      </c>
      <c r="J51" s="9">
        <f t="shared" si="16"/>
        <v>157039</v>
      </c>
    </row>
    <row r="52" spans="3:10">
      <c r="C52" t="s">
        <v>40</v>
      </c>
      <c r="D52" s="146">
        <v>22841</v>
      </c>
      <c r="E52" s="146">
        <v>22841</v>
      </c>
      <c r="F52" s="9">
        <f>E52</f>
        <v>22841</v>
      </c>
      <c r="G52" s="9">
        <f t="shared" ref="G52:J52" si="17">F52</f>
        <v>22841</v>
      </c>
      <c r="H52" s="9">
        <f t="shared" si="17"/>
        <v>22841</v>
      </c>
      <c r="I52" s="9">
        <f t="shared" si="17"/>
        <v>22841</v>
      </c>
      <c r="J52" s="9">
        <f t="shared" si="17"/>
        <v>22841</v>
      </c>
    </row>
    <row r="53" spans="3:10">
      <c r="C53" t="s">
        <v>97</v>
      </c>
      <c r="D53" s="146">
        <v>11129</v>
      </c>
      <c r="E53" s="146">
        <v>10458</v>
      </c>
      <c r="F53" s="9">
        <f>F178</f>
        <v>9534</v>
      </c>
      <c r="G53" s="9">
        <f>G178</f>
        <v>9155</v>
      </c>
      <c r="H53" s="9">
        <f>H178</f>
        <v>9268</v>
      </c>
      <c r="I53" s="9">
        <f>I178</f>
        <v>10085</v>
      </c>
      <c r="J53" s="9">
        <f>J178</f>
        <v>11153</v>
      </c>
    </row>
    <row r="54" spans="3:10">
      <c r="C54" t="s">
        <v>42</v>
      </c>
      <c r="D54" s="146">
        <v>24472</v>
      </c>
      <c r="E54" s="146">
        <v>23498</v>
      </c>
      <c r="F54" s="9">
        <f>F208</f>
        <v>23570.949000000001</v>
      </c>
      <c r="G54" s="9">
        <f>G208</f>
        <v>24046.640556999999</v>
      </c>
      <c r="H54" s="9">
        <f>H208</f>
        <v>24454.819600950999</v>
      </c>
      <c r="I54" s="9">
        <f>I208</f>
        <v>24852.912093791892</v>
      </c>
      <c r="J54" s="9">
        <f>J208</f>
        <v>25261.683313824942</v>
      </c>
    </row>
    <row r="55" spans="3:10">
      <c r="C55" t="s">
        <v>43</v>
      </c>
      <c r="D55" s="146">
        <v>19769</v>
      </c>
      <c r="E55" s="146">
        <v>23248</v>
      </c>
      <c r="F55" s="9">
        <f>E55*(1+F34)</f>
        <v>23829.199999999997</v>
      </c>
      <c r="G55" s="9">
        <f>F55*(1+G34)</f>
        <v>24424.929999999997</v>
      </c>
      <c r="H55" s="9">
        <f>G55*(1+H34)</f>
        <v>24974.490924999995</v>
      </c>
      <c r="I55" s="9">
        <f>H55*(1+I34)</f>
        <v>25473.980743499997</v>
      </c>
      <c r="J55" s="9">
        <f>I55*(1+J34)</f>
        <v>25983.460358369997</v>
      </c>
    </row>
    <row r="56" spans="3:10">
      <c r="C56" s="8" t="s">
        <v>44</v>
      </c>
      <c r="D56" s="10">
        <v>384711</v>
      </c>
      <c r="E56" s="10">
        <v>404258</v>
      </c>
      <c r="F56" s="10">
        <f>SUM(F44:F55)</f>
        <v>411721.99445459107</v>
      </c>
      <c r="G56" s="10">
        <f t="shared" ref="G56:J56" si="18">SUM(G44:G55)</f>
        <v>421313.47236786643</v>
      </c>
      <c r="H56" s="10">
        <f t="shared" si="18"/>
        <v>433825.00681250688</v>
      </c>
      <c r="I56" s="10">
        <f t="shared" si="18"/>
        <v>447265.92210343713</v>
      </c>
      <c r="J56" s="10">
        <f t="shared" si="18"/>
        <v>462357.83939896268</v>
      </c>
    </row>
    <row r="58" spans="3:10">
      <c r="C58" t="s">
        <v>45</v>
      </c>
      <c r="D58" s="146">
        <v>22633</v>
      </c>
      <c r="E58" s="146">
        <v>18618</v>
      </c>
      <c r="F58" s="9">
        <f>F255</f>
        <v>17267</v>
      </c>
      <c r="G58" s="9">
        <f>G255</f>
        <v>9569</v>
      </c>
      <c r="H58" s="9">
        <f>H255</f>
        <v>13032</v>
      </c>
      <c r="I58" s="9">
        <f>I255</f>
        <v>8115</v>
      </c>
      <c r="J58" s="9">
        <f>J255</f>
        <v>11081</v>
      </c>
    </row>
    <row r="59" spans="3:10">
      <c r="C59" t="s">
        <v>46</v>
      </c>
      <c r="D59" s="146">
        <v>23374</v>
      </c>
      <c r="E59" s="146">
        <v>24981</v>
      </c>
      <c r="F59" s="9">
        <f>E59*F16/E16</f>
        <v>25605.524999999994</v>
      </c>
      <c r="G59" s="9">
        <f t="shared" ref="G59:J59" si="19">F59*G16/F16</f>
        <v>26245.663124999988</v>
      </c>
      <c r="H59" s="9">
        <f t="shared" si="19"/>
        <v>26836.190545312485</v>
      </c>
      <c r="I59" s="9">
        <f t="shared" si="19"/>
        <v>27372.914356218738</v>
      </c>
      <c r="J59" s="9">
        <f t="shared" si="19"/>
        <v>27920.372643343115</v>
      </c>
    </row>
    <row r="60" spans="3:10">
      <c r="C60" t="s">
        <v>98</v>
      </c>
      <c r="D60" s="146">
        <v>4415</v>
      </c>
      <c r="E60" s="146">
        <v>4542</v>
      </c>
      <c r="F60" s="9">
        <f>F196</f>
        <v>5272</v>
      </c>
      <c r="G60" s="9">
        <f>G196</f>
        <v>4983</v>
      </c>
      <c r="H60" s="9">
        <f>H196</f>
        <v>3580</v>
      </c>
      <c r="I60" s="9">
        <f>I196</f>
        <v>3087</v>
      </c>
      <c r="J60" s="9">
        <f>J196</f>
        <v>2512</v>
      </c>
    </row>
    <row r="61" spans="3:10">
      <c r="C61" t="s">
        <v>99</v>
      </c>
      <c r="D61" s="146">
        <v>14349</v>
      </c>
      <c r="E61" s="146">
        <v>14229</v>
      </c>
      <c r="F61" s="9">
        <f>E61*(1+F34)</f>
        <v>14584.724999999999</v>
      </c>
      <c r="G61" s="9">
        <f>F61*(1+G34)</f>
        <v>14949.343124999998</v>
      </c>
      <c r="H61" s="9">
        <f>G61*(1+H34)</f>
        <v>15285.703345312497</v>
      </c>
      <c r="I61" s="9">
        <f>H61*(1+I34)</f>
        <v>15591.417412218747</v>
      </c>
      <c r="J61" s="9">
        <f>I61*(1+J34)</f>
        <v>15903.245760463122</v>
      </c>
    </row>
    <row r="62" spans="3:10">
      <c r="C62" t="s">
        <v>49</v>
      </c>
      <c r="D62" s="146">
        <v>121381</v>
      </c>
      <c r="E62" s="146">
        <v>139532</v>
      </c>
      <c r="F62" s="9">
        <f>F256</f>
        <v>148383</v>
      </c>
      <c r="G62" s="9">
        <f>G256</f>
        <v>163581</v>
      </c>
      <c r="H62" s="9">
        <f>H256</f>
        <v>167618</v>
      </c>
      <c r="I62" s="9">
        <f>I256</f>
        <v>180035</v>
      </c>
      <c r="J62" s="9">
        <f>J256</f>
        <v>184569</v>
      </c>
    </row>
    <row r="63" spans="3:10">
      <c r="C63" t="s">
        <v>50</v>
      </c>
      <c r="D63" s="146">
        <v>11997</v>
      </c>
      <c r="E63" s="146">
        <v>11099</v>
      </c>
      <c r="F63" s="9">
        <f>E63</f>
        <v>11099</v>
      </c>
      <c r="G63" s="9">
        <f t="shared" ref="G63:J63" si="20">F63</f>
        <v>11099</v>
      </c>
      <c r="H63" s="9">
        <f t="shared" si="20"/>
        <v>11099</v>
      </c>
      <c r="I63" s="9">
        <f t="shared" si="20"/>
        <v>11099</v>
      </c>
      <c r="J63" s="9">
        <f t="shared" si="20"/>
        <v>11099</v>
      </c>
    </row>
    <row r="64" spans="3:10">
      <c r="C64" t="s">
        <v>51</v>
      </c>
      <c r="D64" s="146">
        <v>46732</v>
      </c>
      <c r="E64" s="146">
        <v>48717</v>
      </c>
      <c r="F64" s="9">
        <f>E64</f>
        <v>48717</v>
      </c>
      <c r="G64" s="9">
        <f t="shared" ref="G64:J64" si="21">F64</f>
        <v>48717</v>
      </c>
      <c r="H64" s="9">
        <f t="shared" si="21"/>
        <v>48717</v>
      </c>
      <c r="I64" s="9">
        <f t="shared" si="21"/>
        <v>48717</v>
      </c>
      <c r="J64" s="9">
        <f t="shared" si="21"/>
        <v>48717</v>
      </c>
    </row>
    <row r="65" spans="3:15">
      <c r="C65" t="s">
        <v>100</v>
      </c>
      <c r="D65" s="146">
        <v>19928</v>
      </c>
      <c r="E65" s="146">
        <v>18951</v>
      </c>
      <c r="F65" s="9">
        <f>F197</f>
        <v>15959.199000000001</v>
      </c>
      <c r="G65" s="9">
        <f>G197</f>
        <v>14678.140556999999</v>
      </c>
      <c r="H65" s="9">
        <f>H197</f>
        <v>15846.569600950999</v>
      </c>
      <c r="I65" s="9">
        <f>I197</f>
        <v>16587.912093791892</v>
      </c>
      <c r="J65" s="9">
        <f>J197</f>
        <v>17996.933313824942</v>
      </c>
    </row>
    <row r="66" spans="3:15">
      <c r="C66" t="s">
        <v>101</v>
      </c>
      <c r="D66" s="146">
        <v>19327</v>
      </c>
      <c r="E66" s="146">
        <v>17848</v>
      </c>
      <c r="F66" s="9">
        <f>E66*(1+F34)</f>
        <v>18294.199999999997</v>
      </c>
      <c r="G66" s="9">
        <f>F66*(1+G34)</f>
        <v>18751.554999999997</v>
      </c>
      <c r="H66" s="9">
        <f>G66*(1+H34)</f>
        <v>19173.464987499996</v>
      </c>
      <c r="I66" s="9">
        <f>H66*(1+I34)</f>
        <v>19556.934287249995</v>
      </c>
      <c r="J66" s="9">
        <f>I66*(1+J34)</f>
        <v>19948.072972994996</v>
      </c>
    </row>
    <row r="67" spans="3:15">
      <c r="C67" s="8" t="s">
        <v>54</v>
      </c>
      <c r="D67" s="10">
        <v>284136</v>
      </c>
      <c r="E67" s="10">
        <f>SUM(E58:E66)</f>
        <v>298517</v>
      </c>
      <c r="F67" s="10">
        <f t="shared" ref="F67:J67" si="22">SUM(F58:F66)</f>
        <v>305181.64900000003</v>
      </c>
      <c r="G67" s="10">
        <f t="shared" si="22"/>
        <v>312573.70180699998</v>
      </c>
      <c r="H67" s="10">
        <f t="shared" si="22"/>
        <v>321187.92847907596</v>
      </c>
      <c r="I67" s="10">
        <f t="shared" si="22"/>
        <v>330162.17814947938</v>
      </c>
      <c r="J67" s="10">
        <f t="shared" si="22"/>
        <v>339746.62469062617</v>
      </c>
    </row>
    <row r="68" spans="3:15">
      <c r="F68" s="9"/>
      <c r="G68" s="9"/>
      <c r="H68" s="9"/>
      <c r="I68" s="9"/>
      <c r="J68" s="9"/>
    </row>
    <row r="69" spans="3:15">
      <c r="C69" t="s">
        <v>102</v>
      </c>
      <c r="D69" s="146">
        <v>0</v>
      </c>
      <c r="E69" s="146">
        <v>0</v>
      </c>
      <c r="F69" s="9">
        <v>0</v>
      </c>
      <c r="G69" s="9">
        <f t="shared" ref="G69:J69" si="23">F69</f>
        <v>0</v>
      </c>
      <c r="H69" s="9">
        <f t="shared" si="23"/>
        <v>0</v>
      </c>
      <c r="I69" s="9">
        <f t="shared" si="23"/>
        <v>0</v>
      </c>
      <c r="J69" s="9">
        <f t="shared" si="23"/>
        <v>0</v>
      </c>
    </row>
    <row r="70" spans="3:15">
      <c r="C70" t="s">
        <v>57</v>
      </c>
      <c r="D70" s="146">
        <v>429</v>
      </c>
      <c r="E70" s="146">
        <v>429</v>
      </c>
      <c r="F70" s="9">
        <f>E70</f>
        <v>429</v>
      </c>
      <c r="G70" s="9">
        <f t="shared" ref="G70:J70" si="24">F70</f>
        <v>429</v>
      </c>
      <c r="H70" s="9">
        <f t="shared" si="24"/>
        <v>429</v>
      </c>
      <c r="I70" s="9">
        <f t="shared" si="24"/>
        <v>429</v>
      </c>
      <c r="J70" s="9">
        <f t="shared" si="24"/>
        <v>429</v>
      </c>
    </row>
    <row r="71" spans="3:15">
      <c r="C71" t="s">
        <v>103</v>
      </c>
      <c r="D71" s="146">
        <v>13466</v>
      </c>
      <c r="E71" s="146">
        <v>13372</v>
      </c>
      <c r="F71" s="9">
        <f>F216</f>
        <v>13356</v>
      </c>
      <c r="G71" s="9">
        <f>G216</f>
        <v>13340</v>
      </c>
      <c r="H71" s="9">
        <f>H216</f>
        <v>13324</v>
      </c>
      <c r="I71" s="9">
        <f>I216</f>
        <v>13308</v>
      </c>
      <c r="J71" s="9">
        <f>J216</f>
        <v>13292</v>
      </c>
    </row>
    <row r="72" spans="3:15">
      <c r="C72" t="s">
        <v>59</v>
      </c>
      <c r="D72" s="146">
        <v>89110</v>
      </c>
      <c r="E72" s="146">
        <v>94744</v>
      </c>
      <c r="F72" s="9">
        <f>F223</f>
        <v>95273.345454591035</v>
      </c>
      <c r="G72" s="9">
        <f>G223</f>
        <v>97209.770560866469</v>
      </c>
      <c r="H72" s="9">
        <f>H223</f>
        <v>100851.07833343091</v>
      </c>
      <c r="I72" s="9">
        <f>I223</f>
        <v>105068.74395395776</v>
      </c>
      <c r="J72" s="9">
        <f>J223</f>
        <v>110334.2147083365</v>
      </c>
    </row>
    <row r="73" spans="3:15">
      <c r="C73" t="s">
        <v>104</v>
      </c>
      <c r="D73" s="146">
        <v>-923</v>
      </c>
      <c r="E73" s="146">
        <v>-1727</v>
      </c>
      <c r="F73" s="9">
        <f>E73</f>
        <v>-1727</v>
      </c>
      <c r="G73" s="9">
        <f t="shared" ref="G73:J73" si="25">F73</f>
        <v>-1727</v>
      </c>
      <c r="H73" s="9">
        <f t="shared" si="25"/>
        <v>-1727</v>
      </c>
      <c r="I73" s="9">
        <f t="shared" si="25"/>
        <v>-1727</v>
      </c>
      <c r="J73" s="9">
        <f t="shared" si="25"/>
        <v>-1727</v>
      </c>
    </row>
    <row r="74" spans="3:15">
      <c r="C74" t="s">
        <v>61</v>
      </c>
      <c r="D74" s="146">
        <v>-3583</v>
      </c>
      <c r="E74" s="146">
        <v>-3255</v>
      </c>
      <c r="F74" s="9">
        <f>F233</f>
        <v>-2905</v>
      </c>
      <c r="G74" s="9">
        <f>G233</f>
        <v>-2555</v>
      </c>
      <c r="H74" s="9">
        <f>H233</f>
        <v>-2205</v>
      </c>
      <c r="I74" s="9">
        <f>I233</f>
        <v>-1855</v>
      </c>
      <c r="J74" s="9">
        <f>J233</f>
        <v>-1505</v>
      </c>
    </row>
    <row r="75" spans="3:15">
      <c r="C75" t="s">
        <v>105</v>
      </c>
      <c r="D75" s="146">
        <v>738</v>
      </c>
      <c r="E75" s="146">
        <v>897</v>
      </c>
      <c r="F75" s="9">
        <f>E75</f>
        <v>897</v>
      </c>
      <c r="G75" s="9">
        <f t="shared" ref="G75:J75" si="26">F75</f>
        <v>897</v>
      </c>
      <c r="H75" s="9">
        <f t="shared" si="26"/>
        <v>897</v>
      </c>
      <c r="I75" s="9">
        <f t="shared" si="26"/>
        <v>897</v>
      </c>
      <c r="J75" s="9">
        <f t="shared" si="26"/>
        <v>897</v>
      </c>
    </row>
    <row r="76" spans="3:15">
      <c r="C76" t="s">
        <v>63</v>
      </c>
      <c r="D76" s="146">
        <v>1338</v>
      </c>
      <c r="E76" s="146">
        <v>1281</v>
      </c>
      <c r="F76" s="9">
        <f>F239</f>
        <v>1217</v>
      </c>
      <c r="G76" s="9">
        <f>G239</f>
        <v>1146</v>
      </c>
      <c r="H76" s="9">
        <f>H239</f>
        <v>1068</v>
      </c>
      <c r="I76" s="9">
        <f>I239</f>
        <v>983</v>
      </c>
      <c r="J76" s="9">
        <f>J239</f>
        <v>891</v>
      </c>
    </row>
    <row r="77" spans="3:15">
      <c r="C77" s="8" t="s">
        <v>64</v>
      </c>
      <c r="D77" s="10">
        <v>100575</v>
      </c>
      <c r="E77" s="10">
        <v>105741</v>
      </c>
      <c r="F77" s="10">
        <f>SUM(F69:F76)</f>
        <v>106540.34545459104</v>
      </c>
      <c r="G77" s="10">
        <f t="shared" ref="G77:J77" si="27">SUM(G69:G76)</f>
        <v>108739.77056086647</v>
      </c>
      <c r="H77" s="10">
        <f t="shared" si="27"/>
        <v>112637.07833343091</v>
      </c>
      <c r="I77" s="10">
        <f t="shared" si="27"/>
        <v>117103.74395395776</v>
      </c>
      <c r="J77" s="10">
        <f t="shared" si="27"/>
        <v>122611.2147083365</v>
      </c>
    </row>
    <row r="78" spans="3:15">
      <c r="L78" s="9"/>
      <c r="M78" s="9"/>
      <c r="N78" s="9"/>
      <c r="O78" s="9"/>
    </row>
    <row r="79" spans="3:15">
      <c r="C79" t="s">
        <v>65</v>
      </c>
      <c r="D79" s="9">
        <f t="shared" ref="D79:J79" si="28">D56-D67-D77</f>
        <v>0</v>
      </c>
      <c r="E79" s="9">
        <f t="shared" si="28"/>
        <v>0</v>
      </c>
      <c r="F79" s="9">
        <f t="shared" si="28"/>
        <v>0</v>
      </c>
      <c r="G79" s="9">
        <f t="shared" si="28"/>
        <v>0</v>
      </c>
      <c r="H79" s="9">
        <f t="shared" si="28"/>
        <v>0</v>
      </c>
      <c r="I79" s="9">
        <f t="shared" si="28"/>
        <v>0</v>
      </c>
      <c r="J79" s="9">
        <f t="shared" si="28"/>
        <v>0</v>
      </c>
      <c r="M79" s="73"/>
      <c r="N79" s="73"/>
      <c r="O79" s="73"/>
    </row>
    <row r="81" spans="3:17">
      <c r="C81" s="36" t="s">
        <v>106</v>
      </c>
      <c r="D81" s="48"/>
      <c r="E81" s="48"/>
      <c r="F81" s="48"/>
      <c r="G81" s="49"/>
      <c r="H81" s="49"/>
      <c r="I81" s="49"/>
      <c r="J81" s="48"/>
      <c r="L81" s="9"/>
      <c r="M81" s="9"/>
      <c r="N81" s="9"/>
      <c r="O81" s="9"/>
      <c r="P81" s="9"/>
      <c r="Q81" s="9"/>
    </row>
    <row r="82" spans="3:17">
      <c r="C82" t="s">
        <v>1</v>
      </c>
      <c r="D82" s="38">
        <v>2024</v>
      </c>
      <c r="E82" s="38">
        <f>D82+1</f>
        <v>2025</v>
      </c>
      <c r="F82" s="38">
        <f t="shared" ref="F82:J82" si="29">E82+1</f>
        <v>2026</v>
      </c>
      <c r="G82" s="38">
        <f t="shared" si="29"/>
        <v>2027</v>
      </c>
      <c r="H82" s="38">
        <f t="shared" si="29"/>
        <v>2028</v>
      </c>
      <c r="I82" s="38">
        <f t="shared" si="29"/>
        <v>2029</v>
      </c>
      <c r="J82" s="38">
        <f t="shared" si="29"/>
        <v>2030</v>
      </c>
      <c r="M82" s="73"/>
      <c r="N82" s="73"/>
      <c r="O82" s="73"/>
    </row>
    <row r="83" spans="3:17">
      <c r="C83" s="40" t="s">
        <v>2</v>
      </c>
      <c r="D83" s="41">
        <v>45657</v>
      </c>
      <c r="E83" s="41">
        <f t="shared" ref="E83:J83" si="30">EOMONTH(D83,12)</f>
        <v>46022</v>
      </c>
      <c r="F83" s="41">
        <f t="shared" si="30"/>
        <v>46387</v>
      </c>
      <c r="G83" s="41">
        <f t="shared" si="30"/>
        <v>46752</v>
      </c>
      <c r="H83" s="41">
        <f t="shared" si="30"/>
        <v>47118</v>
      </c>
      <c r="I83" s="41">
        <f t="shared" si="30"/>
        <v>47483</v>
      </c>
      <c r="J83" s="41">
        <f t="shared" si="30"/>
        <v>47848</v>
      </c>
      <c r="K83" s="43"/>
      <c r="N83" s="9"/>
      <c r="O83" s="9"/>
    </row>
    <row r="84" spans="3:17">
      <c r="K84" s="50"/>
    </row>
    <row r="85" spans="3:17">
      <c r="C85" t="s">
        <v>22</v>
      </c>
      <c r="F85" s="9">
        <f>F26</f>
        <v>15294.410314756291</v>
      </c>
      <c r="G85" s="9">
        <f>G26</f>
        <v>17659.473904046747</v>
      </c>
      <c r="H85" s="9">
        <f>H26</f>
        <v>19313.407948763637</v>
      </c>
      <c r="I85" s="9">
        <f>I26</f>
        <v>20764.341963005627</v>
      </c>
      <c r="J85" s="9">
        <f>J26</f>
        <v>21675.557564164355</v>
      </c>
      <c r="K85" s="45"/>
    </row>
    <row r="86" spans="3:17">
      <c r="C86" t="s">
        <v>107</v>
      </c>
      <c r="F86" s="9">
        <f>F28</f>
        <v>21924.066749075631</v>
      </c>
      <c r="G86" s="9">
        <f>G28</f>
        <v>20233.066137370792</v>
      </c>
      <c r="H86" s="9">
        <f>H28</f>
        <v>18965.739242762476</v>
      </c>
      <c r="I86" s="9">
        <f>I28</f>
        <v>17775.795800614025</v>
      </c>
      <c r="J86" s="9">
        <f>J28</f>
        <v>17315.462765378066</v>
      </c>
    </row>
    <row r="87" spans="3:17">
      <c r="C87" t="s">
        <v>108</v>
      </c>
      <c r="F87" s="9">
        <f>E46-F46</f>
        <v>170.71877118731186</v>
      </c>
      <c r="G87" s="9">
        <f>F46-G46</f>
        <v>35.517969279682575</v>
      </c>
      <c r="H87" s="9">
        <f>G46-H46</f>
        <v>32.765326660506844</v>
      </c>
      <c r="I87" s="9">
        <f>H46-I46</f>
        <v>29.780041342550476</v>
      </c>
      <c r="J87" s="9">
        <f>I46-J46</f>
        <v>30.37564216940109</v>
      </c>
    </row>
    <row r="88" spans="3:17">
      <c r="C88" t="s">
        <v>109</v>
      </c>
      <c r="F88" s="146">
        <f>F21</f>
        <v>0</v>
      </c>
      <c r="G88" s="146">
        <f>G21</f>
        <v>0</v>
      </c>
      <c r="H88" s="146">
        <f>H21</f>
        <v>0</v>
      </c>
      <c r="I88" s="146">
        <f>I21</f>
        <v>0</v>
      </c>
      <c r="J88" s="146">
        <f>J21</f>
        <v>0</v>
      </c>
    </row>
    <row r="89" spans="3:17">
      <c r="C89" t="s">
        <v>110</v>
      </c>
      <c r="F89" s="9">
        <f>-1*(SUM(F45,F47:F48)-SUM(E45,E47:E48))</f>
        <v>-5788.5611830016787</v>
      </c>
      <c r="G89" s="9">
        <f>-1*(SUM(G45,G47:G48)-SUM(F45,F47:F48))</f>
        <v>-1122.8140295750272</v>
      </c>
      <c r="H89" s="9">
        <f>-1*(SUM(H45,H47:H48)-SUM(G45,G47:G48))</f>
        <v>-1035.7959422829736</v>
      </c>
      <c r="I89" s="9">
        <f>-1*(SUM(I45,I47:I48)-SUM(H45,H47:H48))</f>
        <v>-941.4234230971997</v>
      </c>
      <c r="J89" s="9">
        <f>-1*(SUM(J45,J47:J48)-SUM(I45,I47:I48))</f>
        <v>-960.2518915591354</v>
      </c>
    </row>
    <row r="90" spans="3:17">
      <c r="C90" t="s">
        <v>111</v>
      </c>
      <c r="F90" s="9">
        <f>SUM(F59,F61)-SUM(E59,E61)</f>
        <v>980.24999999999272</v>
      </c>
      <c r="G90" s="9">
        <f>SUM(G59,G61)-SUM(F59,F61)</f>
        <v>1004.7562499999913</v>
      </c>
      <c r="H90" s="9">
        <f>SUM(H59,H61)-SUM(G59,G61)</f>
        <v>926.88764062499831</v>
      </c>
      <c r="I90" s="9">
        <f>SUM(I59,I61)-SUM(H59,H61)</f>
        <v>842.43787781250285</v>
      </c>
      <c r="J90" s="9">
        <f>SUM(J59,J61)-SUM(I59,I61)</f>
        <v>859.28663536874956</v>
      </c>
    </row>
    <row r="91" spans="3:17">
      <c r="C91" t="s">
        <v>112</v>
      </c>
      <c r="F91" s="9">
        <f>-F187+F192</f>
        <v>-4261.8010000000004</v>
      </c>
      <c r="G91" s="9">
        <f t="shared" ref="G91:J91" si="31">-G187+G192</f>
        <v>-4070.0584429999999</v>
      </c>
      <c r="H91" s="9">
        <f t="shared" si="31"/>
        <v>-2734.570956049</v>
      </c>
      <c r="I91" s="9">
        <f t="shared" si="31"/>
        <v>-2251.6575071591069</v>
      </c>
      <c r="J91" s="9">
        <f t="shared" si="31"/>
        <v>-1665.9787799669487</v>
      </c>
    </row>
    <row r="92" spans="3:17">
      <c r="C92" t="s">
        <v>113</v>
      </c>
      <c r="F92" s="9">
        <f>E55-F55</f>
        <v>-581.19999999999709</v>
      </c>
      <c r="G92" s="9">
        <f>F55-G55</f>
        <v>-595.72999999999956</v>
      </c>
      <c r="H92" s="9">
        <f>G55-H55</f>
        <v>-549.56092499999795</v>
      </c>
      <c r="I92" s="9">
        <f>H55-I55</f>
        <v>-499.489818500002</v>
      </c>
      <c r="J92" s="9">
        <f>I55-J55</f>
        <v>-509.47961487000066</v>
      </c>
    </row>
    <row r="93" spans="3:17">
      <c r="C93" t="s">
        <v>114</v>
      </c>
      <c r="F93" s="9">
        <f>F66-E66</f>
        <v>446.19999999999709</v>
      </c>
      <c r="G93" s="9">
        <f>G66-F66</f>
        <v>457.35499999999956</v>
      </c>
      <c r="H93" s="9">
        <f>H66-G66</f>
        <v>421.90998749999926</v>
      </c>
      <c r="I93" s="9">
        <f>I66-H66</f>
        <v>383.46929974999875</v>
      </c>
      <c r="J93" s="9">
        <f>J66-I66</f>
        <v>391.13868574500157</v>
      </c>
    </row>
    <row r="94" spans="3:17">
      <c r="C94" s="8" t="s">
        <v>115</v>
      </c>
      <c r="F94" s="10">
        <f>SUM(F85:F93)</f>
        <v>28184.083652017551</v>
      </c>
      <c r="G94" s="10">
        <f>SUM(G85:G93)</f>
        <v>33601.566788122174</v>
      </c>
      <c r="H94" s="10">
        <f>SUM(H85:H93)</f>
        <v>35340.782322979649</v>
      </c>
      <c r="I94" s="10">
        <f>SUM(I85:I93)</f>
        <v>36103.254233768399</v>
      </c>
      <c r="J94" s="10">
        <f>SUM(J85:J93)</f>
        <v>37136.111006429477</v>
      </c>
    </row>
    <row r="96" spans="3:17">
      <c r="C96" t="s">
        <v>116</v>
      </c>
      <c r="F96" s="9">
        <f>-(F145+F177)</f>
        <v>-18354</v>
      </c>
      <c r="G96" s="9">
        <f t="shared" ref="G96:J96" si="32">-(G145+G177)</f>
        <v>-18603</v>
      </c>
      <c r="H96" s="9">
        <f t="shared" si="32"/>
        <v>-18976.567500000001</v>
      </c>
      <c r="I96" s="9">
        <f t="shared" si="32"/>
        <v>-19316.098850000002</v>
      </c>
      <c r="J96" s="9">
        <f t="shared" si="32"/>
        <v>-19662.420827000002</v>
      </c>
    </row>
    <row r="97" spans="3:10">
      <c r="C97" t="s">
        <v>117</v>
      </c>
      <c r="F97" s="146">
        <v>0</v>
      </c>
      <c r="G97" s="146">
        <v>0</v>
      </c>
      <c r="H97" s="146">
        <v>0</v>
      </c>
      <c r="I97" s="146">
        <v>0</v>
      </c>
      <c r="J97" s="146">
        <v>0</v>
      </c>
    </row>
    <row r="98" spans="3:10">
      <c r="C98" t="s">
        <v>118</v>
      </c>
      <c r="F98" s="146">
        <v>0</v>
      </c>
      <c r="G98" s="146">
        <v>0</v>
      </c>
      <c r="H98" s="146">
        <v>0</v>
      </c>
      <c r="I98" s="146">
        <v>0</v>
      </c>
      <c r="J98" s="146">
        <v>0</v>
      </c>
    </row>
    <row r="99" spans="3:10">
      <c r="C99" s="8" t="s">
        <v>119</v>
      </c>
      <c r="F99" s="10">
        <f>SUM(F96:F98)</f>
        <v>-18354</v>
      </c>
      <c r="G99" s="10">
        <f t="shared" ref="G99:J99" si="33">SUM(G96:G98)</f>
        <v>-18603</v>
      </c>
      <c r="H99" s="10">
        <f t="shared" si="33"/>
        <v>-18976.567500000001</v>
      </c>
      <c r="I99" s="10">
        <f t="shared" si="33"/>
        <v>-19316.098850000002</v>
      </c>
      <c r="J99" s="10">
        <f t="shared" si="33"/>
        <v>-19662.420827000002</v>
      </c>
    </row>
    <row r="101" spans="3:10">
      <c r="C101" t="s">
        <v>120</v>
      </c>
      <c r="F101" s="9">
        <f>F248</f>
        <v>-18618</v>
      </c>
      <c r="G101" s="9">
        <f>G248</f>
        <v>-17267</v>
      </c>
      <c r="H101" s="9">
        <f>H248</f>
        <v>-9569</v>
      </c>
      <c r="I101" s="9">
        <f>I248</f>
        <v>-13032</v>
      </c>
      <c r="J101" s="9">
        <f>J248</f>
        <v>-8115</v>
      </c>
    </row>
    <row r="102" spans="3:10">
      <c r="C102" t="s">
        <v>121</v>
      </c>
      <c r="F102" s="9">
        <f>F249</f>
        <v>26118</v>
      </c>
      <c r="G102" s="9">
        <f t="shared" ref="G102:J102" si="34">G249</f>
        <v>24767</v>
      </c>
      <c r="H102" s="9">
        <f t="shared" si="34"/>
        <v>17069</v>
      </c>
      <c r="I102" s="9">
        <f t="shared" si="34"/>
        <v>20532</v>
      </c>
      <c r="J102" s="9">
        <f t="shared" si="34"/>
        <v>15615</v>
      </c>
    </row>
    <row r="103" spans="3:10">
      <c r="C103" t="s">
        <v>122</v>
      </c>
      <c r="F103" s="9">
        <f>F221</f>
        <v>-11765.06486016525</v>
      </c>
      <c r="G103" s="9">
        <f t="shared" ref="G103:J103" si="35">G221</f>
        <v>-11723.048797771324</v>
      </c>
      <c r="H103" s="9">
        <f t="shared" si="35"/>
        <v>-11672.100176199192</v>
      </c>
      <c r="I103" s="9">
        <f t="shared" si="35"/>
        <v>-11546.676342478782</v>
      </c>
      <c r="J103" s="9">
        <f t="shared" si="35"/>
        <v>-11410.086809785616</v>
      </c>
    </row>
    <row r="104" spans="3:10">
      <c r="C104" t="s">
        <v>118</v>
      </c>
      <c r="F104" s="9">
        <f>F215+F237+F238+F231+F222</f>
        <v>-2730</v>
      </c>
      <c r="G104" s="9">
        <f t="shared" ref="G104:J104" si="36">G215+G237+G238+G231+G222</f>
        <v>-3737</v>
      </c>
      <c r="H104" s="9">
        <f t="shared" si="36"/>
        <v>-3744</v>
      </c>
      <c r="I104" s="9">
        <f t="shared" si="36"/>
        <v>-4751</v>
      </c>
      <c r="J104" s="9">
        <f t="shared" si="36"/>
        <v>-4758</v>
      </c>
    </row>
    <row r="105" spans="3:10">
      <c r="C105" s="8" t="s">
        <v>123</v>
      </c>
      <c r="F105" s="10">
        <f>SUM(F101:F104)</f>
        <v>-6995.0648601652501</v>
      </c>
      <c r="G105" s="10">
        <f t="shared" ref="G105:J105" si="37">SUM(G101:G104)</f>
        <v>-7960.0487977713237</v>
      </c>
      <c r="H105" s="10">
        <f t="shared" si="37"/>
        <v>-7916.100176199192</v>
      </c>
      <c r="I105" s="10">
        <f t="shared" si="37"/>
        <v>-8797.6763424787823</v>
      </c>
      <c r="J105" s="10">
        <f t="shared" si="37"/>
        <v>-8668.0868097856164</v>
      </c>
    </row>
    <row r="107" spans="3:10">
      <c r="C107" s="8" t="s">
        <v>124</v>
      </c>
      <c r="F107" s="10">
        <f>F94+F99+F105</f>
        <v>2835.0187918523006</v>
      </c>
      <c r="G107" s="10">
        <f t="shared" ref="G107:J107" si="38">G94+G99+G105</f>
        <v>7038.5179903508506</v>
      </c>
      <c r="H107" s="10">
        <f t="shared" si="38"/>
        <v>8448.1146467804556</v>
      </c>
      <c r="I107" s="10">
        <f t="shared" si="38"/>
        <v>7989.4790412896145</v>
      </c>
      <c r="J107" s="10">
        <f t="shared" si="38"/>
        <v>8805.603369643859</v>
      </c>
    </row>
    <row r="109" spans="3:10">
      <c r="C109" s="52" t="s">
        <v>125</v>
      </c>
      <c r="D109" s="48"/>
      <c r="E109" s="48"/>
      <c r="F109" s="48"/>
      <c r="G109" s="48"/>
      <c r="H109" s="48"/>
      <c r="I109" s="48"/>
      <c r="J109" s="48"/>
    </row>
    <row r="110" spans="3:10">
      <c r="C110" t="s">
        <v>1</v>
      </c>
      <c r="D110" s="38">
        <v>2024</v>
      </c>
      <c r="E110" s="38">
        <f>D110+1</f>
        <v>2025</v>
      </c>
      <c r="F110" s="38">
        <f t="shared" ref="F110:J110" si="39">E110+1</f>
        <v>2026</v>
      </c>
      <c r="G110" s="38">
        <f t="shared" si="39"/>
        <v>2027</v>
      </c>
      <c r="H110" s="38">
        <f t="shared" si="39"/>
        <v>2028</v>
      </c>
      <c r="I110" s="38">
        <f t="shared" si="39"/>
        <v>2029</v>
      </c>
      <c r="J110" s="38">
        <f t="shared" si="39"/>
        <v>2030</v>
      </c>
    </row>
    <row r="111" spans="3:10">
      <c r="C111" s="40" t="s">
        <v>2</v>
      </c>
      <c r="D111" s="41">
        <v>45657</v>
      </c>
      <c r="E111" s="41">
        <f t="shared" ref="E111" si="40">EOMONTH(D111,12)</f>
        <v>46022</v>
      </c>
      <c r="F111" s="41">
        <f t="shared" ref="F111" si="41">EOMONTH(E111,12)</f>
        <v>46387</v>
      </c>
      <c r="G111" s="41">
        <f t="shared" ref="G111" si="42">EOMONTH(F111,12)</f>
        <v>46752</v>
      </c>
      <c r="H111" s="41">
        <f t="shared" ref="H111" si="43">EOMONTH(G111,12)</f>
        <v>47118</v>
      </c>
      <c r="I111" s="41">
        <f t="shared" ref="I111" si="44">EOMONTH(H111,12)</f>
        <v>47483</v>
      </c>
      <c r="J111" s="41">
        <f t="shared" ref="J111" si="45">EOMONTH(I111,12)</f>
        <v>47848</v>
      </c>
    </row>
    <row r="113" spans="3:12">
      <c r="C113" s="8" t="s">
        <v>126</v>
      </c>
    </row>
    <row r="114" spans="3:12">
      <c r="C114" t="s">
        <v>127</v>
      </c>
      <c r="F114" s="9">
        <f>E116</f>
        <v>28347</v>
      </c>
      <c r="G114" s="9">
        <f>F116</f>
        <v>34010.976995782337</v>
      </c>
      <c r="H114" s="9">
        <f t="shared" ref="H114:J114" si="46">G116</f>
        <v>34861.25142067689</v>
      </c>
      <c r="I114" s="9">
        <f t="shared" si="46"/>
        <v>35645.62957764211</v>
      </c>
      <c r="J114" s="9">
        <f t="shared" si="46"/>
        <v>36358.54216919496</v>
      </c>
    </row>
    <row r="115" spans="3:12">
      <c r="C115" s="40" t="s">
        <v>128</v>
      </c>
      <c r="D115" s="40"/>
      <c r="E115" s="40"/>
      <c r="F115" s="56">
        <f>F116-F114</f>
        <v>5663.9769957823373</v>
      </c>
      <c r="G115" s="56">
        <f t="shared" ref="G115:J115" si="47">G116-G114</f>
        <v>850.27442489455279</v>
      </c>
      <c r="H115" s="56">
        <f t="shared" si="47"/>
        <v>784.37815696522011</v>
      </c>
      <c r="I115" s="56">
        <f t="shared" si="47"/>
        <v>712.91259155284934</v>
      </c>
      <c r="J115" s="56">
        <f t="shared" si="47"/>
        <v>727.17084338390123</v>
      </c>
    </row>
    <row r="116" spans="3:12">
      <c r="C116" s="8" t="s">
        <v>129</v>
      </c>
      <c r="E116" s="10">
        <f>E45</f>
        <v>28347</v>
      </c>
      <c r="F116" s="10">
        <f>IF($D$118=1,E116*(1+F120),F122*F121/365)</f>
        <v>34010.976995782337</v>
      </c>
      <c r="G116" s="10">
        <f>IF($D$118=1,F116*(1+G120),G122*G121/365)</f>
        <v>34861.25142067689</v>
      </c>
      <c r="H116" s="10">
        <f>IF($D$118=1,G116*(1+H120),H122*H121/365)</f>
        <v>35645.62957764211</v>
      </c>
      <c r="I116" s="10">
        <f>IF($D$118=1,H116*(1+I120),I122*I121/365)</f>
        <v>36358.54216919496</v>
      </c>
      <c r="J116" s="10">
        <f>IF($D$118=1,I116*(1+J120),J122*J121/365)</f>
        <v>37085.713012578861</v>
      </c>
    </row>
    <row r="118" spans="3:12">
      <c r="C118" t="s">
        <v>130</v>
      </c>
      <c r="D118" s="69">
        <v>2</v>
      </c>
    </row>
    <row r="120" spans="3:12">
      <c r="C120" t="s">
        <v>131</v>
      </c>
      <c r="F120" s="53">
        <f>F34</f>
        <v>2.5000000000000001E-2</v>
      </c>
      <c r="G120" s="53">
        <f>G34</f>
        <v>2.5000000000000001E-2</v>
      </c>
      <c r="H120" s="53">
        <f>H34</f>
        <v>2.2499999999999999E-2</v>
      </c>
      <c r="I120" s="53">
        <f>I34</f>
        <v>0.02</v>
      </c>
      <c r="J120" s="53">
        <f>J34</f>
        <v>0.02</v>
      </c>
    </row>
    <row r="121" spans="3:12">
      <c r="C121" t="s">
        <v>132</v>
      </c>
      <c r="D121" s="54">
        <f>Historicals!H77</f>
        <v>87.287444766113069</v>
      </c>
      <c r="E121" s="54">
        <f>Historicals!I77</f>
        <v>90.031671117183137</v>
      </c>
      <c r="F121" s="55">
        <f>AVERAGE(Historicals!$G$77:$I$77)</f>
        <v>87.641206407042873</v>
      </c>
      <c r="G121" s="55">
        <f>AVERAGE(Historicals!$G$77:$I$77)</f>
        <v>87.641206407042873</v>
      </c>
      <c r="H121" s="55">
        <f>AVERAGE(Historicals!$G$77:$I$77)</f>
        <v>87.641206407042873</v>
      </c>
      <c r="I121" s="55">
        <f>AVERAGE(Historicals!$G$77:$I$77)</f>
        <v>87.641206407042873</v>
      </c>
      <c r="J121" s="55">
        <f>AVERAGE(Historicals!$G$77:$I$77)</f>
        <v>87.641206407042873</v>
      </c>
      <c r="L121" s="9"/>
    </row>
    <row r="122" spans="3:12">
      <c r="C122" t="s">
        <v>81</v>
      </c>
      <c r="E122" s="9"/>
      <c r="F122" s="9">
        <f>F15</f>
        <v>141645.77499999999</v>
      </c>
      <c r="G122" s="9">
        <f>G15</f>
        <v>145186.91937499997</v>
      </c>
      <c r="H122" s="9">
        <f>H15</f>
        <v>148453.62506093745</v>
      </c>
      <c r="I122" s="9">
        <f>I15</f>
        <v>151422.69756215622</v>
      </c>
      <c r="J122" s="9">
        <f>J15</f>
        <v>154451.15151339935</v>
      </c>
    </row>
    <row r="124" spans="3:12">
      <c r="C124" s="8" t="s">
        <v>133</v>
      </c>
    </row>
    <row r="125" spans="3:12">
      <c r="C125" t="s">
        <v>127</v>
      </c>
      <c r="F125" s="9">
        <f>E127</f>
        <v>2441</v>
      </c>
      <c r="G125" s="9">
        <f t="shared" ref="G125:J125" si="48">F127</f>
        <v>2357.1841872193386</v>
      </c>
      <c r="H125" s="9">
        <f t="shared" si="48"/>
        <v>2416.1137918998215</v>
      </c>
      <c r="I125" s="9">
        <f t="shared" si="48"/>
        <v>2470.4763522175676</v>
      </c>
      <c r="J125" s="9">
        <f t="shared" si="48"/>
        <v>2519.8858792619189</v>
      </c>
    </row>
    <row r="126" spans="3:12">
      <c r="C126" s="40" t="s">
        <v>128</v>
      </c>
      <c r="D126" s="40"/>
      <c r="E126" s="40"/>
      <c r="F126" s="56">
        <f>F127-F125</f>
        <v>-83.815812780661417</v>
      </c>
      <c r="G126" s="56">
        <f t="shared" ref="G126:J126" si="49">G127-G125</f>
        <v>58.929604680482953</v>
      </c>
      <c r="H126" s="56">
        <f t="shared" si="49"/>
        <v>54.362560317746102</v>
      </c>
      <c r="I126" s="56">
        <f t="shared" si="49"/>
        <v>49.409527044351307</v>
      </c>
      <c r="J126" s="56">
        <f t="shared" si="49"/>
        <v>50.397717585238752</v>
      </c>
    </row>
    <row r="127" spans="3:12">
      <c r="C127" s="8" t="s">
        <v>129</v>
      </c>
      <c r="E127" s="10">
        <f>E47</f>
        <v>2441</v>
      </c>
      <c r="F127" s="10">
        <f>IF($D$129=1,E127*(1+F131),F133/F132)</f>
        <v>2357.1841872193386</v>
      </c>
      <c r="G127" s="10">
        <f>IF($D$129=1,F127*(1+G131),G133/G132)</f>
        <v>2416.1137918998215</v>
      </c>
      <c r="H127" s="10">
        <f>IF($D$129=1,G127*(1+H131),H133/H132)</f>
        <v>2470.4763522175676</v>
      </c>
      <c r="I127" s="10">
        <f>IF($D$129=1,H127*(1+I131),I133/I132)</f>
        <v>2519.8858792619189</v>
      </c>
      <c r="J127" s="10">
        <f>IF($D$129=1,I127*(1+J131),J133/J132)</f>
        <v>2570.2835968471577</v>
      </c>
    </row>
    <row r="129" spans="3:11">
      <c r="C129" t="s">
        <v>134</v>
      </c>
      <c r="D129" s="69">
        <v>2</v>
      </c>
    </row>
    <row r="131" spans="3:11">
      <c r="C131" t="s">
        <v>135</v>
      </c>
      <c r="F131" s="53">
        <f>F16/E16-1</f>
        <v>2.4999999999999911E-2</v>
      </c>
      <c r="G131" s="53">
        <f>G16/F16-1</f>
        <v>2.4999999999999689E-2</v>
      </c>
      <c r="H131" s="53">
        <f>H16/G16-1</f>
        <v>2.2499999999999964E-2</v>
      </c>
      <c r="I131" s="53">
        <f>I16/H16-1</f>
        <v>2.0000000000000018E-2</v>
      </c>
      <c r="J131" s="53">
        <f>J16/I16-1</f>
        <v>2.0000000000000018E-2</v>
      </c>
    </row>
    <row r="132" spans="3:11">
      <c r="C132" t="s">
        <v>136</v>
      </c>
      <c r="D132" s="58">
        <f>-Historicals!H78</f>
        <v>25.138011152416357</v>
      </c>
      <c r="E132" s="58">
        <f>-Historicals!I78</f>
        <v>24.217150170648463</v>
      </c>
      <c r="F132" s="57">
        <f>-AVERAGE(Historicals!$G$78:$I$78)</f>
        <v>24.683741438396936</v>
      </c>
      <c r="G132" s="57">
        <f>-AVERAGE(Historicals!$G$78:$I$78)</f>
        <v>24.683741438396936</v>
      </c>
      <c r="H132" s="57">
        <f>-AVERAGE(Historicals!$G$78:$I$78)</f>
        <v>24.683741438396936</v>
      </c>
      <c r="I132" s="57">
        <f>-AVERAGE(Historicals!$G$78:$I$78)</f>
        <v>24.683741438396936</v>
      </c>
      <c r="J132" s="57">
        <f>-AVERAGE(Historicals!$G$78:$I$78)</f>
        <v>24.683741438396936</v>
      </c>
    </row>
    <row r="133" spans="3:11">
      <c r="C133" t="s">
        <v>137</v>
      </c>
      <c r="F133" s="9">
        <f>-F16</f>
        <v>58184.124999999993</v>
      </c>
      <c r="G133" s="9">
        <f>-G16</f>
        <v>59638.72812499998</v>
      </c>
      <c r="H133" s="9">
        <f>-H16</f>
        <v>60980.599507812476</v>
      </c>
      <c r="I133" s="9">
        <f>-I16</f>
        <v>62200.211497968732</v>
      </c>
      <c r="J133" s="9">
        <f>-J16</f>
        <v>63444.215727928109</v>
      </c>
    </row>
    <row r="135" spans="3:11">
      <c r="C135" s="8" t="s">
        <v>138</v>
      </c>
    </row>
    <row r="136" spans="3:11">
      <c r="C136" t="s">
        <v>139</v>
      </c>
      <c r="D136" s="9">
        <f>D59</f>
        <v>23374</v>
      </c>
      <c r="E136" s="9">
        <f>E59</f>
        <v>24981</v>
      </c>
      <c r="F136" s="9">
        <f>F116</f>
        <v>34010.976995782337</v>
      </c>
      <c r="G136" s="9">
        <f t="shared" ref="G136:J136" si="50">G116</f>
        <v>34861.25142067689</v>
      </c>
      <c r="H136" s="9">
        <f t="shared" si="50"/>
        <v>35645.62957764211</v>
      </c>
      <c r="I136" s="9">
        <f t="shared" si="50"/>
        <v>36358.54216919496</v>
      </c>
      <c r="J136" s="9">
        <f t="shared" si="50"/>
        <v>37085.713012578861</v>
      </c>
    </row>
    <row r="137" spans="3:11">
      <c r="C137" s="40" t="s">
        <v>140</v>
      </c>
      <c r="D137" s="59">
        <f>D46/D45</f>
        <v>-4.2258171013535822E-2</v>
      </c>
      <c r="E137" s="59">
        <f>E46/E45</f>
        <v>-4.4096377041662256E-2</v>
      </c>
      <c r="F137" s="60">
        <f>AVERAGE(Historicals!$G$79:$I$79)</f>
        <v>-4.1772359887323834E-2</v>
      </c>
      <c r="G137" s="60">
        <f>AVERAGE(Historicals!$G$79:$I$79)</f>
        <v>-4.1772359887323834E-2</v>
      </c>
      <c r="H137" s="60">
        <f>AVERAGE(Historicals!$G$79:$I$79)</f>
        <v>-4.1772359887323834E-2</v>
      </c>
      <c r="I137" s="60">
        <f>AVERAGE(Historicals!$G$79:$I$79)</f>
        <v>-4.1772359887323834E-2</v>
      </c>
      <c r="J137" s="60">
        <f>AVERAGE(Historicals!$G$79:$I$79)</f>
        <v>-4.1772359887323834E-2</v>
      </c>
    </row>
    <row r="138" spans="3:11">
      <c r="C138" s="8" t="s">
        <v>141</v>
      </c>
      <c r="F138" s="9">
        <f>F136*F137</f>
        <v>-1420.7187711873119</v>
      </c>
      <c r="G138" s="9">
        <f t="shared" ref="G138:J138" si="51">G136*G137</f>
        <v>-1456.2367404669944</v>
      </c>
      <c r="H138" s="9">
        <f t="shared" si="51"/>
        <v>-1489.0020671275013</v>
      </c>
      <c r="I138" s="9">
        <f t="shared" si="51"/>
        <v>-1518.7821084700518</v>
      </c>
      <c r="J138" s="9">
        <f t="shared" si="51"/>
        <v>-1549.1577506394528</v>
      </c>
    </row>
    <row r="140" spans="3:11">
      <c r="C140" s="36" t="s">
        <v>142</v>
      </c>
      <c r="D140" s="61"/>
      <c r="E140" s="61"/>
      <c r="F140" s="61"/>
      <c r="G140" s="61"/>
      <c r="H140" s="61"/>
      <c r="I140" s="61"/>
      <c r="J140" s="61"/>
    </row>
    <row r="141" spans="3:11">
      <c r="C141" t="s">
        <v>1</v>
      </c>
      <c r="D141" s="38">
        <v>2024</v>
      </c>
      <c r="E141" s="38">
        <f>D141+1</f>
        <v>2025</v>
      </c>
      <c r="F141" s="38">
        <f t="shared" ref="F141:J141" si="52">E141+1</f>
        <v>2026</v>
      </c>
      <c r="G141" s="38">
        <f t="shared" si="52"/>
        <v>2027</v>
      </c>
      <c r="H141" s="38">
        <f t="shared" si="52"/>
        <v>2028</v>
      </c>
      <c r="I141" s="38">
        <f t="shared" si="52"/>
        <v>2029</v>
      </c>
      <c r="J141" s="38">
        <f t="shared" si="52"/>
        <v>2030</v>
      </c>
    </row>
    <row r="142" spans="3:11">
      <c r="C142" s="40" t="s">
        <v>2</v>
      </c>
      <c r="D142" s="41">
        <v>45657</v>
      </c>
      <c r="E142" s="41">
        <f t="shared" ref="E142:J142" si="53">EOMONTH(D142,12)</f>
        <v>46022</v>
      </c>
      <c r="F142" s="41">
        <f t="shared" si="53"/>
        <v>46387</v>
      </c>
      <c r="G142" s="41">
        <f t="shared" si="53"/>
        <v>46752</v>
      </c>
      <c r="H142" s="41">
        <f t="shared" si="53"/>
        <v>47118</v>
      </c>
      <c r="I142" s="41">
        <f t="shared" si="53"/>
        <v>47483</v>
      </c>
      <c r="J142" s="41">
        <f t="shared" si="53"/>
        <v>47848</v>
      </c>
    </row>
    <row r="144" spans="3:11">
      <c r="C144" t="s">
        <v>143</v>
      </c>
      <c r="F144" s="9">
        <f>E147</f>
        <v>109467</v>
      </c>
      <c r="G144" s="9">
        <f>F147</f>
        <v>108747.98425092438</v>
      </c>
      <c r="H144" s="9">
        <f t="shared" ref="H144:J144" si="54">G147</f>
        <v>109521.22655655359</v>
      </c>
      <c r="I144" s="9">
        <f t="shared" si="54"/>
        <v>111510.87576984012</v>
      </c>
      <c r="J144" s="9">
        <f t="shared" si="54"/>
        <v>114336.08632638521</v>
      </c>
      <c r="K144" s="43"/>
    </row>
    <row r="145" spans="3:11">
      <c r="C145" t="s">
        <v>144</v>
      </c>
      <c r="D145" s="146">
        <v>17090</v>
      </c>
      <c r="E145" s="146">
        <v>17011</v>
      </c>
      <c r="F145" s="146">
        <v>16354</v>
      </c>
      <c r="G145" s="146">
        <v>16603</v>
      </c>
      <c r="H145" s="9">
        <f>G145*(1+H34)</f>
        <v>16976.567500000001</v>
      </c>
      <c r="I145" s="9">
        <f>H145*(1+I34)</f>
        <v>17316.098850000002</v>
      </c>
      <c r="J145" s="9">
        <f>I145*(1+J34)</f>
        <v>17662.420827000002</v>
      </c>
      <c r="K145" s="44"/>
    </row>
    <row r="146" spans="3:11">
      <c r="C146" s="40" t="s">
        <v>145</v>
      </c>
      <c r="D146" s="148">
        <f>D19</f>
        <v>-17892</v>
      </c>
      <c r="E146" s="148">
        <f>E19</f>
        <v>-18349</v>
      </c>
      <c r="F146" s="56">
        <f>-F172</f>
        <v>-17073.015749075632</v>
      </c>
      <c r="G146" s="56">
        <f t="shared" ref="G146:J146" si="55">-G172</f>
        <v>-15829.757694370788</v>
      </c>
      <c r="H146" s="56">
        <f t="shared" si="55"/>
        <v>-14986.918286713477</v>
      </c>
      <c r="I146" s="56">
        <f t="shared" si="55"/>
        <v>-14490.88829345492</v>
      </c>
      <c r="J146" s="56">
        <f t="shared" si="55"/>
        <v>-14292.233985411118</v>
      </c>
      <c r="K146" s="45"/>
    </row>
    <row r="147" spans="3:11">
      <c r="C147" s="8" t="s">
        <v>129</v>
      </c>
      <c r="E147" s="10">
        <f>E49</f>
        <v>109467</v>
      </c>
      <c r="F147" s="10">
        <f>SUM(F144:F146)</f>
        <v>108747.98425092438</v>
      </c>
      <c r="G147" s="10">
        <f t="shared" ref="G147:J147" si="56">SUM(G144:G146)</f>
        <v>109521.22655655359</v>
      </c>
      <c r="H147" s="10">
        <f t="shared" si="56"/>
        <v>111510.87576984012</v>
      </c>
      <c r="I147" s="10">
        <f t="shared" si="56"/>
        <v>114336.08632638521</v>
      </c>
      <c r="J147" s="10">
        <f t="shared" si="56"/>
        <v>117706.27316797408</v>
      </c>
    </row>
    <row r="149" spans="3:11">
      <c r="C149" t="s">
        <v>146</v>
      </c>
      <c r="D149" s="11">
        <f>-D146/D145</f>
        <v>1.0469280280866005</v>
      </c>
      <c r="E149" s="11">
        <f t="shared" ref="E149:J149" si="57">-E146/E145</f>
        <v>1.0786549879489742</v>
      </c>
      <c r="F149" s="11">
        <f t="shared" si="57"/>
        <v>1.0439657422695141</v>
      </c>
      <c r="G149" s="11">
        <f t="shared" si="57"/>
        <v>0.95342755492204956</v>
      </c>
      <c r="H149" s="11">
        <f t="shared" si="57"/>
        <v>0.88280026493656483</v>
      </c>
      <c r="I149" s="11">
        <f t="shared" si="57"/>
        <v>0.83684485858978097</v>
      </c>
      <c r="J149" s="11">
        <f t="shared" si="57"/>
        <v>0.80918884933162827</v>
      </c>
    </row>
    <row r="151" spans="3:11">
      <c r="C151" s="62" t="s">
        <v>147</v>
      </c>
      <c r="D151" s="40"/>
      <c r="E151" s="40"/>
      <c r="F151" s="40"/>
      <c r="G151" s="40"/>
      <c r="H151" s="40"/>
      <c r="I151" s="40"/>
      <c r="J151" s="40"/>
    </row>
    <row r="152" spans="3:11">
      <c r="D152" s="46" t="s">
        <v>148</v>
      </c>
    </row>
    <row r="153" spans="3:11">
      <c r="C153" t="s">
        <v>149</v>
      </c>
      <c r="D153" s="146">
        <v>15</v>
      </c>
      <c r="E153" s="146">
        <v>40872</v>
      </c>
    </row>
    <row r="154" spans="3:11">
      <c r="C154" t="s">
        <v>150</v>
      </c>
      <c r="D154" s="146">
        <v>9</v>
      </c>
      <c r="E154" s="146">
        <v>180506</v>
      </c>
    </row>
    <row r="155" spans="3:11">
      <c r="C155" t="s">
        <v>151</v>
      </c>
      <c r="D155" s="146">
        <v>22</v>
      </c>
      <c r="E155" s="146">
        <v>86221</v>
      </c>
    </row>
    <row r="156" spans="3:11">
      <c r="C156" t="s">
        <v>152</v>
      </c>
      <c r="D156" s="146">
        <f>12.5</f>
        <v>12.5</v>
      </c>
      <c r="E156" s="146">
        <v>11099</v>
      </c>
    </row>
    <row r="157" spans="3:11">
      <c r="C157" t="s">
        <v>153</v>
      </c>
      <c r="D157" s="146">
        <v>8</v>
      </c>
      <c r="E157" s="146">
        <v>8493</v>
      </c>
    </row>
    <row r="158" spans="3:11">
      <c r="C158" t="s">
        <v>154</v>
      </c>
      <c r="D158" s="146">
        <f>23/2</f>
        <v>11.5</v>
      </c>
      <c r="E158" s="146">
        <v>10057</v>
      </c>
    </row>
    <row r="159" spans="3:11">
      <c r="C159" s="8" t="s">
        <v>155</v>
      </c>
      <c r="E159" s="10">
        <f>SUM(E153:E158)</f>
        <v>337248</v>
      </c>
    </row>
    <row r="160" spans="3:11">
      <c r="C160" t="s">
        <v>156</v>
      </c>
      <c r="E160" s="146">
        <v>743</v>
      </c>
    </row>
    <row r="161" spans="3:10">
      <c r="C161" t="s">
        <v>157</v>
      </c>
      <c r="E161" s="146">
        <v>-228524</v>
      </c>
    </row>
    <row r="162" spans="3:10">
      <c r="C162" s="8" t="s">
        <v>158</v>
      </c>
      <c r="E162" s="10">
        <f>SUM(E159:E161)</f>
        <v>109467</v>
      </c>
    </row>
    <row r="164" spans="3:10">
      <c r="C164" t="s">
        <v>159</v>
      </c>
      <c r="D164" s="9">
        <f>(E153/E159)*D153+(E154/E159)*D154+(E155/E159)*D155+(E156/E159)*D156+(E157/E159)*D157+(E158/E159)*D158</f>
        <v>13.21529853401651</v>
      </c>
    </row>
    <row r="166" spans="3:10">
      <c r="C166" t="s">
        <v>160</v>
      </c>
      <c r="D166" s="63" t="s">
        <v>161</v>
      </c>
      <c r="F166" s="9">
        <f>DDB($E$159+$E$161,0,$D$164,F141-$E$141)</f>
        <v>16454.263173872569</v>
      </c>
      <c r="G166" s="9">
        <f>DDB($E$159+$E$161,0,$D$164,G141-$E$141)</f>
        <v>13964.079069212521</v>
      </c>
      <c r="H166" s="9">
        <f>DDB($E$159+$E$161,0,$D$164,H141-$E$141)</f>
        <v>11850.758808869008</v>
      </c>
      <c r="I166" s="9">
        <f>DDB($E$159+$E$161,0,$D$164,I141-$E$141)</f>
        <v>10057.267912183646</v>
      </c>
      <c r="J166" s="9">
        <f>DDB($E$159+$E$161,0,$D$164,J141-$E$141)</f>
        <v>8535.2034826445033</v>
      </c>
    </row>
    <row r="167" spans="3:10">
      <c r="C167" t="s">
        <v>162</v>
      </c>
      <c r="D167" s="64">
        <v>0.5</v>
      </c>
      <c r="F167" s="9">
        <f>F145*D167/D164</f>
        <v>618.75257520306457</v>
      </c>
      <c r="G167" s="9">
        <f>$F$145/$D$164</f>
        <v>1237.5051504061291</v>
      </c>
      <c r="H167" s="9">
        <f>$F$145/$D$164</f>
        <v>1237.5051504061291</v>
      </c>
      <c r="I167" s="9">
        <f>$F$145/$D$164</f>
        <v>1237.5051504061291</v>
      </c>
      <c r="J167" s="9">
        <f>$F$145/$D$164</f>
        <v>1237.5051504061291</v>
      </c>
    </row>
    <row r="168" spans="3:10">
      <c r="C168" t="s">
        <v>163</v>
      </c>
      <c r="F168" s="9"/>
      <c r="G168" s="9">
        <f>G145*D167/D164</f>
        <v>628.17347475213899</v>
      </c>
      <c r="H168" s="9">
        <f>$G$145/$D$164</f>
        <v>1256.346949504278</v>
      </c>
      <c r="I168" s="9">
        <f>$G$145/$D$164</f>
        <v>1256.346949504278</v>
      </c>
      <c r="J168" s="9">
        <f>$G$145/$D$164</f>
        <v>1256.346949504278</v>
      </c>
    </row>
    <row r="169" spans="3:10">
      <c r="C169" t="s">
        <v>164</v>
      </c>
      <c r="H169" s="9">
        <f>H145*D167/D164</f>
        <v>642.30737793406217</v>
      </c>
      <c r="I169" s="9">
        <f>$H$145/$D$164</f>
        <v>1284.6147558681243</v>
      </c>
      <c r="J169" s="9">
        <f>$H$145/$D$164</f>
        <v>1284.6147558681243</v>
      </c>
    </row>
    <row r="170" spans="3:10">
      <c r="C170" t="s">
        <v>165</v>
      </c>
      <c r="I170" s="9">
        <f>I145*D167/D164</f>
        <v>655.15352549274348</v>
      </c>
      <c r="J170" s="9">
        <f>$I$145/$D$164</f>
        <v>1310.307050985487</v>
      </c>
    </row>
    <row r="171" spans="3:10">
      <c r="C171" t="s">
        <v>166</v>
      </c>
      <c r="I171" s="9"/>
      <c r="J171" s="9">
        <f>J145*D167/D164</f>
        <v>668.25659600259837</v>
      </c>
    </row>
    <row r="172" spans="3:10">
      <c r="C172" s="8" t="s">
        <v>167</v>
      </c>
      <c r="F172" s="10">
        <f>SUM(F166:F171)</f>
        <v>17073.015749075632</v>
      </c>
      <c r="G172" s="10">
        <f t="shared" ref="G172:J172" si="58">SUM(G166:G171)</f>
        <v>15829.757694370788</v>
      </c>
      <c r="H172" s="10">
        <f t="shared" si="58"/>
        <v>14986.918286713477</v>
      </c>
      <c r="I172" s="10">
        <f t="shared" si="58"/>
        <v>14490.88829345492</v>
      </c>
      <c r="J172" s="10">
        <f t="shared" si="58"/>
        <v>14292.233985411118</v>
      </c>
    </row>
    <row r="174" spans="3:10">
      <c r="C174" s="62" t="s">
        <v>168</v>
      </c>
      <c r="D174" s="40"/>
      <c r="E174" s="40"/>
      <c r="F174" s="40"/>
      <c r="G174" s="40"/>
      <c r="H174" s="40"/>
      <c r="I174" s="40"/>
      <c r="J174" s="40"/>
    </row>
    <row r="175" spans="3:10">
      <c r="C175" t="s">
        <v>143</v>
      </c>
      <c r="D175" s="9"/>
      <c r="E175" s="9"/>
      <c r="F175" s="9">
        <f>E178</f>
        <v>10458</v>
      </c>
      <c r="G175" s="9">
        <f t="shared" ref="G175:J175" si="59">F178</f>
        <v>9534</v>
      </c>
      <c r="H175" s="9">
        <f t="shared" si="59"/>
        <v>9155</v>
      </c>
      <c r="I175" s="9">
        <f t="shared" si="59"/>
        <v>9268</v>
      </c>
      <c r="J175" s="9">
        <f t="shared" si="59"/>
        <v>10085</v>
      </c>
    </row>
    <row r="176" spans="3:10">
      <c r="C176" t="s">
        <v>169</v>
      </c>
      <c r="F176" s="64">
        <v>-2924</v>
      </c>
      <c r="G176" s="64">
        <v>-2379</v>
      </c>
      <c r="H176" s="64">
        <v>-1887</v>
      </c>
      <c r="I176" s="64">
        <v>-1183</v>
      </c>
      <c r="J176" s="64">
        <v>-932</v>
      </c>
    </row>
    <row r="177" spans="3:11">
      <c r="C177" s="65" t="s">
        <v>170</v>
      </c>
      <c r="D177" s="65"/>
      <c r="E177" s="65"/>
      <c r="F177" s="72">
        <v>2000</v>
      </c>
      <c r="G177" s="72">
        <v>2000</v>
      </c>
      <c r="H177" s="72">
        <v>2000</v>
      </c>
      <c r="I177" s="72">
        <v>2000</v>
      </c>
      <c r="J177" s="72">
        <v>2000</v>
      </c>
    </row>
    <row r="178" spans="3:11">
      <c r="C178" s="8" t="s">
        <v>141</v>
      </c>
      <c r="E178" s="10">
        <f>E53</f>
        <v>10458</v>
      </c>
      <c r="F178" s="10">
        <f>SUM(F175:F177)</f>
        <v>9534</v>
      </c>
      <c r="G178" s="10">
        <f t="shared" ref="G178:J178" si="60">SUM(G175:G177)</f>
        <v>9155</v>
      </c>
      <c r="H178" s="10">
        <f t="shared" si="60"/>
        <v>9268</v>
      </c>
      <c r="I178" s="10">
        <f t="shared" si="60"/>
        <v>10085</v>
      </c>
      <c r="J178" s="10">
        <f t="shared" si="60"/>
        <v>11153</v>
      </c>
    </row>
    <row r="179" spans="3:11">
      <c r="K179" s="9"/>
    </row>
    <row r="180" spans="3:11">
      <c r="C180" s="8" t="s">
        <v>171</v>
      </c>
      <c r="F180" s="10">
        <f>F172-F176-F203</f>
        <v>21924.066749075631</v>
      </c>
      <c r="G180" s="10">
        <f t="shared" ref="G180:J180" si="61">G172-G176-G203</f>
        <v>20233.066137370792</v>
      </c>
      <c r="H180" s="10">
        <f t="shared" si="61"/>
        <v>18965.739242762476</v>
      </c>
      <c r="I180" s="10">
        <f t="shared" si="61"/>
        <v>17775.795800614025</v>
      </c>
      <c r="J180" s="10">
        <f t="shared" si="61"/>
        <v>17315.462765378066</v>
      </c>
      <c r="K180" s="64"/>
    </row>
    <row r="181" spans="3:11">
      <c r="K181" s="9"/>
    </row>
    <row r="182" spans="3:11">
      <c r="C182" s="36" t="s">
        <v>172</v>
      </c>
      <c r="D182" s="61"/>
      <c r="E182" s="61"/>
      <c r="F182" s="61"/>
      <c r="G182" s="61"/>
      <c r="H182" s="61"/>
      <c r="I182" s="61"/>
      <c r="J182" s="61"/>
      <c r="K182" s="10"/>
    </row>
    <row r="183" spans="3:11">
      <c r="C183" t="s">
        <v>1</v>
      </c>
      <c r="D183" s="38">
        <v>2024</v>
      </c>
      <c r="E183" s="38">
        <f>D183+1</f>
        <v>2025</v>
      </c>
      <c r="F183" s="38">
        <f t="shared" ref="F183" si="62">E183+1</f>
        <v>2026</v>
      </c>
      <c r="G183" s="38">
        <f t="shared" ref="G183" si="63">F183+1</f>
        <v>2027</v>
      </c>
      <c r="H183" s="38">
        <f t="shared" ref="H183" si="64">G183+1</f>
        <v>2028</v>
      </c>
      <c r="I183" s="38">
        <f t="shared" ref="I183" si="65">H183+1</f>
        <v>2029</v>
      </c>
      <c r="J183" s="38">
        <f t="shared" ref="J183" si="66">I183+1</f>
        <v>2030</v>
      </c>
    </row>
    <row r="184" spans="3:11">
      <c r="C184" s="40" t="s">
        <v>2</v>
      </c>
      <c r="D184" s="41">
        <v>45657</v>
      </c>
      <c r="E184" s="41">
        <f t="shared" ref="E184" si="67">EOMONTH(D184,12)</f>
        <v>46022</v>
      </c>
      <c r="F184" s="41">
        <f t="shared" ref="F184" si="68">EOMONTH(E184,12)</f>
        <v>46387</v>
      </c>
      <c r="G184" s="41">
        <f t="shared" ref="G184" si="69">EOMONTH(F184,12)</f>
        <v>46752</v>
      </c>
      <c r="H184" s="41">
        <f t="shared" ref="H184" si="70">EOMONTH(G184,12)</f>
        <v>47118</v>
      </c>
      <c r="I184" s="41">
        <f t="shared" ref="I184" si="71">EOMONTH(H184,12)</f>
        <v>47483</v>
      </c>
      <c r="J184" s="41">
        <f t="shared" ref="J184" si="72">EOMONTH(I184,12)</f>
        <v>47848</v>
      </c>
      <c r="K184" s="10"/>
    </row>
    <row r="186" spans="3:11">
      <c r="C186" s="62" t="s">
        <v>173</v>
      </c>
      <c r="D186" s="40"/>
      <c r="E186" s="40"/>
      <c r="F186" s="40"/>
      <c r="G186" s="40"/>
      <c r="H186" s="40"/>
      <c r="I186" s="40"/>
      <c r="J186" s="40"/>
    </row>
    <row r="187" spans="3:11">
      <c r="C187" t="s">
        <v>174</v>
      </c>
      <c r="F187" s="64">
        <v>5272</v>
      </c>
      <c r="G187" s="64">
        <v>4983</v>
      </c>
      <c r="H187" s="64">
        <v>3580</v>
      </c>
      <c r="I187" s="64">
        <v>3087</v>
      </c>
      <c r="J187" s="64">
        <v>2512</v>
      </c>
    </row>
    <row r="188" spans="3:11">
      <c r="C188" t="s">
        <v>175</v>
      </c>
      <c r="F188" s="9">
        <f>F187/(1+$H$5)^(F183-$E$183)</f>
        <v>5054.6500479386386</v>
      </c>
      <c r="G188" s="9">
        <f>G187/(1+$H$5)^(G183-$E$183)</f>
        <v>4580.5989618044423</v>
      </c>
      <c r="H188" s="9">
        <f>H187/(1+$H$5)^(H183-$E$183)</f>
        <v>3155.2233073292737</v>
      </c>
      <c r="I188" s="9">
        <f>I187/(1+$H$5)^(I183-$E$183)</f>
        <v>2608.5513826482129</v>
      </c>
      <c r="J188" s="9">
        <f>J187/(1+$H$5)^(J183-$E$183)</f>
        <v>2035.1578195924178</v>
      </c>
    </row>
    <row r="190" spans="3:11">
      <c r="C190" t="s">
        <v>127</v>
      </c>
      <c r="F190" s="9">
        <f>E194</f>
        <v>23493</v>
      </c>
      <c r="G190" s="9">
        <f>F194</f>
        <v>21231.199000000001</v>
      </c>
      <c r="H190" s="9">
        <f t="shared" ref="H190:J190" si="73">G194</f>
        <v>19661.140556999999</v>
      </c>
      <c r="I190" s="9">
        <f t="shared" si="73"/>
        <v>19426.569600950999</v>
      </c>
      <c r="J190" s="9">
        <f t="shared" si="73"/>
        <v>19674.912093791892</v>
      </c>
    </row>
    <row r="191" spans="3:11">
      <c r="C191" t="s">
        <v>176</v>
      </c>
      <c r="F191" s="64">
        <v>2000</v>
      </c>
      <c r="G191" s="64">
        <v>2500</v>
      </c>
      <c r="H191" s="64">
        <v>2500</v>
      </c>
      <c r="I191" s="64">
        <v>2500</v>
      </c>
      <c r="J191" s="64">
        <v>2500</v>
      </c>
    </row>
    <row r="192" spans="3:11">
      <c r="C192" t="s">
        <v>177</v>
      </c>
      <c r="F192" s="9">
        <f>F190*$H$5</f>
        <v>1010.199</v>
      </c>
      <c r="G192" s="9">
        <f t="shared" ref="G192:J192" si="74">G190*$H$5</f>
        <v>912.94155699999999</v>
      </c>
      <c r="H192" s="9">
        <f t="shared" si="74"/>
        <v>845.42904395099993</v>
      </c>
      <c r="I192" s="9">
        <f t="shared" si="74"/>
        <v>835.34249284089287</v>
      </c>
      <c r="J192" s="9">
        <f t="shared" si="74"/>
        <v>846.02122003305135</v>
      </c>
      <c r="K192" s="9"/>
    </row>
    <row r="193" spans="3:10">
      <c r="C193" s="40" t="s">
        <v>178</v>
      </c>
      <c r="D193" s="40"/>
      <c r="E193" s="40"/>
      <c r="F193" s="56">
        <f>-F187</f>
        <v>-5272</v>
      </c>
      <c r="G193" s="56">
        <f t="shared" ref="G193:J193" si="75">-G187</f>
        <v>-4983</v>
      </c>
      <c r="H193" s="56">
        <f t="shared" si="75"/>
        <v>-3580</v>
      </c>
      <c r="I193" s="56">
        <f t="shared" si="75"/>
        <v>-3087</v>
      </c>
      <c r="J193" s="56">
        <f t="shared" si="75"/>
        <v>-2512</v>
      </c>
    </row>
    <row r="194" spans="3:10">
      <c r="C194" s="8" t="s">
        <v>141</v>
      </c>
      <c r="E194" s="10">
        <f>E60+E65</f>
        <v>23493</v>
      </c>
      <c r="F194" s="10">
        <f>SUM(F190:F193)</f>
        <v>21231.199000000001</v>
      </c>
      <c r="G194" s="10">
        <f t="shared" ref="G194:J194" si="76">SUM(G190:G193)</f>
        <v>19661.140556999999</v>
      </c>
      <c r="H194" s="10">
        <f t="shared" si="76"/>
        <v>19426.569600950999</v>
      </c>
      <c r="I194" s="10">
        <f t="shared" si="76"/>
        <v>19674.912093791892</v>
      </c>
      <c r="J194" s="10">
        <f t="shared" si="76"/>
        <v>20508.933313824942</v>
      </c>
    </row>
    <row r="196" spans="3:10">
      <c r="C196" t="s">
        <v>179</v>
      </c>
      <c r="F196" s="9">
        <f>F187</f>
        <v>5272</v>
      </c>
      <c r="G196" s="9">
        <f t="shared" ref="G196:J196" si="77">G187</f>
        <v>4983</v>
      </c>
      <c r="H196" s="9">
        <f t="shared" si="77"/>
        <v>3580</v>
      </c>
      <c r="I196" s="9">
        <f t="shared" si="77"/>
        <v>3087</v>
      </c>
      <c r="J196" s="9">
        <f t="shared" si="77"/>
        <v>2512</v>
      </c>
    </row>
    <row r="197" spans="3:10">
      <c r="C197" t="s">
        <v>180</v>
      </c>
      <c r="F197" s="9">
        <f>F194-F196</f>
        <v>15959.199000000001</v>
      </c>
      <c r="G197" s="9">
        <f t="shared" ref="G197:J197" si="78">G194-G196</f>
        <v>14678.140556999999</v>
      </c>
      <c r="H197" s="9">
        <f t="shared" si="78"/>
        <v>15846.569600950999</v>
      </c>
      <c r="I197" s="9">
        <f t="shared" si="78"/>
        <v>16587.912093791892</v>
      </c>
      <c r="J197" s="9">
        <f t="shared" si="78"/>
        <v>17996.933313824942</v>
      </c>
    </row>
    <row r="199" spans="3:10">
      <c r="C199" s="62" t="s">
        <v>181</v>
      </c>
      <c r="D199" s="40"/>
      <c r="E199" s="40"/>
      <c r="F199" s="40"/>
      <c r="G199" s="40"/>
      <c r="H199" s="40"/>
      <c r="I199" s="40"/>
      <c r="J199" s="40"/>
    </row>
    <row r="201" spans="3:10">
      <c r="C201" t="s">
        <v>182</v>
      </c>
      <c r="F201" s="9">
        <f>-$E$208/$H$7</f>
        <v>-2937.25</v>
      </c>
      <c r="G201" s="9">
        <f>-$E$208/$H$7</f>
        <v>-2937.25</v>
      </c>
      <c r="H201" s="9">
        <f>-$E$208/$H$7</f>
        <v>-2937.25</v>
      </c>
      <c r="I201" s="9">
        <f>-$E$208/$H$7</f>
        <v>-2937.25</v>
      </c>
      <c r="J201" s="9">
        <f>-$E$208/$H$7</f>
        <v>-2937.25</v>
      </c>
    </row>
    <row r="202" spans="3:10">
      <c r="C202" t="s">
        <v>177</v>
      </c>
      <c r="F202" s="9">
        <f>F192</f>
        <v>1010.199</v>
      </c>
      <c r="G202" s="9">
        <f t="shared" ref="G202:J202" si="79">G192</f>
        <v>912.94155699999999</v>
      </c>
      <c r="H202" s="9">
        <f t="shared" si="79"/>
        <v>845.42904395099993</v>
      </c>
      <c r="I202" s="9">
        <f t="shared" si="79"/>
        <v>835.34249284089287</v>
      </c>
      <c r="J202" s="9">
        <f t="shared" si="79"/>
        <v>846.02122003305135</v>
      </c>
    </row>
    <row r="203" spans="3:10">
      <c r="C203" t="s">
        <v>183</v>
      </c>
      <c r="F203" s="9">
        <f>SUM(F201:F202)</f>
        <v>-1927.0509999999999</v>
      </c>
      <c r="G203" s="9">
        <f t="shared" ref="G203:J203" si="80">SUM(G201:G202)</f>
        <v>-2024.3084429999999</v>
      </c>
      <c r="H203" s="9">
        <f t="shared" si="80"/>
        <v>-2091.820956049</v>
      </c>
      <c r="I203" s="9">
        <f t="shared" si="80"/>
        <v>-2101.9075071591069</v>
      </c>
      <c r="J203" s="9">
        <f t="shared" si="80"/>
        <v>-2091.2287799669484</v>
      </c>
    </row>
    <row r="205" spans="3:10">
      <c r="C205" t="s">
        <v>127</v>
      </c>
      <c r="F205" s="9">
        <f>E208</f>
        <v>23498</v>
      </c>
      <c r="G205" s="9">
        <f t="shared" ref="G205:J205" si="81">F208</f>
        <v>23570.949000000001</v>
      </c>
      <c r="H205" s="9">
        <f t="shared" si="81"/>
        <v>24046.640556999999</v>
      </c>
      <c r="I205" s="9">
        <f t="shared" si="81"/>
        <v>24454.819600950999</v>
      </c>
      <c r="J205" s="9">
        <f t="shared" si="81"/>
        <v>24852.912093791892</v>
      </c>
    </row>
    <row r="206" spans="3:10">
      <c r="C206" t="s">
        <v>184</v>
      </c>
      <c r="F206" s="9">
        <f>F191</f>
        <v>2000</v>
      </c>
      <c r="G206" s="9">
        <f t="shared" ref="G206:J206" si="82">G191</f>
        <v>2500</v>
      </c>
      <c r="H206" s="9">
        <f t="shared" si="82"/>
        <v>2500</v>
      </c>
      <c r="I206" s="9">
        <f t="shared" si="82"/>
        <v>2500</v>
      </c>
      <c r="J206" s="9">
        <f t="shared" si="82"/>
        <v>2500</v>
      </c>
    </row>
    <row r="207" spans="3:10">
      <c r="C207" s="40" t="s">
        <v>183</v>
      </c>
      <c r="D207" s="40"/>
      <c r="E207" s="40"/>
      <c r="F207" s="56">
        <f>F203</f>
        <v>-1927.0509999999999</v>
      </c>
      <c r="G207" s="56">
        <f t="shared" ref="G207:J207" si="83">G203</f>
        <v>-2024.3084429999999</v>
      </c>
      <c r="H207" s="56">
        <f t="shared" si="83"/>
        <v>-2091.820956049</v>
      </c>
      <c r="I207" s="56">
        <f t="shared" si="83"/>
        <v>-2101.9075071591069</v>
      </c>
      <c r="J207" s="56">
        <f t="shared" si="83"/>
        <v>-2091.2287799669484</v>
      </c>
    </row>
    <row r="208" spans="3:10">
      <c r="C208" s="8" t="s">
        <v>129</v>
      </c>
      <c r="E208" s="10">
        <f>E54</f>
        <v>23498</v>
      </c>
      <c r="F208" s="10">
        <f>SUM(F205:F207)</f>
        <v>23570.949000000001</v>
      </c>
      <c r="G208" s="10">
        <f t="shared" ref="G208:J208" si="84">SUM(G205:G207)</f>
        <v>24046.640556999999</v>
      </c>
      <c r="H208" s="10">
        <f t="shared" si="84"/>
        <v>24454.819600950999</v>
      </c>
      <c r="I208" s="10">
        <f t="shared" si="84"/>
        <v>24852.912093791892</v>
      </c>
      <c r="J208" s="10">
        <f t="shared" si="84"/>
        <v>25261.683313824942</v>
      </c>
    </row>
    <row r="210" spans="3:10">
      <c r="C210" s="36" t="s">
        <v>185</v>
      </c>
      <c r="D210" s="61"/>
      <c r="E210" s="61"/>
      <c r="F210" s="61"/>
      <c r="G210" s="61"/>
      <c r="H210" s="61"/>
      <c r="I210" s="61"/>
      <c r="J210" s="61"/>
    </row>
    <row r="211" spans="3:10">
      <c r="C211" t="s">
        <v>1</v>
      </c>
      <c r="D211" s="38">
        <v>2024</v>
      </c>
      <c r="E211" s="38">
        <f>D211+1</f>
        <v>2025</v>
      </c>
      <c r="F211" s="38">
        <f t="shared" ref="F211" si="85">E211+1</f>
        <v>2026</v>
      </c>
      <c r="G211" s="38">
        <f t="shared" ref="G211" si="86">F211+1</f>
        <v>2027</v>
      </c>
      <c r="H211" s="38">
        <f t="shared" ref="H211" si="87">G211+1</f>
        <v>2028</v>
      </c>
      <c r="I211" s="38">
        <f t="shared" ref="I211" si="88">H211+1</f>
        <v>2029</v>
      </c>
      <c r="J211" s="38">
        <f t="shared" ref="J211" si="89">I211+1</f>
        <v>2030</v>
      </c>
    </row>
    <row r="212" spans="3:10">
      <c r="C212" s="40" t="s">
        <v>2</v>
      </c>
      <c r="D212" s="41">
        <v>45657</v>
      </c>
      <c r="E212" s="41">
        <f t="shared" ref="E212" si="90">EOMONTH(D212,12)</f>
        <v>46022</v>
      </c>
      <c r="F212" s="41">
        <f t="shared" ref="F212" si="91">EOMONTH(E212,12)</f>
        <v>46387</v>
      </c>
      <c r="G212" s="41">
        <f t="shared" ref="G212" si="92">EOMONTH(F212,12)</f>
        <v>46752</v>
      </c>
      <c r="H212" s="41">
        <f t="shared" ref="H212" si="93">EOMONTH(G212,12)</f>
        <v>47118</v>
      </c>
      <c r="I212" s="41">
        <f t="shared" ref="I212" si="94">EOMONTH(H212,12)</f>
        <v>47483</v>
      </c>
      <c r="J212" s="41">
        <f t="shared" ref="J212" si="95">EOMONTH(I212,12)</f>
        <v>47848</v>
      </c>
    </row>
    <row r="214" spans="3:10">
      <c r="C214" t="s">
        <v>127</v>
      </c>
      <c r="F214" s="9">
        <f>E216</f>
        <v>13372</v>
      </c>
      <c r="G214" s="9">
        <f t="shared" ref="G214:J214" si="96">F216</f>
        <v>13356</v>
      </c>
      <c r="H214" s="9">
        <f t="shared" si="96"/>
        <v>13340</v>
      </c>
      <c r="I214" s="9">
        <f t="shared" si="96"/>
        <v>13324</v>
      </c>
      <c r="J214" s="9">
        <f t="shared" si="96"/>
        <v>13308</v>
      </c>
    </row>
    <row r="215" spans="3:10">
      <c r="C215" s="40" t="s">
        <v>186</v>
      </c>
      <c r="D215" s="40"/>
      <c r="E215" s="40"/>
      <c r="F215" s="56">
        <f>AVERAGE(-94,-165,211)</f>
        <v>-16</v>
      </c>
      <c r="G215" s="56">
        <f t="shared" ref="G215:J215" si="97">AVERAGE(-94,-165,211)</f>
        <v>-16</v>
      </c>
      <c r="H215" s="56">
        <f t="shared" si="97"/>
        <v>-16</v>
      </c>
      <c r="I215" s="56">
        <f t="shared" si="97"/>
        <v>-16</v>
      </c>
      <c r="J215" s="56">
        <f t="shared" si="97"/>
        <v>-16</v>
      </c>
    </row>
    <row r="216" spans="3:10">
      <c r="C216" s="8" t="s">
        <v>129</v>
      </c>
      <c r="E216" s="10">
        <f>E71</f>
        <v>13372</v>
      </c>
      <c r="F216" s="10">
        <f>SUM(F214:F215)</f>
        <v>13356</v>
      </c>
      <c r="G216" s="10">
        <f t="shared" ref="G216:J216" si="98">SUM(G214:G215)</f>
        <v>13340</v>
      </c>
      <c r="H216" s="10">
        <f t="shared" si="98"/>
        <v>13324</v>
      </c>
      <c r="I216" s="10">
        <f t="shared" si="98"/>
        <v>13308</v>
      </c>
      <c r="J216" s="10">
        <f t="shared" si="98"/>
        <v>13292</v>
      </c>
    </row>
    <row r="218" spans="3:10">
      <c r="C218" s="62" t="s">
        <v>187</v>
      </c>
      <c r="D218" s="40"/>
      <c r="E218" s="40"/>
      <c r="F218" s="40"/>
      <c r="G218" s="40"/>
      <c r="H218" s="40"/>
      <c r="I218" s="40"/>
      <c r="J218" s="40"/>
    </row>
    <row r="219" spans="3:10">
      <c r="C219" t="s">
        <v>127</v>
      </c>
      <c r="F219" s="9">
        <f>E223</f>
        <v>94744</v>
      </c>
      <c r="G219" s="9">
        <f>F223</f>
        <v>95273.345454591035</v>
      </c>
      <c r="H219" s="9">
        <f>G223</f>
        <v>97209.770560866469</v>
      </c>
      <c r="I219" s="9">
        <f>H223</f>
        <v>100851.07833343091</v>
      </c>
      <c r="J219" s="9">
        <f>I223</f>
        <v>105068.74395395776</v>
      </c>
    </row>
    <row r="220" spans="3:10">
      <c r="C220" t="s">
        <v>22</v>
      </c>
      <c r="F220" s="9">
        <f>F26</f>
        <v>15294.410314756291</v>
      </c>
      <c r="G220" s="9">
        <f>G26</f>
        <v>17659.473904046747</v>
      </c>
      <c r="H220" s="9">
        <f>H26</f>
        <v>19313.407948763637</v>
      </c>
      <c r="I220" s="9">
        <f>I26</f>
        <v>20764.341963005627</v>
      </c>
      <c r="J220" s="9">
        <f>J26</f>
        <v>21675.557564164355</v>
      </c>
    </row>
    <row r="221" spans="3:10">
      <c r="C221" t="s">
        <v>188</v>
      </c>
      <c r="F221" s="9">
        <f>-F227</f>
        <v>-11765.06486016525</v>
      </c>
      <c r="G221" s="9">
        <f>-G227</f>
        <v>-11723.048797771324</v>
      </c>
      <c r="H221" s="9">
        <f>-H227</f>
        <v>-11672.100176199192</v>
      </c>
      <c r="I221" s="9">
        <f>-I227</f>
        <v>-11546.676342478782</v>
      </c>
      <c r="J221" s="9">
        <f>-J227</f>
        <v>-11410.086809785616</v>
      </c>
    </row>
    <row r="222" spans="3:10">
      <c r="C222" s="40" t="s">
        <v>189</v>
      </c>
      <c r="D222" s="40"/>
      <c r="E222" s="40"/>
      <c r="F222" s="72">
        <v>-3000</v>
      </c>
      <c r="G222" s="72">
        <v>-4000</v>
      </c>
      <c r="H222" s="72">
        <v>-4000</v>
      </c>
      <c r="I222" s="72">
        <v>-5000</v>
      </c>
      <c r="J222" s="72">
        <v>-5000</v>
      </c>
    </row>
    <row r="223" spans="3:10">
      <c r="C223" s="8" t="s">
        <v>129</v>
      </c>
      <c r="E223" s="10">
        <f>E72</f>
        <v>94744</v>
      </c>
      <c r="F223" s="10">
        <f>SUM(F219:F222)</f>
        <v>95273.345454591035</v>
      </c>
      <c r="G223" s="10">
        <f t="shared" ref="G223:J223" si="99">SUM(G219:G222)</f>
        <v>97209.770560866469</v>
      </c>
      <c r="H223" s="10">
        <f t="shared" si="99"/>
        <v>100851.07833343091</v>
      </c>
      <c r="I223" s="10">
        <f t="shared" si="99"/>
        <v>105068.74395395776</v>
      </c>
      <c r="J223" s="10">
        <f t="shared" si="99"/>
        <v>110334.2147083365</v>
      </c>
    </row>
    <row r="225" spans="3:12">
      <c r="C225" t="s">
        <v>190</v>
      </c>
      <c r="E225" s="66">
        <f>4291434+(E222*1000/44.78)</f>
        <v>4291434</v>
      </c>
      <c r="F225" s="66">
        <f>4291434+(F222*1000/44.78)</f>
        <v>4224439.8061634656</v>
      </c>
      <c r="G225" s="66">
        <f>F225+(G222*1000/44.78)</f>
        <v>4135114.2143814201</v>
      </c>
      <c r="H225" s="66">
        <f>G225+(H222*1000/44.78)</f>
        <v>4045788.6225993745</v>
      </c>
      <c r="I225" s="66">
        <f>H225+(I222*1000/44.78)</f>
        <v>3934131.6328718178</v>
      </c>
      <c r="J225" s="66">
        <f>I225+(J222*1000/44.78)</f>
        <v>3822474.6431442611</v>
      </c>
      <c r="L225" s="63" t="s">
        <v>191</v>
      </c>
    </row>
    <row r="226" spans="3:12">
      <c r="C226" t="s">
        <v>192</v>
      </c>
      <c r="E226" s="74">
        <v>2.7349999999999999</v>
      </c>
      <c r="F226" s="67">
        <f>E226+$L$226</f>
        <v>2.7849999999999997</v>
      </c>
      <c r="G226" s="67">
        <f t="shared" ref="G226:J226" si="100">F226+$L$226</f>
        <v>2.8349999999999995</v>
      </c>
      <c r="H226" s="67">
        <f t="shared" si="100"/>
        <v>2.8849999999999993</v>
      </c>
      <c r="I226" s="67">
        <f t="shared" si="100"/>
        <v>2.9349999999999992</v>
      </c>
      <c r="J226" s="67">
        <f t="shared" si="100"/>
        <v>2.984999999999999</v>
      </c>
      <c r="L226" s="75">
        <v>0.05</v>
      </c>
    </row>
    <row r="227" spans="3:12">
      <c r="C227" s="8" t="s">
        <v>122</v>
      </c>
      <c r="F227" s="9">
        <f>F225*F226/1000</f>
        <v>11765.06486016525</v>
      </c>
      <c r="G227" s="9">
        <f t="shared" ref="G227:J227" si="101">G225*G226/1000</f>
        <v>11723.048797771324</v>
      </c>
      <c r="H227" s="9">
        <f t="shared" si="101"/>
        <v>11672.100176199192</v>
      </c>
      <c r="I227" s="9">
        <f t="shared" si="101"/>
        <v>11546.676342478782</v>
      </c>
      <c r="J227" s="9">
        <f t="shared" si="101"/>
        <v>11410.086809785616</v>
      </c>
    </row>
    <row r="229" spans="3:12">
      <c r="C229" s="62" t="s">
        <v>193</v>
      </c>
      <c r="D229" s="40"/>
      <c r="E229" s="40"/>
      <c r="F229" s="40"/>
      <c r="G229" s="40"/>
      <c r="H229" s="40"/>
      <c r="I229" s="40"/>
      <c r="J229" s="40"/>
      <c r="L229" s="67"/>
    </row>
    <row r="230" spans="3:12">
      <c r="C230" t="s">
        <v>143</v>
      </c>
      <c r="F230" s="9">
        <f>E233</f>
        <v>-3255</v>
      </c>
      <c r="G230" s="9">
        <f>F233</f>
        <v>-2905</v>
      </c>
      <c r="H230" s="9">
        <f t="shared" ref="H230:J230" si="102">G233</f>
        <v>-2555</v>
      </c>
      <c r="I230" s="9">
        <f t="shared" si="102"/>
        <v>-2205</v>
      </c>
      <c r="J230" s="9">
        <f t="shared" si="102"/>
        <v>-1855</v>
      </c>
      <c r="L230" s="9"/>
    </row>
    <row r="231" spans="3:12">
      <c r="C231" t="s">
        <v>194</v>
      </c>
      <c r="F231" s="64">
        <v>350</v>
      </c>
      <c r="G231" s="64">
        <v>350</v>
      </c>
      <c r="H231" s="64">
        <v>350</v>
      </c>
      <c r="I231" s="64">
        <v>350</v>
      </c>
      <c r="J231" s="64">
        <v>350</v>
      </c>
    </row>
    <row r="232" spans="3:12">
      <c r="C232" s="40" t="s">
        <v>195</v>
      </c>
      <c r="D232" s="40"/>
      <c r="E232" s="40"/>
      <c r="F232" s="72">
        <v>0</v>
      </c>
      <c r="G232" s="72">
        <v>0</v>
      </c>
      <c r="H232" s="72">
        <v>0</v>
      </c>
      <c r="I232" s="72">
        <v>0</v>
      </c>
      <c r="J232" s="72">
        <v>0</v>
      </c>
    </row>
    <row r="233" spans="3:12">
      <c r="C233" s="8" t="s">
        <v>129</v>
      </c>
      <c r="E233" s="10">
        <f>E74</f>
        <v>-3255</v>
      </c>
      <c r="F233" s="10">
        <f>SUM(F230:F232)</f>
        <v>-2905</v>
      </c>
      <c r="G233" s="10">
        <f t="shared" ref="G233:J233" si="103">SUM(G230:G232)</f>
        <v>-2555</v>
      </c>
      <c r="H233" s="10">
        <f t="shared" si="103"/>
        <v>-2205</v>
      </c>
      <c r="I233" s="10">
        <f t="shared" si="103"/>
        <v>-1855</v>
      </c>
      <c r="J233" s="10">
        <f t="shared" si="103"/>
        <v>-1505</v>
      </c>
    </row>
    <row r="235" spans="3:12">
      <c r="C235" s="62" t="s">
        <v>196</v>
      </c>
      <c r="D235" s="40"/>
      <c r="E235" s="40"/>
      <c r="F235" s="40"/>
      <c r="G235" s="40"/>
      <c r="H235" s="40"/>
      <c r="I235" s="40"/>
      <c r="J235" s="40"/>
      <c r="K235" s="9"/>
    </row>
    <row r="236" spans="3:12">
      <c r="C236" t="s">
        <v>197</v>
      </c>
      <c r="F236" s="9">
        <f>E239</f>
        <v>1281</v>
      </c>
      <c r="G236" s="9">
        <f>F239</f>
        <v>1217</v>
      </c>
      <c r="H236" s="9">
        <f t="shared" ref="H236:J236" si="104">G239</f>
        <v>1146</v>
      </c>
      <c r="I236" s="9">
        <f t="shared" si="104"/>
        <v>1068</v>
      </c>
      <c r="J236" s="9">
        <f t="shared" si="104"/>
        <v>983</v>
      </c>
    </row>
    <row r="237" spans="3:12">
      <c r="C237" t="s">
        <v>198</v>
      </c>
      <c r="F237" s="9">
        <f>434+14.5</f>
        <v>448.5</v>
      </c>
      <c r="G237" s="9">
        <f>F237+14.5</f>
        <v>463</v>
      </c>
      <c r="H237" s="9">
        <f t="shared" ref="H237:J237" si="105">G237+14.5</f>
        <v>477.5</v>
      </c>
      <c r="I237" s="9">
        <f t="shared" si="105"/>
        <v>492</v>
      </c>
      <c r="J237" s="9">
        <f t="shared" si="105"/>
        <v>506.5</v>
      </c>
    </row>
    <row r="238" spans="3:12">
      <c r="C238" s="40" t="s">
        <v>199</v>
      </c>
      <c r="D238" s="40"/>
      <c r="E238" s="56">
        <f>-491</f>
        <v>-491</v>
      </c>
      <c r="F238" s="56">
        <f>E238-21.5</f>
        <v>-512.5</v>
      </c>
      <c r="G238" s="56">
        <f t="shared" ref="G238:J238" si="106">F238-21.5</f>
        <v>-534</v>
      </c>
      <c r="H238" s="56">
        <f t="shared" si="106"/>
        <v>-555.5</v>
      </c>
      <c r="I238" s="56">
        <f t="shared" si="106"/>
        <v>-577</v>
      </c>
      <c r="J238" s="56">
        <f t="shared" si="106"/>
        <v>-598.5</v>
      </c>
    </row>
    <row r="239" spans="3:12">
      <c r="C239" s="8" t="s">
        <v>129</v>
      </c>
      <c r="E239" s="10">
        <f>E76</f>
        <v>1281</v>
      </c>
      <c r="F239" s="10">
        <f>SUM(F236:F238)</f>
        <v>1217</v>
      </c>
      <c r="G239" s="10">
        <f t="shared" ref="G239:J239" si="107">SUM(G236:G238)</f>
        <v>1146</v>
      </c>
      <c r="H239" s="10">
        <f t="shared" si="107"/>
        <v>1068</v>
      </c>
      <c r="I239" s="10">
        <f t="shared" si="107"/>
        <v>983</v>
      </c>
      <c r="J239" s="10">
        <f t="shared" si="107"/>
        <v>891</v>
      </c>
    </row>
    <row r="241" spans="3:10">
      <c r="C241" s="36" t="s">
        <v>200</v>
      </c>
      <c r="D241" s="61"/>
      <c r="E241" s="61"/>
      <c r="F241" s="61"/>
      <c r="G241" s="61"/>
      <c r="H241" s="61"/>
      <c r="I241" s="61"/>
      <c r="J241" s="61"/>
    </row>
    <row r="242" spans="3:10">
      <c r="C242" t="s">
        <v>1</v>
      </c>
      <c r="D242" s="38">
        <v>2024</v>
      </c>
      <c r="E242" s="38">
        <v>2025</v>
      </c>
      <c r="F242" s="38">
        <v>2026</v>
      </c>
      <c r="G242" s="38">
        <v>2027</v>
      </c>
      <c r="H242" s="38">
        <v>2028</v>
      </c>
      <c r="I242" s="38">
        <v>2029</v>
      </c>
      <c r="J242" s="38">
        <v>2030</v>
      </c>
    </row>
    <row r="243" spans="3:10">
      <c r="C243" s="40" t="s">
        <v>2</v>
      </c>
      <c r="D243" s="41">
        <v>45657</v>
      </c>
      <c r="E243" s="41">
        <v>46022</v>
      </c>
      <c r="F243" s="41">
        <v>46387</v>
      </c>
      <c r="G243" s="41">
        <v>46752</v>
      </c>
      <c r="H243" s="41">
        <v>47118</v>
      </c>
      <c r="I243" s="41">
        <v>47483</v>
      </c>
      <c r="J243" s="41">
        <v>47848</v>
      </c>
    </row>
    <row r="245" spans="3:10">
      <c r="C245" t="s">
        <v>201</v>
      </c>
      <c r="E245" s="64">
        <f>E58</f>
        <v>18618</v>
      </c>
      <c r="F245" s="64">
        <v>17267</v>
      </c>
      <c r="G245" s="64">
        <v>9569</v>
      </c>
      <c r="H245" s="64">
        <v>13032</v>
      </c>
      <c r="I245" s="64">
        <v>8115</v>
      </c>
      <c r="J245" s="64">
        <v>11081</v>
      </c>
    </row>
    <row r="247" spans="3:10">
      <c r="C247" t="s">
        <v>202</v>
      </c>
      <c r="F247" s="9">
        <f>E250</f>
        <v>158150</v>
      </c>
      <c r="G247" s="9">
        <f t="shared" ref="G247:J247" si="108">F250</f>
        <v>165650</v>
      </c>
      <c r="H247" s="9">
        <f t="shared" si="108"/>
        <v>173150</v>
      </c>
      <c r="I247" s="9">
        <f t="shared" si="108"/>
        <v>180650</v>
      </c>
      <c r="J247" s="9">
        <f t="shared" si="108"/>
        <v>188150</v>
      </c>
    </row>
    <row r="248" spans="3:10">
      <c r="C248" t="s">
        <v>203</v>
      </c>
      <c r="F248" s="9">
        <f>-E245</f>
        <v>-18618</v>
      </c>
      <c r="G248" s="9">
        <f t="shared" ref="G248:J248" si="109">-F245</f>
        <v>-17267</v>
      </c>
      <c r="H248" s="9">
        <f t="shared" si="109"/>
        <v>-9569</v>
      </c>
      <c r="I248" s="9">
        <f t="shared" si="109"/>
        <v>-13032</v>
      </c>
      <c r="J248" s="9">
        <f t="shared" si="109"/>
        <v>-8115</v>
      </c>
    </row>
    <row r="249" spans="3:10">
      <c r="C249" s="40" t="s">
        <v>184</v>
      </c>
      <c r="D249" s="40"/>
      <c r="E249" s="40"/>
      <c r="F249" s="56">
        <f>-F248+7500</f>
        <v>26118</v>
      </c>
      <c r="G249" s="56">
        <f t="shared" ref="G249:J249" si="110">-G248+7500</f>
        <v>24767</v>
      </c>
      <c r="H249" s="56">
        <f t="shared" si="110"/>
        <v>17069</v>
      </c>
      <c r="I249" s="56">
        <f t="shared" si="110"/>
        <v>20532</v>
      </c>
      <c r="J249" s="56">
        <f t="shared" si="110"/>
        <v>15615</v>
      </c>
    </row>
    <row r="250" spans="3:10">
      <c r="C250" s="8" t="s">
        <v>204</v>
      </c>
      <c r="E250" s="10">
        <f>E62+E58</f>
        <v>158150</v>
      </c>
      <c r="F250" s="10">
        <f>SUM(F247:F249)</f>
        <v>165650</v>
      </c>
      <c r="G250" s="10">
        <f t="shared" ref="G250:J250" si="111">SUM(G247:G249)</f>
        <v>173150</v>
      </c>
      <c r="H250" s="10">
        <f t="shared" si="111"/>
        <v>180650</v>
      </c>
      <c r="I250" s="10">
        <f t="shared" si="111"/>
        <v>188150</v>
      </c>
      <c r="J250" s="10">
        <f t="shared" si="111"/>
        <v>195650</v>
      </c>
    </row>
    <row r="252" spans="3:10">
      <c r="C252" t="s">
        <v>205</v>
      </c>
      <c r="E252" s="51">
        <f>(0.03943+0.04869)/2</f>
        <v>4.4060000000000002E-2</v>
      </c>
      <c r="F252" s="70">
        <f>E252</f>
        <v>4.4060000000000002E-2</v>
      </c>
      <c r="G252" s="70">
        <f t="shared" ref="G252:J252" si="112">F252</f>
        <v>4.4060000000000002E-2</v>
      </c>
      <c r="H252" s="70">
        <f t="shared" si="112"/>
        <v>4.4060000000000002E-2</v>
      </c>
      <c r="I252" s="70">
        <f t="shared" si="112"/>
        <v>4.4060000000000002E-2</v>
      </c>
      <c r="J252" s="70">
        <f t="shared" si="112"/>
        <v>4.4060000000000002E-2</v>
      </c>
    </row>
    <row r="253" spans="3:10">
      <c r="C253" s="8" t="s">
        <v>19</v>
      </c>
      <c r="F253" s="71">
        <f>IF($D$7=0,0,F250*F252)</f>
        <v>7298.5390000000007</v>
      </c>
      <c r="G253" s="71">
        <f t="shared" ref="G253:J253" si="113">IF($D$7=0,0,G250*G252)</f>
        <v>7628.9890000000005</v>
      </c>
      <c r="H253" s="71">
        <f t="shared" si="113"/>
        <v>7959.4390000000003</v>
      </c>
      <c r="I253" s="71">
        <f t="shared" si="113"/>
        <v>8289.889000000001</v>
      </c>
      <c r="J253" s="71">
        <f t="shared" si="113"/>
        <v>8620.3389999999999</v>
      </c>
    </row>
    <row r="255" spans="3:10">
      <c r="C255" t="s">
        <v>206</v>
      </c>
      <c r="F255" s="9">
        <f>F245</f>
        <v>17267</v>
      </c>
      <c r="G255" s="9">
        <f t="shared" ref="G255:J255" si="114">G245</f>
        <v>9569</v>
      </c>
      <c r="H255" s="9">
        <f t="shared" si="114"/>
        <v>13032</v>
      </c>
      <c r="I255" s="9">
        <f t="shared" si="114"/>
        <v>8115</v>
      </c>
      <c r="J255" s="9">
        <f t="shared" si="114"/>
        <v>11081</v>
      </c>
    </row>
    <row r="256" spans="3:10">
      <c r="C256" t="s">
        <v>207</v>
      </c>
      <c r="F256" s="9">
        <f>F250-F255</f>
        <v>148383</v>
      </c>
      <c r="G256" s="9">
        <f t="shared" ref="G256:J256" si="115">G250-G255</f>
        <v>163581</v>
      </c>
      <c r="H256" s="9">
        <f t="shared" si="115"/>
        <v>167618</v>
      </c>
      <c r="I256" s="9">
        <f t="shared" si="115"/>
        <v>180035</v>
      </c>
      <c r="J256" s="9">
        <f t="shared" si="115"/>
        <v>184569</v>
      </c>
    </row>
    <row r="258" spans="3:10">
      <c r="C258" s="36" t="s">
        <v>208</v>
      </c>
      <c r="D258" s="61"/>
      <c r="E258" s="61"/>
      <c r="F258" s="61"/>
      <c r="G258" s="61"/>
      <c r="H258" s="61"/>
      <c r="I258" s="61"/>
      <c r="J258" s="61"/>
    </row>
    <row r="259" spans="3:10">
      <c r="C259" t="s">
        <v>1</v>
      </c>
      <c r="D259" s="38">
        <v>2024</v>
      </c>
      <c r="E259" s="38">
        <v>2025</v>
      </c>
      <c r="F259" s="38">
        <v>2026</v>
      </c>
      <c r="G259" s="38">
        <v>2027</v>
      </c>
      <c r="H259" s="38">
        <v>2028</v>
      </c>
      <c r="I259" s="38">
        <v>2029</v>
      </c>
      <c r="J259" s="38">
        <v>2030</v>
      </c>
    </row>
    <row r="260" spans="3:10">
      <c r="C260" s="40" t="s">
        <v>2</v>
      </c>
      <c r="D260" s="41">
        <v>45657</v>
      </c>
      <c r="E260" s="41">
        <v>46022</v>
      </c>
      <c r="F260" s="41">
        <v>46387</v>
      </c>
      <c r="G260" s="41">
        <v>46752</v>
      </c>
      <c r="H260" s="41">
        <v>47118</v>
      </c>
      <c r="I260" s="41">
        <v>47483</v>
      </c>
      <c r="J260" s="41">
        <v>47848</v>
      </c>
    </row>
    <row r="262" spans="3:10">
      <c r="C262" s="8" t="s">
        <v>209</v>
      </c>
    </row>
    <row r="263" spans="3:10">
      <c r="C263" t="s">
        <v>22</v>
      </c>
      <c r="E263" s="9">
        <f t="shared" ref="E263:J263" si="116">E26</f>
        <v>17608</v>
      </c>
      <c r="F263" s="9">
        <f t="shared" si="116"/>
        <v>15294.410314756291</v>
      </c>
      <c r="G263" s="9">
        <f t="shared" si="116"/>
        <v>17659.473904046747</v>
      </c>
      <c r="H263" s="9">
        <f t="shared" si="116"/>
        <v>19313.407948763637</v>
      </c>
      <c r="I263" s="9">
        <f t="shared" si="116"/>
        <v>20764.341963005627</v>
      </c>
      <c r="J263" s="9">
        <f t="shared" si="116"/>
        <v>21675.557564164355</v>
      </c>
    </row>
    <row r="264" spans="3:10">
      <c r="C264" s="40" t="s">
        <v>210</v>
      </c>
      <c r="D264" s="40"/>
      <c r="E264" s="56">
        <f t="shared" ref="E264:J264" si="117">E225/1000</f>
        <v>4291.4340000000002</v>
      </c>
      <c r="F264" s="56">
        <f t="shared" si="117"/>
        <v>4224.4398061634656</v>
      </c>
      <c r="G264" s="56">
        <f t="shared" si="117"/>
        <v>4135.1142143814204</v>
      </c>
      <c r="H264" s="56">
        <f t="shared" si="117"/>
        <v>4045.7886225993743</v>
      </c>
      <c r="I264" s="56">
        <f t="shared" si="117"/>
        <v>3934.1316328718176</v>
      </c>
      <c r="J264" s="56">
        <f t="shared" si="117"/>
        <v>3822.4746431442609</v>
      </c>
    </row>
    <row r="265" spans="3:10">
      <c r="C265" s="8" t="s">
        <v>211</v>
      </c>
      <c r="E265" s="96">
        <f>E263/E264</f>
        <v>4.1030573929367202</v>
      </c>
      <c r="F265" s="96">
        <f t="shared" ref="F265:J265" si="118">F263/F264</f>
        <v>3.6204588102881043</v>
      </c>
      <c r="G265" s="96">
        <f t="shared" si="118"/>
        <v>4.2706133346037358</v>
      </c>
      <c r="H265" s="96">
        <f t="shared" si="118"/>
        <v>4.77370662443432</v>
      </c>
      <c r="I265" s="96">
        <f t="shared" si="118"/>
        <v>5.2779987811053939</v>
      </c>
      <c r="J265" s="96">
        <f t="shared" si="118"/>
        <v>5.6705562725027381</v>
      </c>
    </row>
    <row r="266" spans="3:10">
      <c r="C266" t="s">
        <v>212</v>
      </c>
      <c r="F266" s="12">
        <f>F265/E265-1</f>
        <v>-0.11761926203601092</v>
      </c>
      <c r="G266" s="12">
        <f t="shared" ref="G266:J266" si="119">G265/F265-1</f>
        <v>0.17957793704712643</v>
      </c>
      <c r="H266" s="12">
        <f t="shared" si="119"/>
        <v>0.11780352151156892</v>
      </c>
      <c r="I266" s="12">
        <f t="shared" si="119"/>
        <v>0.10563953680979132</v>
      </c>
      <c r="J266" s="12">
        <f t="shared" si="119"/>
        <v>7.4376199707103519E-2</v>
      </c>
    </row>
    <row r="268" spans="3:10">
      <c r="C268" s="8" t="s">
        <v>213</v>
      </c>
      <c r="E268" s="96">
        <f t="shared" ref="E268:J268" si="120">E263/$E$264</f>
        <v>4.1030573929367202</v>
      </c>
      <c r="F268" s="96">
        <f t="shared" si="120"/>
        <v>3.5639393067110645</v>
      </c>
      <c r="G268" s="96">
        <f t="shared" si="120"/>
        <v>4.1150519625949613</v>
      </c>
      <c r="H268" s="96">
        <f t="shared" si="120"/>
        <v>4.5004555467388379</v>
      </c>
      <c r="I268" s="96">
        <f t="shared" si="120"/>
        <v>4.8385555884130165</v>
      </c>
      <c r="J268" s="96">
        <f t="shared" si="120"/>
        <v>5.0508891816032486</v>
      </c>
    </row>
    <row r="269" spans="3:10">
      <c r="C269" t="s">
        <v>212</v>
      </c>
      <c r="F269" s="12">
        <f>F268/E268-1</f>
        <v>-0.13139423473669409</v>
      </c>
      <c r="G269" s="12">
        <f t="shared" ref="G269:J269" si="121">G268/F268-1</f>
        <v>0.15463581404041471</v>
      </c>
      <c r="H269" s="12">
        <f t="shared" si="121"/>
        <v>9.3657039485071314E-2</v>
      </c>
      <c r="I269" s="12">
        <f t="shared" si="121"/>
        <v>7.5125737419887706E-2</v>
      </c>
      <c r="J269" s="12">
        <f t="shared" si="121"/>
        <v>4.3883673404251367E-2</v>
      </c>
    </row>
    <row r="271" spans="3:10">
      <c r="C271" s="8" t="s">
        <v>214</v>
      </c>
    </row>
    <row r="272" spans="3:10">
      <c r="C272" t="s">
        <v>64</v>
      </c>
      <c r="E272" s="9">
        <f>E77</f>
        <v>105741</v>
      </c>
      <c r="F272" s="9">
        <f t="shared" ref="F272:J272" si="122">F77</f>
        <v>106540.34545459104</v>
      </c>
      <c r="G272" s="9">
        <f t="shared" si="122"/>
        <v>108739.77056086647</v>
      </c>
      <c r="H272" s="9">
        <f t="shared" si="122"/>
        <v>112637.07833343091</v>
      </c>
      <c r="I272" s="9">
        <f t="shared" si="122"/>
        <v>117103.74395395776</v>
      </c>
      <c r="J272" s="9">
        <f t="shared" si="122"/>
        <v>122611.2147083365</v>
      </c>
    </row>
    <row r="273" spans="3:10">
      <c r="C273" t="s">
        <v>215</v>
      </c>
      <c r="E273" s="9">
        <f>-E69</f>
        <v>0</v>
      </c>
      <c r="F273" s="9">
        <f t="shared" ref="F273:J273" si="123">-F69</f>
        <v>0</v>
      </c>
      <c r="G273" s="9">
        <f t="shared" si="123"/>
        <v>0</v>
      </c>
      <c r="H273" s="9">
        <f t="shared" si="123"/>
        <v>0</v>
      </c>
      <c r="I273" s="9">
        <f t="shared" si="123"/>
        <v>0</v>
      </c>
      <c r="J273" s="9">
        <f t="shared" si="123"/>
        <v>0</v>
      </c>
    </row>
    <row r="274" spans="3:10">
      <c r="C274" t="s">
        <v>216</v>
      </c>
      <c r="E274" s="56">
        <f>-E76</f>
        <v>-1281</v>
      </c>
      <c r="F274" s="56">
        <f t="shared" ref="F274:J274" si="124">-F76</f>
        <v>-1217</v>
      </c>
      <c r="G274" s="56">
        <f t="shared" si="124"/>
        <v>-1146</v>
      </c>
      <c r="H274" s="56">
        <f t="shared" si="124"/>
        <v>-1068</v>
      </c>
      <c r="I274" s="56">
        <f t="shared" si="124"/>
        <v>-983</v>
      </c>
      <c r="J274" s="56">
        <f t="shared" si="124"/>
        <v>-891</v>
      </c>
    </row>
    <row r="275" spans="3:10">
      <c r="C275" s="8" t="s">
        <v>217</v>
      </c>
      <c r="E275" s="10">
        <f>SUM(E272:E274)</f>
        <v>104460</v>
      </c>
      <c r="F275" s="10">
        <f t="shared" ref="F275:J275" si="125">SUM(F272:F274)</f>
        <v>105323.34545459104</v>
      </c>
      <c r="G275" s="10">
        <f t="shared" si="125"/>
        <v>107593.77056086647</v>
      </c>
      <c r="H275" s="10">
        <f t="shared" si="125"/>
        <v>111569.07833343091</v>
      </c>
      <c r="I275" s="10">
        <f t="shared" si="125"/>
        <v>116120.74395395776</v>
      </c>
      <c r="J275" s="10">
        <f t="shared" si="125"/>
        <v>121720.2147083365</v>
      </c>
    </row>
    <row r="277" spans="3:10">
      <c r="C277" t="s">
        <v>210</v>
      </c>
      <c r="E277" s="9">
        <f>E264</f>
        <v>4291.4340000000002</v>
      </c>
      <c r="F277" s="9">
        <f t="shared" ref="F277:J277" si="126">F264</f>
        <v>4224.4398061634656</v>
      </c>
      <c r="G277" s="9">
        <f t="shared" si="126"/>
        <v>4135.1142143814204</v>
      </c>
      <c r="H277" s="9">
        <f t="shared" si="126"/>
        <v>4045.7886225993743</v>
      </c>
      <c r="I277" s="9">
        <f t="shared" si="126"/>
        <v>3934.1316328718176</v>
      </c>
      <c r="J277" s="9">
        <f t="shared" si="126"/>
        <v>3822.4746431442609</v>
      </c>
    </row>
    <row r="279" spans="3:10">
      <c r="C279" s="8" t="s">
        <v>218</v>
      </c>
      <c r="E279" s="96">
        <f>E275/E277</f>
        <v>24.341513815661617</v>
      </c>
      <c r="F279" s="96">
        <f t="shared" ref="F279:J279" si="127">F275/F277</f>
        <v>24.931908202579685</v>
      </c>
      <c r="G279" s="96">
        <f t="shared" si="127"/>
        <v>26.019540206814245</v>
      </c>
      <c r="H279" s="96">
        <f t="shared" si="127"/>
        <v>27.576595996690756</v>
      </c>
      <c r="I279" s="96">
        <f t="shared" si="127"/>
        <v>29.516232498095782</v>
      </c>
      <c r="J279" s="96">
        <f t="shared" si="127"/>
        <v>31.843302067849127</v>
      </c>
    </row>
    <row r="280" spans="3:10">
      <c r="C280" s="8" t="s">
        <v>219</v>
      </c>
      <c r="E280" s="96">
        <f>E275/$E$277</f>
        <v>24.341513815661617</v>
      </c>
      <c r="F280" s="96">
        <f t="shared" ref="F280:J280" si="128">F275/$E$277</f>
        <v>24.542692595200354</v>
      </c>
      <c r="G280" s="96">
        <f t="shared" si="128"/>
        <v>25.071752370155632</v>
      </c>
      <c r="H280" s="96">
        <f t="shared" si="128"/>
        <v>25.99808789636073</v>
      </c>
      <c r="I280" s="96">
        <f t="shared" si="128"/>
        <v>27.058727677964466</v>
      </c>
      <c r="J280" s="96">
        <f t="shared" si="128"/>
        <v>28.363529465520497</v>
      </c>
    </row>
  </sheetData>
  <dataValidations count="3">
    <dataValidation type="list" allowBlank="1" showInputMessage="1" showErrorMessage="1" sqref="D7" xr:uid="{81F75916-7D1E-4297-8493-CF59EDBE8DB3}">
      <formula1>"1,0"</formula1>
    </dataValidation>
    <dataValidation type="list" allowBlank="1" showInputMessage="1" showErrorMessage="1" sqref="D118 D129" xr:uid="{B9BE8C57-3612-4106-B6C6-87C75B562F29}">
      <formula1>"1,2"</formula1>
    </dataValidation>
    <dataValidation type="list" allowBlank="1" showInputMessage="1" showErrorMessage="1" sqref="D167" xr:uid="{214F1223-F79A-4F0E-828D-D3462E8F96E6}">
      <formula1>"0.5,1"</formula1>
    </dataValidation>
  </dataValidations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19A3E-861A-4609-8827-9D5A92C6668C}">
  <dimension ref="B2:R87"/>
  <sheetViews>
    <sheetView showGridLines="0" workbookViewId="0">
      <selection activeCell="B2" sqref="B2:J87"/>
    </sheetView>
  </sheetViews>
  <sheetFormatPr defaultColWidth="8.85546875" defaultRowHeight="15"/>
  <cols>
    <col min="1" max="1" width="3.140625" customWidth="1"/>
    <col min="2" max="2" width="34.42578125" bestFit="1" customWidth="1"/>
    <col min="3" max="10" width="13.42578125" customWidth="1"/>
    <col min="13" max="13" width="13.42578125" bestFit="1" customWidth="1"/>
  </cols>
  <sheetData>
    <row r="2" spans="2:10" ht="21.75" thickBot="1">
      <c r="B2" s="31" t="s">
        <v>220</v>
      </c>
      <c r="C2" s="32"/>
      <c r="D2" s="32"/>
      <c r="E2" s="32"/>
      <c r="F2" s="32"/>
      <c r="G2" s="32"/>
      <c r="H2" s="32"/>
      <c r="I2" s="32"/>
      <c r="J2" s="32"/>
    </row>
    <row r="3" spans="2:10">
      <c r="B3" s="76" t="s">
        <v>221</v>
      </c>
    </row>
    <row r="4" spans="2:10">
      <c r="B4" t="s">
        <v>222</v>
      </c>
      <c r="C4" s="45">
        <v>46022</v>
      </c>
      <c r="E4" t="s">
        <v>223</v>
      </c>
      <c r="G4" s="94">
        <v>9.4080346168294818E-2</v>
      </c>
    </row>
    <row r="5" spans="2:10">
      <c r="B5" t="s">
        <v>224</v>
      </c>
      <c r="C5" s="45">
        <v>46387</v>
      </c>
      <c r="E5" t="s">
        <v>225</v>
      </c>
      <c r="G5" s="75" cm="1">
        <f t="array" ref="G5">_xll.BDP("VZ US EQUITY", "PX_Last")</f>
        <v>47.066600000000001</v>
      </c>
    </row>
    <row r="6" spans="2:10">
      <c r="B6" t="s">
        <v>226</v>
      </c>
      <c r="C6" s="78"/>
      <c r="E6" t="s">
        <v>227</v>
      </c>
      <c r="G6" s="45">
        <f ca="1">TODAY()</f>
        <v>46152</v>
      </c>
    </row>
    <row r="7" spans="2:10">
      <c r="B7" t="s">
        <v>228</v>
      </c>
      <c r="C7" s="45">
        <v>46136</v>
      </c>
      <c r="E7" t="s">
        <v>229</v>
      </c>
      <c r="G7">
        <v>0</v>
      </c>
    </row>
    <row r="8" spans="2:10">
      <c r="B8" t="s">
        <v>230</v>
      </c>
      <c r="C8" s="11">
        <f>YEARFRAC(C5,C7)</f>
        <v>0.68611111111111112</v>
      </c>
    </row>
    <row r="10" spans="2:10">
      <c r="B10" s="52" t="s">
        <v>231</v>
      </c>
      <c r="C10" s="48"/>
      <c r="D10" s="48"/>
      <c r="E10" s="48"/>
      <c r="F10" s="48"/>
      <c r="G10" s="48"/>
      <c r="H10" s="48"/>
      <c r="I10" s="48"/>
      <c r="J10" s="48"/>
    </row>
    <row r="11" spans="2:10">
      <c r="B11" s="79" t="s">
        <v>1</v>
      </c>
      <c r="C11" s="79"/>
      <c r="D11" s="80">
        <v>2024</v>
      </c>
      <c r="E11" s="81" t="s">
        <v>232</v>
      </c>
      <c r="F11" s="81" t="s">
        <v>233</v>
      </c>
      <c r="G11" s="81" t="s">
        <v>234</v>
      </c>
      <c r="H11" s="81" t="s">
        <v>235</v>
      </c>
      <c r="I11" s="81" t="s">
        <v>236</v>
      </c>
      <c r="J11" s="81" t="s">
        <v>237</v>
      </c>
    </row>
    <row r="12" spans="2:10">
      <c r="B12" s="40" t="s">
        <v>2</v>
      </c>
      <c r="C12" s="40"/>
      <c r="D12" s="41">
        <v>45657</v>
      </c>
      <c r="E12" s="41">
        <f t="shared" ref="E12:J12" si="0">EOMONTH(D12,12)</f>
        <v>46022</v>
      </c>
      <c r="F12" s="41">
        <f t="shared" si="0"/>
        <v>46387</v>
      </c>
      <c r="G12" s="41">
        <f t="shared" si="0"/>
        <v>46752</v>
      </c>
      <c r="H12" s="41">
        <f t="shared" si="0"/>
        <v>47118</v>
      </c>
      <c r="I12" s="41">
        <f t="shared" si="0"/>
        <v>47483</v>
      </c>
      <c r="J12" s="41">
        <f t="shared" si="0"/>
        <v>47848</v>
      </c>
    </row>
    <row r="14" spans="2:10">
      <c r="B14" t="s">
        <v>81</v>
      </c>
      <c r="F14" s="82">
        <f>FSM!F15</f>
        <v>141645.77499999999</v>
      </c>
      <c r="G14" s="82">
        <f>FSM!G15</f>
        <v>145186.91937499997</v>
      </c>
      <c r="H14" s="82">
        <f>FSM!H15</f>
        <v>148453.62506093745</v>
      </c>
      <c r="I14" s="82">
        <f>FSM!I15</f>
        <v>151422.69756215622</v>
      </c>
      <c r="J14" s="82">
        <f>FSM!J15</f>
        <v>154451.15151339935</v>
      </c>
    </row>
    <row r="15" spans="2:10">
      <c r="B15" t="s">
        <v>238</v>
      </c>
      <c r="G15" s="12">
        <f>G14/F14-1</f>
        <v>2.4999999999999911E-2</v>
      </c>
      <c r="H15" s="12">
        <f t="shared" ref="H15:J15" si="1">H14/G14-1</f>
        <v>2.2499999999999964E-2</v>
      </c>
      <c r="I15" s="12">
        <f t="shared" si="1"/>
        <v>2.0000000000000018E-2</v>
      </c>
      <c r="J15" s="12">
        <f t="shared" si="1"/>
        <v>2.0000000000000018E-2</v>
      </c>
    </row>
    <row r="16" spans="2:10">
      <c r="B16" t="s">
        <v>239</v>
      </c>
      <c r="F16" s="82">
        <f>FSM!F29</f>
        <v>49305.469999999994</v>
      </c>
      <c r="G16" s="82">
        <f>FSM!G29</f>
        <v>51050.449449999986</v>
      </c>
      <c r="H16" s="82">
        <f>FSM!H29</f>
        <v>52285.328917124978</v>
      </c>
      <c r="I16" s="82">
        <f>FSM!I29</f>
        <v>53331.035495467484</v>
      </c>
      <c r="J16" s="82">
        <f>FSM!J29</f>
        <v>54397.656205376843</v>
      </c>
    </row>
    <row r="17" spans="2:18">
      <c r="B17" t="s">
        <v>240</v>
      </c>
      <c r="F17" s="12">
        <f>F16/F14</f>
        <v>0.34808994479362337</v>
      </c>
      <c r="G17" s="12">
        <f t="shared" ref="G17:J17" si="2">G16/G14</f>
        <v>0.35161879368858945</v>
      </c>
      <c r="H17" s="12">
        <f t="shared" si="2"/>
        <v>0.35219974517741026</v>
      </c>
      <c r="I17" s="12">
        <f t="shared" si="2"/>
        <v>0.35219974517741026</v>
      </c>
      <c r="J17" s="12">
        <f t="shared" si="2"/>
        <v>0.35219974517741032</v>
      </c>
    </row>
    <row r="18" spans="2:18">
      <c r="B18" t="s">
        <v>241</v>
      </c>
      <c r="F18" s="82">
        <f>FSM!F20</f>
        <v>27381.403250924363</v>
      </c>
      <c r="G18" s="82">
        <f>FSM!G20</f>
        <v>30817.383312629194</v>
      </c>
      <c r="H18" s="82">
        <f>FSM!H20</f>
        <v>33319.589674362505</v>
      </c>
      <c r="I18" s="82">
        <f>FSM!I20</f>
        <v>35555.239694853459</v>
      </c>
      <c r="J18" s="82">
        <f>FSM!J20</f>
        <v>37082.19343999878</v>
      </c>
      <c r="N18" s="9"/>
      <c r="O18" s="9"/>
      <c r="P18" s="9"/>
      <c r="Q18" s="9"/>
      <c r="R18" s="9"/>
    </row>
    <row r="19" spans="2:18">
      <c r="B19" t="s">
        <v>240</v>
      </c>
      <c r="F19" s="12">
        <f>F18/F14</f>
        <v>0.19330900092801473</v>
      </c>
      <c r="G19" s="12">
        <f t="shared" ref="G19:J19" si="3">G18/G14</f>
        <v>0.21226005376580573</v>
      </c>
      <c r="H19" s="12">
        <f t="shared" si="3"/>
        <v>0.22444443280307524</v>
      </c>
      <c r="I19" s="12">
        <f t="shared" si="3"/>
        <v>0.23480786082455499</v>
      </c>
      <c r="J19" s="12">
        <f t="shared" si="3"/>
        <v>0.24009010665603053</v>
      </c>
    </row>
    <row r="21" spans="2:18">
      <c r="B21" t="s">
        <v>242</v>
      </c>
      <c r="F21" s="9">
        <f>F18*-1*F22</f>
        <v>-6528.6797010869168</v>
      </c>
      <c r="G21" s="9">
        <f t="shared" ref="G21:J21" si="4">G18*-1*G22</f>
        <v>-7347.936956700155</v>
      </c>
      <c r="H21" s="9">
        <f t="shared" si="4"/>
        <v>-7944.5500569154383</v>
      </c>
      <c r="I21" s="9">
        <f t="shared" si="4"/>
        <v>-8477.6068463632582</v>
      </c>
      <c r="J21" s="9">
        <f t="shared" si="4"/>
        <v>-8841.6857735487138</v>
      </c>
    </row>
    <row r="22" spans="2:18">
      <c r="B22" t="s">
        <v>243</v>
      </c>
      <c r="F22" s="51">
        <v>0.23843481070921799</v>
      </c>
      <c r="G22" s="51">
        <f>F22</f>
        <v>0.23843481070921799</v>
      </c>
      <c r="H22" s="51">
        <f t="shared" ref="H22:J22" si="5">G22</f>
        <v>0.23843481070921799</v>
      </c>
      <c r="I22" s="51">
        <f t="shared" si="5"/>
        <v>0.23843481070921799</v>
      </c>
      <c r="J22" s="51">
        <f t="shared" si="5"/>
        <v>0.23843481070921799</v>
      </c>
    </row>
    <row r="23" spans="2:18">
      <c r="B23" s="8" t="s">
        <v>244</v>
      </c>
      <c r="F23" s="10">
        <f>F18+F21</f>
        <v>20852.723549837447</v>
      </c>
      <c r="G23" s="10">
        <f t="shared" ref="G23:J23" si="6">G18+G21</f>
        <v>23469.446355929038</v>
      </c>
      <c r="H23" s="10">
        <f t="shared" si="6"/>
        <v>25375.039617447066</v>
      </c>
      <c r="I23" s="10">
        <f t="shared" si="6"/>
        <v>27077.632848490201</v>
      </c>
      <c r="J23" s="10">
        <f t="shared" si="6"/>
        <v>28240.507666450067</v>
      </c>
    </row>
    <row r="25" spans="2:18">
      <c r="B25" t="s">
        <v>107</v>
      </c>
      <c r="F25" s="82">
        <f>FSM!F28</f>
        <v>21924.066749075631</v>
      </c>
      <c r="G25" s="82">
        <f>FSM!G28</f>
        <v>20233.066137370792</v>
      </c>
      <c r="H25" s="82">
        <f>FSM!H28</f>
        <v>18965.739242762476</v>
      </c>
      <c r="I25" s="82">
        <f>FSM!I28</f>
        <v>17775.795800614025</v>
      </c>
      <c r="J25" s="82">
        <f>FSM!J28</f>
        <v>17315.462765378066</v>
      </c>
    </row>
    <row r="26" spans="2:18">
      <c r="B26" t="s">
        <v>245</v>
      </c>
      <c r="F26" s="9">
        <f>F32-E32</f>
        <v>3907.5924118143739</v>
      </c>
      <c r="G26" s="9">
        <f t="shared" ref="G26:J26" si="7">G32-F32</f>
        <v>371.53981029535498</v>
      </c>
      <c r="H26" s="9">
        <f t="shared" si="7"/>
        <v>1479.1429749974704</v>
      </c>
      <c r="I26" s="9">
        <f t="shared" si="7"/>
        <v>562.20550394213933</v>
      </c>
      <c r="J26" s="9">
        <f t="shared" si="7"/>
        <v>645.58961402098794</v>
      </c>
    </row>
    <row r="27" spans="2:18">
      <c r="B27" t="s">
        <v>246</v>
      </c>
      <c r="F27" s="82">
        <f>FSM!F96</f>
        <v>-18354</v>
      </c>
      <c r="G27" s="82">
        <f>FSM!G96</f>
        <v>-18603</v>
      </c>
      <c r="H27" s="82">
        <f>FSM!H96</f>
        <v>-18976.567500000001</v>
      </c>
      <c r="I27" s="82">
        <f>FSM!I96</f>
        <v>-19316.098850000002</v>
      </c>
      <c r="J27" s="82">
        <f>FSM!J96</f>
        <v>-19662.420827000002</v>
      </c>
    </row>
    <row r="28" spans="2:18">
      <c r="B28" t="s">
        <v>247</v>
      </c>
      <c r="F28" s="12">
        <f>F27/F14</f>
        <v>-0.12957675581922581</v>
      </c>
      <c r="G28" s="12">
        <f t="shared" ref="G28:J28" si="8">G27/G14</f>
        <v>-0.12813137767563437</v>
      </c>
      <c r="H28" s="12">
        <f t="shared" si="8"/>
        <v>-0.12782825270996565</v>
      </c>
      <c r="I28" s="12">
        <f t="shared" si="8"/>
        <v>-0.12756409151984036</v>
      </c>
      <c r="J28" s="12">
        <f t="shared" si="8"/>
        <v>-0.12730510996089398</v>
      </c>
    </row>
    <row r="30" spans="2:18">
      <c r="B30" s="8" t="s">
        <v>231</v>
      </c>
      <c r="F30" s="9">
        <f>F23+F25+F26+F27</f>
        <v>28330.382710727456</v>
      </c>
      <c r="G30" s="9">
        <f t="shared" ref="G30:J30" si="9">G23+G25+G26+G27</f>
        <v>25471.052303595185</v>
      </c>
      <c r="H30" s="9">
        <f t="shared" si="9"/>
        <v>26843.354335207008</v>
      </c>
      <c r="I30" s="9">
        <f t="shared" si="9"/>
        <v>26099.535303046367</v>
      </c>
      <c r="J30" s="9">
        <f t="shared" si="9"/>
        <v>26539.139218849115</v>
      </c>
    </row>
    <row r="31" spans="2:18">
      <c r="F31" s="11">
        <f>F30/F14</f>
        <v>0.20000866747156743</v>
      </c>
      <c r="G31" s="11">
        <f t="shared" ref="G31:J31" si="10">G30/G14</f>
        <v>0.17543627492919378</v>
      </c>
      <c r="H31" s="11">
        <f t="shared" si="10"/>
        <v>0.18081979691764555</v>
      </c>
      <c r="I31" s="11">
        <f t="shared" si="10"/>
        <v>0.17236210768423929</v>
      </c>
      <c r="J31" s="11">
        <f t="shared" si="10"/>
        <v>0.17182869119979802</v>
      </c>
    </row>
    <row r="32" spans="2:18">
      <c r="B32" t="s">
        <v>248</v>
      </c>
      <c r="E32" s="82">
        <f>SUM(FSM!E45:E48)-SUM(FSM!E59:E61)</f>
        <v>-5878</v>
      </c>
      <c r="F32" s="82">
        <f>SUM(FSM!F45:F48)-SUM(FSM!F59:F61)</f>
        <v>-1970.4075881856261</v>
      </c>
      <c r="G32" s="82">
        <f>SUM(FSM!G45:G48)-SUM(FSM!G59:G61)</f>
        <v>-1598.8677778902711</v>
      </c>
      <c r="H32" s="82">
        <f>SUM(FSM!H45:H48)-SUM(FSM!H59:H61)</f>
        <v>-119.72480289280065</v>
      </c>
      <c r="I32" s="82">
        <f>SUM(FSM!I45:I48)-SUM(FSM!I59:I61)</f>
        <v>442.48070104933868</v>
      </c>
      <c r="J32" s="82">
        <f>SUM(FSM!J45:J48)-SUM(FSM!J59:J61)</f>
        <v>1088.0703150703266</v>
      </c>
    </row>
    <row r="34" spans="2:10">
      <c r="B34" s="36" t="str">
        <f>"Present value of UFCF on "&amp;TEXT(C7,"mmm dd, yyyy")</f>
        <v>Present value of UFCF on Apr 24, 2026</v>
      </c>
      <c r="C34" s="61"/>
      <c r="D34" s="61"/>
      <c r="E34" s="61"/>
      <c r="F34" s="61"/>
      <c r="G34" s="61"/>
      <c r="H34" s="61"/>
      <c r="I34" s="61"/>
      <c r="J34" s="61"/>
    </row>
    <row r="35" spans="2:10" ht="17.25">
      <c r="F35" s="86" t="s">
        <v>249</v>
      </c>
      <c r="G35" s="84">
        <v>1</v>
      </c>
      <c r="H35" s="84">
        <f>G35+1</f>
        <v>2</v>
      </c>
      <c r="I35" s="84">
        <f t="shared" ref="I35:J35" si="11">H35+1</f>
        <v>3</v>
      </c>
      <c r="J35" s="84">
        <f t="shared" si="11"/>
        <v>4</v>
      </c>
    </row>
    <row r="36" spans="2:10">
      <c r="B36" t="s">
        <v>250</v>
      </c>
      <c r="D36" s="85" t="s">
        <v>251</v>
      </c>
      <c r="F36" s="45">
        <f>EOMONTH(C7,12)</f>
        <v>46507</v>
      </c>
      <c r="G36" s="45">
        <f>IF($G$7=1,G12,AVERAGE(G12,F12))</f>
        <v>46569.5</v>
      </c>
      <c r="H36" s="45">
        <f t="shared" ref="H36:J36" si="12">IF($G$7=1,H12,AVERAGE(H12,G12))</f>
        <v>46935</v>
      </c>
      <c r="I36" s="45">
        <f t="shared" si="12"/>
        <v>47300.5</v>
      </c>
      <c r="J36" s="45">
        <f t="shared" si="12"/>
        <v>47665.5</v>
      </c>
    </row>
    <row r="37" spans="2:10">
      <c r="B37" t="s">
        <v>252</v>
      </c>
      <c r="D37" s="83">
        <f>C8</f>
        <v>0.68611111111111112</v>
      </c>
      <c r="G37" s="56">
        <f>G30*D37</f>
        <v>17475.971997188917</v>
      </c>
      <c r="H37" s="56">
        <f>H30</f>
        <v>26843.354335207008</v>
      </c>
      <c r="I37" s="56">
        <f t="shared" ref="I37:J37" si="13">I30</f>
        <v>26099.535303046367</v>
      </c>
      <c r="J37" s="56">
        <f t="shared" si="13"/>
        <v>26539.139218849115</v>
      </c>
    </row>
    <row r="38" spans="2:10">
      <c r="B38" s="8" t="s">
        <v>253</v>
      </c>
      <c r="G38" s="10">
        <f>G37/(1+$G$4)^((G36-$F$36)/365)</f>
        <v>17208.968136447242</v>
      </c>
      <c r="H38" s="10">
        <f t="shared" ref="H38:J38" si="14">H37/(1+$G$4)^((H36-$F$36)/365)</f>
        <v>24157.254010081771</v>
      </c>
      <c r="I38" s="10">
        <f t="shared" si="14"/>
        <v>21465.4920401163</v>
      </c>
      <c r="J38" s="10">
        <f t="shared" si="14"/>
        <v>19950.128128257384</v>
      </c>
    </row>
    <row r="40" spans="2:10">
      <c r="B40" s="36" t="s">
        <v>254</v>
      </c>
      <c r="C40" s="61"/>
      <c r="D40" s="61"/>
      <c r="F40" s="36" t="s">
        <v>255</v>
      </c>
      <c r="G40" s="36"/>
      <c r="H40" s="36"/>
      <c r="I40" s="36"/>
      <c r="J40" s="36"/>
    </row>
    <row r="41" spans="2:10">
      <c r="B41" t="s">
        <v>256</v>
      </c>
      <c r="D41" s="77">
        <v>0.02</v>
      </c>
      <c r="F41" t="s">
        <v>255</v>
      </c>
      <c r="J41" s="64">
        <v>4217.6841679999998</v>
      </c>
    </row>
    <row r="42" spans="2:10">
      <c r="B42" t="s">
        <v>257</v>
      </c>
      <c r="D42" s="9">
        <f>J30*(1+D41)</f>
        <v>27069.922003226096</v>
      </c>
      <c r="F42" t="s">
        <v>258</v>
      </c>
      <c r="J42" s="64">
        <f>28082/1000</f>
        <v>28.082000000000001</v>
      </c>
    </row>
    <row r="43" spans="2:10">
      <c r="B43" t="s">
        <v>259</v>
      </c>
      <c r="D43" s="9">
        <f>D42/(G4-D41)</f>
        <v>365413.00632868242</v>
      </c>
      <c r="F43" t="s">
        <v>260</v>
      </c>
      <c r="J43" s="64">
        <f>6997/1000</f>
        <v>6.9969999999999999</v>
      </c>
    </row>
    <row r="44" spans="2:10">
      <c r="B44" t="s">
        <v>261</v>
      </c>
      <c r="D44" s="9">
        <f>D43/(1+$G$4)^(($J$36-F36)/365)</f>
        <v>274690.0054245647</v>
      </c>
      <c r="F44" t="s">
        <v>262</v>
      </c>
      <c r="J44" s="64">
        <v>0</v>
      </c>
    </row>
    <row r="45" spans="2:10">
      <c r="B45" t="s">
        <v>263</v>
      </c>
      <c r="D45" s="9">
        <f>SUM(H38:J38)</f>
        <v>65572.874178455444</v>
      </c>
      <c r="F45" s="8" t="s">
        <v>264</v>
      </c>
      <c r="J45" s="10">
        <f>SUM(J41:J44)</f>
        <v>4252.7631680000004</v>
      </c>
    </row>
    <row r="46" spans="2:10">
      <c r="B46" s="8" t="s">
        <v>265</v>
      </c>
      <c r="D46" s="10">
        <f>SUM(D44:D45)</f>
        <v>340262.87960302015</v>
      </c>
    </row>
    <row r="48" spans="2:10">
      <c r="B48" t="s">
        <v>266</v>
      </c>
      <c r="D48" s="83">
        <f>D44/D46</f>
        <v>0.80728760582124504</v>
      </c>
    </row>
    <row r="49" spans="2:6">
      <c r="B49" t="s">
        <v>267</v>
      </c>
      <c r="D49" s="83">
        <f>D45/D46</f>
        <v>0.19271239417875491</v>
      </c>
    </row>
    <row r="50" spans="2:6">
      <c r="B50" t="s">
        <v>268</v>
      </c>
      <c r="D50" s="87">
        <f>D43/J16</f>
        <v>6.7174402689166559</v>
      </c>
    </row>
    <row r="52" spans="2:6">
      <c r="B52" s="36" t="s">
        <v>269</v>
      </c>
      <c r="C52" s="36"/>
      <c r="D52" s="36"/>
    </row>
    <row r="53" spans="2:6">
      <c r="B53" t="s">
        <v>270</v>
      </c>
      <c r="D53" s="89" t="s">
        <v>271</v>
      </c>
    </row>
    <row r="54" spans="2:6">
      <c r="B54" t="s">
        <v>272</v>
      </c>
      <c r="D54" s="90">
        <v>46066</v>
      </c>
    </row>
    <row r="55" spans="2:6">
      <c r="B55" s="46" t="s">
        <v>273</v>
      </c>
    </row>
    <row r="56" spans="2:6">
      <c r="B56" t="s">
        <v>274</v>
      </c>
      <c r="D56" s="64">
        <f>FSM!E62+FSM!E58</f>
        <v>158150</v>
      </c>
    </row>
    <row r="57" spans="2:6">
      <c r="B57" t="s">
        <v>275</v>
      </c>
      <c r="D57" s="64">
        <f>FSM!E76</f>
        <v>1281</v>
      </c>
      <c r="F57" t="s">
        <v>276</v>
      </c>
    </row>
    <row r="58" spans="2:6">
      <c r="B58" t="s">
        <v>277</v>
      </c>
      <c r="D58" s="64">
        <v>0</v>
      </c>
    </row>
    <row r="59" spans="2:6">
      <c r="B59" s="46" t="s">
        <v>278</v>
      </c>
      <c r="D59" s="10"/>
    </row>
    <row r="60" spans="2:6">
      <c r="B60" t="s">
        <v>279</v>
      </c>
      <c r="D60" s="64">
        <f>FSM!E44</f>
        <v>19048</v>
      </c>
    </row>
    <row r="61" spans="2:6">
      <c r="D61" s="10"/>
    </row>
    <row r="62" spans="2:6">
      <c r="B62" s="8" t="s">
        <v>269</v>
      </c>
      <c r="D62" s="10">
        <f>SUM(D56:D58)-D60</f>
        <v>140383</v>
      </c>
    </row>
    <row r="64" spans="2:6">
      <c r="B64" s="36" t="s">
        <v>280</v>
      </c>
      <c r="C64" s="36"/>
      <c r="D64" s="36"/>
    </row>
    <row r="65" spans="2:8">
      <c r="B65" t="s">
        <v>281</v>
      </c>
      <c r="D65" s="9">
        <f>D46</f>
        <v>340262.87960302015</v>
      </c>
    </row>
    <row r="66" spans="2:8">
      <c r="B66" t="s">
        <v>269</v>
      </c>
      <c r="D66" s="9">
        <f>D62</f>
        <v>140383</v>
      </c>
    </row>
    <row r="67" spans="2:8">
      <c r="B67" t="s">
        <v>282</v>
      </c>
      <c r="D67" s="9">
        <f>D65-D66</f>
        <v>199879.87960302015</v>
      </c>
    </row>
    <row r="68" spans="2:8">
      <c r="B68" t="s">
        <v>255</v>
      </c>
      <c r="D68" s="9">
        <f>J45</f>
        <v>4252.7631680000004</v>
      </c>
    </row>
    <row r="69" spans="2:8">
      <c r="B69" s="8" t="s">
        <v>283</v>
      </c>
      <c r="D69" s="91">
        <f>D67/D68</f>
        <v>47.000002517661976</v>
      </c>
    </row>
    <row r="71" spans="2:8">
      <c r="B71" s="46" t="s">
        <v>284</v>
      </c>
    </row>
    <row r="72" spans="2:8">
      <c r="B72" t="s">
        <v>285</v>
      </c>
      <c r="D72" s="57">
        <f>D65/$F$14</f>
        <v>2.402209876030684</v>
      </c>
    </row>
    <row r="73" spans="2:8">
      <c r="B73" t="s">
        <v>286</v>
      </c>
      <c r="D73" s="87">
        <f>D65/$F$16</f>
        <v>6.901118265438301</v>
      </c>
    </row>
    <row r="74" spans="2:8">
      <c r="B74" t="s">
        <v>287</v>
      </c>
      <c r="D74" s="87">
        <f>D65/$F$18</f>
        <v>12.426787498246032</v>
      </c>
    </row>
    <row r="76" spans="2:8">
      <c r="B76" s="36" t="s">
        <v>288</v>
      </c>
      <c r="C76" s="36"/>
      <c r="D76" s="36"/>
      <c r="E76" s="36"/>
      <c r="F76" s="36"/>
      <c r="G76" s="36"/>
      <c r="H76" s="36"/>
    </row>
    <row r="78" spans="2:8">
      <c r="B78" s="107"/>
      <c r="C78" s="151" t="s">
        <v>289</v>
      </c>
      <c r="D78" s="151"/>
      <c r="E78" s="151"/>
      <c r="F78" s="151"/>
      <c r="G78" s="151"/>
      <c r="H78" s="151"/>
    </row>
    <row r="79" spans="2:8">
      <c r="C79" s="152" t="s">
        <v>290</v>
      </c>
      <c r="D79" s="152"/>
      <c r="E79" s="152"/>
      <c r="F79" s="152"/>
      <c r="G79" s="152"/>
      <c r="H79" s="152"/>
    </row>
    <row r="80" spans="2:8">
      <c r="B80" s="108"/>
      <c r="C80" s="109">
        <f>D69</f>
        <v>47.000002517661976</v>
      </c>
      <c r="D80" s="110">
        <f>E80-0.00125</f>
        <v>1.7499999999999998E-2</v>
      </c>
      <c r="E80" s="110">
        <f>F80-0.00125</f>
        <v>1.8749999999999999E-2</v>
      </c>
      <c r="F80" s="111">
        <v>0.02</v>
      </c>
      <c r="G80" s="110">
        <f>F80+0.00125</f>
        <v>2.1250000000000002E-2</v>
      </c>
      <c r="H80" s="110">
        <f>G80+0.00125</f>
        <v>2.2500000000000003E-2</v>
      </c>
    </row>
    <row r="81" spans="2:8">
      <c r="B81" s="153" t="s">
        <v>291</v>
      </c>
      <c r="C81" s="111">
        <f>C82-0.001</f>
        <v>5.8165999405404803E-2</v>
      </c>
      <c r="D81" s="112">
        <f t="dataTable" ref="D81:H85" dt2D="1" dtr="1" r1="D41" r2="G4"/>
        <v>114.03236507249629</v>
      </c>
      <c r="E81" s="113">
        <v>118.33606874133064</v>
      </c>
      <c r="F81" s="113">
        <v>122.92167932573653</v>
      </c>
      <c r="G81" s="113">
        <v>127.81783348598123</v>
      </c>
      <c r="H81" s="114">
        <v>133.05718244252134</v>
      </c>
    </row>
    <row r="82" spans="2:8">
      <c r="B82" s="153"/>
      <c r="C82" s="111">
        <f>C83-0.001</f>
        <v>5.9165999405404804E-2</v>
      </c>
      <c r="D82" s="115">
        <v>110.48594352664821</v>
      </c>
      <c r="E82" s="19">
        <v>114.57402368381371</v>
      </c>
      <c r="F82" s="19">
        <v>118.92304957319769</v>
      </c>
      <c r="G82" s="19">
        <v>123.55882946864676</v>
      </c>
      <c r="H82" s="116">
        <v>128.51069101812305</v>
      </c>
    </row>
    <row r="83" spans="2:8">
      <c r="B83" s="153"/>
      <c r="C83" s="111">
        <v>6.0165999405404805E-2</v>
      </c>
      <c r="D83" s="115">
        <v>107.10577533156444</v>
      </c>
      <c r="E83" s="19">
        <v>110.99366092552096</v>
      </c>
      <c r="F83" s="117">
        <v>115.12353512000468</v>
      </c>
      <c r="G83" s="19">
        <v>119.51871627419544</v>
      </c>
      <c r="H83" s="116">
        <v>124.20561815952126</v>
      </c>
    </row>
    <row r="84" spans="2:8">
      <c r="B84" s="153"/>
      <c r="C84" s="111">
        <f>C83+0.001</f>
        <v>6.1165999405404806E-2</v>
      </c>
      <c r="D84" s="115">
        <v>103.88043831541188</v>
      </c>
      <c r="E84" s="19">
        <v>107.58213042902037</v>
      </c>
      <c r="F84" s="19">
        <v>111.50862530261729</v>
      </c>
      <c r="G84" s="19">
        <v>115.68104254644722</v>
      </c>
      <c r="H84" s="116">
        <v>120.12323280196647</v>
      </c>
    </row>
    <row r="85" spans="2:8">
      <c r="B85" s="153"/>
      <c r="C85" s="111">
        <f>C84+0.001</f>
        <v>6.2165999405404807E-2</v>
      </c>
      <c r="D85" s="118">
        <v>100.7995332026918</v>
      </c>
      <c r="E85" s="119">
        <v>104.32776605565378</v>
      </c>
      <c r="F85" s="119">
        <v>108.06518598485694</v>
      </c>
      <c r="G85" s="119">
        <v>112.03096523458971</v>
      </c>
      <c r="H85" s="120">
        <v>116.24669275924181</v>
      </c>
    </row>
    <row r="87" spans="2:8">
      <c r="B87" t="s">
        <v>292</v>
      </c>
      <c r="C87" t="str">
        <f>IF(C83=G4,"Ok","Check Discount Rate")</f>
        <v>Check Discount Rate</v>
      </c>
    </row>
  </sheetData>
  <mergeCells count="3">
    <mergeCell ref="C78:H78"/>
    <mergeCell ref="C79:H79"/>
    <mergeCell ref="B81:B85"/>
  </mergeCells>
  <dataValidations count="1">
    <dataValidation type="list" allowBlank="1" showInputMessage="1" showErrorMessage="1" sqref="G7" xr:uid="{30AC7E8E-D554-48F4-A85A-22F308BA03D9}">
      <formula1>"0,1"</formula1>
    </dataValidation>
  </dataValidation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39F35-19B3-40FE-AB97-7670544F2E80}">
  <dimension ref="B2:O42"/>
  <sheetViews>
    <sheetView showGridLines="0" tabSelected="1" workbookViewId="0">
      <selection activeCell="H11" sqref="H11"/>
    </sheetView>
  </sheetViews>
  <sheetFormatPr defaultColWidth="8.85546875" defaultRowHeight="15"/>
  <cols>
    <col min="2" max="2" width="27.42578125" bestFit="1" customWidth="1"/>
    <col min="3" max="3" width="20.42578125" bestFit="1" customWidth="1"/>
    <col min="4" max="6" width="16.85546875" customWidth="1"/>
    <col min="7" max="7" width="17.85546875" bestFit="1" customWidth="1"/>
    <col min="8" max="8" width="16.85546875" customWidth="1"/>
    <col min="9" max="9" width="23.42578125" bestFit="1" customWidth="1"/>
    <col min="10" max="10" width="19.42578125" bestFit="1" customWidth="1"/>
    <col min="11" max="11" width="24.140625" bestFit="1" customWidth="1"/>
    <col min="14" max="14" width="27.42578125" bestFit="1" customWidth="1"/>
    <col min="15" max="15" width="20.42578125" bestFit="1" customWidth="1"/>
  </cols>
  <sheetData>
    <row r="2" spans="2:15">
      <c r="B2" s="15" t="s">
        <v>293</v>
      </c>
      <c r="C2" s="15"/>
      <c r="D2" s="15"/>
      <c r="E2" s="15"/>
      <c r="F2" s="15"/>
      <c r="G2" s="15"/>
      <c r="H2" s="15"/>
      <c r="I2" s="15"/>
      <c r="J2" s="15"/>
      <c r="K2" s="15"/>
      <c r="L2" s="16"/>
      <c r="M2" s="16"/>
      <c r="N2" s="16"/>
      <c r="O2" s="16"/>
    </row>
    <row r="4" spans="2:15">
      <c r="B4" s="17" t="s">
        <v>294</v>
      </c>
      <c r="C4" t="s">
        <v>295</v>
      </c>
      <c r="D4" t="s">
        <v>296</v>
      </c>
      <c r="E4" t="s">
        <v>30</v>
      </c>
      <c r="F4" t="s">
        <v>297</v>
      </c>
      <c r="G4" t="s">
        <v>298</v>
      </c>
      <c r="H4" t="s">
        <v>299</v>
      </c>
      <c r="I4" t="s">
        <v>300</v>
      </c>
      <c r="J4" t="s">
        <v>301</v>
      </c>
      <c r="K4" t="s">
        <v>302</v>
      </c>
    </row>
    <row r="5" spans="2:15">
      <c r="B5" t="s">
        <v>303</v>
      </c>
      <c r="C5" s="11" t="s">
        <v>6</v>
      </c>
      <c r="D5">
        <v>0.312</v>
      </c>
      <c r="E5" s="11">
        <f>3621/27007</f>
        <v>0.13407635057577666</v>
      </c>
      <c r="F5" s="18" cm="1">
        <f t="array" ref="F5">_xll.BDP(C5,$F$14)/100</f>
        <v>1.2345048718986396</v>
      </c>
      <c r="G5" s="19">
        <f t="shared" ref="G5:G7" si="0">D5/(1+(1-E5)*F5)</f>
        <v>0.15079843684027519</v>
      </c>
      <c r="H5" s="29" cm="1">
        <f t="array" ref="H5">IFERROR(_xll.BDP(C5,$F$15,),_xll.BDH(C5,$F$15,"-1FY"))</f>
        <v>18234</v>
      </c>
      <c r="I5" s="29" cm="1">
        <f t="array" ref="I5">_xll.BDP(C5,$F$16)</f>
        <v>342486.625</v>
      </c>
      <c r="J5" s="19">
        <f>H5/I5</f>
        <v>5.3240035286049495E-2</v>
      </c>
      <c r="K5" s="19">
        <f>G5/(1-J5)</f>
        <v>0.15927842585299506</v>
      </c>
    </row>
    <row r="6" spans="2:15">
      <c r="B6" t="s">
        <v>304</v>
      </c>
      <c r="C6" t="s">
        <v>305</v>
      </c>
      <c r="D6">
        <v>0.41199999999999998</v>
      </c>
      <c r="E6" s="11">
        <f>3289/14281</f>
        <v>0.2303060009803235</v>
      </c>
      <c r="F6" s="18" cm="1">
        <f t="array" ref="F6">_xll.BDP(C6,$F$14)/100</f>
        <v>2.0652500717869029</v>
      </c>
      <c r="G6" s="19">
        <f t="shared" si="0"/>
        <v>0.15909727976527693</v>
      </c>
      <c r="H6" s="29" cm="1">
        <f t="array" ref="H6">IFERROR(_xll.BDP(C6,$F$15,),_xll.BDH(C6,$F$15,"-1FY"))</f>
        <v>5598</v>
      </c>
      <c r="I6" s="29" cm="1">
        <f t="array" ref="I6">_xll.BDP(C6,$F$16)</f>
        <v>319380.24734873441</v>
      </c>
      <c r="J6" s="19">
        <f t="shared" ref="J6:J7" si="1">H6/I6</f>
        <v>1.7527696363411883E-2</v>
      </c>
      <c r="K6" s="19">
        <f t="shared" ref="K6:K7" si="2">G6/(1-J6)</f>
        <v>0.16193563846673714</v>
      </c>
    </row>
    <row r="7" spans="2:15">
      <c r="B7" t="s">
        <v>306</v>
      </c>
      <c r="C7" s="17" t="s">
        <v>307</v>
      </c>
      <c r="D7">
        <v>1.004</v>
      </c>
      <c r="E7" s="11">
        <f>1692/7458</f>
        <v>0.22687047465808527</v>
      </c>
      <c r="F7" s="18" cm="1">
        <f t="array" ref="F7">_xll.BDP(C7,$F$14)/100</f>
        <v>4.6882401676494956</v>
      </c>
      <c r="G7" s="19">
        <f t="shared" si="0"/>
        <v>0.21709906413569763</v>
      </c>
      <c r="H7" s="29" cm="1">
        <f t="array" ref="H7">IFERROR(_xll.BDP(C7,$F$15,),_xll.BDH(C7,$F$15,"-1FY"))</f>
        <v>571</v>
      </c>
      <c r="I7" s="29" cm="1">
        <f t="array" ref="I7">_xll.BDP(C7,$F$16)</f>
        <v>118225.08820965</v>
      </c>
      <c r="J7" s="19">
        <f t="shared" si="1"/>
        <v>4.8297701329470671E-3</v>
      </c>
      <c r="K7" s="19">
        <f t="shared" si="2"/>
        <v>0.2181526914894755</v>
      </c>
    </row>
    <row r="8" spans="2:15">
      <c r="B8" s="17"/>
      <c r="C8" s="11"/>
      <c r="E8" s="11"/>
      <c r="F8" s="18"/>
      <c r="G8" s="19"/>
      <c r="H8" s="20"/>
      <c r="I8" s="20"/>
      <c r="J8" s="28" t="s">
        <v>308</v>
      </c>
      <c r="K8" s="28">
        <f>AVERAGE(K5:K7)</f>
        <v>0.17978891860306923</v>
      </c>
    </row>
    <row r="9" spans="2:15">
      <c r="B9" s="17"/>
      <c r="C9" s="21"/>
      <c r="E9" s="11"/>
      <c r="F9" s="18"/>
      <c r="G9" s="19"/>
      <c r="H9" s="20"/>
      <c r="I9" s="20"/>
      <c r="J9" s="19"/>
      <c r="K9" s="19"/>
    </row>
    <row r="10" spans="2:15">
      <c r="C10" s="17"/>
      <c r="E10" s="11"/>
      <c r="F10" s="18"/>
      <c r="G10" s="19"/>
      <c r="H10" s="20"/>
      <c r="I10" s="20"/>
      <c r="J10" s="19"/>
      <c r="K10" s="19"/>
    </row>
    <row r="11" spans="2:15">
      <c r="C11" s="11"/>
      <c r="E11" s="11"/>
      <c r="F11" s="18"/>
      <c r="G11" s="19"/>
      <c r="H11" s="20"/>
      <c r="I11" s="20"/>
      <c r="J11" s="22"/>
      <c r="K11" s="19"/>
    </row>
    <row r="12" spans="2:15">
      <c r="B12" s="8" t="s">
        <v>309</v>
      </c>
      <c r="C12" s="19">
        <f>AVERAGE(K5:K9)</f>
        <v>0.17978891860306923</v>
      </c>
      <c r="E12" s="19"/>
    </row>
    <row r="13" spans="2:15">
      <c r="B13" t="s">
        <v>310</v>
      </c>
      <c r="C13" s="19">
        <f>J13/J14</f>
        <v>4.9427935276483238E-2</v>
      </c>
      <c r="E13" s="19"/>
      <c r="F13" t="s">
        <v>311</v>
      </c>
      <c r="I13" t="s">
        <v>299</v>
      </c>
      <c r="J13" cm="1">
        <f t="array" ref="J13">_xll.BDP(F17,F15)</f>
        <v>19048</v>
      </c>
    </row>
    <row r="14" spans="2:15">
      <c r="B14" t="s">
        <v>312</v>
      </c>
      <c r="C14" s="19">
        <f>C12*(1-C13)</f>
        <v>0.1709023235709278</v>
      </c>
      <c r="E14" s="19"/>
      <c r="F14" t="s">
        <v>313</v>
      </c>
      <c r="I14" t="s">
        <v>314</v>
      </c>
      <c r="J14" cm="1">
        <f t="array" ref="J14">_xll.BDP(F17,F16)</f>
        <v>385369.12160000001</v>
      </c>
    </row>
    <row r="15" spans="2:15">
      <c r="B15" t="s">
        <v>315</v>
      </c>
      <c r="C15" s="11">
        <f>-Historicals!I21/Historicals!I20</f>
        <v>0.22335920959774172</v>
      </c>
      <c r="E15" s="23"/>
      <c r="F15" t="s">
        <v>316</v>
      </c>
    </row>
    <row r="16" spans="2:15">
      <c r="B16" t="s">
        <v>317</v>
      </c>
      <c r="C16" s="19" cm="1">
        <f t="array" ref="C16">_xll.BDP(F17,F14)/100</f>
        <v>1.717810499238706</v>
      </c>
      <c r="E16" s="23"/>
      <c r="F16" t="s">
        <v>318</v>
      </c>
    </row>
    <row r="17" spans="2:8">
      <c r="B17" s="8" t="s">
        <v>319</v>
      </c>
      <c r="C17" s="24">
        <f>C14*(1+(1-C15)*C16)</f>
        <v>0.398906822692142</v>
      </c>
      <c r="E17" s="24"/>
      <c r="F17" t="s">
        <v>320</v>
      </c>
    </row>
    <row r="18" spans="2:8">
      <c r="F18" t="s">
        <v>321</v>
      </c>
      <c r="H18" s="25"/>
    </row>
    <row r="19" spans="2:8">
      <c r="B19" s="8" t="s">
        <v>322</v>
      </c>
      <c r="F19" t="s">
        <v>323</v>
      </c>
    </row>
    <row r="20" spans="2:8">
      <c r="F20" t="s">
        <v>324</v>
      </c>
    </row>
    <row r="21" spans="2:8">
      <c r="B21" s="8" t="s">
        <v>325</v>
      </c>
    </row>
    <row r="22" spans="2:8">
      <c r="B22" t="s">
        <v>326</v>
      </c>
      <c r="C22" s="26" cm="1">
        <f t="array" ref="C22">_xll.BDP(F18,F19)/100</f>
        <v>4.3354999999999998E-2</v>
      </c>
      <c r="F22" s="26"/>
      <c r="H22" s="8"/>
    </row>
    <row r="23" spans="2:8">
      <c r="B23" t="s">
        <v>327</v>
      </c>
      <c r="C23" s="19">
        <f>C17</f>
        <v>0.398906822692142</v>
      </c>
      <c r="E23" s="18"/>
      <c r="F23" s="26"/>
      <c r="H23" s="8"/>
    </row>
    <row r="24" spans="2:8">
      <c r="B24" t="s">
        <v>328</v>
      </c>
      <c r="C24" s="26">
        <v>7.5399999999999995E-2</v>
      </c>
    </row>
    <row r="25" spans="2:8">
      <c r="B25" s="8" t="s">
        <v>325</v>
      </c>
      <c r="C25" s="30">
        <f>C22+C23*C24</f>
        <v>7.3432574430987496E-2</v>
      </c>
    </row>
    <row r="26" spans="2:8">
      <c r="C26" s="26"/>
    </row>
    <row r="27" spans="2:8">
      <c r="B27" s="8" t="s">
        <v>329</v>
      </c>
      <c r="C27" s="27"/>
    </row>
    <row r="28" spans="2:8">
      <c r="B28" t="s">
        <v>330</v>
      </c>
      <c r="C28" s="143">
        <v>5.6099999999999997E-2</v>
      </c>
    </row>
    <row r="29" spans="2:8">
      <c r="B29" t="s">
        <v>94</v>
      </c>
      <c r="C29" s="144">
        <f>C15</f>
        <v>0.22335920959774172</v>
      </c>
      <c r="D29" s="19"/>
    </row>
    <row r="30" spans="2:8">
      <c r="B30" s="8" t="s">
        <v>331</v>
      </c>
      <c r="C30" s="145">
        <f>C28*(1-C29)</f>
        <v>4.3569548341566691E-2</v>
      </c>
    </row>
    <row r="31" spans="2:8">
      <c r="D31" s="26"/>
    </row>
    <row r="32" spans="2:8">
      <c r="B32" s="8" t="s">
        <v>332</v>
      </c>
    </row>
    <row r="33" spans="2:6">
      <c r="B33" t="s">
        <v>274</v>
      </c>
      <c r="C33" s="29">
        <f>12582+146032</f>
        <v>158614</v>
      </c>
    </row>
    <row r="34" spans="2:6">
      <c r="B34" t="s">
        <v>333</v>
      </c>
      <c r="C34" s="29" cm="1">
        <f t="array" ref="C34">_xll.BDP(F17,F20)/1000000</f>
        <v>196550.12160000001</v>
      </c>
    </row>
    <row r="36" spans="2:6">
      <c r="B36" t="s">
        <v>334</v>
      </c>
      <c r="C36" s="26">
        <f>C33/SUM(C33:C34)</f>
        <v>0.44659353339366131</v>
      </c>
    </row>
    <row r="37" spans="2:6">
      <c r="B37" t="s">
        <v>335</v>
      </c>
      <c r="C37" s="26">
        <f>C34/SUM(C33:C34)</f>
        <v>0.55340646660633863</v>
      </c>
    </row>
    <row r="39" spans="2:6">
      <c r="B39" s="8" t="s">
        <v>336</v>
      </c>
      <c r="C39" s="30">
        <f>C25*C37+C36*C30</f>
        <v>6.0095940091885965E-2</v>
      </c>
    </row>
    <row r="40" spans="2:6">
      <c r="E40" t="s">
        <v>337</v>
      </c>
    </row>
    <row r="41" spans="2:6">
      <c r="B41" s="8" t="s">
        <v>338</v>
      </c>
      <c r="C41" s="26">
        <f>7.34285924250969%+E41</f>
        <v>7.3428592425096903E-2</v>
      </c>
      <c r="E41">
        <v>0</v>
      </c>
      <c r="F41">
        <v>0.02</v>
      </c>
    </row>
    <row r="42" spans="2:6">
      <c r="B42" s="8" t="s">
        <v>336</v>
      </c>
      <c r="C42" s="26">
        <f>6.01659994054048%+E42</f>
        <v>6.0165999405404805E-2</v>
      </c>
      <c r="E42">
        <v>0</v>
      </c>
      <c r="F42">
        <v>1.2999999999999999E-2</v>
      </c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1C665-2430-4D85-885A-0CD6334703DF}">
  <dimension ref="B2:I40"/>
  <sheetViews>
    <sheetView showGridLines="0" workbookViewId="0">
      <selection activeCell="E27" sqref="E27"/>
    </sheetView>
  </sheetViews>
  <sheetFormatPr defaultColWidth="8.85546875" defaultRowHeight="15"/>
  <cols>
    <col min="1" max="1" width="2.42578125" customWidth="1"/>
    <col min="2" max="2" width="34.42578125" bestFit="1" customWidth="1"/>
    <col min="3" max="10" width="13.42578125" customWidth="1"/>
  </cols>
  <sheetData>
    <row r="2" spans="2:9" ht="21.75" thickBot="1">
      <c r="B2" s="31" t="s">
        <v>339</v>
      </c>
      <c r="C2" s="32"/>
      <c r="D2" s="32"/>
      <c r="E2" s="32"/>
      <c r="F2" s="32"/>
      <c r="G2" s="32"/>
      <c r="H2" s="32"/>
      <c r="I2" s="32"/>
    </row>
    <row r="3" spans="2:9">
      <c r="B3" s="76" t="s">
        <v>221</v>
      </c>
    </row>
    <row r="5" spans="2:9">
      <c r="B5" t="s">
        <v>222</v>
      </c>
      <c r="C5" s="45">
        <v>46022</v>
      </c>
      <c r="E5" t="s">
        <v>338</v>
      </c>
      <c r="G5" s="94">
        <f>WACC!C41</f>
        <v>7.3428592425096903E-2</v>
      </c>
    </row>
    <row r="6" spans="2:9">
      <c r="B6" t="s">
        <v>224</v>
      </c>
      <c r="C6" s="45">
        <v>46387</v>
      </c>
      <c r="E6" t="s">
        <v>225</v>
      </c>
      <c r="G6" s="75" cm="1">
        <f t="array" ref="G6">_xll.BDP("VZ US EQUITY", "PX_Last")</f>
        <v>47.066600000000001</v>
      </c>
    </row>
    <row r="7" spans="2:9">
      <c r="B7" t="s">
        <v>226</v>
      </c>
      <c r="C7" s="78"/>
      <c r="E7" t="s">
        <v>227</v>
      </c>
      <c r="G7" s="45">
        <f ca="1">TODAY()</f>
        <v>46152</v>
      </c>
    </row>
    <row r="8" spans="2:9">
      <c r="B8" t="s">
        <v>228</v>
      </c>
      <c r="C8" s="45">
        <f>FCFM!C7</f>
        <v>46136</v>
      </c>
    </row>
    <row r="9" spans="2:9">
      <c r="C9" s="11"/>
    </row>
    <row r="11" spans="2:9">
      <c r="B11" s="52" t="s">
        <v>340</v>
      </c>
      <c r="C11" s="48"/>
      <c r="D11" s="48"/>
      <c r="E11" s="48"/>
      <c r="F11" s="48"/>
      <c r="G11" s="48"/>
      <c r="H11" s="48"/>
      <c r="I11" s="48"/>
    </row>
    <row r="12" spans="2:9">
      <c r="B12" s="79" t="s">
        <v>1</v>
      </c>
      <c r="C12" s="79"/>
      <c r="D12" s="81" t="s">
        <v>232</v>
      </c>
      <c r="E12" s="81" t="s">
        <v>233</v>
      </c>
      <c r="F12" s="81" t="s">
        <v>234</v>
      </c>
      <c r="G12" s="81" t="s">
        <v>235</v>
      </c>
      <c r="H12" s="81" t="s">
        <v>236</v>
      </c>
      <c r="I12" s="81" t="s">
        <v>237</v>
      </c>
    </row>
    <row r="13" spans="2:9">
      <c r="B13" s="40" t="s">
        <v>2</v>
      </c>
      <c r="C13" s="40"/>
      <c r="D13" s="41">
        <v>46022</v>
      </c>
      <c r="E13" s="41">
        <f>EOMONTH(D13,12)</f>
        <v>46387</v>
      </c>
      <c r="F13" s="41">
        <f>EOMONTH(E13,12)</f>
        <v>46752</v>
      </c>
      <c r="G13" s="41">
        <f>EOMONTH(F13,12)</f>
        <v>47118</v>
      </c>
      <c r="H13" s="41">
        <f>EOMONTH(G13,12)</f>
        <v>47483</v>
      </c>
      <c r="I13" s="41">
        <f>EOMONTH(H13,12)</f>
        <v>47848</v>
      </c>
    </row>
    <row r="15" spans="2:9" ht="17.25">
      <c r="E15" s="86" t="s">
        <v>249</v>
      </c>
      <c r="F15" s="84">
        <v>1</v>
      </c>
      <c r="G15" s="84">
        <f>F15+1</f>
        <v>2</v>
      </c>
      <c r="H15" s="84">
        <f t="shared" ref="H15:I15" si="0">G15+1</f>
        <v>3</v>
      </c>
      <c r="I15" s="84">
        <f t="shared" si="0"/>
        <v>4</v>
      </c>
    </row>
    <row r="16" spans="2:9">
      <c r="E16" s="45">
        <f>EOMONTH(C8,12)</f>
        <v>46507</v>
      </c>
      <c r="F16" s="45">
        <f>F13</f>
        <v>46752</v>
      </c>
      <c r="G16" s="45">
        <f t="shared" ref="G16:I16" si="1">G13</f>
        <v>47118</v>
      </c>
      <c r="H16" s="45">
        <f t="shared" si="1"/>
        <v>47483</v>
      </c>
      <c r="I16" s="45">
        <f t="shared" si="1"/>
        <v>47848</v>
      </c>
    </row>
    <row r="17" spans="2:9">
      <c r="B17" t="s">
        <v>192</v>
      </c>
      <c r="F17" s="93">
        <f>FSM!G226</f>
        <v>2.8349999999999995</v>
      </c>
      <c r="G17" s="93">
        <f>FSM!H226</f>
        <v>2.8849999999999993</v>
      </c>
      <c r="H17" s="93">
        <f>FSM!I226</f>
        <v>2.9349999999999992</v>
      </c>
      <c r="I17" s="93">
        <f>FSM!J226</f>
        <v>2.984999999999999</v>
      </c>
    </row>
    <row r="18" spans="2:9">
      <c r="B18" t="s">
        <v>341</v>
      </c>
      <c r="F18" s="11"/>
      <c r="G18" s="11">
        <f t="shared" ref="G18:I18" si="2">G17/F17-1</f>
        <v>1.7636684303350858E-2</v>
      </c>
      <c r="H18" s="11">
        <f t="shared" si="2"/>
        <v>1.7331022530329143E-2</v>
      </c>
      <c r="I18" s="11">
        <f t="shared" si="2"/>
        <v>1.7035775127768327E-2</v>
      </c>
    </row>
    <row r="19" spans="2:9">
      <c r="B19" s="8" t="s">
        <v>342</v>
      </c>
      <c r="F19" s="96">
        <f>F17/(1+$G$5)^((F13-$E$16)/365)</f>
        <v>2.7033178187781743</v>
      </c>
      <c r="G19" s="96">
        <f>G17/(1+$G$5)^((G13-$E$16)/365)</f>
        <v>2.5623142512312564</v>
      </c>
      <c r="H19" s="96">
        <f>H17/(1+$G$5)^((H13-$E$16)/365)</f>
        <v>2.4284072509751269</v>
      </c>
      <c r="I19" s="96">
        <f>I17/(1+$G$5)^((I13-$E$16)/365)</f>
        <v>2.3008303190821895</v>
      </c>
    </row>
    <row r="21" spans="2:9">
      <c r="B21" s="36" t="s">
        <v>254</v>
      </c>
      <c r="C21" s="61"/>
      <c r="D21" s="61"/>
    </row>
    <row r="22" spans="2:9">
      <c r="B22" t="s">
        <v>256</v>
      </c>
      <c r="D22" s="77">
        <v>0.02</v>
      </c>
    </row>
    <row r="23" spans="2:9">
      <c r="B23" t="s">
        <v>343</v>
      </c>
      <c r="D23" s="75">
        <f>I17*(1+D22)</f>
        <v>3.0446999999999989</v>
      </c>
    </row>
    <row r="24" spans="2:9">
      <c r="B24" t="s">
        <v>259</v>
      </c>
      <c r="D24" s="97">
        <f>D23/(G5-D22)</f>
        <v>56.986341241694745</v>
      </c>
    </row>
    <row r="25" spans="2:9">
      <c r="B25" t="s">
        <v>261</v>
      </c>
      <c r="D25" s="97">
        <f>D24/(1+$G$5)^((I13-E16)/365)</f>
        <v>43.924925193452296</v>
      </c>
    </row>
    <row r="26" spans="2:9">
      <c r="B26" t="s">
        <v>344</v>
      </c>
      <c r="D26" s="97">
        <f>SUM(G19:I19)</f>
        <v>7.2915518212885733</v>
      </c>
    </row>
    <row r="27" spans="2:9">
      <c r="B27" s="8" t="s">
        <v>345</v>
      </c>
      <c r="D27" s="96">
        <f>SUM(D25:D26)</f>
        <v>51.216477014740867</v>
      </c>
    </row>
    <row r="29" spans="2:9">
      <c r="B29" s="36" t="s">
        <v>288</v>
      </c>
      <c r="C29" s="36"/>
      <c r="D29" s="36"/>
      <c r="E29" s="36"/>
      <c r="F29" s="36"/>
      <c r="G29" s="36"/>
      <c r="H29" s="36"/>
    </row>
    <row r="31" spans="2:9">
      <c r="B31" s="107"/>
      <c r="C31" s="151" t="s">
        <v>289</v>
      </c>
      <c r="D31" s="151"/>
      <c r="E31" s="151"/>
      <c r="F31" s="151"/>
      <c r="G31" s="151"/>
      <c r="H31" s="151"/>
    </row>
    <row r="32" spans="2:9">
      <c r="C32" s="152" t="s">
        <v>290</v>
      </c>
      <c r="D32" s="152"/>
      <c r="E32" s="152"/>
      <c r="F32" s="152"/>
      <c r="G32" s="152"/>
      <c r="H32" s="152"/>
    </row>
    <row r="33" spans="2:8">
      <c r="B33" s="108"/>
      <c r="C33" s="109">
        <f>D27</f>
        <v>51.216477014740867</v>
      </c>
      <c r="D33" s="110">
        <f>E33-0.00125</f>
        <v>1.7499999999999998E-2</v>
      </c>
      <c r="E33" s="110">
        <f>F33-0.00125</f>
        <v>1.8749999999999999E-2</v>
      </c>
      <c r="F33" s="111">
        <v>0.02</v>
      </c>
      <c r="G33" s="110">
        <f>F33+0.00125</f>
        <v>2.1250000000000002E-2</v>
      </c>
      <c r="H33" s="110">
        <f>G33+0.00125</f>
        <v>2.2500000000000003E-2</v>
      </c>
    </row>
    <row r="34" spans="2:8">
      <c r="B34" s="153" t="s">
        <v>291</v>
      </c>
      <c r="C34" s="111">
        <f>C35-0.001</f>
        <v>7.1428592425096901E-2</v>
      </c>
      <c r="D34" s="112">
        <f t="dataTable" ref="D34:H38" dt2D="1" dtr="1" r1="D22" r2="G5"/>
        <v>51.036995787507799</v>
      </c>
      <c r="E34" s="113">
        <v>52.12914063248742</v>
      </c>
      <c r="F34" s="113">
        <v>53.274375830200803</v>
      </c>
      <c r="G34" s="113">
        <v>54.476668985419821</v>
      </c>
      <c r="H34" s="114">
        <v>55.740393151405165</v>
      </c>
    </row>
    <row r="35" spans="2:8">
      <c r="B35" s="153"/>
      <c r="C35" s="111">
        <f>C36-0.001</f>
        <v>7.2428592425096902E-2</v>
      </c>
      <c r="D35" s="115">
        <v>50.076394576184384</v>
      </c>
      <c r="E35" s="19">
        <v>51.126059129351404</v>
      </c>
      <c r="F35" s="19">
        <v>52.225775786943444</v>
      </c>
      <c r="G35" s="19">
        <v>53.379212008003435</v>
      </c>
      <c r="H35" s="116">
        <v>54.590402521996396</v>
      </c>
    </row>
    <row r="36" spans="2:8">
      <c r="B36" s="153"/>
      <c r="C36" s="111">
        <v>7.3428592425096903E-2</v>
      </c>
      <c r="D36" s="115">
        <v>49.15019242272102</v>
      </c>
      <c r="E36" s="19">
        <v>50.159716190661079</v>
      </c>
      <c r="F36" s="117">
        <v>51.216477014740867</v>
      </c>
      <c r="G36" s="19">
        <v>52.323869753891799</v>
      </c>
      <c r="H36" s="116">
        <v>53.485622563016172</v>
      </c>
    </row>
    <row r="37" spans="2:8">
      <c r="B37" s="153"/>
      <c r="C37" s="111">
        <f>C36+0.001</f>
        <v>7.4428592425096904E-2</v>
      </c>
      <c r="D37" s="115">
        <v>48.256576462235763</v>
      </c>
      <c r="E37" s="19">
        <v>49.228132200817853</v>
      </c>
      <c r="F37" s="19">
        <v>50.244313185768348</v>
      </c>
      <c r="G37" s="19">
        <v>51.308266259947317</v>
      </c>
      <c r="H37" s="116">
        <v>52.423441263341566</v>
      </c>
    </row>
    <row r="38" spans="2:8">
      <c r="B38" s="153"/>
      <c r="C38" s="111">
        <f>C37+0.001</f>
        <v>7.5428592425096905E-2</v>
      </c>
      <c r="D38" s="118">
        <v>47.393859009519595</v>
      </c>
      <c r="E38" s="119">
        <v>48.329467252779693</v>
      </c>
      <c r="F38" s="119">
        <v>49.307274305459522</v>
      </c>
      <c r="G38" s="119">
        <v>50.330200980526712</v>
      </c>
      <c r="H38" s="120">
        <v>51.401444011092821</v>
      </c>
    </row>
    <row r="40" spans="2:8">
      <c r="B40" t="s">
        <v>292</v>
      </c>
      <c r="C40" t="str">
        <f>IF(C36=G5,"Ok","Update Discount Rate")</f>
        <v>Ok</v>
      </c>
    </row>
  </sheetData>
  <mergeCells count="3">
    <mergeCell ref="C31:H31"/>
    <mergeCell ref="C32:H32"/>
    <mergeCell ref="B34:B38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88A05-9386-43B3-8D7C-3D97B9192D25}">
  <dimension ref="A1:I49"/>
  <sheetViews>
    <sheetView showGridLines="0" workbookViewId="0">
      <selection activeCell="B2" sqref="B2:I55"/>
    </sheetView>
  </sheetViews>
  <sheetFormatPr defaultColWidth="8.85546875" defaultRowHeight="15"/>
  <cols>
    <col min="1" max="1" width="2.42578125" customWidth="1"/>
    <col min="2" max="2" width="34.42578125" bestFit="1" customWidth="1"/>
    <col min="3" max="10" width="13.42578125" customWidth="1"/>
  </cols>
  <sheetData>
    <row r="1" spans="1:9">
      <c r="A1" s="92"/>
    </row>
    <row r="2" spans="1:9" ht="21.75" thickBot="1">
      <c r="B2" s="31" t="s">
        <v>346</v>
      </c>
      <c r="C2" s="32"/>
      <c r="D2" s="32"/>
      <c r="E2" s="32"/>
      <c r="F2" s="32"/>
      <c r="G2" s="32"/>
      <c r="H2" s="32"/>
      <c r="I2" s="32"/>
    </row>
    <row r="3" spans="1:9">
      <c r="B3" s="76" t="s">
        <v>221</v>
      </c>
    </row>
    <row r="5" spans="1:9">
      <c r="B5" t="s">
        <v>222</v>
      </c>
      <c r="C5" s="45">
        <v>46022</v>
      </c>
      <c r="E5" t="s">
        <v>338</v>
      </c>
      <c r="G5" s="94">
        <f>WACC!C41</f>
        <v>7.3428592425096903E-2</v>
      </c>
    </row>
    <row r="6" spans="1:9">
      <c r="B6" t="s">
        <v>224</v>
      </c>
      <c r="C6" s="45">
        <v>46387</v>
      </c>
      <c r="E6" t="s">
        <v>225</v>
      </c>
      <c r="G6" s="75" cm="1">
        <f t="array" ref="G6">_xll.BDP("VZ US EQUITY", "PX_Last")</f>
        <v>47.066600000000001</v>
      </c>
    </row>
    <row r="7" spans="1:9">
      <c r="B7" t="s">
        <v>226</v>
      </c>
      <c r="C7" s="78"/>
      <c r="E7" t="s">
        <v>227</v>
      </c>
      <c r="G7" s="45">
        <f ca="1">TODAY()</f>
        <v>46152</v>
      </c>
    </row>
    <row r="8" spans="1:9">
      <c r="B8" t="s">
        <v>228</v>
      </c>
      <c r="C8" s="45">
        <f>FCFM!C7</f>
        <v>46136</v>
      </c>
    </row>
    <row r="10" spans="1:9">
      <c r="B10" s="52" t="s">
        <v>347</v>
      </c>
      <c r="C10" s="48"/>
      <c r="D10" s="48"/>
      <c r="E10" s="48"/>
      <c r="F10" s="48"/>
      <c r="G10" s="48"/>
      <c r="H10" s="48"/>
      <c r="I10" s="48"/>
    </row>
    <row r="11" spans="1:9">
      <c r="B11" s="79" t="s">
        <v>1</v>
      </c>
      <c r="C11" s="79"/>
      <c r="D11" s="81" t="s">
        <v>232</v>
      </c>
      <c r="E11" s="81" t="s">
        <v>233</v>
      </c>
      <c r="F11" s="81" t="s">
        <v>234</v>
      </c>
      <c r="G11" s="81" t="s">
        <v>235</v>
      </c>
      <c r="H11" s="81" t="s">
        <v>236</v>
      </c>
      <c r="I11" s="81" t="s">
        <v>237</v>
      </c>
    </row>
    <row r="12" spans="1:9">
      <c r="B12" s="40" t="s">
        <v>2</v>
      </c>
      <c r="C12" s="40"/>
      <c r="D12" s="41">
        <v>46022</v>
      </c>
      <c r="E12" s="41">
        <v>46387</v>
      </c>
      <c r="F12" s="41">
        <v>46752</v>
      </c>
      <c r="G12" s="41">
        <v>47118</v>
      </c>
      <c r="H12" s="41">
        <v>47483</v>
      </c>
      <c r="I12" s="41">
        <v>47848</v>
      </c>
    </row>
    <row r="14" spans="1:9" ht="17.25">
      <c r="E14" s="86" t="s">
        <v>249</v>
      </c>
      <c r="F14" s="84">
        <v>1</v>
      </c>
      <c r="G14" s="84">
        <v>2</v>
      </c>
      <c r="H14" s="84">
        <v>3</v>
      </c>
      <c r="I14" s="84">
        <v>4</v>
      </c>
    </row>
    <row r="15" spans="1:9">
      <c r="E15" s="45">
        <f>EOMONTH(C8,12)</f>
        <v>46507</v>
      </c>
      <c r="F15" s="45">
        <v>46752</v>
      </c>
      <c r="G15" s="45">
        <v>47118</v>
      </c>
      <c r="H15" s="45">
        <v>47483</v>
      </c>
      <c r="I15" s="45">
        <v>47848</v>
      </c>
    </row>
    <row r="16" spans="1:9">
      <c r="B16" t="s">
        <v>348</v>
      </c>
      <c r="C16" s="8" t="s">
        <v>349</v>
      </c>
      <c r="D16" s="106">
        <v>0.5</v>
      </c>
      <c r="E16" s="93">
        <f>FSM!F268</f>
        <v>3.5639393067110645</v>
      </c>
      <c r="F16" s="93">
        <f>FSM!G268</f>
        <v>4.1150519625949613</v>
      </c>
      <c r="G16" s="93">
        <f>FSM!H268</f>
        <v>4.5004555467388379</v>
      </c>
      <c r="H16" s="93">
        <f>FSM!I268</f>
        <v>4.8385555884130165</v>
      </c>
      <c r="I16" s="93">
        <f>FSM!J268</f>
        <v>5.0508891816032486</v>
      </c>
    </row>
    <row r="17" spans="2:9">
      <c r="B17" t="s">
        <v>350</v>
      </c>
      <c r="E17" s="93">
        <f>FSM!F280</f>
        <v>24.542692595200354</v>
      </c>
      <c r="F17" s="75">
        <f>E17+F16-DDM!F17</f>
        <v>25.822744557795314</v>
      </c>
      <c r="G17" s="75">
        <f>F17+G16-DDM!G17</f>
        <v>27.438200104534154</v>
      </c>
      <c r="H17" s="75">
        <f>G17+H16-DDM!H17</f>
        <v>29.341755692947171</v>
      </c>
      <c r="I17" s="75">
        <f>H17+I16-DDM!I17</f>
        <v>31.407644874550421</v>
      </c>
    </row>
    <row r="18" spans="2:9">
      <c r="B18" s="17" t="s">
        <v>347</v>
      </c>
      <c r="F18" s="105">
        <f>F16-(F17*$G$5)</f>
        <v>2.21892417716322</v>
      </c>
      <c r="G18" s="105">
        <f t="shared" ref="G18:I18" si="0">G16-(G17*$G$5)</f>
        <v>2.4857071343847483</v>
      </c>
      <c r="H18" s="105">
        <f t="shared" si="0"/>
        <v>2.6840317685988317</v>
      </c>
      <c r="I18" s="105">
        <f t="shared" si="0"/>
        <v>2.744670027077702</v>
      </c>
    </row>
    <row r="19" spans="2:9">
      <c r="B19" s="8" t="s">
        <v>351</v>
      </c>
      <c r="F19" s="75">
        <f>F18/(1+$G$5)^((F15-$E$15)/365)</f>
        <v>2.1158579423784944</v>
      </c>
      <c r="G19" s="75">
        <f>G18/(1+$G$5)^((G15-$E$15)/365)</f>
        <v>2.207682084860052</v>
      </c>
      <c r="H19" s="75">
        <f>H18/(1+$G$5)^((H15-$E$15)/365)</f>
        <v>2.2207571409584324</v>
      </c>
      <c r="I19" s="75">
        <f>I18/(1+$G$5)^((I15-$E$15)/365)</f>
        <v>2.115584594363991</v>
      </c>
    </row>
    <row r="21" spans="2:9">
      <c r="B21" s="36" t="s">
        <v>254</v>
      </c>
      <c r="C21" s="61"/>
      <c r="D21" s="61"/>
    </row>
    <row r="22" spans="2:9">
      <c r="B22" t="s">
        <v>352</v>
      </c>
      <c r="D22" s="77">
        <v>0.02</v>
      </c>
    </row>
    <row r="23" spans="2:9">
      <c r="B23" t="s">
        <v>353</v>
      </c>
      <c r="D23" s="75">
        <f>I18*(1+D22)</f>
        <v>2.799563427619256</v>
      </c>
    </row>
    <row r="24" spans="2:9">
      <c r="B24" t="s">
        <v>354</v>
      </c>
      <c r="D24" s="97">
        <f>D23/(1+G5-D16)</f>
        <v>4.8821482998948023</v>
      </c>
    </row>
    <row r="25" spans="2:9">
      <c r="B25" t="s">
        <v>355</v>
      </c>
      <c r="D25" s="97">
        <f>D24/(1+$G$5)^((I15-E15)/365)</f>
        <v>3.7631473469526067</v>
      </c>
    </row>
    <row r="26" spans="2:9">
      <c r="B26" t="s">
        <v>356</v>
      </c>
      <c r="D26" s="97">
        <f>SUM(G19:I19)</f>
        <v>6.5440238201824759</v>
      </c>
    </row>
    <row r="27" spans="2:9">
      <c r="B27" t="s">
        <v>357</v>
      </c>
      <c r="D27" s="97">
        <f>F17</f>
        <v>25.822744557795314</v>
      </c>
    </row>
    <row r="28" spans="2:9">
      <c r="B28" s="8" t="s">
        <v>345</v>
      </c>
      <c r="D28" s="96">
        <f>SUM(D25:D27)</f>
        <v>36.129915724930399</v>
      </c>
    </row>
    <row r="30" spans="2:9">
      <c r="B30" s="36" t="s">
        <v>288</v>
      </c>
      <c r="C30" s="36"/>
      <c r="D30" s="36"/>
      <c r="E30" s="36"/>
      <c r="F30" s="36"/>
      <c r="G30" s="36"/>
      <c r="H30" s="36"/>
    </row>
    <row r="32" spans="2:9">
      <c r="B32" s="107"/>
      <c r="C32" s="151" t="s">
        <v>289</v>
      </c>
      <c r="D32" s="151"/>
      <c r="E32" s="151"/>
      <c r="F32" s="151"/>
      <c r="G32" s="151"/>
      <c r="H32" s="151"/>
    </row>
    <row r="33" spans="2:8">
      <c r="C33" s="152" t="s">
        <v>290</v>
      </c>
      <c r="D33" s="152"/>
      <c r="E33" s="152"/>
      <c r="F33" s="152"/>
      <c r="G33" s="152"/>
      <c r="H33" s="152"/>
    </row>
    <row r="34" spans="2:8">
      <c r="B34" s="108"/>
      <c r="C34" s="109">
        <f>D28</f>
        <v>36.129915724930399</v>
      </c>
      <c r="D34" s="110">
        <f>E34-0.0025</f>
        <v>1.5000000000000001E-2</v>
      </c>
      <c r="E34" s="110">
        <f>F34-0.0025</f>
        <v>1.7500000000000002E-2</v>
      </c>
      <c r="F34" s="111">
        <v>0.02</v>
      </c>
      <c r="G34" s="110">
        <f>F34+0.0025</f>
        <v>2.2499999999999999E-2</v>
      </c>
      <c r="H34" s="110">
        <f>G34+0.0025</f>
        <v>2.4999999999999998E-2</v>
      </c>
    </row>
    <row r="35" spans="2:8">
      <c r="B35" s="153" t="s">
        <v>291</v>
      </c>
      <c r="C35" s="111">
        <f>C36-0.002</f>
        <v>6.9428592425096899E-2</v>
      </c>
      <c r="D35" s="112">
        <f t="dataTable" ref="D35:H39" dt2D="1" dtr="1" r1="D22" r2="G5" ca="1"/>
        <v>36.724529215793673</v>
      </c>
      <c r="E35" s="113">
        <v>36.734376698766788</v>
      </c>
      <c r="F35" s="113">
        <v>36.744224181739902</v>
      </c>
      <c r="G35" s="113">
        <v>36.754071664713017</v>
      </c>
      <c r="H35" s="114">
        <v>36.763919147686131</v>
      </c>
    </row>
    <row r="36" spans="2:8">
      <c r="B36" s="153"/>
      <c r="C36" s="111">
        <f>C37-0.002</f>
        <v>7.1428592425096901E-2</v>
      </c>
      <c r="D36" s="115">
        <v>36.41599343688523</v>
      </c>
      <c r="E36" s="19">
        <v>36.425526038467197</v>
      </c>
      <c r="F36" s="19">
        <v>36.435058640049164</v>
      </c>
      <c r="G36" s="19">
        <v>36.44459124163113</v>
      </c>
      <c r="H36" s="116">
        <v>36.454123843213104</v>
      </c>
    </row>
    <row r="37" spans="2:8">
      <c r="B37" s="153"/>
      <c r="C37" s="111">
        <v>7.3428592425096903E-2</v>
      </c>
      <c r="D37" s="115">
        <v>36.111468924210044</v>
      </c>
      <c r="E37" s="19">
        <v>36.120692324570221</v>
      </c>
      <c r="F37" s="117">
        <v>36.129915724930399</v>
      </c>
      <c r="G37" s="19">
        <v>36.139139125290576</v>
      </c>
      <c r="H37" s="116">
        <v>36.148362525650754</v>
      </c>
    </row>
    <row r="38" spans="2:8">
      <c r="B38" s="153"/>
      <c r="C38" s="111">
        <f>C37+0.002</f>
        <v>7.5428592425096905E-2</v>
      </c>
      <c r="D38" s="115">
        <v>35.810895643035316</v>
      </c>
      <c r="E38" s="19">
        <v>35.819815419400655</v>
      </c>
      <c r="F38" s="19">
        <v>35.828735195765987</v>
      </c>
      <c r="G38" s="19">
        <v>35.837654972131318</v>
      </c>
      <c r="H38" s="116">
        <v>35.846574748496657</v>
      </c>
    </row>
    <row r="39" spans="2:8">
      <c r="B39" s="153"/>
      <c r="C39" s="111">
        <f>C38+0.002</f>
        <v>7.7428592425096907E-2</v>
      </c>
      <c r="D39" s="118">
        <v>35.514214607443911</v>
      </c>
      <c r="E39" s="119">
        <v>35.522836236125393</v>
      </c>
      <c r="F39" s="119">
        <v>35.531457864806875</v>
      </c>
      <c r="G39" s="119">
        <v>35.540079493488356</v>
      </c>
      <c r="H39" s="120">
        <v>35.548701122169838</v>
      </c>
    </row>
    <row r="40" spans="2:8">
      <c r="B40" s="13" t="s">
        <v>292</v>
      </c>
      <c r="C40" t="str">
        <f>IF(C37=G5,"Ok","Check")</f>
        <v>Ok</v>
      </c>
    </row>
    <row r="41" spans="2:8">
      <c r="B41" s="107"/>
      <c r="C41" s="151" t="s">
        <v>289</v>
      </c>
      <c r="D41" s="151"/>
      <c r="E41" s="151"/>
      <c r="F41" s="151"/>
      <c r="G41" s="151"/>
      <c r="H41" s="151"/>
    </row>
    <row r="42" spans="2:8">
      <c r="C42" s="152" t="s">
        <v>349</v>
      </c>
      <c r="D42" s="152"/>
      <c r="E42" s="152"/>
      <c r="F42" s="152"/>
      <c r="G42" s="152"/>
      <c r="H42" s="152"/>
    </row>
    <row r="43" spans="2:8">
      <c r="B43" s="108"/>
      <c r="C43" s="109">
        <f>D28</f>
        <v>36.129915724930399</v>
      </c>
      <c r="D43" s="8">
        <f>E43-0.1</f>
        <v>0.30000000000000004</v>
      </c>
      <c r="E43" s="8">
        <f>F43-0.1</f>
        <v>0.4</v>
      </c>
      <c r="F43" s="8">
        <v>0.5</v>
      </c>
      <c r="G43" s="8">
        <f>F43+0.1</f>
        <v>0.6</v>
      </c>
      <c r="H43" s="8">
        <f>G43+0.1</f>
        <v>0.7</v>
      </c>
    </row>
    <row r="44" spans="2:8">
      <c r="B44" s="153" t="s">
        <v>291</v>
      </c>
      <c r="C44" s="111">
        <f>C45-0.002</f>
        <v>6.9428592425096899E-2</v>
      </c>
      <c r="D44" s="112">
        <f t="dataTable" ref="D44:H48" dt2D="1" dtr="1" r1="D16" r2="G5"/>
        <v>35.699871764222401</v>
      </c>
      <c r="E44" s="113">
        <v>36.144044700538444</v>
      </c>
      <c r="F44" s="113">
        <v>36.744224181739902</v>
      </c>
      <c r="G44" s="113">
        <v>37.600110064675818</v>
      </c>
      <c r="H44" s="114">
        <v>38.919352547769563</v>
      </c>
    </row>
    <row r="45" spans="2:8">
      <c r="B45" s="153"/>
      <c r="C45" s="111">
        <f>C46-0.002</f>
        <v>7.1428592425096901E-2</v>
      </c>
      <c r="D45" s="115">
        <v>35.426721255712252</v>
      </c>
      <c r="E45" s="19">
        <v>35.855800996076098</v>
      </c>
      <c r="F45" s="19">
        <v>36.435058640049164</v>
      </c>
      <c r="G45" s="19">
        <v>37.260061940217284</v>
      </c>
      <c r="H45" s="116">
        <v>38.529297761517697</v>
      </c>
    </row>
    <row r="46" spans="2:8">
      <c r="B46" s="153"/>
      <c r="C46" s="111">
        <v>7.3428592425096903E-2</v>
      </c>
      <c r="D46" s="115">
        <v>35.156807830081775</v>
      </c>
      <c r="E46" s="19">
        <v>35.571111511791621</v>
      </c>
      <c r="F46" s="117">
        <v>36.129915724930399</v>
      </c>
      <c r="G46" s="19">
        <v>36.92478688547358</v>
      </c>
      <c r="H46" s="116">
        <v>38.145373257260317</v>
      </c>
    </row>
    <row r="47" spans="2:8">
      <c r="B47" s="153"/>
      <c r="C47" s="111">
        <f>C46+0.002</f>
        <v>7.5428592425096905E-2</v>
      </c>
      <c r="D47" s="115">
        <v>34.890088157829211</v>
      </c>
      <c r="E47" s="19">
        <v>35.289926386386171</v>
      </c>
      <c r="F47" s="19">
        <v>35.828735195765987</v>
      </c>
      <c r="G47" s="19">
        <v>36.594206354850691</v>
      </c>
      <c r="H47" s="116">
        <v>37.767462735694934</v>
      </c>
    </row>
    <row r="48" spans="2:8">
      <c r="B48" s="153"/>
      <c r="C48" s="111">
        <f>C47+0.002</f>
        <v>7.7428592425096907E-2</v>
      </c>
      <c r="D48" s="118">
        <v>34.626519575601037</v>
      </c>
      <c r="E48" s="119">
        <v>35.012196566807667</v>
      </c>
      <c r="F48" s="119">
        <v>35.531457864806875</v>
      </c>
      <c r="G48" s="119">
        <v>36.268243335525455</v>
      </c>
      <c r="H48" s="120">
        <v>37.395452576729724</v>
      </c>
    </row>
    <row r="49" spans="2:3">
      <c r="B49" s="13" t="s">
        <v>292</v>
      </c>
      <c r="C49" t="str">
        <f>IF(C46=G5,"Ok","Check")</f>
        <v>Ok</v>
      </c>
    </row>
  </sheetData>
  <mergeCells count="6">
    <mergeCell ref="B44:B48"/>
    <mergeCell ref="C32:H32"/>
    <mergeCell ref="C33:H33"/>
    <mergeCell ref="B35:B39"/>
    <mergeCell ref="C41:H41"/>
    <mergeCell ref="C42:H42"/>
  </mergeCells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DD331-FFD1-43C5-97A9-2EA3021AEA59}">
  <dimension ref="B2:J62"/>
  <sheetViews>
    <sheetView showGridLines="0" workbookViewId="0">
      <selection activeCell="H33" sqref="H33"/>
    </sheetView>
  </sheetViews>
  <sheetFormatPr defaultColWidth="8.85546875" defaultRowHeight="15"/>
  <cols>
    <col min="1" max="1" width="2.42578125" customWidth="1"/>
    <col min="2" max="2" width="34.42578125" bestFit="1" customWidth="1"/>
    <col min="3" max="10" width="13.42578125" customWidth="1"/>
  </cols>
  <sheetData>
    <row r="2" spans="2:10" ht="21.75" thickBot="1">
      <c r="B2" s="31" t="s">
        <v>358</v>
      </c>
      <c r="C2" s="32"/>
      <c r="D2" s="32"/>
      <c r="E2" s="32"/>
      <c r="F2" s="32"/>
      <c r="G2" s="32"/>
      <c r="H2" s="32"/>
      <c r="I2" s="32"/>
    </row>
    <row r="3" spans="2:10">
      <c r="B3" s="76" t="s">
        <v>221</v>
      </c>
    </row>
    <row r="5" spans="2:10">
      <c r="B5" t="s">
        <v>222</v>
      </c>
      <c r="C5" s="45">
        <v>46022</v>
      </c>
      <c r="E5" t="s">
        <v>336</v>
      </c>
      <c r="G5" s="94">
        <f>WACC!C42</f>
        <v>6.0165999405404805E-2</v>
      </c>
    </row>
    <row r="6" spans="2:10">
      <c r="B6" t="s">
        <v>224</v>
      </c>
      <c r="C6" s="45">
        <v>46387</v>
      </c>
      <c r="E6" t="s">
        <v>225</v>
      </c>
      <c r="G6" s="75" cm="1">
        <f t="array" ref="G6">_xll.BDP("VZ US EQUITY", "PX_Last")</f>
        <v>47.066600000000001</v>
      </c>
    </row>
    <row r="7" spans="2:10">
      <c r="B7" t="s">
        <v>226</v>
      </c>
      <c r="C7" s="78"/>
      <c r="E7" t="s">
        <v>227</v>
      </c>
      <c r="G7" s="45">
        <f ca="1">TODAY()</f>
        <v>46152</v>
      </c>
    </row>
    <row r="8" spans="2:10">
      <c r="B8" t="s">
        <v>228</v>
      </c>
      <c r="C8" s="45">
        <f>FCFM!C7</f>
        <v>46136</v>
      </c>
    </row>
    <row r="10" spans="2:10">
      <c r="B10" s="52" t="s">
        <v>347</v>
      </c>
      <c r="C10" s="48"/>
      <c r="D10" s="48"/>
      <c r="E10" s="48"/>
      <c r="F10" s="48"/>
      <c r="G10" s="48"/>
      <c r="H10" s="48"/>
      <c r="I10" s="48"/>
    </row>
    <row r="11" spans="2:10">
      <c r="B11" s="79" t="s">
        <v>1</v>
      </c>
      <c r="C11" s="79"/>
      <c r="D11" s="81" t="s">
        <v>232</v>
      </c>
      <c r="E11" s="81" t="s">
        <v>233</v>
      </c>
      <c r="F11" s="81" t="s">
        <v>234</v>
      </c>
      <c r="G11" s="81" t="s">
        <v>235</v>
      </c>
      <c r="H11" s="81" t="s">
        <v>236</v>
      </c>
      <c r="I11" s="81" t="s">
        <v>237</v>
      </c>
    </row>
    <row r="12" spans="2:10">
      <c r="B12" s="40" t="s">
        <v>2</v>
      </c>
      <c r="C12" s="40"/>
      <c r="D12" s="41">
        <v>46022</v>
      </c>
      <c r="E12" s="41">
        <v>46387</v>
      </c>
      <c r="F12" s="41">
        <v>46752</v>
      </c>
      <c r="G12" s="41">
        <v>47118</v>
      </c>
      <c r="H12" s="41">
        <v>47483</v>
      </c>
      <c r="I12" s="41">
        <v>47848</v>
      </c>
    </row>
    <row r="14" spans="2:10" ht="17.25">
      <c r="E14" s="86" t="s">
        <v>249</v>
      </c>
      <c r="F14" s="84">
        <v>1</v>
      </c>
      <c r="G14" s="84">
        <v>2</v>
      </c>
      <c r="H14" s="84">
        <v>3</v>
      </c>
      <c r="I14" s="84">
        <v>4</v>
      </c>
    </row>
    <row r="15" spans="2:10">
      <c r="E15" s="45">
        <f>EOMONTH(C8,12)</f>
        <v>46507</v>
      </c>
      <c r="F15" s="45">
        <v>46752</v>
      </c>
      <c r="G15" s="45">
        <v>47118</v>
      </c>
      <c r="H15" s="45">
        <v>47483</v>
      </c>
      <c r="I15" s="45">
        <v>47848</v>
      </c>
    </row>
    <row r="16" spans="2:10">
      <c r="B16" s="17" t="s">
        <v>244</v>
      </c>
      <c r="E16" s="88">
        <f>FCFM!F23</f>
        <v>20852.723549837447</v>
      </c>
      <c r="F16" s="88">
        <f>FCFM!G23</f>
        <v>23469.446355929038</v>
      </c>
      <c r="G16" s="88">
        <f>FCFM!H23</f>
        <v>25375.039617447066</v>
      </c>
      <c r="H16" s="88">
        <f>FCFM!I23</f>
        <v>27077.632848490201</v>
      </c>
      <c r="I16" s="88">
        <f>FCFM!J23</f>
        <v>28240.507666450067</v>
      </c>
      <c r="J16" s="9">
        <f>I16*(1.02)</f>
        <v>28805.317819779069</v>
      </c>
    </row>
    <row r="17" spans="2:9">
      <c r="B17" s="17" t="s">
        <v>359</v>
      </c>
      <c r="E17" s="88">
        <f>FSM!F275+FSM!F69+FSM!F62+FSM!F58</f>
        <v>270973.34545459104</v>
      </c>
      <c r="F17" s="88">
        <f>FSM!G275+FSM!G69+FSM!G62+FSM!G58</f>
        <v>280743.77056086645</v>
      </c>
      <c r="G17" s="88">
        <f>FSM!H275+FSM!H69+FSM!H62+FSM!H58</f>
        <v>292219.07833343092</v>
      </c>
      <c r="H17" s="88">
        <f>FSM!I275+FSM!I69+FSM!I62+FSM!I58</f>
        <v>304270.74395395775</v>
      </c>
      <c r="I17" s="88">
        <f>FSM!J275+FSM!J69+FSM!J62+FSM!J58</f>
        <v>317370.21470833651</v>
      </c>
    </row>
    <row r="18" spans="2:9">
      <c r="B18" t="s">
        <v>360</v>
      </c>
      <c r="F18" s="11">
        <f>G16/F17</f>
        <v>9.0385049565848335E-2</v>
      </c>
      <c r="G18" s="11">
        <f t="shared" ref="G18:I18" si="0">H16/G17</f>
        <v>9.266209791269614E-2</v>
      </c>
      <c r="H18" s="11">
        <f t="shared" si="0"/>
        <v>9.2813746400552469E-2</v>
      </c>
      <c r="I18" s="11">
        <f t="shared" si="0"/>
        <v>9.0762511681353519E-2</v>
      </c>
    </row>
    <row r="19" spans="2:9">
      <c r="B19" t="s">
        <v>361</v>
      </c>
      <c r="F19" s="56">
        <f>F17*(F18-$G$5)</f>
        <v>8483.8100848108734</v>
      </c>
      <c r="G19" s="56">
        <f t="shared" ref="G19:I19" si="1">G17*(G18-$G$5)</f>
        <v>9495.9799552330551</v>
      </c>
      <c r="H19" s="56">
        <f t="shared" si="1"/>
        <v>9933.7542666341687</v>
      </c>
      <c r="I19" s="56">
        <f t="shared" si="1"/>
        <v>9710.4216703440979</v>
      </c>
    </row>
    <row r="20" spans="2:9">
      <c r="B20" s="8" t="s">
        <v>362</v>
      </c>
      <c r="F20" s="10">
        <f>F19/(1+$G$5)^((F15-E15)/365)</f>
        <v>8157.5390422847249</v>
      </c>
      <c r="G20" s="10">
        <f t="shared" ref="G20:I20" si="2">G19/(1+$G$5)^((G15-F15)/365)</f>
        <v>8955.6353080740992</v>
      </c>
      <c r="H20" s="10">
        <f t="shared" si="2"/>
        <v>9369.9989173445701</v>
      </c>
      <c r="I20" s="10">
        <f t="shared" si="2"/>
        <v>9159.3407785103445</v>
      </c>
    </row>
    <row r="22" spans="2:9">
      <c r="B22" s="36" t="s">
        <v>254</v>
      </c>
      <c r="C22" s="61"/>
      <c r="D22" s="61"/>
    </row>
    <row r="23" spans="2:9">
      <c r="B23" t="s">
        <v>256</v>
      </c>
      <c r="D23" s="77">
        <v>0.02</v>
      </c>
    </row>
    <row r="24" spans="2:9">
      <c r="B24" t="s">
        <v>363</v>
      </c>
      <c r="D24" s="9">
        <f>I20*(1+D23)</f>
        <v>9342.5275940805514</v>
      </c>
    </row>
    <row r="25" spans="2:9">
      <c r="B25" t="s">
        <v>259</v>
      </c>
      <c r="D25" s="9">
        <f>D24/(G5-D23)</f>
        <v>232597.91197485817</v>
      </c>
    </row>
    <row r="26" spans="2:9">
      <c r="B26" t="s">
        <v>261</v>
      </c>
      <c r="D26" s="9">
        <f>D25/(1+$G$5)^((I15-E15)/365)</f>
        <v>187664.83519441658</v>
      </c>
    </row>
    <row r="27" spans="2:9">
      <c r="B27" t="s">
        <v>263</v>
      </c>
      <c r="D27" s="9">
        <f>SUM(G20:I20)</f>
        <v>27484.975003929012</v>
      </c>
    </row>
    <row r="28" spans="2:9">
      <c r="B28" t="s">
        <v>364</v>
      </c>
      <c r="D28" s="9">
        <f>E17</f>
        <v>270973.34545459104</v>
      </c>
    </row>
    <row r="29" spans="2:9">
      <c r="B29" s="8" t="s">
        <v>265</v>
      </c>
      <c r="D29" s="10">
        <f>SUM(D26:D28)</f>
        <v>486123.15565293666</v>
      </c>
    </row>
    <row r="31" spans="2:9">
      <c r="B31" t="s">
        <v>266</v>
      </c>
      <c r="D31" s="83">
        <f>D26/D29</f>
        <v>0.38604381011711819</v>
      </c>
    </row>
    <row r="32" spans="2:9">
      <c r="B32" t="s">
        <v>267</v>
      </c>
      <c r="D32" s="83">
        <f>(D27+D28)/D29</f>
        <v>0.6139561898828817</v>
      </c>
    </row>
    <row r="33" spans="2:4">
      <c r="D33" s="87"/>
    </row>
    <row r="34" spans="2:4">
      <c r="B34" s="36" t="s">
        <v>269</v>
      </c>
      <c r="C34" s="36"/>
      <c r="D34" s="36"/>
    </row>
    <row r="35" spans="2:4">
      <c r="B35" t="s">
        <v>270</v>
      </c>
      <c r="D35" s="89" t="s">
        <v>271</v>
      </c>
    </row>
    <row r="36" spans="2:4">
      <c r="B36" t="s">
        <v>272</v>
      </c>
      <c r="D36" s="90">
        <v>46066</v>
      </c>
    </row>
    <row r="37" spans="2:4">
      <c r="B37" s="46" t="s">
        <v>273</v>
      </c>
    </row>
    <row r="38" spans="2:4">
      <c r="B38" t="s">
        <v>274</v>
      </c>
      <c r="D38" s="64">
        <v>158150</v>
      </c>
    </row>
    <row r="39" spans="2:4">
      <c r="B39" t="s">
        <v>275</v>
      </c>
      <c r="D39" s="64">
        <v>1281</v>
      </c>
    </row>
    <row r="40" spans="2:4">
      <c r="B40" t="s">
        <v>277</v>
      </c>
      <c r="D40" s="64">
        <v>0</v>
      </c>
    </row>
    <row r="41" spans="2:4">
      <c r="B41" s="46" t="s">
        <v>278</v>
      </c>
      <c r="D41" s="10"/>
    </row>
    <row r="42" spans="2:4">
      <c r="B42" t="s">
        <v>279</v>
      </c>
      <c r="D42" s="64">
        <v>19048</v>
      </c>
    </row>
    <row r="43" spans="2:4">
      <c r="D43" s="10"/>
    </row>
    <row r="44" spans="2:4">
      <c r="B44" s="8" t="s">
        <v>269</v>
      </c>
      <c r="D44" s="10">
        <f>SUM(D38:D40)-D42</f>
        <v>140383</v>
      </c>
    </row>
    <row r="46" spans="2:4">
      <c r="B46" s="36" t="s">
        <v>280</v>
      </c>
      <c r="C46" s="36"/>
      <c r="D46" s="36"/>
    </row>
    <row r="47" spans="2:4">
      <c r="B47" t="s">
        <v>281</v>
      </c>
      <c r="D47" s="9">
        <f>D29</f>
        <v>486123.15565293666</v>
      </c>
    </row>
    <row r="48" spans="2:4">
      <c r="B48" t="s">
        <v>269</v>
      </c>
      <c r="D48" s="9">
        <f>D44</f>
        <v>140383</v>
      </c>
    </row>
    <row r="49" spans="2:8">
      <c r="B49" t="s">
        <v>282</v>
      </c>
      <c r="D49" s="9">
        <f>D47-D48</f>
        <v>345740.15565293666</v>
      </c>
    </row>
    <row r="50" spans="2:8">
      <c r="B50" t="s">
        <v>255</v>
      </c>
      <c r="D50" s="88">
        <f>FCFM!D68</f>
        <v>4252.7631680000004</v>
      </c>
    </row>
    <row r="51" spans="2:8">
      <c r="B51" s="8" t="s">
        <v>283</v>
      </c>
      <c r="D51" s="91">
        <f>D49/D50</f>
        <v>81.297768531872464</v>
      </c>
    </row>
    <row r="53" spans="2:8">
      <c r="B53" s="36" t="s">
        <v>365</v>
      </c>
      <c r="C53" s="36"/>
      <c r="D53" s="36"/>
      <c r="E53" s="36"/>
      <c r="F53" s="36"/>
      <c r="G53" s="36"/>
      <c r="H53" s="36"/>
    </row>
    <row r="55" spans="2:8">
      <c r="B55" s="107"/>
      <c r="C55" s="151" t="s">
        <v>289</v>
      </c>
      <c r="D55" s="151"/>
      <c r="E55" s="151"/>
      <c r="F55" s="151"/>
      <c r="G55" s="151"/>
      <c r="H55" s="151"/>
    </row>
    <row r="56" spans="2:8">
      <c r="C56" s="152" t="s">
        <v>290</v>
      </c>
      <c r="D56" s="152"/>
      <c r="E56" s="152"/>
      <c r="F56" s="152"/>
      <c r="G56" s="152"/>
      <c r="H56" s="152"/>
    </row>
    <row r="57" spans="2:8">
      <c r="B57" s="108"/>
      <c r="C57" s="109">
        <f>D51</f>
        <v>81.297768531872464</v>
      </c>
      <c r="D57" s="110">
        <f>E57-0.00125</f>
        <v>1.7499999999999998E-2</v>
      </c>
      <c r="E57" s="110">
        <f>F57-0.00125</f>
        <v>1.8749999999999999E-2</v>
      </c>
      <c r="F57" s="111">
        <v>0.02</v>
      </c>
      <c r="G57" s="110">
        <f>F57+0.00125</f>
        <v>2.1250000000000002E-2</v>
      </c>
      <c r="H57" s="110">
        <f>G57+0.00125</f>
        <v>2.2500000000000003E-2</v>
      </c>
    </row>
    <row r="58" spans="2:8">
      <c r="B58" s="154" t="s">
        <v>291</v>
      </c>
      <c r="C58" s="111">
        <f>C59-0.001</f>
        <v>5.8165999405404803E-2</v>
      </c>
      <c r="D58" s="112">
        <f t="dataTable" ref="D58:H62" dt2D="1" dtr="1" r1="D23" r2="G5"/>
        <v>84.319401861287162</v>
      </c>
      <c r="E58" s="113">
        <v>85.860612944721225</v>
      </c>
      <c r="F58" s="113">
        <v>87.502778484179316</v>
      </c>
      <c r="G58" s="113">
        <v>89.256153632337416</v>
      </c>
      <c r="H58" s="114">
        <v>91.132431206993374</v>
      </c>
    </row>
    <row r="59" spans="2:8">
      <c r="B59" s="154"/>
      <c r="C59" s="111">
        <f>C60-0.001</f>
        <v>5.9165999405404804E-2</v>
      </c>
      <c r="D59" s="115">
        <v>81.394495302790176</v>
      </c>
      <c r="E59" s="19">
        <v>82.811567038031029</v>
      </c>
      <c r="F59" s="19">
        <v>84.319091701625197</v>
      </c>
      <c r="G59" s="19">
        <v>85.92601534501911</v>
      </c>
      <c r="H59" s="116">
        <v>87.642503957966042</v>
      </c>
    </row>
    <row r="60" spans="2:8">
      <c r="B60" s="154"/>
      <c r="C60" s="111">
        <v>6.0165999405404805E-2</v>
      </c>
      <c r="D60" s="115">
        <v>78.610299369680277</v>
      </c>
      <c r="E60" s="19">
        <v>79.913477927730085</v>
      </c>
      <c r="F60" s="117">
        <v>81.297768531872464</v>
      </c>
      <c r="G60" s="19">
        <v>82.770987252039887</v>
      </c>
      <c r="H60" s="116">
        <v>84.341987707952015</v>
      </c>
    </row>
    <row r="61" spans="2:8">
      <c r="B61" s="154"/>
      <c r="C61" s="111">
        <f>C60+0.001</f>
        <v>6.1165999405404806E-2</v>
      </c>
      <c r="D61" s="115">
        <v>75.957072705181844</v>
      </c>
      <c r="E61" s="19">
        <v>77.155592394015414</v>
      </c>
      <c r="F61" s="19">
        <v>78.426897859105168</v>
      </c>
      <c r="G61" s="19">
        <v>79.777827126932365</v>
      </c>
      <c r="H61" s="116">
        <v>81.216102466799711</v>
      </c>
    </row>
    <row r="62" spans="2:8">
      <c r="B62" s="154"/>
      <c r="C62" s="111">
        <f>C61+0.001</f>
        <v>6.2165999405404807E-2</v>
      </c>
      <c r="D62" s="118">
        <v>73.425947041204921</v>
      </c>
      <c r="E62" s="119">
        <v>74.528148668868297</v>
      </c>
      <c r="F62" s="119">
        <v>75.695699253226991</v>
      </c>
      <c r="G62" s="119">
        <v>76.934588103870624</v>
      </c>
      <c r="H62" s="120">
        <v>78.251559498078933</v>
      </c>
    </row>
  </sheetData>
  <mergeCells count="3">
    <mergeCell ref="C55:H55"/>
    <mergeCell ref="C56:H56"/>
    <mergeCell ref="B58:B6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F64BB-B15B-451E-8661-9082DC00B072}">
  <dimension ref="B2:K41"/>
  <sheetViews>
    <sheetView showGridLines="0" workbookViewId="0">
      <selection activeCell="G36" sqref="G36"/>
    </sheetView>
  </sheetViews>
  <sheetFormatPr defaultColWidth="8.85546875" defaultRowHeight="15"/>
  <cols>
    <col min="2" max="2" width="32.28515625" customWidth="1"/>
    <col min="3" max="3" width="8.85546875" hidden="1" customWidth="1"/>
    <col min="4" max="10" width="23.28515625" customWidth="1"/>
  </cols>
  <sheetData>
    <row r="2" spans="2:11">
      <c r="B2" s="121" t="s">
        <v>70</v>
      </c>
      <c r="C2" s="122"/>
      <c r="D2" s="123" t="s">
        <v>320</v>
      </c>
    </row>
    <row r="3" spans="2:11">
      <c r="B3" s="124" t="s">
        <v>366</v>
      </c>
      <c r="C3" s="79" t="s">
        <v>367</v>
      </c>
      <c r="D3" s="125" cm="1">
        <f t="array" ref="D3">_xll.BDP($D$2,C3,"3/2/26")</f>
        <v>47.066600000000001</v>
      </c>
    </row>
    <row r="4" spans="2:11">
      <c r="B4" s="126" t="s">
        <v>368</v>
      </c>
      <c r="C4" t="s">
        <v>369</v>
      </c>
      <c r="D4" s="127" cm="1">
        <f t="array" ref="D4">_xll.BDP($D$2,C4,$C$9)</f>
        <v>51.68</v>
      </c>
    </row>
    <row r="5" spans="2:11">
      <c r="B5" s="126" t="s">
        <v>370</v>
      </c>
      <c r="C5" t="s">
        <v>371</v>
      </c>
      <c r="D5" s="127" cm="1">
        <f t="array" ref="D5">_xll.BDP($D$2,C5,$C$9)</f>
        <v>38.39</v>
      </c>
    </row>
    <row r="6" spans="2:11">
      <c r="B6" s="126" t="s">
        <v>372</v>
      </c>
      <c r="C6" t="s">
        <v>324</v>
      </c>
      <c r="D6" s="128" cm="1">
        <f t="array" ref="D6">_xll.BDP($D$2,C6,$C$9)/1000000</f>
        <v>196550.12160000001</v>
      </c>
    </row>
    <row r="7" spans="2:11">
      <c r="B7" s="126" t="s">
        <v>255</v>
      </c>
      <c r="C7" t="s">
        <v>373</v>
      </c>
      <c r="D7" s="127" cm="1">
        <f t="array" ref="D7">_xll.BDP($D$2,C7,$C$9)</f>
        <v>4176</v>
      </c>
    </row>
    <row r="8" spans="2:11">
      <c r="B8" s="129" t="s">
        <v>374</v>
      </c>
      <c r="C8" s="40" t="s">
        <v>375</v>
      </c>
      <c r="D8" s="130" cm="1">
        <f t="array" ref="D8">_xll.BDP($D$2,C8,$C$9)</f>
        <v>15.55758</v>
      </c>
    </row>
    <row r="10" spans="2:11">
      <c r="B10" s="131"/>
      <c r="D10" s="132" t="s">
        <v>376</v>
      </c>
      <c r="E10" s="132" t="s">
        <v>377</v>
      </c>
      <c r="F10" s="132" t="s">
        <v>378</v>
      </c>
      <c r="G10" s="132" t="s">
        <v>379</v>
      </c>
      <c r="H10" s="132" t="s">
        <v>380</v>
      </c>
      <c r="I10" s="132" t="s">
        <v>381</v>
      </c>
      <c r="J10" s="132" t="s">
        <v>382</v>
      </c>
    </row>
    <row r="11" spans="2:11" ht="15.75" thickBot="1">
      <c r="B11" s="133"/>
      <c r="D11" s="133" t="s">
        <v>6</v>
      </c>
      <c r="E11" s="133" t="s">
        <v>305</v>
      </c>
      <c r="F11" s="133"/>
      <c r="G11" s="133"/>
      <c r="H11" s="133"/>
      <c r="I11" s="133"/>
      <c r="J11" s="134" t="str">
        <f>D2</f>
        <v>VZ US EQUITY</v>
      </c>
    </row>
    <row r="12" spans="2:11" ht="15.75" thickTop="1"/>
    <row r="13" spans="2:11">
      <c r="B13" s="62" t="s">
        <v>383</v>
      </c>
      <c r="C13" s="40"/>
      <c r="D13" s="40"/>
      <c r="E13" s="40"/>
      <c r="F13" s="40"/>
      <c r="G13" s="40"/>
      <c r="H13" s="40"/>
      <c r="I13" s="40"/>
      <c r="J13" s="40"/>
      <c r="K13" s="8" t="s">
        <v>384</v>
      </c>
    </row>
    <row r="14" spans="2:11">
      <c r="B14" t="s">
        <v>385</v>
      </c>
      <c r="C14" t="s">
        <v>386</v>
      </c>
      <c r="D14" s="135" cm="1">
        <f t="array" ref="D14">_xll.BDP(D$11,$C14)</f>
        <v>1.4472473927885576</v>
      </c>
      <c r="E14" s="135" cm="1">
        <f t="array" ref="E14">_xll.BDP(E$11,$C14)</f>
        <v>2.3487438282792139</v>
      </c>
      <c r="F14" s="135"/>
      <c r="G14" s="135" t="s">
        <v>387</v>
      </c>
      <c r="H14" s="135" t="s">
        <v>387</v>
      </c>
      <c r="I14" s="136">
        <f>AVERAGE(D14:H14)</f>
        <v>1.8979956105338858</v>
      </c>
      <c r="J14" s="136" cm="1">
        <f t="array" ref="J14">_xll.BDP(J$11,C14)</f>
        <v>1.4280430888638718</v>
      </c>
      <c r="K14" t="s">
        <v>388</v>
      </c>
    </row>
    <row r="15" spans="2:11">
      <c r="B15" t="s">
        <v>389</v>
      </c>
      <c r="C15" t="s">
        <v>390</v>
      </c>
      <c r="D15" s="135" cm="1">
        <f t="array" ref="D15">_xll.BDP(D$11,$C15)</f>
        <v>1.6339105203076476</v>
      </c>
      <c r="E15" s="135" cm="1">
        <f t="array" ref="E15">_xll.BDP(E$11,$C15)</f>
        <v>3.4397175127011419</v>
      </c>
      <c r="F15" s="135"/>
      <c r="G15" s="135" t="s">
        <v>387</v>
      </c>
      <c r="H15" s="135" t="s">
        <v>387</v>
      </c>
      <c r="I15" s="136">
        <f t="shared" ref="I15:I18" si="0">AVERAGE(D15:H15)</f>
        <v>2.5368140165043949</v>
      </c>
      <c r="J15" s="136" cm="1">
        <f t="array" ref="J15">_xll.BDP(J$11,C15)</f>
        <v>1.902546002177592</v>
      </c>
      <c r="K15" t="s">
        <v>388</v>
      </c>
    </row>
    <row r="16" spans="2:11">
      <c r="B16" t="s">
        <v>391</v>
      </c>
      <c r="C16" t="s">
        <v>392</v>
      </c>
      <c r="D16" s="135" cm="1">
        <f t="array" ref="D16">_xll.BDP(D$11,$C16)</f>
        <v>4.0053059832230415</v>
      </c>
      <c r="E16" s="135" cm="1">
        <f t="array" ref="E16">_xll.BDP(E$11,$C16)</f>
        <v>6.5298484700761943</v>
      </c>
      <c r="I16" s="136">
        <f t="shared" si="0"/>
        <v>5.2675772266496175</v>
      </c>
      <c r="J16" s="136" cm="1">
        <f t="array" ref="J16">_xll.BDP(J$11,C16)</f>
        <v>4.122895519440176</v>
      </c>
      <c r="K16" t="s">
        <v>393</v>
      </c>
    </row>
    <row r="17" spans="2:11">
      <c r="B17" t="s">
        <v>394</v>
      </c>
      <c r="C17" t="s">
        <v>395</v>
      </c>
      <c r="D17" s="135" cm="1">
        <f t="array" ref="D17">_xll.BDP(D$11,$C17)</f>
        <v>10.577099302562489</v>
      </c>
      <c r="E17" s="135" cm="1">
        <f t="array" ref="E17">_xll.BDP(E$11,$C17)</f>
        <v>11.532887175455233</v>
      </c>
      <c r="I17" s="136">
        <f t="shared" si="0"/>
        <v>11.054993239008862</v>
      </c>
      <c r="J17" s="136" cm="1">
        <f t="array" ref="J17">_xll.BDP(J$11,C17)</f>
        <v>9.8050004839552223</v>
      </c>
      <c r="K17" t="s">
        <v>393</v>
      </c>
    </row>
    <row r="18" spans="2:11">
      <c r="B18" t="s">
        <v>396</v>
      </c>
      <c r="C18" t="s">
        <v>397</v>
      </c>
      <c r="D18" s="135" cm="1">
        <f t="array" ref="D18">_xll.BDP(D$11,$C18)</f>
        <v>13.928888965488156</v>
      </c>
      <c r="E18" s="135" cm="1">
        <f t="array" ref="E18">_xll.BDP(E$11,$C18)</f>
        <v>17.183613473336994</v>
      </c>
      <c r="I18" s="136">
        <f t="shared" si="0"/>
        <v>15.556251219412575</v>
      </c>
      <c r="J18" s="136" cm="1">
        <f t="array" ref="J18">_xll.BDP(J$11,C18)</f>
        <v>10.114056373241983</v>
      </c>
      <c r="K18" t="s">
        <v>388</v>
      </c>
    </row>
    <row r="19" spans="2:11">
      <c r="B19" t="s">
        <v>398</v>
      </c>
      <c r="C19" t="s">
        <v>399</v>
      </c>
      <c r="D19" s="135" cm="1">
        <f t="array" ref="D19">_xll.BDP(D$11,$C19)</f>
        <v>2.8865338106980269</v>
      </c>
      <c r="E19" s="135" cm="1">
        <f t="array" ref="E19">_xll.BDP(E$11,$C19)</f>
        <v>3.8662220318363931</v>
      </c>
      <c r="F19" s="135"/>
      <c r="G19" s="135" t="s">
        <v>387</v>
      </c>
      <c r="H19" s="135" t="s">
        <v>387</v>
      </c>
      <c r="I19" s="136">
        <f>AVERAGE(D19:H19)</f>
        <v>3.3763779212672098</v>
      </c>
      <c r="J19" s="136" cm="1">
        <f t="array" ref="J19">_xll.BDP(J$11,C19)</f>
        <v>2.8635692006956721</v>
      </c>
      <c r="K19" t="s">
        <v>388</v>
      </c>
    </row>
    <row r="21" spans="2:11">
      <c r="B21" s="132" t="s">
        <v>400</v>
      </c>
      <c r="C21" s="132"/>
      <c r="D21" s="137">
        <v>44561</v>
      </c>
      <c r="E21" s="137">
        <f>D21+365</f>
        <v>44926</v>
      </c>
      <c r="F21" s="137">
        <f t="shared" ref="F21:H21" si="1">E21+365</f>
        <v>45291</v>
      </c>
      <c r="G21" s="137">
        <f>F21+366</f>
        <v>45657</v>
      </c>
      <c r="H21" s="137">
        <f t="shared" si="1"/>
        <v>46022</v>
      </c>
    </row>
    <row r="22" spans="2:11">
      <c r="B22" t="s">
        <v>401</v>
      </c>
      <c r="C22" t="s">
        <v>402</v>
      </c>
      <c r="D22" s="29" cm="1">
        <f t="array" ref="D22">_xll.BDH($D$2,$C22,D$21)</f>
        <v>32.212600000000002</v>
      </c>
      <c r="E22" s="29" cm="1">
        <f t="array" ref="E22">_xll.BDH($D$2,$C22,E$21)</f>
        <v>32.564100000000003</v>
      </c>
      <c r="F22" s="29" cm="1">
        <f t="array" ref="F22">_xll.BDH($D$2,$C22,F$21)</f>
        <v>31.8185</v>
      </c>
      <c r="G22" s="29" cm="1">
        <f t="array" ref="G22">_xll.BDH($D$2,$C22,G$21)</f>
        <v>31.954799999999999</v>
      </c>
      <c r="H22" s="29" cm="1">
        <f t="array" ref="H22">_xll.BDH($D$2,$C22,H$21)</f>
        <v>32.699599999999997</v>
      </c>
    </row>
    <row r="23" spans="2:11">
      <c r="B23" t="s">
        <v>403</v>
      </c>
      <c r="C23" t="s">
        <v>404</v>
      </c>
      <c r="D23" s="29" cm="1">
        <f t="array" ref="D23">_xll.BDH($D$2,$C23,D$21)</f>
        <v>133613</v>
      </c>
      <c r="E23" s="29" cm="1">
        <f t="array" ref="E23">_xll.BDH($D$2,$C23,E$21)</f>
        <v>136835</v>
      </c>
      <c r="F23" s="29" cm="1">
        <f t="array" ref="F23">_xll.BDH($D$2,$C23,F$21)</f>
        <v>133974</v>
      </c>
      <c r="G23" s="29" cm="1">
        <f t="array" ref="G23">_xll.BDH($D$2,$C23,G$21)</f>
        <v>134788</v>
      </c>
      <c r="H23" s="29" cm="1">
        <f t="array" ref="H23">_xll.BDH($D$2,$C23,H$21)</f>
        <v>138191</v>
      </c>
    </row>
    <row r="24" spans="2:11">
      <c r="B24" t="s">
        <v>405</v>
      </c>
      <c r="C24" t="s">
        <v>406</v>
      </c>
      <c r="D24" s="29" cm="1">
        <f t="array" ref="D24">_xll.BDH($D$2,$C24,D$21)</f>
        <v>177930</v>
      </c>
      <c r="E24" s="29" cm="1">
        <f t="array" ref="E24">_xll.BDH($D$2,$C24,E$21)</f>
        <v>150639</v>
      </c>
      <c r="F24" s="29" cm="1">
        <f t="array" ref="F24">_xll.BDH($D$2,$C24,F$21)</f>
        <v>174942</v>
      </c>
      <c r="G24" s="29" cm="1">
        <f t="array" ref="G24">_xll.BDH($D$2,$C24,G$21)</f>
        <v>168357</v>
      </c>
      <c r="H24" s="29" cm="1">
        <f t="array" ref="H24">_xll.BDH($D$2,$C24,H$21)</f>
        <v>181643</v>
      </c>
    </row>
    <row r="25" spans="2:11">
      <c r="B25" t="s">
        <v>407</v>
      </c>
      <c r="C25" t="s">
        <v>408</v>
      </c>
      <c r="D25" s="29" cm="1">
        <f t="array" ref="D25">_xll.BDH($D$2,$C25,D$21)</f>
        <v>2921</v>
      </c>
      <c r="E25" s="29" cm="1">
        <f t="array" ref="E25">_xll.BDH($D$2,$C25,E$21)</f>
        <v>2605</v>
      </c>
      <c r="F25" s="29" cm="1">
        <f t="array" ref="F25">_xll.BDH($D$2,$C25,F$21)</f>
        <v>2065</v>
      </c>
      <c r="G25" s="29" cm="1">
        <f t="array" ref="G25">_xll.BDH($D$2,$C25,G$21)</f>
        <v>4194</v>
      </c>
      <c r="H25" s="29" cm="1">
        <f t="array" ref="H25">_xll.BDH($D$2,$C25,H$21)</f>
        <v>19048</v>
      </c>
    </row>
    <row r="26" spans="2:11">
      <c r="B26" t="s">
        <v>350</v>
      </c>
      <c r="C26" t="s">
        <v>409</v>
      </c>
      <c r="D26" s="29" cm="1">
        <f t="array" ref="D26">_xll.BDH($D$2,$C26,D$21)</f>
        <v>19.484000000000002</v>
      </c>
      <c r="E26" s="29" cm="1">
        <f t="array" ref="E26">_xll.BDH($D$2,$C26,E$21)</f>
        <v>21.712299999999999</v>
      </c>
      <c r="F26" s="29" cm="1">
        <f t="array" ref="F26">_xll.BDH($D$2,$C26,F$21)</f>
        <v>21.9848</v>
      </c>
      <c r="G26" s="29" cm="1">
        <f t="array" ref="G26">_xll.BDH($D$2,$C26,G$21)</f>
        <v>23.573499999999999</v>
      </c>
      <c r="H26" s="29" cm="1">
        <f t="array" ref="H26">_xll.BDH($D$2,$C26,H$21)</f>
        <v>24.7712</v>
      </c>
    </row>
    <row r="27" spans="2:11">
      <c r="B27" t="s">
        <v>410</v>
      </c>
      <c r="C27" t="s">
        <v>411</v>
      </c>
      <c r="D27" s="29" cm="1">
        <f t="array" ref="D27">_xll.BDH($D$2,$C27,D$21)</f>
        <v>5.4156000000000004</v>
      </c>
      <c r="E27" s="29" cm="1">
        <f t="array" ref="E27">_xll.BDH($D$2,$C27,E$21)</f>
        <v>5.1959</v>
      </c>
      <c r="F27" s="29" cm="1">
        <f t="array" ref="F27">_xll.BDH($D$2,$C27,F$21)</f>
        <v>4.5678000000000001</v>
      </c>
      <c r="G27" s="29" cm="1">
        <f t="array" ref="G27">_xll.BDH($D$2,$C27,G$21)</f>
        <v>4.4504999999999999</v>
      </c>
      <c r="H27" s="29" cm="1">
        <f t="array" ref="H27">_xll.BDH($D$2,$C27,H$21)</f>
        <v>4.5778999999999996</v>
      </c>
    </row>
    <row r="28" spans="2:11">
      <c r="B28" t="s">
        <v>412</v>
      </c>
      <c r="C28" t="s">
        <v>413</v>
      </c>
      <c r="D28" s="29" cm="1">
        <f t="array" ref="D28">_xll.BDH($D$2,$C28,D$21)</f>
        <v>4.6460999999999997</v>
      </c>
      <c r="E28" s="29" cm="1">
        <f t="array" ref="E28">_xll.BDH($D$2,$C28,E$21)</f>
        <v>3.3448000000000002</v>
      </c>
      <c r="F28" s="29" cm="1">
        <f t="array" ref="F28">_xll.BDH($D$2,$C28,F$21)</f>
        <v>4.4427000000000003</v>
      </c>
      <c r="G28" s="29" cm="1">
        <f t="array" ref="G28">_xll.BDH($D$2,$C28,G$21)</f>
        <v>4.6989000000000001</v>
      </c>
      <c r="H28" s="29" cm="1">
        <f t="array" ref="H28">_xll.BDH($D$2,$C28,H$21)</f>
        <v>4.7621000000000002</v>
      </c>
    </row>
    <row r="29" spans="2:11">
      <c r="B29" t="s">
        <v>414</v>
      </c>
      <c r="C29" t="s">
        <v>415</v>
      </c>
      <c r="D29" s="29" cm="1">
        <f t="array" ref="D29">_xll.BDH($D$2,$C29,D$21)</f>
        <v>12.6609</v>
      </c>
      <c r="E29" s="29" cm="1">
        <f t="array" ref="E29">_xll.BDH($D$2,$C29,E$21)</f>
        <v>11.319900000000001</v>
      </c>
      <c r="F29" s="29" cm="1">
        <f t="array" ref="F29">_xll.BDH($D$2,$C29,F$21)</f>
        <v>9.6203000000000003</v>
      </c>
      <c r="G29" s="29" cm="1">
        <f t="array" ref="G29">_xll.BDH($D$2,$C29,G$21)</f>
        <v>11.042899999999999</v>
      </c>
      <c r="H29" s="29" cm="1">
        <f t="array" ref="H29">_xll.BDH($D$2,$C29,H$21)</f>
        <v>11.2662</v>
      </c>
    </row>
    <row r="31" spans="2:11">
      <c r="B31" s="132" t="s">
        <v>416</v>
      </c>
      <c r="D31" s="132" t="s">
        <v>417</v>
      </c>
      <c r="E31" s="132" t="s">
        <v>418</v>
      </c>
    </row>
    <row r="32" spans="2:11">
      <c r="B32" t="s">
        <v>385</v>
      </c>
      <c r="D32" s="135">
        <f>I14</f>
        <v>1.8979956105338858</v>
      </c>
      <c r="E32" s="75" t="str">
        <f>IF(K14="Yes",D32*H22,"")</f>
        <v/>
      </c>
    </row>
    <row r="33" spans="2:5">
      <c r="B33" t="s">
        <v>389</v>
      </c>
      <c r="D33" s="135">
        <f t="shared" ref="D33:D37" si="2">I15</f>
        <v>2.5368140165043949</v>
      </c>
      <c r="E33" s="75" t="str">
        <f>IF(K15="Yes",D33*H26,"")</f>
        <v/>
      </c>
    </row>
    <row r="34" spans="2:5">
      <c r="B34" t="s">
        <v>391</v>
      </c>
      <c r="D34" s="135">
        <f t="shared" si="2"/>
        <v>5.2675772266496175</v>
      </c>
      <c r="E34" s="75">
        <f>IF(K16="Yes",D34*H29,"")</f>
        <v>59.345578550879921</v>
      </c>
    </row>
    <row r="35" spans="2:5">
      <c r="B35" t="s">
        <v>394</v>
      </c>
      <c r="D35" s="135">
        <f t="shared" si="2"/>
        <v>11.054993239008862</v>
      </c>
      <c r="E35" s="75">
        <f>IF(K17="Yes",D35*H28,"")</f>
        <v>52.644983303484103</v>
      </c>
    </row>
    <row r="36" spans="2:5">
      <c r="B36" t="s">
        <v>396</v>
      </c>
      <c r="D36" s="135">
        <f t="shared" si="2"/>
        <v>15.556251219412575</v>
      </c>
      <c r="E36" s="75" t="str">
        <f>IF(K18="Yes",D36*H27,"")</f>
        <v/>
      </c>
    </row>
    <row r="37" spans="2:5">
      <c r="B37" t="s">
        <v>398</v>
      </c>
      <c r="D37" s="135">
        <f t="shared" si="2"/>
        <v>3.3763779212672098</v>
      </c>
      <c r="E37" s="75" t="str">
        <f>IF(K19="Yes",((D37*H23)-H24+H25)/D7,"")</f>
        <v/>
      </c>
    </row>
    <row r="38" spans="2:5" ht="15.75" thickBot="1">
      <c r="B38" s="138" t="s">
        <v>419</v>
      </c>
      <c r="C38" s="133"/>
      <c r="D38" s="133"/>
      <c r="E38" s="141">
        <f>AVERAGE(E32:E37)</f>
        <v>55.995280927182009</v>
      </c>
    </row>
    <row r="39" spans="2:5" ht="15.75" thickTop="1"/>
    <row r="40" spans="2:5">
      <c r="B40" t="s">
        <v>420</v>
      </c>
      <c r="E40" s="139">
        <f>D3</f>
        <v>47.066600000000001</v>
      </c>
    </row>
    <row r="41" spans="2:5">
      <c r="B41" s="140" t="s">
        <v>421</v>
      </c>
      <c r="C41" s="140"/>
      <c r="D41" s="140"/>
      <c r="E41" s="142">
        <f>E38/E40-1</f>
        <v>0.1897031212618292</v>
      </c>
    </row>
  </sheetData>
  <dataValidations count="1">
    <dataValidation type="list" allowBlank="1" showInputMessage="1" showErrorMessage="1" sqref="K14:K19" xr:uid="{8A9B10F4-5FF8-48C2-BD0B-220FB720B914}">
      <formula1>"Yes,No"</formula1>
    </dataValidation>
  </dataValidation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9B962-9492-4B7C-8C68-00072B6C2D9B}">
  <dimension ref="B3:M27"/>
  <sheetViews>
    <sheetView showGridLines="0" zoomScale="88" zoomScaleNormal="85" workbookViewId="0">
      <selection activeCell="J13" sqref="J13"/>
    </sheetView>
  </sheetViews>
  <sheetFormatPr defaultColWidth="8.85546875" defaultRowHeight="15"/>
  <cols>
    <col min="1" max="1" width="3.42578125" customWidth="1"/>
    <col min="2" max="2" width="36.140625" bestFit="1" customWidth="1"/>
    <col min="3" max="3" width="25.42578125" bestFit="1" customWidth="1"/>
    <col min="4" max="4" width="12.42578125" customWidth="1"/>
    <col min="5" max="5" width="16" customWidth="1"/>
  </cols>
  <sheetData>
    <row r="3" spans="2:13" ht="21.75" thickBot="1">
      <c r="B3" s="31" t="s">
        <v>422</v>
      </c>
      <c r="C3" s="31" t="s">
        <v>423</v>
      </c>
      <c r="D3" s="31" t="s">
        <v>424</v>
      </c>
      <c r="E3" s="31" t="s">
        <v>384</v>
      </c>
    </row>
    <row r="4" spans="2:13" ht="18.75">
      <c r="B4" s="98" t="s">
        <v>425</v>
      </c>
      <c r="C4" s="103">
        <f>FCFM!D69</f>
        <v>47.000002517661976</v>
      </c>
      <c r="D4" s="149">
        <v>0.125</v>
      </c>
      <c r="E4" s="98" t="s">
        <v>393</v>
      </c>
      <c r="M4" t="s">
        <v>426</v>
      </c>
    </row>
    <row r="5" spans="2:13" ht="18.75">
      <c r="B5" s="98" t="s">
        <v>427</v>
      </c>
      <c r="C5" s="103">
        <f>DDM!D27</f>
        <v>51.216477014740867</v>
      </c>
      <c r="D5" s="149">
        <v>0.125</v>
      </c>
      <c r="E5" s="98" t="s">
        <v>393</v>
      </c>
    </row>
    <row r="6" spans="2:13" ht="18.75">
      <c r="B6" s="98" t="s">
        <v>428</v>
      </c>
      <c r="C6" s="103">
        <f>RIM!D28</f>
        <v>36.129915724930399</v>
      </c>
      <c r="D6" s="149">
        <v>0.125</v>
      </c>
      <c r="E6" s="98" t="s">
        <v>393</v>
      </c>
      <c r="M6" t="s">
        <v>429</v>
      </c>
    </row>
    <row r="7" spans="2:13" ht="18.75">
      <c r="B7" s="98" t="s">
        <v>430</v>
      </c>
      <c r="C7" s="103">
        <f>MVA!D51</f>
        <v>81.297768531872464</v>
      </c>
      <c r="D7" s="149">
        <v>0.125</v>
      </c>
      <c r="E7" s="98" t="s">
        <v>393</v>
      </c>
    </row>
    <row r="8" spans="2:13" ht="18.75">
      <c r="B8" s="98" t="s">
        <v>431</v>
      </c>
      <c r="C8" s="103">
        <f>Relative!E38</f>
        <v>55.995280927182009</v>
      </c>
      <c r="D8" s="99">
        <v>0.5</v>
      </c>
      <c r="E8" s="98" t="s">
        <v>393</v>
      </c>
      <c r="I8">
        <v>60.74</v>
      </c>
    </row>
    <row r="9" spans="2:13" ht="18.75">
      <c r="B9" s="100" t="s">
        <v>432</v>
      </c>
      <c r="C9" s="103">
        <f>C17</f>
        <v>54.953160937241719</v>
      </c>
      <c r="D9" s="101">
        <f>SUM(D4:D8)</f>
        <v>1</v>
      </c>
      <c r="E9" s="98"/>
      <c r="I9" s="75" cm="1">
        <f t="array" ref="I9">_xll.BDP("VZ US EQUITY", "PX_LAST")</f>
        <v>47.09</v>
      </c>
    </row>
    <row r="10" spans="2:13" ht="18.75">
      <c r="B10" s="98"/>
      <c r="C10" s="98"/>
      <c r="D10" s="98"/>
      <c r="E10" s="98"/>
      <c r="I10" s="11">
        <f>I8/I9-1</f>
        <v>0.28987046081970691</v>
      </c>
    </row>
    <row r="11" spans="2:13" ht="21.75" thickBot="1">
      <c r="B11" s="31" t="s">
        <v>422</v>
      </c>
      <c r="C11" s="31" t="s">
        <v>433</v>
      </c>
      <c r="D11" s="98"/>
      <c r="E11" s="98"/>
    </row>
    <row r="12" spans="2:13" ht="18.75">
      <c r="B12" s="98" t="s">
        <v>425</v>
      </c>
      <c r="C12" s="103">
        <f>IF(E4="Yes",C4*D4,0)</f>
        <v>5.875000314707747</v>
      </c>
    </row>
    <row r="13" spans="2:13" ht="18.75">
      <c r="B13" s="98" t="s">
        <v>427</v>
      </c>
      <c r="C13" s="103">
        <f>IF(E5="Yes",C5*D5,0)</f>
        <v>6.4020596268426084</v>
      </c>
    </row>
    <row r="14" spans="2:13" ht="18.75">
      <c r="B14" s="98" t="s">
        <v>428</v>
      </c>
      <c r="C14" s="103">
        <f>IF(E6="Yes",C6*D6,0)</f>
        <v>4.5162394656162999</v>
      </c>
    </row>
    <row r="15" spans="2:13" ht="18.75">
      <c r="B15" s="98" t="s">
        <v>430</v>
      </c>
      <c r="C15" s="103">
        <f>IF(E7="Yes",C7*D7,0)</f>
        <v>10.162221066484058</v>
      </c>
    </row>
    <row r="16" spans="2:13" ht="18.75">
      <c r="B16" s="102" t="s">
        <v>431</v>
      </c>
      <c r="C16" s="104">
        <f>IF(E8="Yes",C8*D8,0)</f>
        <v>27.997640463591004</v>
      </c>
    </row>
    <row r="17" spans="2:6" ht="18.75">
      <c r="B17" s="100" t="s">
        <v>434</v>
      </c>
      <c r="C17" s="103">
        <f>SUM(C12:C16)</f>
        <v>54.953160937241719</v>
      </c>
    </row>
    <row r="18" spans="2:6" ht="18.75">
      <c r="B18" s="100" t="s">
        <v>421</v>
      </c>
      <c r="C18" s="149">
        <f>C17/MVA!G6-1</f>
        <v>0.16756173034044775</v>
      </c>
    </row>
    <row r="20" spans="2:6" ht="18.75">
      <c r="F20" s="98"/>
    </row>
    <row r="21" spans="2:6" ht="21.75" thickBot="1">
      <c r="B21" s="31" t="s">
        <v>435</v>
      </c>
      <c r="C21" s="31"/>
      <c r="D21" s="31"/>
      <c r="E21" s="31"/>
      <c r="F21" s="75"/>
    </row>
    <row r="22" spans="2:6" ht="18.75">
      <c r="B22" s="98"/>
      <c r="C22" s="98" t="s">
        <v>436</v>
      </c>
      <c r="D22" s="98" t="s">
        <v>437</v>
      </c>
      <c r="E22" s="98" t="s">
        <v>438</v>
      </c>
      <c r="F22" s="75"/>
    </row>
    <row r="23" spans="2:6" ht="18.75">
      <c r="B23" s="98" t="s">
        <v>425</v>
      </c>
      <c r="C23" s="103">
        <f>MIN(FCFM!D81:H85)</f>
        <v>100.7995332026918</v>
      </c>
      <c r="D23" s="103">
        <f>E23-C23</f>
        <v>32.257649239829533</v>
      </c>
      <c r="E23" s="103">
        <f>MAX(FCFM!D81:H85)</f>
        <v>133.05718244252134</v>
      </c>
      <c r="F23" s="75"/>
    </row>
    <row r="24" spans="2:6" ht="18.75">
      <c r="B24" s="98" t="s">
        <v>427</v>
      </c>
      <c r="C24" s="103">
        <f>MIN(DDM!D34:H38)</f>
        <v>47.393859009519595</v>
      </c>
      <c r="D24" s="103">
        <f t="shared" ref="D24:D27" si="0">E24-C24</f>
        <v>8.3465341418855701</v>
      </c>
      <c r="E24" s="103">
        <f>MAX(DDM!D34:H38)</f>
        <v>55.740393151405165</v>
      </c>
      <c r="F24" s="75"/>
    </row>
    <row r="25" spans="2:6" ht="18.75">
      <c r="B25" s="98" t="s">
        <v>428</v>
      </c>
      <c r="C25" s="103">
        <f>MIN(RIM!$D$35:$H$39,RIM!$D$44:$H$48)</f>
        <v>34.626519575601037</v>
      </c>
      <c r="D25" s="103">
        <f t="shared" si="0"/>
        <v>4.2928329721685259</v>
      </c>
      <c r="E25" s="103">
        <f>MAX(RIM!$D$35:$H$39,RIM!$D$44:$H$48)</f>
        <v>38.919352547769563</v>
      </c>
      <c r="F25" s="75"/>
    </row>
    <row r="26" spans="2:6" ht="18.75">
      <c r="B26" s="98" t="s">
        <v>430</v>
      </c>
      <c r="C26" s="103">
        <f>MIN(MVA!D58:H62)</f>
        <v>73.425947041204921</v>
      </c>
      <c r="D26" s="103">
        <f t="shared" si="0"/>
        <v>17.706484165788453</v>
      </c>
      <c r="E26" s="103">
        <f>MAX(MVA!D58:H62)</f>
        <v>91.132431206993374</v>
      </c>
    </row>
    <row r="27" spans="2:6" ht="18.75">
      <c r="B27" s="98" t="s">
        <v>431</v>
      </c>
      <c r="C27" s="103">
        <f>C8*0.95</f>
        <v>53.195516880822908</v>
      </c>
      <c r="D27" s="103">
        <f t="shared" si="0"/>
        <v>5.5995280927182023</v>
      </c>
      <c r="E27" s="103">
        <f>C8*1.05</f>
        <v>58.79504497354111</v>
      </c>
    </row>
  </sheetData>
  <dataValidations count="1">
    <dataValidation type="list" allowBlank="1" showInputMessage="1" showErrorMessage="1" sqref="E4:E8" xr:uid="{B3B137F2-D808-CD44-8065-FA2A04720E19}">
      <formula1>"Yes, No"</formula1>
    </dataValidation>
  </dataValidation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809929af-2d25-45bf-9837-089eb9cfbd01}" enabled="0" method="" siteId="{809929af-2d25-45bf-9837-089eb9cfbd0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Sumida, Kian (Student)</dc:creator>
  <cp:keywords/>
  <dc:description/>
  <cp:lastModifiedBy/>
  <cp:revision/>
  <dcterms:created xsi:type="dcterms:W3CDTF">2026-04-20T19:01:20Z</dcterms:created>
  <dcterms:modified xsi:type="dcterms:W3CDTF">2026-05-10T22:34:34Z</dcterms:modified>
  <cp:category/>
  <cp:contentStatus/>
</cp:coreProperties>
</file>