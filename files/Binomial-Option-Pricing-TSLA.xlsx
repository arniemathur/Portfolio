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5" documentId="13_ncr:1_{3C89401B-72B3-4243-BE60-B9FBF8B543EF}" xr6:coauthVersionLast="47" xr6:coauthVersionMax="47" xr10:uidLastSave="{FFD25C26-4862-4E03-A65E-4D14D0018138}"/>
  <bookViews>
    <workbookView xWindow="380" yWindow="760" windowWidth="29020" windowHeight="17120" firstSheet="1" xr2:uid="{A57F7C9B-8092-8E43-8B45-1CE3FDD4C966}"/>
  </bookViews>
  <sheets>
    <sheet name="Data" sheetId="2" r:id="rId1"/>
    <sheet name="N-Step Model" sheetId="5" r:id="rId2"/>
    <sheet name="Single-Step Model" sheetId="1" r:id="rId3"/>
    <sheet name="Two-Step Model" sheetId="3" r:id="rId4"/>
  </sheets>
  <definedNames>
    <definedName name="_xlnm._FilterDatabase" localSheetId="1" hidden="1">'N-Step Model'!$H$2:$I$3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8" i="5"/>
  <c r="H12" i="5" s="1"/>
  <c r="H11" i="5" l="1"/>
  <c r="C6" i="3"/>
  <c r="C6" i="1"/>
  <c r="C3" i="3" l="1"/>
  <c r="C3" i="1"/>
  <c r="C3" i="5"/>
  <c r="B30" i="5" s="1"/>
  <c r="B17" i="3"/>
  <c r="G6" i="1"/>
  <c r="D6" i="2"/>
  <c r="D16" i="2"/>
  <c r="D26" i="2"/>
  <c r="D36" i="2"/>
  <c r="D46" i="2"/>
  <c r="D56" i="2"/>
  <c r="D66" i="2"/>
  <c r="D28" i="2"/>
  <c r="D9" i="2"/>
  <c r="D29" i="2"/>
  <c r="D59" i="2"/>
  <c r="D10" i="2"/>
  <c r="D30" i="2"/>
  <c r="D50" i="2"/>
  <c r="D21" i="2"/>
  <c r="D41" i="2"/>
  <c r="D22" i="2"/>
  <c r="D32" i="2"/>
  <c r="D42" i="2"/>
  <c r="D13" i="2"/>
  <c r="D33" i="2"/>
  <c r="D63" i="2"/>
  <c r="D44" i="2"/>
  <c r="D64" i="2"/>
  <c r="D15" i="2"/>
  <c r="D45" i="2"/>
  <c r="D7" i="2"/>
  <c r="D17" i="2"/>
  <c r="D27" i="2"/>
  <c r="D37" i="2"/>
  <c r="D47" i="2"/>
  <c r="D57" i="2"/>
  <c r="D18" i="2"/>
  <c r="D38" i="2"/>
  <c r="D48" i="2"/>
  <c r="D58" i="2"/>
  <c r="D19" i="2"/>
  <c r="D39" i="2"/>
  <c r="D49" i="2"/>
  <c r="D20" i="2"/>
  <c r="D40" i="2"/>
  <c r="D60" i="2"/>
  <c r="D11" i="2"/>
  <c r="D31" i="2"/>
  <c r="D51" i="2"/>
  <c r="D12" i="2"/>
  <c r="D62" i="2"/>
  <c r="D43" i="2"/>
  <c r="D24" i="2"/>
  <c r="D54" i="2"/>
  <c r="D25" i="2"/>
  <c r="D55" i="2"/>
  <c r="D8" i="2"/>
  <c r="D61" i="2"/>
  <c r="D52" i="2"/>
  <c r="D23" i="2"/>
  <c r="D53" i="2"/>
  <c r="D34" i="2"/>
  <c r="D35" i="2"/>
  <c r="D65" i="2"/>
  <c r="D14" i="2"/>
  <c r="D5" i="2"/>
  <c r="G3" i="2" l="1"/>
  <c r="G2" i="2"/>
  <c r="G4" i="2" l="1"/>
  <c r="C5" i="5" s="1"/>
  <c r="C10" i="5" s="1"/>
  <c r="G5" i="2"/>
  <c r="C5" i="1" l="1"/>
  <c r="C8" i="1" s="1"/>
  <c r="C5" i="3"/>
  <c r="C8" i="3" s="1"/>
  <c r="C9" i="3" s="1"/>
  <c r="C11" i="5"/>
  <c r="C31" i="5" s="1"/>
  <c r="C29" i="5"/>
  <c r="C9" i="1"/>
  <c r="H4" i="1"/>
  <c r="C16" i="3" l="1"/>
  <c r="C12" i="5"/>
  <c r="D32" i="5"/>
  <c r="E33" i="5" s="1"/>
  <c r="D28" i="5"/>
  <c r="E27" i="5" s="1"/>
  <c r="F26" i="5" s="1"/>
  <c r="G25" i="5" s="1"/>
  <c r="D30" i="5"/>
  <c r="D15" i="3"/>
  <c r="D17" i="3"/>
  <c r="C10" i="3"/>
  <c r="C18" i="3"/>
  <c r="D19" i="3" s="1"/>
  <c r="R4" i="1"/>
  <c r="M4" i="1"/>
  <c r="C10" i="1"/>
  <c r="H8" i="1"/>
  <c r="R8" i="1" s="1"/>
  <c r="F34" i="5" l="1"/>
  <c r="G35" i="5" s="1"/>
  <c r="H36" i="5" s="1"/>
  <c r="I37" i="5" s="1"/>
  <c r="J38" i="5" s="1"/>
  <c r="K39" i="5" s="1"/>
  <c r="L40" i="5" s="1"/>
  <c r="L149" i="5" s="1"/>
  <c r="Y149" i="5" s="1"/>
  <c r="E31" i="5"/>
  <c r="H24" i="5"/>
  <c r="I23" i="5" s="1"/>
  <c r="J22" i="5" s="1"/>
  <c r="K21" i="5" s="1"/>
  <c r="L20" i="5" s="1"/>
  <c r="L75" i="5" s="1"/>
  <c r="E29" i="5"/>
  <c r="D27" i="3"/>
  <c r="D35" i="3"/>
  <c r="D25" i="3"/>
  <c r="D33" i="3"/>
  <c r="D23" i="3"/>
  <c r="D31" i="3"/>
  <c r="M8" i="1"/>
  <c r="L6" i="1" s="1"/>
  <c r="C14" i="1" s="1"/>
  <c r="Q6" i="1"/>
  <c r="C15" i="1" s="1"/>
  <c r="L48" i="5" l="1"/>
  <c r="L95" i="5"/>
  <c r="L68" i="5"/>
  <c r="L122" i="5"/>
  <c r="L129" i="5"/>
  <c r="Y129" i="5" s="1"/>
  <c r="F32" i="5"/>
  <c r="G33" i="5" s="1"/>
  <c r="H34" i="5" s="1"/>
  <c r="I35" i="5" s="1"/>
  <c r="J36" i="5" s="1"/>
  <c r="K37" i="5" s="1"/>
  <c r="L38" i="5" s="1"/>
  <c r="L147" i="5" s="1"/>
  <c r="L102" i="5"/>
  <c r="F30" i="5"/>
  <c r="F28" i="5"/>
  <c r="C34" i="3"/>
  <c r="C32" i="3"/>
  <c r="C24" i="3"/>
  <c r="C26" i="3"/>
  <c r="C16" i="1"/>
  <c r="L21" i="5" l="1" a="1"/>
  <c r="L21" i="5" s="1"/>
  <c r="L41" i="5" a="1"/>
  <c r="L41" i="5" s="1"/>
  <c r="K148" i="5"/>
  <c r="X148" i="5" s="1"/>
  <c r="Y147" i="5"/>
  <c r="L66" i="5"/>
  <c r="L93" i="5"/>
  <c r="K94" i="5" s="1"/>
  <c r="L120" i="5"/>
  <c r="K121" i="5" s="1"/>
  <c r="G27" i="5"/>
  <c r="H28" i="5" s="1"/>
  <c r="G31" i="5"/>
  <c r="H32" i="5" s="1"/>
  <c r="I33" i="5" s="1"/>
  <c r="J34" i="5" s="1"/>
  <c r="K35" i="5" s="1"/>
  <c r="L36" i="5" s="1"/>
  <c r="G29" i="5"/>
  <c r="B33" i="3"/>
  <c r="F4" i="3" s="1"/>
  <c r="B25" i="3"/>
  <c r="F3" i="3" s="1"/>
  <c r="K67" i="5" l="1"/>
  <c r="K40" i="5" s="1" a="1"/>
  <c r="K40" i="5" s="1"/>
  <c r="L39" i="5" a="1"/>
  <c r="L39" i="5" s="1"/>
  <c r="H26" i="5"/>
  <c r="H30" i="5"/>
  <c r="I31" i="5" s="1"/>
  <c r="J32" i="5" s="1"/>
  <c r="K33" i="5" s="1"/>
  <c r="L34" i="5" s="1"/>
  <c r="L143" i="5" s="1"/>
  <c r="Y143" i="5" s="1"/>
  <c r="I29" i="5"/>
  <c r="J30" i="5" s="1"/>
  <c r="L145" i="5"/>
  <c r="L64" i="5"/>
  <c r="L91" i="5"/>
  <c r="K92" i="5" s="1"/>
  <c r="J93" i="5" s="1"/>
  <c r="L118" i="5"/>
  <c r="K119" i="5" s="1"/>
  <c r="J120" i="5" s="1"/>
  <c r="F5" i="3"/>
  <c r="K65" i="5" l="1"/>
  <c r="L37" i="5" a="1"/>
  <c r="L37" i="5" s="1"/>
  <c r="K146" i="5"/>
  <c r="X146" i="5" s="1"/>
  <c r="Y145" i="5"/>
  <c r="K144" i="5"/>
  <c r="I25" i="5"/>
  <c r="I27" i="5"/>
  <c r="J28" i="5" s="1"/>
  <c r="K29" i="5" s="1"/>
  <c r="L30" i="5" s="1"/>
  <c r="L139" i="5" s="1"/>
  <c r="Y139" i="5" s="1"/>
  <c r="L116" i="5"/>
  <c r="K117" i="5" s="1"/>
  <c r="J118" i="5" s="1"/>
  <c r="I119" i="5" s="1"/>
  <c r="L89" i="5"/>
  <c r="K90" i="5" s="1"/>
  <c r="J91" i="5" s="1"/>
  <c r="I92" i="5" s="1"/>
  <c r="L62" i="5"/>
  <c r="K31" i="5"/>
  <c r="L32" i="5" s="1"/>
  <c r="L141" i="5" s="1"/>
  <c r="K63" i="5" l="1"/>
  <c r="L35" i="5" a="1"/>
  <c r="L35" i="5" s="1"/>
  <c r="J66" i="5"/>
  <c r="K38" i="5" a="1"/>
  <c r="K38" i="5" s="1"/>
  <c r="J147" i="5"/>
  <c r="W147" i="5" s="1"/>
  <c r="K142" i="5"/>
  <c r="X142" i="5" s="1"/>
  <c r="Y141" i="5"/>
  <c r="J145" i="5"/>
  <c r="X144" i="5"/>
  <c r="L58" i="5"/>
  <c r="L85" i="5"/>
  <c r="L112" i="5"/>
  <c r="J24" i="5"/>
  <c r="J26" i="5"/>
  <c r="K27" i="5" s="1"/>
  <c r="L28" i="5" s="1"/>
  <c r="L137" i="5" s="1"/>
  <c r="L60" i="5"/>
  <c r="L114" i="5"/>
  <c r="K115" i="5" s="1"/>
  <c r="J116" i="5" s="1"/>
  <c r="I117" i="5" s="1"/>
  <c r="H118" i="5" s="1"/>
  <c r="L87" i="5"/>
  <c r="K88" i="5" s="1"/>
  <c r="J89" i="5" s="1"/>
  <c r="I90" i="5" s="1"/>
  <c r="H91" i="5" s="1"/>
  <c r="K140" i="5"/>
  <c r="X140" i="5" s="1"/>
  <c r="J39" i="5" l="1" a="1"/>
  <c r="J39" i="5" s="1"/>
  <c r="J143" i="5"/>
  <c r="W143" i="5" s="1"/>
  <c r="I146" i="5"/>
  <c r="V146" i="5" s="1"/>
  <c r="L31" i="5" a="1"/>
  <c r="L31" i="5" s="1"/>
  <c r="K61" i="5"/>
  <c r="L33" i="5" a="1"/>
  <c r="L33" i="5" s="1"/>
  <c r="J64" i="5"/>
  <c r="K36" i="5" a="1"/>
  <c r="K36" i="5" s="1"/>
  <c r="K138" i="5"/>
  <c r="X138" i="5" s="1"/>
  <c r="Y137" i="5"/>
  <c r="W145" i="5"/>
  <c r="L56" i="5"/>
  <c r="L83" i="5"/>
  <c r="K84" i="5" s="1"/>
  <c r="L110" i="5"/>
  <c r="K111" i="5" s="1"/>
  <c r="K23" i="5"/>
  <c r="K25" i="5"/>
  <c r="L26" i="5" s="1"/>
  <c r="L81" i="5" s="1"/>
  <c r="K113" i="5"/>
  <c r="K59" i="5"/>
  <c r="K86" i="5"/>
  <c r="J87" i="5" s="1"/>
  <c r="I88" i="5" s="1"/>
  <c r="H89" i="5" s="1"/>
  <c r="G90" i="5" s="1"/>
  <c r="J141" i="5"/>
  <c r="I144" i="5" l="1"/>
  <c r="J139" i="5"/>
  <c r="W139" i="5" s="1"/>
  <c r="K57" i="5"/>
  <c r="K30" i="5" s="1" a="1"/>
  <c r="K30" i="5" s="1"/>
  <c r="L29" i="5" a="1"/>
  <c r="L29" i="5" s="1"/>
  <c r="I65" i="5"/>
  <c r="I38" i="5" s="1" a="1"/>
  <c r="I38" i="5" s="1"/>
  <c r="J37" i="5" a="1"/>
  <c r="J37" i="5" s="1"/>
  <c r="J60" i="5"/>
  <c r="K32" i="5" a="1"/>
  <c r="K32" i="5" s="1"/>
  <c r="J62" i="5"/>
  <c r="K34" i="5" a="1"/>
  <c r="K34" i="5" s="1"/>
  <c r="K82" i="5"/>
  <c r="J83" i="5" s="1"/>
  <c r="I142" i="5"/>
  <c r="H143" i="5" s="1"/>
  <c r="U143" i="5" s="1"/>
  <c r="W141" i="5"/>
  <c r="H145" i="5"/>
  <c r="U145" i="5" s="1"/>
  <c r="V144" i="5"/>
  <c r="L135" i="5"/>
  <c r="L108" i="5"/>
  <c r="K109" i="5" s="1"/>
  <c r="J110" i="5" s="1"/>
  <c r="J112" i="5"/>
  <c r="J114" i="5"/>
  <c r="I115" i="5" s="1"/>
  <c r="H116" i="5" s="1"/>
  <c r="G117" i="5" s="1"/>
  <c r="J58" i="5"/>
  <c r="L54" i="5"/>
  <c r="L22" i="5"/>
  <c r="L24" i="5"/>
  <c r="I140" i="5"/>
  <c r="J85" i="5"/>
  <c r="K55" i="5" l="1"/>
  <c r="L27" i="5" a="1"/>
  <c r="L27" i="5" s="1"/>
  <c r="I59" i="5"/>
  <c r="J31" i="5" a="1"/>
  <c r="J31" i="5" s="1"/>
  <c r="I61" i="5"/>
  <c r="J33" i="5" a="1"/>
  <c r="J33" i="5" s="1"/>
  <c r="I84" i="5"/>
  <c r="V142" i="5"/>
  <c r="I63" i="5"/>
  <c r="J35" i="5" a="1"/>
  <c r="J35" i="5" s="1"/>
  <c r="K136" i="5"/>
  <c r="J137" i="5" s="1"/>
  <c r="Y135" i="5"/>
  <c r="G144" i="5"/>
  <c r="T144" i="5" s="1"/>
  <c r="H141" i="5"/>
  <c r="U141" i="5" s="1"/>
  <c r="V140" i="5"/>
  <c r="I111" i="5"/>
  <c r="I113" i="5"/>
  <c r="H114" i="5" s="1"/>
  <c r="G115" i="5" s="1"/>
  <c r="F116" i="5" s="1"/>
  <c r="L133" i="5"/>
  <c r="L52" i="5"/>
  <c r="L79" i="5"/>
  <c r="K80" i="5" s="1"/>
  <c r="J81" i="5" s="1"/>
  <c r="I82" i="5" s="1"/>
  <c r="L106" i="5"/>
  <c r="K107" i="5" s="1"/>
  <c r="J108" i="5" s="1"/>
  <c r="I109" i="5" s="1"/>
  <c r="L131" i="5"/>
  <c r="Y131" i="5" s="1"/>
  <c r="L104" i="5"/>
  <c r="L77" i="5"/>
  <c r="L50" i="5"/>
  <c r="L23" i="5" s="1" a="1"/>
  <c r="L23" i="5" s="1"/>
  <c r="I86" i="5"/>
  <c r="H87" i="5" s="1"/>
  <c r="G88" i="5" s="1"/>
  <c r="F89" i="5" s="1"/>
  <c r="X136" i="5" l="1"/>
  <c r="H64" i="5"/>
  <c r="H37" i="5" s="1" a="1"/>
  <c r="H37" i="5" s="1"/>
  <c r="I36" i="5" a="1"/>
  <c r="I36" i="5" s="1"/>
  <c r="H60" i="5"/>
  <c r="I32" i="5" a="1"/>
  <c r="I32" i="5" s="1"/>
  <c r="H62" i="5"/>
  <c r="I34" i="5" a="1"/>
  <c r="I34" i="5" s="1"/>
  <c r="H83" i="5"/>
  <c r="K53" i="5"/>
  <c r="L25" i="5" a="1"/>
  <c r="L25" i="5" s="1"/>
  <c r="J56" i="5"/>
  <c r="K28" i="5" a="1"/>
  <c r="K28" i="5" s="1"/>
  <c r="I138" i="5"/>
  <c r="W137" i="5"/>
  <c r="G142" i="5"/>
  <c r="T142" i="5" s="1"/>
  <c r="K134" i="5"/>
  <c r="J135" i="5" s="1"/>
  <c r="Y133" i="5"/>
  <c r="H112" i="5"/>
  <c r="G113" i="5" s="1"/>
  <c r="F114" i="5" s="1"/>
  <c r="E115" i="5" s="1"/>
  <c r="H110" i="5"/>
  <c r="H85" i="5"/>
  <c r="G86" i="5" s="1"/>
  <c r="F87" i="5" s="1"/>
  <c r="E88" i="5" s="1"/>
  <c r="K49" i="5"/>
  <c r="K51" i="5"/>
  <c r="K78" i="5"/>
  <c r="J79" i="5" s="1"/>
  <c r="I80" i="5" s="1"/>
  <c r="H81" i="5" s="1"/>
  <c r="K76" i="5"/>
  <c r="K103" i="5"/>
  <c r="K105" i="5"/>
  <c r="J106" i="5" s="1"/>
  <c r="I107" i="5" s="1"/>
  <c r="H108" i="5" s="1"/>
  <c r="K132" i="5"/>
  <c r="K130" i="5"/>
  <c r="X130" i="5" s="1"/>
  <c r="X134" i="5" l="1"/>
  <c r="K24" i="5" a="1"/>
  <c r="K24" i="5" s="1"/>
  <c r="F143" i="5"/>
  <c r="S143" i="5" s="1"/>
  <c r="G82" i="5"/>
  <c r="K22" i="5" a="1"/>
  <c r="K22" i="5" s="1"/>
  <c r="J29" i="5" a="1"/>
  <c r="J29" i="5" s="1"/>
  <c r="I57" i="5"/>
  <c r="G61" i="5"/>
  <c r="H33" i="5" a="1"/>
  <c r="H33" i="5" s="1"/>
  <c r="J54" i="5"/>
  <c r="K26" i="5" a="1"/>
  <c r="K26" i="5" s="1"/>
  <c r="G63" i="5"/>
  <c r="G36" i="5" s="1" a="1"/>
  <c r="G36" i="5" s="1"/>
  <c r="H35" i="5" a="1"/>
  <c r="H35" i="5" s="1"/>
  <c r="H139" i="5"/>
  <c r="V138" i="5"/>
  <c r="I136" i="5"/>
  <c r="V136" i="5" s="1"/>
  <c r="W135" i="5"/>
  <c r="H137" i="5"/>
  <c r="U137" i="5" s="1"/>
  <c r="J133" i="5"/>
  <c r="X132" i="5"/>
  <c r="G84" i="5"/>
  <c r="F85" i="5" s="1"/>
  <c r="G111" i="5"/>
  <c r="F112" i="5" s="1"/>
  <c r="E113" i="5" s="1"/>
  <c r="D114" i="5" s="1"/>
  <c r="G109" i="5"/>
  <c r="J77" i="5"/>
  <c r="I78" i="5" s="1"/>
  <c r="H79" i="5" s="1"/>
  <c r="G80" i="5" s="1"/>
  <c r="J131" i="5"/>
  <c r="J104" i="5"/>
  <c r="I105" i="5" s="1"/>
  <c r="H106" i="5" s="1"/>
  <c r="G107" i="5" s="1"/>
  <c r="J50" i="5"/>
  <c r="J52" i="5"/>
  <c r="F81" i="5" l="1"/>
  <c r="J23" i="5" a="1"/>
  <c r="J23" i="5" s="1"/>
  <c r="G138" i="5"/>
  <c r="T138" i="5" s="1"/>
  <c r="F62" i="5"/>
  <c r="F35" i="5" s="1" a="1"/>
  <c r="F35" i="5" s="1"/>
  <c r="G34" i="5" a="1"/>
  <c r="G34" i="5" s="1"/>
  <c r="H58" i="5"/>
  <c r="I30" i="5" a="1"/>
  <c r="I30" i="5" s="1"/>
  <c r="I53" i="5"/>
  <c r="J25" i="5" a="1"/>
  <c r="J25" i="5" s="1"/>
  <c r="I55" i="5"/>
  <c r="J27" i="5" a="1"/>
  <c r="J27" i="5" s="1"/>
  <c r="U139" i="5"/>
  <c r="G140" i="5"/>
  <c r="F141" i="5" s="1"/>
  <c r="I134" i="5"/>
  <c r="H135" i="5" s="1"/>
  <c r="U135" i="5" s="1"/>
  <c r="W133" i="5"/>
  <c r="F83" i="5"/>
  <c r="E84" i="5" s="1"/>
  <c r="F110" i="5"/>
  <c r="E111" i="5" s="1"/>
  <c r="I132" i="5"/>
  <c r="V132" i="5" s="1"/>
  <c r="W131" i="5"/>
  <c r="F108" i="5"/>
  <c r="E86" i="5"/>
  <c r="D87" i="5" s="1"/>
  <c r="I51" i="5"/>
  <c r="V134" i="5" l="1"/>
  <c r="G59" i="5"/>
  <c r="H31" i="5" a="1"/>
  <c r="H31" i="5" s="1"/>
  <c r="H54" i="5"/>
  <c r="I26" i="5" a="1"/>
  <c r="I26" i="5" s="1"/>
  <c r="I28" i="5" a="1"/>
  <c r="I28" i="5" s="1"/>
  <c r="H56" i="5"/>
  <c r="H52" i="5"/>
  <c r="I24" i="5" a="1"/>
  <c r="I24" i="5" s="1"/>
  <c r="G136" i="5"/>
  <c r="F137" i="5" s="1"/>
  <c r="S137" i="5" s="1"/>
  <c r="E142" i="5"/>
  <c r="R142" i="5" s="1"/>
  <c r="S141" i="5"/>
  <c r="F139" i="5"/>
  <c r="E82" i="5"/>
  <c r="D83" i="5" s="1"/>
  <c r="H133" i="5"/>
  <c r="G134" i="5" s="1"/>
  <c r="E109" i="5"/>
  <c r="D110" i="5" s="1"/>
  <c r="D85" i="5"/>
  <c r="C86" i="5" s="1"/>
  <c r="D112" i="5"/>
  <c r="C113" i="5" s="1"/>
  <c r="H27" i="5" l="1" a="1"/>
  <c r="H27" i="5" s="1"/>
  <c r="G55" i="5"/>
  <c r="G53" i="5"/>
  <c r="H25" i="5" a="1"/>
  <c r="H25" i="5" s="1"/>
  <c r="T136" i="5"/>
  <c r="G57" i="5"/>
  <c r="H29" i="5" a="1"/>
  <c r="H29" i="5" s="1"/>
  <c r="E138" i="5"/>
  <c r="R138" i="5" s="1"/>
  <c r="F60" i="5"/>
  <c r="G32" i="5" a="1"/>
  <c r="G32" i="5" s="1"/>
  <c r="U133" i="5"/>
  <c r="S139" i="5"/>
  <c r="E140" i="5"/>
  <c r="C84" i="5"/>
  <c r="B85" i="5" s="1"/>
  <c r="F135" i="5"/>
  <c r="T134" i="5"/>
  <c r="C111" i="5"/>
  <c r="B112" i="5" s="1"/>
  <c r="E61" i="5" l="1"/>
  <c r="E34" i="5" s="1" a="1"/>
  <c r="E34" i="5" s="1"/>
  <c r="F33" i="5" a="1"/>
  <c r="F33" i="5" s="1"/>
  <c r="G26" i="5" a="1"/>
  <c r="G26" i="5" s="1"/>
  <c r="F54" i="5"/>
  <c r="F58" i="5"/>
  <c r="G30" i="5" a="1"/>
  <c r="G30" i="5" s="1"/>
  <c r="G28" i="5" a="1"/>
  <c r="G28" i="5" s="1"/>
  <c r="F56" i="5"/>
  <c r="D139" i="5"/>
  <c r="Q139" i="5" s="1"/>
  <c r="D141" i="5"/>
  <c r="R140" i="5"/>
  <c r="E136" i="5"/>
  <c r="S135" i="5"/>
  <c r="F27" i="5" l="1" a="1"/>
  <c r="F27" i="5" s="1"/>
  <c r="E55" i="5"/>
  <c r="E59" i="5"/>
  <c r="F31" i="5" a="1"/>
  <c r="F31" i="5" s="1"/>
  <c r="F29" i="5" a="1"/>
  <c r="F29" i="5" s="1"/>
  <c r="E57" i="5"/>
  <c r="Q141" i="5"/>
  <c r="C140" i="5"/>
  <c r="P140" i="5" s="1"/>
  <c r="D137" i="5"/>
  <c r="R136" i="5"/>
  <c r="D60" i="5" l="1"/>
  <c r="D33" i="5" s="1" a="1"/>
  <c r="D33" i="5" s="1"/>
  <c r="E32" i="5" a="1"/>
  <c r="E32" i="5" s="1"/>
  <c r="E28" i="5" a="1"/>
  <c r="E28" i="5" s="1"/>
  <c r="D56" i="5"/>
  <c r="E30" i="5" a="1"/>
  <c r="E30" i="5" s="1"/>
  <c r="D58" i="5"/>
  <c r="C138" i="5"/>
  <c r="P138" i="5" s="1"/>
  <c r="Q137" i="5"/>
  <c r="B139" i="5" l="1"/>
  <c r="O139" i="5" s="1"/>
  <c r="D29" i="5" a="1"/>
  <c r="D29" i="5" s="1"/>
  <c r="C57" i="5"/>
  <c r="C59" i="5"/>
  <c r="C32" i="5" s="1" a="1"/>
  <c r="C32" i="5" s="1"/>
  <c r="D31" i="5" a="1"/>
  <c r="D31" i="5" s="1"/>
  <c r="B58" i="5" l="1"/>
  <c r="B31" i="5" s="1" a="1"/>
  <c r="B31" i="5" s="1"/>
  <c r="C30" i="5" a="1"/>
  <c r="C3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tc={2DBB44BE-D436-AD4A-AE32-A149D012384B}</author>
    <author>tc={87B67AB0-C299-BE44-97AF-49F52E295EA1}</author>
    <author>tc={72B7209F-7F19-FE4D-BEBE-2C8B7A0B766F}</author>
    <author>tc={0DE48966-A4B2-9F40-BE53-3B077E831227}</author>
    <author>tc={BD308DE3-4BBD-E448-BD36-BC8611303941}</author>
    <author>tc={7629D4D9-9029-A942-95FA-79B311317BD0}</author>
    <author>tc={F53E99BA-F290-5547-A478-661B73F6A851}</author>
    <author>tc={D47BCF43-3A7C-8140-9EF9-6BBFC972A8CD}</author>
    <author>tc={4B8D3BA7-1118-5541-B26B-AA3FC59A64F0}</author>
    <author>tc={40B789EC-37F7-FA4D-B3F6-B170800F81C9}</author>
  </authors>
  <commentList>
    <comment ref="B3" authorId="0" shapeId="0" xr:uid="{2DBB44BE-D436-AD4A-AE32-A149D012384B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price of stock</t>
      </text>
    </comment>
    <comment ref="B4" authorId="1" shapeId="0" xr:uid="{87B67AB0-C299-BE44-97AF-49F52E295E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 Price</t>
      </text>
    </comment>
    <comment ref="B5" authorId="2" shapeId="0" xr:uid="{72B7209F-7F19-FE4D-BEBE-2C8B7A0B766F}">
      <text>
        <t>[Threaded comment]
Your version of Excel allows you to read this threaded comment; however, any edits to it will get removed if the file is opened in a newer version of Excel. Learn more: https://go.microsoft.com/fwlink/?linkid=870924
Comment:
    Volatility</t>
      </text>
    </comment>
    <comment ref="B6" authorId="3" shapeId="0" xr:uid="{0DE48966-A4B2-9F40-BE53-3B077E831227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Lifetime</t>
      </text>
    </comment>
    <comment ref="B7" authorId="4" shapeId="0" xr:uid="{BD308DE3-4BBD-E448-BD36-BC8611303941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periods for tree</t>
      </text>
    </comment>
    <comment ref="B8" authorId="5" shapeId="0" xr:uid="{7629D4D9-9029-A942-95FA-79B311317B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 -- IE: Time till option expires, accounting for trading days only. For example, if I was to purchase a contract for Friday (today is Tuesday) my DT value would be determined by doing: 
Number of trading Days / 252
2/252 </t>
      </text>
    </comment>
    <comment ref="B9" authorId="6" shapeId="0" xr:uid="{F53E99BA-F290-5547-A478-661B73F6A851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 Free Rate</t>
      </text>
    </comment>
    <comment ref="B10" authorId="7" shapeId="0" xr:uid="{D47BCF43-3A7C-8140-9EF9-6BBFC972A8CD}">
      <text>
        <t>[Threaded comment]
Your version of Excel allows you to read this threaded comment; however, any edits to it will get removed if the file is opened in a newer version of Excel. Learn more: https://go.microsoft.com/fwlink/?linkid=870924
Comment:
    Up factor</t>
      </text>
    </comment>
    <comment ref="B11" authorId="8" shapeId="0" xr:uid="{4B8D3BA7-1118-5541-B26B-AA3FC59A64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Factor</t>
      </text>
    </comment>
    <comment ref="B12" authorId="9" shapeId="0" xr:uid="{40B789EC-37F7-FA4D-B3F6-B170800F81C9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Risk-neutrality probability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tc={750784F0-4ED0-4644-AD86-18763EEA3E28}</author>
    <author>tc={42AA9F6C-2DB2-AF45-BB5E-0990BB55D21A}</author>
    <author>tc={9F46A8B0-5A49-F549-B6C0-82B3BB92EF30}</author>
    <author>tc={EBC6BBB8-4328-5F4E-BA21-1D1FF4D448C4}</author>
    <author>tc={FEE4CE19-4DC5-894F-B02B-DD0A0E151AD1}</author>
    <author>tc={CDDC1377-B96E-0645-BA5F-AAA16CB756ED}</author>
    <author>tc={A012FFF7-AF4D-C04B-AE0D-679B3597F536}</author>
    <author>tc={EB874347-5C64-8C4C-BF8A-1E3A67F9F3B2}</author>
    <author>tc={CCA07391-F8D6-3C42-BF2B-3E9815080E1E}</author>
    <author>tc={82CE02D9-060B-944C-B9B8-D7E474C2762E}</author>
  </authors>
  <commentList>
    <comment ref="B3" authorId="0" shapeId="0" xr:uid="{750784F0-4ED0-4644-AD86-18763EEA3E2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price of stock</t>
      </text>
    </comment>
    <comment ref="B4" authorId="1" shapeId="0" xr:uid="{42AA9F6C-2DB2-AF45-BB5E-0990BB55D2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 Price</t>
      </text>
    </comment>
    <comment ref="B5" authorId="2" shapeId="0" xr:uid="{9F46A8B0-5A49-F549-B6C0-82B3BB92EF30}">
      <text>
        <t>[Threaded comment]
Your version of Excel allows you to read this threaded comment; however, any edits to it will get removed if the file is opened in a newer version of Excel. Learn more: https://go.microsoft.com/fwlink/?linkid=870924
Comment:
    Volatility</t>
      </text>
    </comment>
    <comment ref="B6" authorId="3" shapeId="0" xr:uid="{EBC6BBB8-4328-5F4E-BA21-1D1FF4D448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 -- IE: Time till option expires, accounting for trading days only. For example, if I was to purchase a contract for Friday (today is Tuesday) my DT value would be determined by doing: 
Number of trading Days / 252
2/252 </t>
      </text>
    </comment>
    <comment ref="B7" authorId="4" shapeId="0" xr:uid="{FEE4CE19-4DC5-894F-B02B-DD0A0E151AD1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 Free Rate</t>
      </text>
    </comment>
    <comment ref="B8" authorId="5" shapeId="0" xr:uid="{CDDC1377-B96E-0645-BA5F-AAA16CB756ED}">
      <text>
        <t>[Threaded comment]
Your version of Excel allows you to read this threaded comment; however, any edits to it will get removed if the file is opened in a newer version of Excel. Learn more: https://go.microsoft.com/fwlink/?linkid=870924
Comment:
    Up factor</t>
      </text>
    </comment>
    <comment ref="B9" authorId="6" shapeId="0" xr:uid="{A012FFF7-AF4D-C04B-AE0D-679B3597F536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Factor</t>
      </text>
    </comment>
    <comment ref="B10" authorId="7" shapeId="0" xr:uid="{EB874347-5C64-8C4C-BF8A-1E3A67F9F3B2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Risk-neutrality probability</t>
      </text>
    </comment>
    <comment ref="B14" authorId="8" shapeId="0" xr:uid="{CCA07391-F8D6-3C42-BF2B-3E9815080E1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Call + Bond</t>
      </text>
    </comment>
    <comment ref="B15" authorId="9" shapeId="0" xr:uid="{82CE02D9-060B-944C-B9B8-D7E474C27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Put + Stock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tc={61EBD467-2131-BD41-8B82-AD60FD047F7F}</author>
    <author>tc={7A7027C6-D0BA-EA4B-B4D2-ADC8E76B5CFA}</author>
    <author>tc={2FE3DE32-8C4B-F54E-A769-E30BC2F8C333}</author>
    <author>tc={2244B5CC-54B2-7A46-B348-669DD463E5E3}</author>
    <author>tc={360C7946-23CE-4B4D-97F3-5E7107B1F8F4}</author>
    <author>tc={16C353DE-7961-854E-8397-E42B6E269528}</author>
    <author>tc={CDDFAEA6-7CC7-0F44-902C-C4DCD8C38265}</author>
    <author>tc={79EA3BF9-CE4C-1143-9C40-3588489DE2E5}</author>
  </authors>
  <commentList>
    <comment ref="B3" authorId="0" shapeId="0" xr:uid="{61EBD467-2131-BD41-8B82-AD60FD047F7F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price of stock</t>
      </text>
    </comment>
    <comment ref="B4" authorId="1" shapeId="0" xr:uid="{7A7027C6-D0BA-EA4B-B4D2-ADC8E76B5C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 Price</t>
      </text>
    </comment>
    <comment ref="B5" authorId="2" shapeId="0" xr:uid="{2FE3DE32-8C4B-F54E-A769-E30BC2F8C333}">
      <text>
        <t>[Threaded comment]
Your version of Excel allows you to read this threaded comment; however, any edits to it will get removed if the file is opened in a newer version of Excel. Learn more: https://go.microsoft.com/fwlink/?linkid=870924
Comment:
    Volatility</t>
      </text>
    </comment>
    <comment ref="B6" authorId="3" shapeId="0" xr:uid="{2244B5CC-54B2-7A46-B348-669DD463E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 -- IE: Time till option expires, accounting for trading days only. For example, if I was to purchase a contract for Friday (today is Tuesday) my DT value would be determined by doing: 
Number of trading Days / 252
2/252 </t>
      </text>
    </comment>
    <comment ref="B7" authorId="4" shapeId="0" xr:uid="{360C7946-23CE-4B4D-97F3-5E7107B1F8F4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 Free Rate</t>
      </text>
    </comment>
    <comment ref="B8" authorId="5" shapeId="0" xr:uid="{16C353DE-7961-854E-8397-E42B6E269528}">
      <text>
        <t>[Threaded comment]
Your version of Excel allows you to read this threaded comment; however, any edits to it will get removed if the file is opened in a newer version of Excel. Learn more: https://go.microsoft.com/fwlink/?linkid=870924
Comment:
    Up factor</t>
      </text>
    </comment>
    <comment ref="B9" authorId="6" shapeId="0" xr:uid="{CDDFAEA6-7CC7-0F44-902C-C4DCD8C382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Factor</t>
      </text>
    </comment>
    <comment ref="B10" authorId="7" shapeId="0" xr:uid="{79EA3BF9-CE4C-1143-9C40-3588489DE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Risk-neutrality probability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<sst xmlns="http://schemas.openxmlformats.org/spreadsheetml/2006/main" count="81" uniqueCount="51">
  <si>
    <t>Ticker</t>
  </si>
  <si>
    <t>TSLA</t>
  </si>
  <si>
    <t>E(r)</t>
  </si>
  <si>
    <t>=STOCKHISTORY1($C$2, TODAY() - 91, TODAY()-)</t>
  </si>
  <si>
    <t>Returns</t>
  </si>
  <si>
    <t>σ</t>
  </si>
  <si>
    <t>--</t>
  </si>
  <si>
    <t>σ annualized</t>
  </si>
  <si>
    <t>σ^2</t>
  </si>
  <si>
    <t>Variables</t>
  </si>
  <si>
    <t>Inputs</t>
  </si>
  <si>
    <t>Choose</t>
  </si>
  <si>
    <t>S_0</t>
  </si>
  <si>
    <t>Type of Option</t>
  </si>
  <si>
    <t>American Put</t>
  </si>
  <si>
    <t>X</t>
  </si>
  <si>
    <t>T</t>
  </si>
  <si>
    <t>N</t>
  </si>
  <si>
    <t xml:space="preserve"> </t>
  </si>
  <si>
    <t>Dt</t>
  </si>
  <si>
    <t>rF</t>
  </si>
  <si>
    <t>U</t>
  </si>
  <si>
    <t>D</t>
  </si>
  <si>
    <t>Discounted</t>
  </si>
  <si>
    <t>P</t>
  </si>
  <si>
    <t>Compounded</t>
  </si>
  <si>
    <t>t</t>
  </si>
  <si>
    <t>Stock Price</t>
  </si>
  <si>
    <t>Option Price</t>
  </si>
  <si>
    <t>European Call Option</t>
  </si>
  <si>
    <t>European Put Option</t>
  </si>
  <si>
    <t>American Call Option</t>
  </si>
  <si>
    <t>American Put Option</t>
  </si>
  <si>
    <t>Early exercise of american put option</t>
  </si>
  <si>
    <t>Stock U</t>
  </si>
  <si>
    <t>Call Max</t>
  </si>
  <si>
    <t>Put Max</t>
  </si>
  <si>
    <t>Stock Value TD</t>
  </si>
  <si>
    <t>Call Value Premium</t>
  </si>
  <si>
    <t>Put Value Premium</t>
  </si>
  <si>
    <t>Stock D</t>
  </si>
  <si>
    <t>Call Min</t>
  </si>
  <si>
    <t>Put Min</t>
  </si>
  <si>
    <t xml:space="preserve">Put-Call Parity </t>
  </si>
  <si>
    <t>Bundle A</t>
  </si>
  <si>
    <t>Bundle B</t>
  </si>
  <si>
    <t>Difference</t>
  </si>
  <si>
    <t>Put-Call Parity</t>
  </si>
  <si>
    <t>Stock</t>
  </si>
  <si>
    <t>Call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</si>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</sst>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000"/>
    <numFmt numFmtId="166" formatCode="0.00000"/>
    <numFmt numFmtId="167" formatCode="0.000%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1"/>
      <color theme="1"/>
      <name val="Cambria Math"/>
      <family val="1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10" fontId="0" fillId="0" borderId="9" xfId="1" applyNumberFormat="1" applyFont="1" applyBorder="1"/>
    <xf numFmtId="0" fontId="0" fillId="0" borderId="2" xfId="0" applyBorder="1"/>
    <xf numFmtId="0" fontId="4" fillId="0" borderId="5" xfId="0" applyFont="1" applyBorder="1"/>
    <xf numFmtId="0" fontId="0" fillId="0" borderId="6" xfId="0" quotePrefix="1" applyBorder="1" applyAlignment="1">
      <alignment horizontal="center"/>
    </xf>
    <xf numFmtId="0" fontId="2" fillId="0" borderId="4" xfId="0" applyFont="1" applyBorder="1"/>
    <xf numFmtId="0" fontId="3" fillId="2" borderId="3" xfId="0" applyFont="1" applyFill="1" applyBorder="1"/>
    <xf numFmtId="10" fontId="0" fillId="3" borderId="4" xfId="0" applyNumberFormat="1" applyFill="1" applyBorder="1"/>
    <xf numFmtId="10" fontId="0" fillId="3" borderId="6" xfId="1" applyNumberFormat="1" applyFont="1" applyFill="1" applyBorder="1"/>
    <xf numFmtId="0" fontId="0" fillId="3" borderId="9" xfId="0" applyFill="1" applyBorder="1"/>
    <xf numFmtId="10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0" fontId="0" fillId="4" borderId="6" xfId="1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3" xfId="0" applyBorder="1"/>
    <xf numFmtId="164" fontId="0" fillId="0" borderId="4" xfId="0" applyNumberFormat="1" applyBorder="1"/>
    <xf numFmtId="164" fontId="0" fillId="3" borderId="0" xfId="0" applyNumberFormat="1" applyFill="1"/>
    <xf numFmtId="164" fontId="0" fillId="0" borderId="9" xfId="0" applyNumberFormat="1" applyBorder="1"/>
    <xf numFmtId="164" fontId="0" fillId="2" borderId="6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5" borderId="0" xfId="0" applyFill="1" applyAlignment="1">
      <alignment horizontal="right"/>
    </xf>
    <xf numFmtId="164" fontId="0" fillId="0" borderId="6" xfId="0" applyNumberFormat="1" applyBorder="1"/>
    <xf numFmtId="0" fontId="0" fillId="0" borderId="0" xfId="0" applyAlignment="1">
      <alignment horizontal="right"/>
    </xf>
    <xf numFmtId="164" fontId="0" fillId="5" borderId="0" xfId="0" applyNumberFormat="1" applyFill="1"/>
    <xf numFmtId="164" fontId="0" fillId="5" borderId="4" xfId="0" applyNumberFormat="1" applyFill="1" applyBorder="1"/>
    <xf numFmtId="164" fontId="0" fillId="5" borderId="6" xfId="0" applyNumberFormat="1" applyFill="1" applyBorder="1"/>
    <xf numFmtId="164" fontId="0" fillId="5" borderId="9" xfId="0" applyNumberFormat="1" applyFill="1" applyBorder="1"/>
    <xf numFmtId="164" fontId="0" fillId="5" borderId="5" xfId="0" applyNumberFormat="1" applyFill="1" applyBorder="1"/>
    <xf numFmtId="164" fontId="0" fillId="0" borderId="9" xfId="0" applyNumberFormat="1" applyBorder="1" applyAlignment="1">
      <alignment horizontal="right"/>
    </xf>
    <xf numFmtId="165" fontId="0" fillId="0" borderId="0" xfId="0" applyNumberFormat="1"/>
    <xf numFmtId="2" fontId="0" fillId="0" borderId="6" xfId="0" applyNumberFormat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2" fillId="0" borderId="10" xfId="0" applyFont="1" applyBorder="1"/>
    <xf numFmtId="0" fontId="0" fillId="0" borderId="12" xfId="0" applyBorder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164" fontId="0" fillId="6" borderId="13" xfId="0" applyNumberFormat="1" applyFill="1" applyBorder="1"/>
    <xf numFmtId="165" fontId="0" fillId="3" borderId="14" xfId="0" applyNumberFormat="1" applyFill="1" applyBorder="1"/>
    <xf numFmtId="165" fontId="0" fillId="3" borderId="1" xfId="0" applyNumberFormat="1" applyFill="1" applyBorder="1"/>
    <xf numFmtId="165" fontId="0" fillId="7" borderId="0" xfId="0" applyNumberFormat="1" applyFill="1"/>
    <xf numFmtId="165" fontId="0" fillId="7" borderId="14" xfId="0" applyNumberFormat="1" applyFill="1" applyBorder="1"/>
    <xf numFmtId="0" fontId="5" fillId="3" borderId="4" xfId="0" applyFont="1" applyFill="1" applyBorder="1" applyAlignment="1">
      <alignment horizontal="center" vertical="center"/>
    </xf>
    <xf numFmtId="164" fontId="0" fillId="7" borderId="14" xfId="0" applyNumberFormat="1" applyFill="1" applyBorder="1"/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3" borderId="10" xfId="0" quotePrefix="1" applyFill="1" applyBorder="1" applyAlignment="1">
      <alignment horizontal="center"/>
    </xf>
    <xf numFmtId="0" fontId="0" fillId="3" borderId="11" xfId="0" quotePrefix="1" applyFill="1" applyBorder="1" applyAlignment="1">
      <alignment horizontal="center"/>
    </xf>
    <xf numFmtId="0" fontId="0" fillId="0" borderId="5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169809</xdr:colOff>
      <xdr:row>3</xdr:row>
      <xdr:rowOff>106723</xdr:rowOff>
    </xdr:from>
    <xdr:to>
      <xdr:col>12</xdr:col>
      <xdr:colOff>362857</xdr:colOff>
      <xdr:row>4</xdr:row>
      <xdr:rowOff>78248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3BC4996-DF9E-EE4A-80EF-1892057989A4}"/>
            </a:ext>
          </a:extLst>
        </xdr:cNvPr>
        <xdr:cNvCxnSpPr/>
      </xdr:nvCxnSpPr>
      <xdr:spPr>
        <a:xfrm flipV="1">
          <a:off x="8547540" y="736387"/>
          <a:ext cx="1836578" cy="174298"/>
        </a:xfrm>
        <a:prstGeom prst="bentConnector3">
          <a:avLst>
            <a:gd name="adj1" fmla="val -41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149756</xdr:colOff>
      <xdr:row>6</xdr:row>
      <xdr:rowOff>137770</xdr:rowOff>
    </xdr:from>
    <xdr:to>
      <xdr:col>12</xdr:col>
      <xdr:colOff>373529</xdr:colOff>
      <xdr:row>7</xdr:row>
      <xdr:rowOff>128068</xdr:rowOff>
    </xdr:to>
    <xdr:cxnSp macro="">
      <xdr:nvCxnSpPr>
        <xdr:cNvPr id="22" name="Elbow Connector 21">
          <a:extLst>
            <a:ext uri="{FF2B5EF4-FFF2-40B4-BE49-F238E27FC236}">
              <a16:creationId xmlns:a16="http://schemas.microsoft.com/office/drawing/2014/main" id="{0EA0E373-A807-A54E-A6EE-457432C22715}"/>
            </a:ext>
          </a:extLst>
        </xdr:cNvPr>
        <xdr:cNvCxnSpPr/>
      </xdr:nvCxnSpPr>
      <xdr:spPr>
        <a:xfrm>
          <a:off x="8527487" y="1375753"/>
          <a:ext cx="1867303" cy="193071"/>
        </a:xfrm>
        <a:prstGeom prst="bentConnector3">
          <a:avLst>
            <a:gd name="adj1" fmla="val 27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156044</xdr:colOff>
      <xdr:row>3</xdr:row>
      <xdr:rowOff>83583</xdr:rowOff>
    </xdr:from>
    <xdr:to>
      <xdr:col>17</xdr:col>
      <xdr:colOff>349092</xdr:colOff>
      <xdr:row>4</xdr:row>
      <xdr:rowOff>55108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5715A767-13A6-684B-80F0-C5F1F6D872AA}"/>
            </a:ext>
          </a:extLst>
        </xdr:cNvPr>
        <xdr:cNvCxnSpPr/>
      </xdr:nvCxnSpPr>
      <xdr:spPr>
        <a:xfrm flipV="1">
          <a:off x="12749222" y="712648"/>
          <a:ext cx="1854730" cy="173301"/>
        </a:xfrm>
        <a:prstGeom prst="bentConnector3">
          <a:avLst>
            <a:gd name="adj1" fmla="val -41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124122</xdr:colOff>
      <xdr:row>6</xdr:row>
      <xdr:rowOff>129491</xdr:rowOff>
    </xdr:from>
    <xdr:to>
      <xdr:col>17</xdr:col>
      <xdr:colOff>347895</xdr:colOff>
      <xdr:row>7</xdr:row>
      <xdr:rowOff>119789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4C538D27-B367-DA4F-BA83-5C7CEB2B9BB1}"/>
            </a:ext>
          </a:extLst>
        </xdr:cNvPr>
        <xdr:cNvCxnSpPr/>
      </xdr:nvCxnSpPr>
      <xdr:spPr>
        <a:xfrm>
          <a:off x="12717300" y="1363884"/>
          <a:ext cx="1885455" cy="192073"/>
        </a:xfrm>
        <a:prstGeom prst="bentConnector3">
          <a:avLst>
            <a:gd name="adj1" fmla="val 27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120437</xdr:colOff>
      <xdr:row>3</xdr:row>
      <xdr:rowOff>95452</xdr:rowOff>
    </xdr:from>
    <xdr:to>
      <xdr:col>7</xdr:col>
      <xdr:colOff>313486</xdr:colOff>
      <xdr:row>4</xdr:row>
      <xdr:rowOff>66977</xdr:rowOff>
    </xdr:to>
    <xdr:cxnSp macro="">
      <xdr:nvCxnSpPr>
        <xdr:cNvPr id="28" name="Elbow Connector 27">
          <a:extLst>
            <a:ext uri="{FF2B5EF4-FFF2-40B4-BE49-F238E27FC236}">
              <a16:creationId xmlns:a16="http://schemas.microsoft.com/office/drawing/2014/main" id="{BB58CAF7-450E-764F-8FEF-01BDED722FAE}"/>
            </a:ext>
          </a:extLst>
        </xdr:cNvPr>
        <xdr:cNvCxnSpPr/>
      </xdr:nvCxnSpPr>
      <xdr:spPr>
        <a:xfrm flipV="1">
          <a:off x="4583241" y="724517"/>
          <a:ext cx="1854731" cy="173301"/>
        </a:xfrm>
        <a:prstGeom prst="bentConnector3">
          <a:avLst>
            <a:gd name="adj1" fmla="val -41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88514</xdr:colOff>
      <xdr:row>6</xdr:row>
      <xdr:rowOff>117621</xdr:rowOff>
    </xdr:from>
    <xdr:to>
      <xdr:col>7</xdr:col>
      <xdr:colOff>312288</xdr:colOff>
      <xdr:row>7</xdr:row>
      <xdr:rowOff>107919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B3FDCC32-7626-F34F-AA48-8FB3406F99A8}"/>
            </a:ext>
          </a:extLst>
        </xdr:cNvPr>
        <xdr:cNvCxnSpPr/>
      </xdr:nvCxnSpPr>
      <xdr:spPr>
        <a:xfrm>
          <a:off x="4551318" y="1352014"/>
          <a:ext cx="1885456" cy="192073"/>
        </a:xfrm>
        <a:prstGeom prst="bentConnector3">
          <a:avLst>
            <a:gd name="adj1" fmla="val 27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hur, Arnie (Student)" id="{B68F88CA-E916-0041-A734-BCCD61F03504}" userId="S::amathur@chapman.edu::75f659af-a6ec-4989-964d-4525fe542e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26T05:01:56.20" personId="{B68F88CA-E916-0041-A734-BCCD61F03504}" id="{2DBB44BE-D436-AD4A-AE32-A149D012384B}">
    <text>Current price of stock</text>
  </threadedComment>
  <threadedComment ref="B4" dT="2025-11-26T05:02:06.16" personId="{B68F88CA-E916-0041-A734-BCCD61F03504}" id="{87B67AB0-C299-BE44-97AF-49F52E295EA1}">
    <text>Strike Price</text>
  </threadedComment>
  <threadedComment ref="B5" dT="2025-11-26T05:05:33.47" personId="{B68F88CA-E916-0041-A734-BCCD61F03504}" id="{72B7209F-7F19-FE4D-BEBE-2C8B7A0B766F}">
    <text>Volatility</text>
  </threadedComment>
  <threadedComment ref="B6" dT="2025-11-27T00:53:44.01" personId="{B68F88CA-E916-0041-A734-BCCD61F03504}" id="{0DE48966-A4B2-9F40-BE53-3B077E831227}">
    <text>Total Lifetime</text>
  </threadedComment>
  <threadedComment ref="B7" dT="2025-11-27T00:53:33.93" personId="{B68F88CA-E916-0041-A734-BCCD61F03504}" id="{BD308DE3-4BBD-E448-BD36-BC8611303941}">
    <text>Number of periods for tree</text>
  </threadedComment>
  <threadedComment ref="B8" dT="2025-11-26T05:03:34.64" personId="{B68F88CA-E916-0041-A734-BCCD61F03504}" id="{7629D4D9-9029-A942-95FA-79B311317BD0}">
    <text xml:space="preserve">Time -- IE: Time till option expires, accounting for trading days only. For example, if I was to purchase a contract for Friday (today is Tuesday) my DT value would be determined by doing: 
Number of trading Days / 252
2/252 </text>
  </threadedComment>
  <threadedComment ref="B9" dT="2025-11-26T05:03:54.49" personId="{B68F88CA-E916-0041-A734-BCCD61F03504}" id="{F53E99BA-F290-5547-A478-661B73F6A851}">
    <text>Risk Free Rate</text>
  </threadedComment>
  <threadedComment ref="B10" dT="2025-11-26T05:04:14.65" personId="{B68F88CA-E916-0041-A734-BCCD61F03504}" id="{D47BCF43-3A7C-8140-9EF9-6BBFC972A8CD}">
    <text>Up factor</text>
  </threadedComment>
  <threadedComment ref="B11" dT="2025-11-26T05:04:39.20" personId="{B68F88CA-E916-0041-A734-BCCD61F03504}" id="{4B8D3BA7-1118-5541-B26B-AA3FC59A64F0}">
    <text>Down Factor</text>
  </threadedComment>
  <threadedComment ref="B12" dT="2025-11-26T05:05:14.30" personId="{B68F88CA-E916-0041-A734-BCCD61F03504}" id="{40B789EC-37F7-FA4D-B3F6-B170800F81C9}">
    <text>Risk-neutrality probability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5-11-26T05:01:56.20" personId="{B68F88CA-E916-0041-A734-BCCD61F03504}" id="{750784F0-4ED0-4644-AD86-18763EEA3E28}">
    <text>Current price of stock</text>
  </threadedComment>
  <threadedComment ref="B4" dT="2025-11-26T05:02:06.16" personId="{B68F88CA-E916-0041-A734-BCCD61F03504}" id="{42AA9F6C-2DB2-AF45-BB5E-0990BB55D21A}">
    <text>Strike Price</text>
  </threadedComment>
  <threadedComment ref="B5" dT="2025-11-26T05:05:33.47" personId="{B68F88CA-E916-0041-A734-BCCD61F03504}" id="{9F46A8B0-5A49-F549-B6C0-82B3BB92EF30}">
    <text>Volatility</text>
  </threadedComment>
  <threadedComment ref="B6" dT="2025-11-26T05:03:34.64" personId="{B68F88CA-E916-0041-A734-BCCD61F03504}" id="{EBC6BBB8-4328-5F4E-BA21-1D1FF4D448C4}">
    <text xml:space="preserve">Time -- IE: Time till option expires, accounting for trading days only. For example, if I was to purchase a contract for Friday (today is Tuesday) my DT value would be determined by doing: 
Number of trading Days / 252
2/252 </text>
  </threadedComment>
  <threadedComment ref="B7" dT="2025-11-26T05:03:54.49" personId="{B68F88CA-E916-0041-A734-BCCD61F03504}" id="{FEE4CE19-4DC5-894F-B02B-DD0A0E151AD1}">
    <text>Risk Free Rate</text>
  </threadedComment>
  <threadedComment ref="B8" dT="2025-11-26T05:04:14.65" personId="{B68F88CA-E916-0041-A734-BCCD61F03504}" id="{CDDC1377-B96E-0645-BA5F-AAA16CB756ED}">
    <text>Up factor</text>
  </threadedComment>
  <threadedComment ref="B9" dT="2025-11-26T05:04:39.20" personId="{B68F88CA-E916-0041-A734-BCCD61F03504}" id="{A012FFF7-AF4D-C04B-AE0D-679B3597F536}">
    <text>Down Factor</text>
  </threadedComment>
  <threadedComment ref="B10" dT="2025-11-26T05:05:14.30" personId="{B68F88CA-E916-0041-A734-BCCD61F03504}" id="{EB874347-5C64-8C4C-BF8A-1E3A67F9F3B2}">
    <text>Risk-neutrality probability</text>
  </threadedComment>
  <threadedComment ref="B14" dT="2025-11-26T08:57:00.84" personId="{B68F88CA-E916-0041-A734-BCCD61F03504}" id="{CCA07391-F8D6-3C42-BF2B-3E9815080E1E}">
    <text>Call + Bond</text>
  </threadedComment>
  <threadedComment ref="B15" dT="2025-11-26T08:57:08.59" personId="{B68F88CA-E916-0041-A734-BCCD61F03504}" id="{82CE02D9-060B-944C-B9B8-D7E474C2762E}">
    <text>Put + Stock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" dT="2025-11-26T05:01:56.20" personId="{B68F88CA-E916-0041-A734-BCCD61F03504}" id="{61EBD467-2131-BD41-8B82-AD60FD047F7F}">
    <text>Current price of stock</text>
  </threadedComment>
  <threadedComment ref="B4" dT="2025-11-26T05:02:06.16" personId="{B68F88CA-E916-0041-A734-BCCD61F03504}" id="{7A7027C6-D0BA-EA4B-B4D2-ADC8E76B5CFA}">
    <text>Strike Price</text>
  </threadedComment>
  <threadedComment ref="B5" dT="2025-11-26T05:05:33.47" personId="{B68F88CA-E916-0041-A734-BCCD61F03504}" id="{2FE3DE32-8C4B-F54E-A769-E30BC2F8C333}">
    <text>Volatility</text>
  </threadedComment>
  <threadedComment ref="B6" dT="2025-11-26T05:03:34.64" personId="{B68F88CA-E916-0041-A734-BCCD61F03504}" id="{2244B5CC-54B2-7A46-B348-669DD463E5E3}">
    <text xml:space="preserve">Time -- IE: Time till option expires, accounting for trading days only. For example, if I was to purchase a contract for Friday (today is Tuesday) my DT value would be determined by doing: 
Number of trading Days / 252
2/252 </text>
  </threadedComment>
  <threadedComment ref="B7" dT="2025-11-26T05:03:54.49" personId="{B68F88CA-E916-0041-A734-BCCD61F03504}" id="{360C7946-23CE-4B4D-97F3-5E7107B1F8F4}">
    <text>Risk Free Rate</text>
  </threadedComment>
  <threadedComment ref="B8" dT="2025-11-26T05:04:14.65" personId="{B68F88CA-E916-0041-A734-BCCD61F03504}" id="{16C353DE-7961-854E-8397-E42B6E269528}">
    <text>Up factor</text>
  </threadedComment>
  <threadedComment ref="B9" dT="2025-11-26T05:04:39.20" personId="{B68F88CA-E916-0041-A734-BCCD61F03504}" id="{CDDFAEA6-7CC7-0F44-902C-C4DCD8C38265}">
    <text>Down Factor</text>
  </threadedComment>
  <threadedComment ref="B10" dT="2025-11-26T05:05:14.30" personId="{B68F88CA-E916-0041-A734-BCCD61F03504}" id="{79EA3BF9-CE4C-1143-9C40-3588489DE2E5}">
    <text>Risk-neutrality probability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94F-EA96-C348-BC99-6B672A852405}">
  <sheetPr codeName="Sheet1"/>
  <dimension ref="B1:G66"/>
  <sheetViews>
    <sheetView showGridLines="0" tabSelected="1" zoomScale="56" workbookViewId="0">
      <selection activeCell="B4" sqref="B4"/>
    </sheetView>
  </sheetViews>
  <sheetFormatPr defaultColWidth="11" defaultRowHeight="15.95"/>
  <cols>
    <col min="2" max="2" width="36" bestFit="1" customWidth="1"/>
  </cols>
  <sheetData>
    <row r="1" spans="2:7" ht="17.100000000000001" thickBot="1"/>
    <row r="2" spans="2:7">
      <c r="B2" s="2" t="s">
        <v>0</v>
      </c>
      <c r="C2" s="14" t="s">
        <v>1</v>
      </c>
      <c r="D2" s="3"/>
      <c r="F2" s="10" t="s">
        <v>2</v>
      </c>
      <c r="G2" s="15" t="e">
        <f>AVERAGE(D5:D66)</f>
        <v>#DIV/0!</v>
      </c>
    </row>
    <row r="3" spans="2:7" ht="87.75">
      <c r="B3" s="66" t="s">
        <v>3</v>
      </c>
      <c r="D3" s="5" t="s">
        <v>4</v>
      </c>
      <c r="F3" s="11" t="s">
        <v>5</v>
      </c>
      <c r="G3" s="16" t="e">
        <f>_xlfn.STDEV.S(D5:D66)</f>
        <v>#DIV/0!</v>
      </c>
    </row>
    <row r="4" spans="2:7">
      <c r="B4" s="4"/>
      <c r="D4" s="12" t="s">
        <v>6</v>
      </c>
      <c r="F4" s="11" t="s">
        <v>7</v>
      </c>
      <c r="G4" s="16" t="e">
        <f>G3*SQRT(252)</f>
        <v>#DIV/0!</v>
      </c>
    </row>
    <row r="5" spans="2:7" ht="17.100000000000001" thickBot="1">
      <c r="B5" s="4"/>
      <c r="D5" s="6" t="e">
        <f>C5/C4-1</f>
        <v>#DIV/0!</v>
      </c>
      <c r="F5" s="7" t="s">
        <v>8</v>
      </c>
      <c r="G5" s="17" t="e">
        <f>G3^2</f>
        <v>#DIV/0!</v>
      </c>
    </row>
    <row r="6" spans="2:7">
      <c r="B6" s="4"/>
      <c r="D6" s="6" t="e">
        <f t="shared" ref="D6:D66" si="0">C6/C5-1</f>
        <v>#DIV/0!</v>
      </c>
    </row>
    <row r="7" spans="2:7">
      <c r="B7" s="4"/>
      <c r="D7" s="6" t="e">
        <f t="shared" si="0"/>
        <v>#DIV/0!</v>
      </c>
    </row>
    <row r="8" spans="2:7">
      <c r="B8" s="4"/>
      <c r="D8" s="6" t="e">
        <f t="shared" si="0"/>
        <v>#DIV/0!</v>
      </c>
    </row>
    <row r="9" spans="2:7">
      <c r="B9" s="4"/>
      <c r="D9" s="6" t="e">
        <f t="shared" si="0"/>
        <v>#DIV/0!</v>
      </c>
    </row>
    <row r="10" spans="2:7">
      <c r="B10" s="4"/>
      <c r="D10" s="6" t="e">
        <f t="shared" si="0"/>
        <v>#DIV/0!</v>
      </c>
    </row>
    <row r="11" spans="2:7">
      <c r="B11" s="4"/>
      <c r="D11" s="6" t="e">
        <f t="shared" si="0"/>
        <v>#DIV/0!</v>
      </c>
    </row>
    <row r="12" spans="2:7">
      <c r="B12" s="4"/>
      <c r="D12" s="6" t="e">
        <f t="shared" si="0"/>
        <v>#DIV/0!</v>
      </c>
    </row>
    <row r="13" spans="2:7">
      <c r="B13" s="4"/>
      <c r="D13" s="6" t="e">
        <f t="shared" si="0"/>
        <v>#DIV/0!</v>
      </c>
    </row>
    <row r="14" spans="2:7">
      <c r="B14" s="4"/>
      <c r="D14" s="6" t="e">
        <f t="shared" si="0"/>
        <v>#DIV/0!</v>
      </c>
    </row>
    <row r="15" spans="2:7">
      <c r="B15" s="4"/>
      <c r="D15" s="6" t="e">
        <f t="shared" si="0"/>
        <v>#DIV/0!</v>
      </c>
    </row>
    <row r="16" spans="2:7">
      <c r="B16" s="4"/>
      <c r="D16" s="6" t="e">
        <f t="shared" si="0"/>
        <v>#DIV/0!</v>
      </c>
    </row>
    <row r="17" spans="2:4">
      <c r="B17" s="4"/>
      <c r="D17" s="6" t="e">
        <f t="shared" si="0"/>
        <v>#DIV/0!</v>
      </c>
    </row>
    <row r="18" spans="2:4">
      <c r="B18" s="4"/>
      <c r="D18" s="6" t="e">
        <f t="shared" si="0"/>
        <v>#DIV/0!</v>
      </c>
    </row>
    <row r="19" spans="2:4">
      <c r="B19" s="4"/>
      <c r="D19" s="6" t="e">
        <f t="shared" si="0"/>
        <v>#DIV/0!</v>
      </c>
    </row>
    <row r="20" spans="2:4">
      <c r="B20" s="4"/>
      <c r="D20" s="6" t="e">
        <f t="shared" si="0"/>
        <v>#DIV/0!</v>
      </c>
    </row>
    <row r="21" spans="2:4">
      <c r="B21" s="4"/>
      <c r="D21" s="6" t="e">
        <f t="shared" si="0"/>
        <v>#DIV/0!</v>
      </c>
    </row>
    <row r="22" spans="2:4">
      <c r="B22" s="4"/>
      <c r="D22" s="6" t="e">
        <f t="shared" si="0"/>
        <v>#DIV/0!</v>
      </c>
    </row>
    <row r="23" spans="2:4">
      <c r="B23" s="4"/>
      <c r="D23" s="6" t="e">
        <f t="shared" si="0"/>
        <v>#DIV/0!</v>
      </c>
    </row>
    <row r="24" spans="2:4">
      <c r="B24" s="4"/>
      <c r="D24" s="6" t="e">
        <f t="shared" si="0"/>
        <v>#DIV/0!</v>
      </c>
    </row>
    <row r="25" spans="2:4">
      <c r="B25" s="4"/>
      <c r="D25" s="6" t="e">
        <f t="shared" si="0"/>
        <v>#DIV/0!</v>
      </c>
    </row>
    <row r="26" spans="2:4">
      <c r="B26" s="4"/>
      <c r="D26" s="6" t="e">
        <f t="shared" si="0"/>
        <v>#DIV/0!</v>
      </c>
    </row>
    <row r="27" spans="2:4">
      <c r="B27" s="4"/>
      <c r="D27" s="6" t="e">
        <f t="shared" si="0"/>
        <v>#DIV/0!</v>
      </c>
    </row>
    <row r="28" spans="2:4">
      <c r="B28" s="4"/>
      <c r="D28" s="6" t="e">
        <f t="shared" si="0"/>
        <v>#DIV/0!</v>
      </c>
    </row>
    <row r="29" spans="2:4">
      <c r="B29" s="4"/>
      <c r="D29" s="6" t="e">
        <f t="shared" si="0"/>
        <v>#DIV/0!</v>
      </c>
    </row>
    <row r="30" spans="2:4">
      <c r="B30" s="4"/>
      <c r="D30" s="6" t="e">
        <f t="shared" si="0"/>
        <v>#DIV/0!</v>
      </c>
    </row>
    <row r="31" spans="2:4">
      <c r="B31" s="4"/>
      <c r="D31" s="6" t="e">
        <f t="shared" si="0"/>
        <v>#DIV/0!</v>
      </c>
    </row>
    <row r="32" spans="2:4">
      <c r="B32" s="4"/>
      <c r="D32" s="6" t="e">
        <f t="shared" si="0"/>
        <v>#DIV/0!</v>
      </c>
    </row>
    <row r="33" spans="2:4">
      <c r="B33" s="4"/>
      <c r="D33" s="6" t="e">
        <f t="shared" si="0"/>
        <v>#DIV/0!</v>
      </c>
    </row>
    <row r="34" spans="2:4">
      <c r="B34" s="4"/>
      <c r="D34" s="6" t="e">
        <f t="shared" si="0"/>
        <v>#DIV/0!</v>
      </c>
    </row>
    <row r="35" spans="2:4">
      <c r="B35" s="4"/>
      <c r="D35" s="6" t="e">
        <f t="shared" si="0"/>
        <v>#DIV/0!</v>
      </c>
    </row>
    <row r="36" spans="2:4">
      <c r="B36" s="4"/>
      <c r="D36" s="6" t="e">
        <f t="shared" si="0"/>
        <v>#DIV/0!</v>
      </c>
    </row>
    <row r="37" spans="2:4">
      <c r="B37" s="4"/>
      <c r="D37" s="6" t="e">
        <f t="shared" si="0"/>
        <v>#DIV/0!</v>
      </c>
    </row>
    <row r="38" spans="2:4">
      <c r="B38" s="4"/>
      <c r="D38" s="6" t="e">
        <f t="shared" si="0"/>
        <v>#DIV/0!</v>
      </c>
    </row>
    <row r="39" spans="2:4">
      <c r="B39" s="4"/>
      <c r="D39" s="6" t="e">
        <f t="shared" si="0"/>
        <v>#DIV/0!</v>
      </c>
    </row>
    <row r="40" spans="2:4">
      <c r="B40" s="4"/>
      <c r="D40" s="6" t="e">
        <f t="shared" si="0"/>
        <v>#DIV/0!</v>
      </c>
    </row>
    <row r="41" spans="2:4">
      <c r="B41" s="4"/>
      <c r="D41" s="6" t="e">
        <f t="shared" si="0"/>
        <v>#DIV/0!</v>
      </c>
    </row>
    <row r="42" spans="2:4">
      <c r="B42" s="4"/>
      <c r="D42" s="6" t="e">
        <f t="shared" si="0"/>
        <v>#DIV/0!</v>
      </c>
    </row>
    <row r="43" spans="2:4">
      <c r="B43" s="4"/>
      <c r="D43" s="6" t="e">
        <f t="shared" si="0"/>
        <v>#DIV/0!</v>
      </c>
    </row>
    <row r="44" spans="2:4">
      <c r="B44" s="4"/>
      <c r="D44" s="6" t="e">
        <f t="shared" si="0"/>
        <v>#DIV/0!</v>
      </c>
    </row>
    <row r="45" spans="2:4">
      <c r="B45" s="4"/>
      <c r="D45" s="6" t="e">
        <f t="shared" si="0"/>
        <v>#DIV/0!</v>
      </c>
    </row>
    <row r="46" spans="2:4">
      <c r="B46" s="4"/>
      <c r="D46" s="6" t="e">
        <f t="shared" si="0"/>
        <v>#DIV/0!</v>
      </c>
    </row>
    <row r="47" spans="2:4">
      <c r="B47" s="4"/>
      <c r="D47" s="6" t="e">
        <f t="shared" si="0"/>
        <v>#DIV/0!</v>
      </c>
    </row>
    <row r="48" spans="2:4">
      <c r="B48" s="4"/>
      <c r="D48" s="6" t="e">
        <f t="shared" si="0"/>
        <v>#DIV/0!</v>
      </c>
    </row>
    <row r="49" spans="2:4">
      <c r="B49" s="4"/>
      <c r="D49" s="6" t="e">
        <f t="shared" si="0"/>
        <v>#DIV/0!</v>
      </c>
    </row>
    <row r="50" spans="2:4">
      <c r="B50" s="4"/>
      <c r="D50" s="6" t="e">
        <f t="shared" si="0"/>
        <v>#DIV/0!</v>
      </c>
    </row>
    <row r="51" spans="2:4">
      <c r="B51" s="4"/>
      <c r="D51" s="6" t="e">
        <f t="shared" si="0"/>
        <v>#DIV/0!</v>
      </c>
    </row>
    <row r="52" spans="2:4">
      <c r="B52" s="4"/>
      <c r="D52" s="6" t="e">
        <f t="shared" si="0"/>
        <v>#DIV/0!</v>
      </c>
    </row>
    <row r="53" spans="2:4">
      <c r="B53" s="4"/>
      <c r="D53" s="6" t="e">
        <f t="shared" si="0"/>
        <v>#DIV/0!</v>
      </c>
    </row>
    <row r="54" spans="2:4">
      <c r="B54" s="4"/>
      <c r="D54" s="6" t="e">
        <f t="shared" si="0"/>
        <v>#DIV/0!</v>
      </c>
    </row>
    <row r="55" spans="2:4">
      <c r="B55" s="4"/>
      <c r="D55" s="6" t="e">
        <f t="shared" si="0"/>
        <v>#DIV/0!</v>
      </c>
    </row>
    <row r="56" spans="2:4">
      <c r="B56" s="4"/>
      <c r="D56" s="6" t="e">
        <f t="shared" si="0"/>
        <v>#DIV/0!</v>
      </c>
    </row>
    <row r="57" spans="2:4">
      <c r="B57" s="4"/>
      <c r="D57" s="6" t="e">
        <f t="shared" si="0"/>
        <v>#DIV/0!</v>
      </c>
    </row>
    <row r="58" spans="2:4">
      <c r="B58" s="4"/>
      <c r="D58" s="6" t="e">
        <f t="shared" si="0"/>
        <v>#DIV/0!</v>
      </c>
    </row>
    <row r="59" spans="2:4">
      <c r="B59" s="4"/>
      <c r="D59" s="6" t="e">
        <f t="shared" si="0"/>
        <v>#DIV/0!</v>
      </c>
    </row>
    <row r="60" spans="2:4">
      <c r="B60" s="4"/>
      <c r="D60" s="6" t="e">
        <f t="shared" si="0"/>
        <v>#DIV/0!</v>
      </c>
    </row>
    <row r="61" spans="2:4">
      <c r="B61" s="4"/>
      <c r="D61" s="6" t="e">
        <f t="shared" si="0"/>
        <v>#DIV/0!</v>
      </c>
    </row>
    <row r="62" spans="2:4">
      <c r="B62" s="4"/>
      <c r="D62" s="6" t="e">
        <f t="shared" si="0"/>
        <v>#DIV/0!</v>
      </c>
    </row>
    <row r="63" spans="2:4">
      <c r="B63" s="4"/>
      <c r="D63" s="6" t="e">
        <f t="shared" si="0"/>
        <v>#DIV/0!</v>
      </c>
    </row>
    <row r="64" spans="2:4">
      <c r="B64" s="4"/>
      <c r="D64" s="6" t="e">
        <f t="shared" si="0"/>
        <v>#DIV/0!</v>
      </c>
    </row>
    <row r="65" spans="2:4">
      <c r="B65" s="4"/>
      <c r="D65" s="6" t="e">
        <f t="shared" si="0"/>
        <v>#DIV/0!</v>
      </c>
    </row>
    <row r="66" spans="2:4" ht="17.100000000000001" thickBot="1">
      <c r="B66" s="7"/>
      <c r="C66" s="8"/>
      <c r="D66" s="9" t="e">
        <f t="shared" si="0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EE3F-837B-2345-9E08-5460DE39361F}">
  <sheetPr codeName="Sheet4"/>
  <dimension ref="B1:Y151"/>
  <sheetViews>
    <sheetView showGridLines="0" zoomScale="83" workbookViewId="0">
      <selection activeCell="C5" sqref="C5"/>
    </sheetView>
  </sheetViews>
  <sheetFormatPr defaultColWidth="11" defaultRowHeight="15.95"/>
  <cols>
    <col min="8" max="8" width="12.125" customWidth="1"/>
    <col min="15" max="15" width="11.625" bestFit="1" customWidth="1"/>
  </cols>
  <sheetData>
    <row r="1" spans="2:15" ht="17.100000000000001" thickBot="1">
      <c r="B1" s="2" t="s">
        <v>9</v>
      </c>
      <c r="C1" s="13" t="s">
        <v>10</v>
      </c>
    </row>
    <row r="2" spans="2:15" ht="17.100000000000001" thickBot="1">
      <c r="B2" s="2" t="s">
        <v>0</v>
      </c>
      <c r="C2" s="60" t="str">
        <f>Data!C2</f>
        <v>TSLA</v>
      </c>
      <c r="H2" s="62" t="s">
        <v>11</v>
      </c>
      <c r="I2" s="63"/>
    </row>
    <row r="3" spans="2:15" ht="17.100000000000001" thickBot="1">
      <c r="B3" s="11" t="s">
        <v>12</v>
      </c>
      <c r="C3" s="19">
        <f>Data!C66</f>
        <v>0</v>
      </c>
      <c r="F3" s="43" t="s">
        <v>13</v>
      </c>
      <c r="G3" s="44"/>
      <c r="H3" s="64" t="s">
        <v>14</v>
      </c>
      <c r="I3" s="65"/>
    </row>
    <row r="4" spans="2:15">
      <c r="B4" s="4" t="s">
        <v>15</v>
      </c>
      <c r="C4" s="29">
        <v>395</v>
      </c>
    </row>
    <row r="5" spans="2:15">
      <c r="B5" s="11" t="s">
        <v>5</v>
      </c>
      <c r="C5" s="18" t="e">
        <f>Data!G4</f>
        <v>#DIV/0!</v>
      </c>
    </row>
    <row r="6" spans="2:15">
      <c r="B6" s="11" t="s">
        <v>16</v>
      </c>
      <c r="C6" s="30">
        <v>0.25</v>
      </c>
    </row>
    <row r="7" spans="2:15">
      <c r="B7" s="11" t="s">
        <v>17</v>
      </c>
      <c r="C7" s="42">
        <v>10</v>
      </c>
      <c r="O7" t="s">
        <v>18</v>
      </c>
    </row>
    <row r="8" spans="2:15">
      <c r="B8" s="11" t="s">
        <v>19</v>
      </c>
      <c r="C8" s="41">
        <f>C6/C7</f>
        <v>2.5000000000000001E-2</v>
      </c>
    </row>
    <row r="9" spans="2:15">
      <c r="B9" s="4" t="s">
        <v>20</v>
      </c>
      <c r="C9" s="23">
        <v>4.0399999999999998E-2</v>
      </c>
    </row>
    <row r="10" spans="2:15" ht="17.100000000000001" thickBot="1">
      <c r="B10" s="4" t="s">
        <v>21</v>
      </c>
      <c r="C10" s="20" t="e">
        <f>EXP(C5*SQRT(C8))</f>
        <v>#DIV/0!</v>
      </c>
    </row>
    <row r="11" spans="2:15" ht="17.100000000000001" thickBot="1">
      <c r="B11" s="4" t="s">
        <v>22</v>
      </c>
      <c r="C11" s="21" t="e">
        <f>1/C10</f>
        <v>#DIV/0!</v>
      </c>
      <c r="F11" t="s">
        <v>23</v>
      </c>
      <c r="H11" s="57">
        <f>EXP(-$C$9*$C$8)</f>
        <v>0.99899050987832649</v>
      </c>
    </row>
    <row r="12" spans="2:15" ht="17.100000000000001" thickBot="1">
      <c r="B12" s="7" t="s">
        <v>24</v>
      </c>
      <c r="C12" s="22" t="e">
        <f>(((1+C9)^C8) - C11) / (C10 - C11)</f>
        <v>#DIV/0!</v>
      </c>
      <c r="F12" t="s">
        <v>25</v>
      </c>
      <c r="H12" s="56">
        <f>EXP($C$9*$C$8)</f>
        <v>1.0010105102217601</v>
      </c>
    </row>
    <row r="15" spans="2:15" ht="17.100000000000001" thickBot="1"/>
    <row r="16" spans="2:15" ht="17.100000000000001" thickBot="1">
      <c r="B16" s="47" t="s">
        <v>26</v>
      </c>
    </row>
    <row r="17" spans="2:12" ht="17.100000000000001" thickBot="1">
      <c r="B17" s="46">
        <v>0</v>
      </c>
      <c r="C17" s="46">
        <v>1</v>
      </c>
      <c r="D17" s="46">
        <v>2</v>
      </c>
      <c r="E17" s="46">
        <v>3</v>
      </c>
      <c r="F17" s="46">
        <v>4</v>
      </c>
      <c r="G17" s="46">
        <v>5</v>
      </c>
      <c r="H17" s="46">
        <v>6</v>
      </c>
      <c r="I17" s="46">
        <v>7</v>
      </c>
      <c r="J17" s="46">
        <v>8</v>
      </c>
      <c r="K17" s="46">
        <v>9</v>
      </c>
      <c r="L17" s="46">
        <v>10</v>
      </c>
    </row>
    <row r="18" spans="2:12"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spans="2:12" ht="17.100000000000001" thickBot="1"/>
    <row r="20" spans="2:12" ht="17.100000000000001" thickBot="1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55" t="e">
        <f>IF(K$17&lt;$C$7, K21*$C$10, 0)</f>
        <v>#DIV/0!</v>
      </c>
    </row>
    <row r="21" spans="2:12" ht="17.100000000000001" thickBot="1">
      <c r="B21" s="24"/>
      <c r="C21" s="24"/>
      <c r="D21" s="24"/>
      <c r="E21" s="24"/>
      <c r="F21" s="24"/>
      <c r="G21" s="24"/>
      <c r="H21" s="24"/>
      <c r="I21" s="24"/>
      <c r="J21" s="24"/>
      <c r="K21" s="55" t="e">
        <f>IF(J$17&lt;$C$7, J22*$C$10, 0)</f>
        <v>#DIV/0!</v>
      </c>
      <c r="L21" s="59" t="e" cm="1">
        <f t="array" ref="L21">_xlfn.IFS($H$3="European Call", L48, $H$3="European Put", L75, $H$3="American Call", L102, $H$3="American Put", L129)</f>
        <v>#DIV/0!</v>
      </c>
    </row>
    <row r="22" spans="2:12" ht="17.100000000000001" thickBot="1">
      <c r="B22" s="24"/>
      <c r="C22" s="24"/>
      <c r="D22" s="24"/>
      <c r="E22" s="24"/>
      <c r="F22" s="24"/>
      <c r="G22" s="24"/>
      <c r="H22" s="24"/>
      <c r="I22" s="24"/>
      <c r="J22" s="55" t="e">
        <f>IF(I$17&lt;$C$7, I23*$C$10, 0)</f>
        <v>#DIV/0!</v>
      </c>
      <c r="K22" s="59" t="e" cm="1">
        <f t="array" ref="K22">_xlfn.IFS($H$3="European Call", K49, $H$3="European Put", K76, $H$3="American Call", K103, $H$3="American Put", K130)</f>
        <v>#DIV/0!</v>
      </c>
      <c r="L22" s="55" t="e">
        <f>IF(K$17&lt;$C$7, K23*$C$10, 0)</f>
        <v>#DIV/0!</v>
      </c>
    </row>
    <row r="23" spans="2:12" ht="17.100000000000001" thickBot="1">
      <c r="B23" s="55" t="s">
        <v>27</v>
      </c>
      <c r="C23" s="24"/>
      <c r="D23" s="24"/>
      <c r="E23" s="24"/>
      <c r="F23" s="24"/>
      <c r="G23" s="24"/>
      <c r="H23" s="24"/>
      <c r="I23" s="55" t="e">
        <f>IF(H$17&lt;$C$7, H24*$C$10, 0)</f>
        <v>#DIV/0!</v>
      </c>
      <c r="J23" s="59" t="e" cm="1">
        <f t="array" ref="J23">_xlfn.IFS($H$3="European Call", J50, $H$3="European Put", J77, $H$3="American Call", J104, $H$3="American Put", J131)</f>
        <v>#DIV/0!</v>
      </c>
      <c r="K23" s="55" t="e">
        <f>IF(J$17&lt;$C$7, J24*$C$10, 0)</f>
        <v>#DIV/0!</v>
      </c>
      <c r="L23" s="59" t="e" cm="1">
        <f t="array" ref="L23">_xlfn.IFS($H$3="European Call", L50, $H$3="European Put", L77, $H$3="American Call", L104, $H$3="American Put", L131)</f>
        <v>#DIV/0!</v>
      </c>
    </row>
    <row r="24" spans="2:12" ht="17.100000000000001" thickBot="1">
      <c r="B24" s="61" t="s">
        <v>28</v>
      </c>
      <c r="C24" s="24"/>
      <c r="D24" s="24"/>
      <c r="E24" s="24"/>
      <c r="F24" s="24"/>
      <c r="G24" s="24"/>
      <c r="H24" s="55" t="e">
        <f>IF(G$17&lt;$C$7, G25*$C$10, 0)</f>
        <v>#DIV/0!</v>
      </c>
      <c r="I24" s="59" t="e" cm="1">
        <f t="array" ref="I24">_xlfn.IFS($H$3="European Call", I51, $H$3="European Put", I78, $H$3="American Call", I105, $H$3="American Put", I132)</f>
        <v>#DIV/0!</v>
      </c>
      <c r="J24" s="55" t="e">
        <f>IF(I$17&lt;$C$7, I25*$C$10, 0)</f>
        <v>#DIV/0!</v>
      </c>
      <c r="K24" s="59" t="e" cm="1">
        <f t="array" ref="K24">_xlfn.IFS($H$3="European Call", K51, $H$3="European Put", K78, $H$3="American Call", K105, $H$3="American Put", K132)</f>
        <v>#DIV/0!</v>
      </c>
      <c r="L24" s="55" t="e">
        <f>IF(K$17&lt;$C$7, K23*$C$11, 0)</f>
        <v>#DIV/0!</v>
      </c>
    </row>
    <row r="25" spans="2:12" ht="17.100000000000001" thickBot="1">
      <c r="B25" s="24"/>
      <c r="C25" s="24"/>
      <c r="D25" s="24"/>
      <c r="E25" s="24"/>
      <c r="F25" s="24"/>
      <c r="G25" s="55" t="e">
        <f>IF(F$17&lt;$C$7, F26*$C$10, 0)</f>
        <v>#DIV/0!</v>
      </c>
      <c r="H25" s="59" t="e" cm="1">
        <f t="array" ref="H25">_xlfn.IFS($H$3="European Call", H52, $H$3="European Put", H79, $H$3="American Call", H106, $H$3="American Put", H133)</f>
        <v>#DIV/0!</v>
      </c>
      <c r="I25" s="55" t="e">
        <f>IF(H$17&lt;$C$7, H26*$C$10, 0)</f>
        <v>#DIV/0!</v>
      </c>
      <c r="J25" s="59" t="e" cm="1">
        <f t="array" ref="J25">_xlfn.IFS($H$3="European Call", J52, $H$3="European Put", J79, $H$3="American Call", J106, $H$3="American Put", J133)</f>
        <v>#DIV/0!</v>
      </c>
      <c r="K25" s="55" t="e">
        <f>IF(J$17&lt;$C$7, J24*$C$11, 0)</f>
        <v>#DIV/0!</v>
      </c>
      <c r="L25" s="59" t="e" cm="1">
        <f t="array" ref="L25">_xlfn.IFS($H$3="European Call", L52, $H$3="European Put", L79, $H$3="American Call", L106, $H$3="American Put", L133)</f>
        <v>#DIV/0!</v>
      </c>
    </row>
    <row r="26" spans="2:12" ht="17.100000000000001" thickBot="1">
      <c r="B26" s="24"/>
      <c r="C26" s="24"/>
      <c r="D26" s="24"/>
      <c r="E26" s="24"/>
      <c r="F26" s="55" t="e">
        <f>IF(E$17&lt;$C$7, E27*$C$10, 0)</f>
        <v>#DIV/0!</v>
      </c>
      <c r="G26" s="59" t="e" cm="1">
        <f t="array" ref="G26">_xlfn.IFS($H$3="European Call", G53, $H$3="European Put", G80, $H$3="American Call", G107, $H$3="American Put", G134)</f>
        <v>#DIV/0!</v>
      </c>
      <c r="H26" s="55" t="e">
        <f>IF(G$17&lt;$C$7, G27*$C$10, 0)</f>
        <v>#DIV/0!</v>
      </c>
      <c r="I26" s="59" t="e" cm="1">
        <f t="array" ref="I26">_xlfn.IFS($H$3="European Call", I53, $H$3="European Put", I80, $H$3="American Call", I107, $H$3="American Put", I134)</f>
        <v>#DIV/0!</v>
      </c>
      <c r="J26" s="55" t="e">
        <f>IF(I$17&lt;$C$7, I25*$C$11, 0)</f>
        <v>#DIV/0!</v>
      </c>
      <c r="K26" s="59" t="e" cm="1">
        <f t="array" ref="K26">_xlfn.IFS($H$3="European Call", K53, $H$3="European Put", K80, $H$3="American Call", K107, $H$3="American Put", K134)</f>
        <v>#DIV/0!</v>
      </c>
      <c r="L26" s="55" t="e">
        <f>IF(K$17&lt;$C$7, K25*$C$11, 0)</f>
        <v>#DIV/0!</v>
      </c>
    </row>
    <row r="27" spans="2:12" ht="17.100000000000001" thickBot="1">
      <c r="B27" s="24"/>
      <c r="C27" s="24"/>
      <c r="D27" s="24"/>
      <c r="E27" s="55" t="e">
        <f>IF(D$17&lt;$C$7, D28*$C$10, 0)</f>
        <v>#DIV/0!</v>
      </c>
      <c r="F27" s="59" t="e" cm="1">
        <f t="array" ref="F27">_xlfn.IFS($H$3="European Call", F54, $H$3="European Put", F81, $H$3="American Call", F108, $H$3="American Put", F135)</f>
        <v>#DIV/0!</v>
      </c>
      <c r="G27" s="55" t="e">
        <f>IF(F$17&lt;$C$7, F28*$C$10, 0)</f>
        <v>#DIV/0!</v>
      </c>
      <c r="H27" s="59" t="e" cm="1">
        <f t="array" ref="H27">_xlfn.IFS($H$3="European Call", H54, $H$3="European Put", H81, $H$3="American Call", H108, $H$3="American Put", H135)</f>
        <v>#DIV/0!</v>
      </c>
      <c r="I27" s="55" t="e">
        <f>IF(H$17&lt;$C$7, H26*$C$11, 0)</f>
        <v>#DIV/0!</v>
      </c>
      <c r="J27" s="59" t="e" cm="1">
        <f t="array" ref="J27">_xlfn.IFS($H$3="European Call", J54, $H$3="European Put", J81, $H$3="American Call", J108, $H$3="American Put", J135)</f>
        <v>#DIV/0!</v>
      </c>
      <c r="K27" s="55" t="e">
        <f>IF(J$17&lt;$C$7, J26*$C$11, 0)</f>
        <v>#DIV/0!</v>
      </c>
      <c r="L27" s="59" t="e" cm="1">
        <f t="array" ref="L27">_xlfn.IFS($H$3="European Call", L54, $H$3="European Put", L81, $H$3="American Call", L108, $H$3="American Put", L135)</f>
        <v>#DIV/0!</v>
      </c>
    </row>
    <row r="28" spans="2:12" ht="17.100000000000001" thickBot="1">
      <c r="B28" s="24"/>
      <c r="C28" s="24"/>
      <c r="D28" s="55" t="e">
        <f>IF(C$17&lt;$C$7, C29*$C$10, 0)</f>
        <v>#DIV/0!</v>
      </c>
      <c r="E28" s="59" t="e" cm="1">
        <f t="array" ref="E28">_xlfn.IFS($H$3="European Call", E55, $H$3="European Put", E82, $H$3="American Call", E109, $H$3="American Put", E136)</f>
        <v>#DIV/0!</v>
      </c>
      <c r="F28" s="55" t="e">
        <f>IF(E$17&lt;$C$7, E29*$C$10, 0)</f>
        <v>#DIV/0!</v>
      </c>
      <c r="G28" s="59" t="e" cm="1">
        <f t="array" ref="G28">_xlfn.IFS($H$3="European Call", G55, $H$3="European Put", G82, $H$3="American Call", G109, $H$3="American Put", G136)</f>
        <v>#DIV/0!</v>
      </c>
      <c r="H28" s="55" t="e">
        <f>IF(G$17&lt;$C$7, G27*$C$11, 0)</f>
        <v>#DIV/0!</v>
      </c>
      <c r="I28" s="59" t="e" cm="1">
        <f t="array" ref="I28">_xlfn.IFS($H$3="European Call", I55, $H$3="European Put", I82, $H$3="American Call", I109, $H$3="American Put", I136)</f>
        <v>#DIV/0!</v>
      </c>
      <c r="J28" s="55" t="e">
        <f>IF(I$17&lt;$C$7, I27*$C$11, 0)</f>
        <v>#DIV/0!</v>
      </c>
      <c r="K28" s="59" t="e" cm="1">
        <f t="array" ref="K28">_xlfn.IFS($H$3="European Call", K55, $H$3="European Put", K82, $H$3="American Call", K109, $H$3="American Put", K136)</f>
        <v>#DIV/0!</v>
      </c>
      <c r="L28" s="55" t="e">
        <f>IF(K$17&lt;$C$7, K27*$C$11, 0)</f>
        <v>#DIV/0!</v>
      </c>
    </row>
    <row r="29" spans="2:12" ht="17.100000000000001" thickBot="1">
      <c r="B29" s="24"/>
      <c r="C29" s="55" t="e">
        <f>IF(B$17&lt;$C$7, B30*$C$10, 0)</f>
        <v>#DIV/0!</v>
      </c>
      <c r="D29" s="59" t="e" cm="1">
        <f t="array" ref="D29">_xlfn.IFS($H$3="European Call", D56, $H$3="European Put", D83, $H$3="American Call", D110, $H$3="American Put", D137)</f>
        <v>#DIV/0!</v>
      </c>
      <c r="E29" s="55" t="e">
        <f>IF(D$17&lt;$C$7, D30*$C$10, 0)</f>
        <v>#DIV/0!</v>
      </c>
      <c r="F29" s="59" t="e" cm="1">
        <f t="array" ref="F29">_xlfn.IFS($H$3="European Call", F56, $H$3="European Put", F83, $H$3="American Call", F110, $H$3="American Put", F137)</f>
        <v>#DIV/0!</v>
      </c>
      <c r="G29" s="55" t="e">
        <f>IF(F$17&lt;$C$7, F28*$C$11, 0)</f>
        <v>#DIV/0!</v>
      </c>
      <c r="H29" s="59" t="e" cm="1">
        <f t="array" ref="H29">_xlfn.IFS($H$3="European Call", H56, $H$3="European Put", H83, $H$3="American Call", H110, $H$3="American Put", H137)</f>
        <v>#DIV/0!</v>
      </c>
      <c r="I29" s="55" t="e">
        <f>IF(H$17&lt;$C$7, H28*$C$11, 0)</f>
        <v>#DIV/0!</v>
      </c>
      <c r="J29" s="59" t="e" cm="1">
        <f t="array" ref="J29">_xlfn.IFS($H$3="European Call", J56, $H$3="European Put", J83, $H$3="American Call", J110, $H$3="American Put", J137)</f>
        <v>#DIV/0!</v>
      </c>
      <c r="K29" s="55" t="e">
        <f>IF(J$17&lt;$C$7, J28*$C$11, 0)</f>
        <v>#DIV/0!</v>
      </c>
      <c r="L29" s="59" t="e" cm="1">
        <f t="array" ref="L29">_xlfn.IFS($H$3="European Call", L56, $H$3="European Put", L83, $H$3="American Call", L110, $H$3="American Put", L137)</f>
        <v>#DIV/0!</v>
      </c>
    </row>
    <row r="30" spans="2:12" ht="17.100000000000001" thickBot="1">
      <c r="B30" s="55">
        <f>C3</f>
        <v>0</v>
      </c>
      <c r="C30" s="59" t="e" cm="1">
        <f t="array" ref="C30">_xlfn.IFS($H$3="European Call", C57, $H$3="European Put", C84, $H$3="American Call", C111, $H$3="American Put", C138)</f>
        <v>#DIV/0!</v>
      </c>
      <c r="D30" s="55" t="e">
        <f>IF(C$17&lt;$C$7, C29*$C$11, 0)</f>
        <v>#DIV/0!</v>
      </c>
      <c r="E30" s="59" t="e" cm="1">
        <f t="array" ref="E30">_xlfn.IFS($H$3="European Call", E57, $H$3="European Put", E84, $H$3="American Call", E111, $H$3="American Put", E138)</f>
        <v>#DIV/0!</v>
      </c>
      <c r="F30" s="55" t="e">
        <f>IF(E$17&lt;$C$7, E29*$C$11, 0)</f>
        <v>#DIV/0!</v>
      </c>
      <c r="G30" s="59" t="e" cm="1">
        <f t="array" ref="G30">_xlfn.IFS($H$3="European Call", G57, $H$3="European Put", G84, $H$3="American Call", G111, $H$3="American Put", G138)</f>
        <v>#DIV/0!</v>
      </c>
      <c r="H30" s="55" t="e">
        <f>IF(G$17&lt;$C$7, G29*$C$11, 0)</f>
        <v>#DIV/0!</v>
      </c>
      <c r="I30" s="59" t="e" cm="1">
        <f t="array" ref="I30">_xlfn.IFS($H$3="European Call", I57, $H$3="European Put", I84, $H$3="American Call", I111, $H$3="American Put", I138)</f>
        <v>#DIV/0!</v>
      </c>
      <c r="J30" s="55" t="e">
        <f>IF(I$17&lt;$C$7, I29*$C$11, 0)</f>
        <v>#DIV/0!</v>
      </c>
      <c r="K30" s="59" t="e" cm="1">
        <f t="array" ref="K30">_xlfn.IFS($H$3="European Call", K57, $H$3="European Put", K84, $H$3="American Call", K111, $H$3="American Put", K138)</f>
        <v>#DIV/0!</v>
      </c>
      <c r="L30" s="55" t="e">
        <f>IF(K$17&lt;$C$7, K29*$C$11, 0)</f>
        <v>#DIV/0!</v>
      </c>
    </row>
    <row r="31" spans="2:12" ht="17.100000000000001" thickBot="1">
      <c r="B31" s="59" cm="1">
        <f t="array" ref="B31">_xlfn.IFS($H$3="European Call", B58, $H$3="European Put", B85, $H$3="American Call", B112, $H$3="American Put", B139)</f>
        <v>0</v>
      </c>
      <c r="C31" s="55" t="e">
        <f>IF(B$17&lt;$C$7, B30*$C$11, 0)</f>
        <v>#DIV/0!</v>
      </c>
      <c r="D31" s="59" t="e" cm="1">
        <f t="array" ref="D31">_xlfn.IFS($H$3="European Call", D58, $H$3="European Put", D85, $H$3="American Call", D112, $H$3="American Put", D139)</f>
        <v>#DIV/0!</v>
      </c>
      <c r="E31" s="55" t="e">
        <f>IF(D$17&lt;$C$7, D30*$C$11, 0)</f>
        <v>#DIV/0!</v>
      </c>
      <c r="F31" s="59" t="e" cm="1">
        <f t="array" ref="F31">_xlfn.IFS($H$3="European Call", F58, $H$3="European Put", F85, $H$3="American Call", F112, $H$3="American Put", F139)</f>
        <v>#DIV/0!</v>
      </c>
      <c r="G31" s="55" t="e">
        <f>IF(F$17&lt;$C$7, F30*$C$11, 0)</f>
        <v>#DIV/0!</v>
      </c>
      <c r="H31" s="59" t="e" cm="1">
        <f t="array" ref="H31">_xlfn.IFS($H$3="European Call", H58, $H$3="European Put", H85, $H$3="American Call", H112, $H$3="American Put", H139)</f>
        <v>#DIV/0!</v>
      </c>
      <c r="I31" s="55" t="e">
        <f>IF(H$17&lt;$C$7, H30*$C$11, 0)</f>
        <v>#DIV/0!</v>
      </c>
      <c r="J31" s="59" t="e" cm="1">
        <f t="array" ref="J31">_xlfn.IFS($H$3="European Call", J58, $H$3="European Put", J85, $H$3="American Call", J112, $H$3="American Put", J139)</f>
        <v>#DIV/0!</v>
      </c>
      <c r="K31" s="55" t="e">
        <f>IF(J$17&lt;$C$7, J30*$C$11, 0)</f>
        <v>#DIV/0!</v>
      </c>
      <c r="L31" s="59" t="e" cm="1">
        <f t="array" ref="L31">_xlfn.IFS($H$3="European Call", L58, $H$3="European Put", L85, $H$3="American Call", L112, $H$3="American Put", L139)</f>
        <v>#DIV/0!</v>
      </c>
    </row>
    <row r="32" spans="2:12" ht="17.100000000000001" thickBot="1">
      <c r="B32" s="24"/>
      <c r="C32" s="59" t="e" cm="1">
        <f t="array" ref="C32">_xlfn.IFS($H$3="European Call", C59, $H$3="European Put", C86, $H$3="American Call", C113, $H$3="American Put", C140)</f>
        <v>#DIV/0!</v>
      </c>
      <c r="D32" s="55" t="e">
        <f>IF(C$17&lt;$C$7, C31*$C$11, 0)</f>
        <v>#DIV/0!</v>
      </c>
      <c r="E32" s="59" t="e" cm="1">
        <f t="array" ref="E32">_xlfn.IFS($H$3="European Call", E59, $H$3="European Put", E86, $H$3="American Call", E113, $H$3="American Put", E140)</f>
        <v>#DIV/0!</v>
      </c>
      <c r="F32" s="55" t="e">
        <f>IF(E$17&lt;$C$7, E31*$C$11, 0)</f>
        <v>#DIV/0!</v>
      </c>
      <c r="G32" s="59" t="e" cm="1">
        <f t="array" ref="G32">_xlfn.IFS($H$3="European Call", G59, $H$3="European Put", G86, $H$3="American Call", G113, $H$3="American Put", G140)</f>
        <v>#DIV/0!</v>
      </c>
      <c r="H32" s="55" t="e">
        <f>IF(G$17&lt;$C$7, G31*$C$11, 0)</f>
        <v>#DIV/0!</v>
      </c>
      <c r="I32" s="59" t="e" cm="1">
        <f t="array" ref="I32">_xlfn.IFS($H$3="European Call", I59, $H$3="European Put", I86, $H$3="American Call", I113, $H$3="American Put", I140)</f>
        <v>#DIV/0!</v>
      </c>
      <c r="J32" s="55" t="e">
        <f>IF(I$17&lt;$C$7, I31*$C$11, 0)</f>
        <v>#DIV/0!</v>
      </c>
      <c r="K32" s="59" t="e" cm="1">
        <f t="array" ref="K32">_xlfn.IFS($H$3="European Call", K59, $H$3="European Put", K86, $H$3="American Call", K113, $H$3="American Put", K140)</f>
        <v>#DIV/0!</v>
      </c>
      <c r="L32" s="55" t="e">
        <f>IF(K$17&lt;$C$7, K31*$C$11, 0)</f>
        <v>#DIV/0!</v>
      </c>
    </row>
    <row r="33" spans="2:12" ht="17.100000000000001" thickBot="1">
      <c r="B33" s="24"/>
      <c r="C33" s="24"/>
      <c r="D33" s="59" t="e" cm="1">
        <f t="array" ref="D33">_xlfn.IFS($H$3="European Call", D60, $H$3="European Put", D87, $H$3="American Call", D114, $H$3="American Put", D141)</f>
        <v>#DIV/0!</v>
      </c>
      <c r="E33" s="55" t="e">
        <f>IF(D$17&lt;$C$7, D32*$C$11, 0)</f>
        <v>#DIV/0!</v>
      </c>
      <c r="F33" s="59" t="e" cm="1">
        <f t="array" ref="F33">_xlfn.IFS($H$3="European Call", F60, $H$3="European Put", F87, $H$3="American Call", F114, $H$3="American Put", F141)</f>
        <v>#DIV/0!</v>
      </c>
      <c r="G33" s="55" t="e">
        <f>IF(F$17&lt;$C$7, F32*$C$11, 0)</f>
        <v>#DIV/0!</v>
      </c>
      <c r="H33" s="59" t="e" cm="1">
        <f t="array" ref="H33">_xlfn.IFS($H$3="European Call", H60, $H$3="European Put", H87, $H$3="American Call", H114, $H$3="American Put", H141)</f>
        <v>#DIV/0!</v>
      </c>
      <c r="I33" s="55" t="e">
        <f>IF(H$17&lt;$C$7, H32*$C$11, 0)</f>
        <v>#DIV/0!</v>
      </c>
      <c r="J33" s="59" t="e" cm="1">
        <f t="array" ref="J33">_xlfn.IFS($H$3="European Call", J60, $H$3="European Put", J87, $H$3="American Call", J114, $H$3="American Put", J141)</f>
        <v>#DIV/0!</v>
      </c>
      <c r="K33" s="55" t="e">
        <f>IF(J$17&lt;$C$7, J32*$C$11, 0)</f>
        <v>#DIV/0!</v>
      </c>
      <c r="L33" s="59" t="e" cm="1">
        <f t="array" ref="L33">_xlfn.IFS($H$3="European Call", L60, $H$3="European Put", L87, $H$3="American Call", L114, $H$3="American Put", L141)</f>
        <v>#DIV/0!</v>
      </c>
    </row>
    <row r="34" spans="2:12" ht="17.100000000000001" thickBot="1">
      <c r="B34" s="24"/>
      <c r="C34" s="24"/>
      <c r="D34" s="24"/>
      <c r="E34" s="59" t="e" cm="1">
        <f t="array" ref="E34">_xlfn.IFS($H$3="European Call", E61, $H$3="European Put", E88, $H$3="American Call", E115, $H$3="American Put", E142)</f>
        <v>#DIV/0!</v>
      </c>
      <c r="F34" s="55" t="e">
        <f>IF(E$17&lt;$C$7, E33*$C$11, 0)</f>
        <v>#DIV/0!</v>
      </c>
      <c r="G34" s="59" t="e" cm="1">
        <f t="array" ref="G34">_xlfn.IFS($H$3="European Call", G61, $H$3="European Put", G88, $H$3="American Call", G115, $H$3="American Put", G142)</f>
        <v>#DIV/0!</v>
      </c>
      <c r="H34" s="55" t="e">
        <f>IF(G$17&lt;$C$7, G33*$C$11, 0)</f>
        <v>#DIV/0!</v>
      </c>
      <c r="I34" s="59" t="e" cm="1">
        <f t="array" ref="I34">_xlfn.IFS($H$3="European Call", I61, $H$3="European Put", I88, $H$3="American Call", I115, $H$3="American Put", I142)</f>
        <v>#DIV/0!</v>
      </c>
      <c r="J34" s="55" t="e">
        <f>IF(I$17&lt;$C$7, I33*$C$11, 0)</f>
        <v>#DIV/0!</v>
      </c>
      <c r="K34" s="59" t="e" cm="1">
        <f t="array" ref="K34">_xlfn.IFS($H$3="European Call", K61, $H$3="European Put", K88, $H$3="American Call", K115, $H$3="American Put", K142)</f>
        <v>#DIV/0!</v>
      </c>
      <c r="L34" s="55" t="e">
        <f>IF(K$17&lt;$C$7, K33*$C$11, 0)</f>
        <v>#DIV/0!</v>
      </c>
    </row>
    <row r="35" spans="2:12" ht="17.100000000000001" thickBot="1">
      <c r="B35" s="24"/>
      <c r="C35" s="24"/>
      <c r="D35" s="24"/>
      <c r="E35" s="24"/>
      <c r="F35" s="59" t="e" cm="1">
        <f t="array" ref="F35">_xlfn.IFS($H$3="European Call", F62, $H$3="European Put", F89, $H$3="American Call", F116, $H$3="American Put", F143)</f>
        <v>#DIV/0!</v>
      </c>
      <c r="G35" s="55" t="e">
        <f>IF(F$17&lt;$C$7, F34*$C$11, 0)</f>
        <v>#DIV/0!</v>
      </c>
      <c r="H35" s="59" t="e" cm="1">
        <f t="array" ref="H35">_xlfn.IFS($H$3="European Call", H62, $H$3="European Put", H89, $H$3="American Call", H116, $H$3="American Put", H143)</f>
        <v>#DIV/0!</v>
      </c>
      <c r="I35" s="55" t="e">
        <f>IF(H$17&lt;$C$7, H34*$C$11, 0)</f>
        <v>#DIV/0!</v>
      </c>
      <c r="J35" s="59" t="e" cm="1">
        <f t="array" ref="J35">_xlfn.IFS($H$3="European Call", J62, $H$3="European Put", J89, $H$3="American Call", J116, $H$3="American Put", J143)</f>
        <v>#DIV/0!</v>
      </c>
      <c r="K35" s="55" t="e">
        <f>IF(J$17&lt;$C$7, J34*$C$11, 0)</f>
        <v>#DIV/0!</v>
      </c>
      <c r="L35" s="59" t="e" cm="1">
        <f t="array" ref="L35">_xlfn.IFS($H$3="European Call", L62, $H$3="European Put", L89, $H$3="American Call", L116, $H$3="American Put", L143)</f>
        <v>#DIV/0!</v>
      </c>
    </row>
    <row r="36" spans="2:12" ht="17.100000000000001" thickBot="1">
      <c r="B36" s="24"/>
      <c r="C36" s="24"/>
      <c r="D36" s="24"/>
      <c r="E36" s="24"/>
      <c r="F36" s="24"/>
      <c r="G36" s="59" t="e" cm="1">
        <f t="array" ref="G36">_xlfn.IFS($H$3="European Call", G63, $H$3="European Put", G90, $H$3="American Call", G117, $H$3="American Put", G144)</f>
        <v>#DIV/0!</v>
      </c>
      <c r="H36" s="55" t="e">
        <f>IF(G$17&lt;$C$7, G35*$C$11, 0)</f>
        <v>#DIV/0!</v>
      </c>
      <c r="I36" s="59" t="e" cm="1">
        <f t="array" ref="I36">_xlfn.IFS($H$3="European Call", I63, $H$3="European Put", I90, $H$3="American Call", I117, $H$3="American Put", I144)</f>
        <v>#DIV/0!</v>
      </c>
      <c r="J36" s="55" t="e">
        <f>IF(I$17&lt;$C$7, I35*$C$11, 0)</f>
        <v>#DIV/0!</v>
      </c>
      <c r="K36" s="59" t="e" cm="1">
        <f t="array" ref="K36">_xlfn.IFS($H$3="European Call", K63, $H$3="European Put", K90, $H$3="American Call", K117, $H$3="American Put", K144)</f>
        <v>#DIV/0!</v>
      </c>
      <c r="L36" s="55" t="e">
        <f>IF(K$17&lt;$C$7, K35*$C$11, 0)</f>
        <v>#DIV/0!</v>
      </c>
    </row>
    <row r="37" spans="2:12" ht="17.100000000000001" thickBot="1">
      <c r="B37" s="24"/>
      <c r="C37" s="24"/>
      <c r="D37" s="24"/>
      <c r="E37" s="24"/>
      <c r="F37" s="24"/>
      <c r="G37" s="24"/>
      <c r="H37" s="59" t="e" cm="1">
        <f t="array" ref="H37">_xlfn.IFS($H$3="European Call", H64, $H$3="European Put", H91, $H$3="American Call", H118, $H$3="American Put", H145)</f>
        <v>#DIV/0!</v>
      </c>
      <c r="I37" s="55" t="e">
        <f>IF(H$17&lt;$C$7, H36*$C$11, 0)</f>
        <v>#DIV/0!</v>
      </c>
      <c r="J37" s="59" t="e" cm="1">
        <f t="array" ref="J37">_xlfn.IFS($H$3="European Call", J64, $H$3="European Put", J91, $H$3="American Call", J118, $H$3="American Put", J145)</f>
        <v>#DIV/0!</v>
      </c>
      <c r="K37" s="55" t="e">
        <f>IF(J$17&lt;$C$7, J36*$C$11, 0)</f>
        <v>#DIV/0!</v>
      </c>
      <c r="L37" s="59" t="e" cm="1">
        <f t="array" ref="L37">_xlfn.IFS($H$3="European Call", L64, $H$3="European Put", L91, $H$3="American Call", L118, $H$3="American Put", L145)</f>
        <v>#DIV/0!</v>
      </c>
    </row>
    <row r="38" spans="2:12" ht="17.100000000000001" thickBot="1">
      <c r="B38" s="24"/>
      <c r="C38" s="24"/>
      <c r="D38" s="24"/>
      <c r="E38" s="24"/>
      <c r="F38" s="24"/>
      <c r="G38" s="24"/>
      <c r="H38" s="24"/>
      <c r="I38" s="59" t="e" cm="1">
        <f t="array" ref="I38">_xlfn.IFS($H$3="European Call", I65, $H$3="European Put", I92, $H$3="American Call", I119, $H$3="American Put", I146)</f>
        <v>#DIV/0!</v>
      </c>
      <c r="J38" s="55" t="e">
        <f>IF(I$17&lt;$C$7, I37*$C$11, 0)</f>
        <v>#DIV/0!</v>
      </c>
      <c r="K38" s="59" t="e" cm="1">
        <f t="array" ref="K38">_xlfn.IFS($H$3="European Call", K65, $H$3="European Put", K92, $H$3="American Call", K119, $H$3="American Put", K146)</f>
        <v>#DIV/0!</v>
      </c>
      <c r="L38" s="55" t="e">
        <f>IF(K$17&lt;$C$7, K37*$C$11, 0)</f>
        <v>#DIV/0!</v>
      </c>
    </row>
    <row r="39" spans="2:12" ht="17.100000000000001" thickBot="1">
      <c r="B39" s="24"/>
      <c r="C39" s="24"/>
      <c r="D39" s="24"/>
      <c r="E39" s="24"/>
      <c r="F39" s="24"/>
      <c r="G39" s="24"/>
      <c r="H39" s="24"/>
      <c r="I39" s="24"/>
      <c r="J39" s="59" t="e" cm="1">
        <f t="array" ref="J39">_xlfn.IFS($H$3="European Call", J66, $H$3="European Put", J93, $H$3="American Call", J120, $H$3="American Put", J147)</f>
        <v>#DIV/0!</v>
      </c>
      <c r="K39" s="55" t="e">
        <f>IF(J$17&lt;$C$7, J38*$C$11, 0)</f>
        <v>#DIV/0!</v>
      </c>
      <c r="L39" s="59" t="e" cm="1">
        <f t="array" ref="L39">_xlfn.IFS($H$3="European Call", L66, $H$3="European Put", L93, $H$3="American Call", L120, $H$3="American Put", L147)</f>
        <v>#DIV/0!</v>
      </c>
    </row>
    <row r="40" spans="2:12" ht="17.100000000000001" thickBot="1">
      <c r="B40" s="24"/>
      <c r="C40" s="24"/>
      <c r="D40" s="24"/>
      <c r="E40" s="24"/>
      <c r="F40" s="24"/>
      <c r="G40" s="24"/>
      <c r="H40" s="24"/>
      <c r="I40" s="24"/>
      <c r="J40" s="24"/>
      <c r="K40" s="59" t="e" cm="1">
        <f t="array" ref="K40">_xlfn.IFS($H$3="European Call", K67, $H$3="European Put", K94, $H$3="American Call", K121, $H$3="American Put", K148)</f>
        <v>#DIV/0!</v>
      </c>
      <c r="L40" s="55" t="e">
        <f>IF(K$17&lt;$C$7, K39*$C$11, 0)</f>
        <v>#DIV/0!</v>
      </c>
    </row>
    <row r="41" spans="2:12" ht="17.100000000000001" thickBot="1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59" t="e" cm="1">
        <f t="array" ref="L41">_xlfn.IFS($H$3="European Call", L68, $H$3="European Put", L95, $H$3="American Call", L122, $H$3="American Put", L149)</f>
        <v>#DIV/0!</v>
      </c>
    </row>
    <row r="42" spans="2:12" ht="17.100000000000001" thickBot="1">
      <c r="B42" s="1" t="s">
        <v>29</v>
      </c>
    </row>
    <row r="43" spans="2:12" ht="17.100000000000001" thickBot="1">
      <c r="B43" s="47" t="s">
        <v>26</v>
      </c>
    </row>
    <row r="44" spans="2:12" ht="17.100000000000001" thickBot="1">
      <c r="B44" s="46">
        <v>0</v>
      </c>
      <c r="C44" s="46">
        <v>1</v>
      </c>
      <c r="D44" s="46">
        <v>2</v>
      </c>
      <c r="E44" s="46">
        <v>3</v>
      </c>
      <c r="F44" s="46">
        <v>4</v>
      </c>
      <c r="G44" s="46">
        <v>5</v>
      </c>
      <c r="H44" s="46">
        <v>6</v>
      </c>
      <c r="I44" s="46">
        <v>7</v>
      </c>
      <c r="J44" s="46">
        <v>8</v>
      </c>
      <c r="K44" s="46">
        <v>9</v>
      </c>
      <c r="L44" s="46">
        <v>10</v>
      </c>
    </row>
    <row r="48" spans="2:12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58" t="e">
        <f>MAX((_xlfn.IFS(L$44&gt;$C$7, 0, L$44&lt;$C$7, $H$11*($C$12*M47+(1-$C$12)*M49), L$44=$C$7, MAX(0, L20-$C$4))))</f>
        <v>#DIV/0!</v>
      </c>
    </row>
    <row r="49" spans="2:12">
      <c r="B49" s="40"/>
      <c r="C49" s="40"/>
      <c r="D49" s="40"/>
      <c r="E49" s="40"/>
      <c r="F49" s="40"/>
      <c r="G49" s="40"/>
      <c r="H49" s="40"/>
      <c r="I49" s="40"/>
      <c r="J49" s="40"/>
      <c r="K49" s="58" t="e">
        <f>MAX((_xlfn.IFS(K$44&gt;$C$7, 0, K$44&lt;$C$7, $H$11*($C$12*L48+(1-$C$12)*L50), K$44=$C$7, MAX(0, K21-$C$4))))</f>
        <v>#DIV/0!</v>
      </c>
      <c r="L49" s="40"/>
    </row>
    <row r="50" spans="2:12">
      <c r="B50" s="40"/>
      <c r="C50" s="40"/>
      <c r="D50" s="40"/>
      <c r="E50" s="40"/>
      <c r="F50" s="40"/>
      <c r="G50" s="40"/>
      <c r="H50" s="40"/>
      <c r="I50" s="40"/>
      <c r="J50" s="58" t="e">
        <f>MAX((_xlfn.IFS(J$44&gt;$C$7, 0, J$44&lt;$C$7, $H$11*($C$12*K49+(1-$C$12)*K51), J$44=$C$7, MAX(0, J22-$C$4))))</f>
        <v>#DIV/0!</v>
      </c>
      <c r="K50" s="40"/>
      <c r="L50" s="58" t="e">
        <f>MAX((_xlfn.IFS(L$44&gt;$C$7, 0, L$44&lt;$C$7, $H$11*($C$12*M49+(1-$C$12)*M51), L$44=$C$7, MAX(0, L22-$C$4))))</f>
        <v>#DIV/0!</v>
      </c>
    </row>
    <row r="51" spans="2:12">
      <c r="B51" s="40"/>
      <c r="C51" s="40"/>
      <c r="D51" s="40"/>
      <c r="E51" s="40"/>
      <c r="F51" s="40"/>
      <c r="G51" s="40"/>
      <c r="H51" s="40"/>
      <c r="I51" s="58" t="e">
        <f>MAX((_xlfn.IFS(I$44&gt;$C$7, 0, I$44&lt;$C$7, $H$11*($C$12*J50+(1-$C$12)*J52), I$44=$C$7, MAX(0, I23-$C$4))))</f>
        <v>#DIV/0!</v>
      </c>
      <c r="J51" s="40"/>
      <c r="K51" s="58" t="e">
        <f>MAX((_xlfn.IFS(K$44&gt;$C$7, 0, K$44&lt;$C$7, $H$11*($C$12*L50+(1-$C$12)*L52), K$44=$C$7, MAX(0, K23-$C$4))))</f>
        <v>#DIV/0!</v>
      </c>
      <c r="L51" s="40"/>
    </row>
    <row r="52" spans="2:12">
      <c r="B52" s="40"/>
      <c r="C52" s="40"/>
      <c r="D52" s="40"/>
      <c r="E52" s="40"/>
      <c r="F52" s="40"/>
      <c r="G52" s="40"/>
      <c r="H52" s="58" t="e">
        <f>MAX((_xlfn.IFS(H$44&gt;$C$7, 0, H$44&lt;$C$7, $H$11*($C$12*I51+(1-$C$12)*I53), H$44=$C$7, MAX(0, H24-$C$4))))</f>
        <v>#DIV/0!</v>
      </c>
      <c r="I52" s="40"/>
      <c r="J52" s="58" t="e">
        <f>MAX((_xlfn.IFS(J$44&gt;$C$7, 0, J$44&lt;$C$7, $H$11*($C$12*K51+(1-$C$12)*K53), J$44=$C$7, MAX(0, J24-$C$4))))</f>
        <v>#DIV/0!</v>
      </c>
      <c r="K52" s="40"/>
      <c r="L52" s="58" t="e">
        <f>MAX((_xlfn.IFS(L$44&gt;$C$7, 0, L$44&lt;$C$7, $H$11*($C$12*M51+(1-$C$12)*M53), L$44=$C$7, MAX(0, L24-$C$4))))</f>
        <v>#DIV/0!</v>
      </c>
    </row>
    <row r="53" spans="2:12">
      <c r="B53" s="40"/>
      <c r="C53" s="40"/>
      <c r="D53" s="40"/>
      <c r="E53" s="40"/>
      <c r="F53" s="40"/>
      <c r="G53" s="58" t="e">
        <f>MAX((_xlfn.IFS(G$44&gt;$C$7, 0, G$44&lt;$C$7, $H$11*($C$12*H52+(1-$C$12)*H54), G$44=$C$7, MAX(0, G25-$C$4))))</f>
        <v>#DIV/0!</v>
      </c>
      <c r="H53" s="40"/>
      <c r="I53" s="58" t="e">
        <f>MAX((_xlfn.IFS(I$44&gt;$C$7, 0, I$44&lt;$C$7, $H$11*($C$12*J52+(1-$C$12)*J54), I$44=$C$7, MAX(0, I25-$C$4))))</f>
        <v>#DIV/0!</v>
      </c>
      <c r="J53" s="40"/>
      <c r="K53" s="58" t="e">
        <f>MAX((_xlfn.IFS(K$44&gt;$C$7, 0, K$44&lt;$C$7, $H$11*($C$12*L52+(1-$C$12)*L54), K$44=$C$7, MAX(0, K25-$C$4))))</f>
        <v>#DIV/0!</v>
      </c>
      <c r="L53" s="40"/>
    </row>
    <row r="54" spans="2:12">
      <c r="B54" s="40"/>
      <c r="C54" s="40"/>
      <c r="D54" s="40"/>
      <c r="E54" s="40"/>
      <c r="F54" s="58" t="e">
        <f>MAX((_xlfn.IFS(F$44&gt;$C$7, 0, F$44&lt;$C$7, $H$11*($C$12*G53+(1-$C$12)*G55), F$44=$C$7, MAX(0, F26-$C$4))))</f>
        <v>#DIV/0!</v>
      </c>
      <c r="G54" s="40"/>
      <c r="H54" s="58" t="e">
        <f>MAX((_xlfn.IFS(H$44&gt;$C$7, 0, H$44&lt;$C$7, $H$11*($C$12*I53+(1-$C$12)*I55), H$44=$C$7, MAX(0, H26-$C$4))))</f>
        <v>#DIV/0!</v>
      </c>
      <c r="I54" s="40"/>
      <c r="J54" s="58" t="e">
        <f>MAX((_xlfn.IFS(J$44&gt;$C$7, 0, J$44&lt;$C$7, $H$11*($C$12*K53+(1-$C$12)*K55), J$44=$C$7, MAX(0, J26-$C$4))))</f>
        <v>#DIV/0!</v>
      </c>
      <c r="K54" s="40"/>
      <c r="L54" s="58" t="e">
        <f>MAX((_xlfn.IFS(L$44&gt;$C$7, 0, L$44&lt;$C$7, $H$11*($C$12*M53+(1-$C$12)*M55), L$44=$C$7, MAX(0, L26-$C$4))))</f>
        <v>#DIV/0!</v>
      </c>
    </row>
    <row r="55" spans="2:12">
      <c r="B55" s="40"/>
      <c r="C55" s="40"/>
      <c r="D55" s="40"/>
      <c r="E55" s="58" t="e">
        <f>MAX((_xlfn.IFS(E$44&gt;$C$7, 0, E$44&lt;$C$7, $H$11*($C$12*F54+(1-$C$12)*F56), E$44=$C$7, MAX(0, E27-$C$4))))</f>
        <v>#DIV/0!</v>
      </c>
      <c r="F55" s="40"/>
      <c r="G55" s="58" t="e">
        <f>MAX((_xlfn.IFS(G$44&gt;$C$7, 0, G$44&lt;$C$7, $H$11*($C$12*H54+(1-$C$12)*H56), G$44=$C$7, MAX(0, G27-$C$4))))</f>
        <v>#DIV/0!</v>
      </c>
      <c r="H55" s="40"/>
      <c r="I55" s="58" t="e">
        <f>MAX((_xlfn.IFS(I$44&gt;$C$7, 0, I$44&lt;$C$7, $H$11*($C$12*J54+(1-$C$12)*J56), I$44=$C$7, MAX(0, I27-$C$4))))</f>
        <v>#DIV/0!</v>
      </c>
      <c r="J55" s="40"/>
      <c r="K55" s="58" t="e">
        <f>MAX((_xlfn.IFS(K$44&gt;$C$7, 0, K$44&lt;$C$7, $H$11*($C$12*L54+(1-$C$12)*L56), K$44=$C$7, MAX(0, K27-$C$4))))</f>
        <v>#DIV/0!</v>
      </c>
      <c r="L55" s="40"/>
    </row>
    <row r="56" spans="2:12">
      <c r="B56" s="40"/>
      <c r="C56" s="40"/>
      <c r="D56" s="58" t="e">
        <f>MAX((_xlfn.IFS(D$44&gt;$C$7, 0, D$44&lt;$C$7, $H$11*($C$12*E55+(1-$C$12)*E57), D$44=$C$7, MAX(0, D28-$C$4))))</f>
        <v>#DIV/0!</v>
      </c>
      <c r="E56" s="40"/>
      <c r="F56" s="58" t="e">
        <f>MAX((_xlfn.IFS(F$44&gt;$C$7, 0, F$44&lt;$C$7, $H$11*($C$12*G55+(1-$C$12)*G57), F$44=$C$7, MAX(0, F28-$C$4))))</f>
        <v>#DIV/0!</v>
      </c>
      <c r="G56" s="40"/>
      <c r="H56" s="58" t="e">
        <f>MAX((_xlfn.IFS(H$44&gt;$C$7, 0, H$44&lt;$C$7, $H$11*($C$12*I55+(1-$C$12)*I57), H$44=$C$7, MAX(0, H28-$C$4))))</f>
        <v>#DIV/0!</v>
      </c>
      <c r="I56" s="40"/>
      <c r="J56" s="58" t="e">
        <f>MAX((_xlfn.IFS(J$44&gt;$C$7, 0, J$44&lt;$C$7, $H$11*($C$12*K55+(1-$C$12)*K57), J$44=$C$7, MAX(0, J28-$C$4))))</f>
        <v>#DIV/0!</v>
      </c>
      <c r="K56" s="40"/>
      <c r="L56" s="58" t="e">
        <f>MAX((_xlfn.IFS(L$44&gt;$C$7, 0, L$44&lt;$C$7, $H$11*($C$12*M55+(1-$C$12)*M57), L$44=$C$7, MAX(0, L28-$C$4))))</f>
        <v>#DIV/0!</v>
      </c>
    </row>
    <row r="57" spans="2:12">
      <c r="B57" s="40"/>
      <c r="C57" s="58" t="e">
        <f>MAX((_xlfn.IFS(C$44&gt;$C$7, 0, C$44&lt;$C$7, $H$11*($C$12*D56+(1-$C$12)*D58), C$44=$C$7, MAX(0, C29-$C$4))))</f>
        <v>#DIV/0!</v>
      </c>
      <c r="D57" s="40"/>
      <c r="E57" s="58" t="e">
        <f>MAX((_xlfn.IFS(E$44&gt;$C$7, 0, E$44&lt;$C$7, $H$11*($C$12*F56+(1-$C$12)*F58), E$44=$C$7, MAX(0, E29-$C$4))))</f>
        <v>#DIV/0!</v>
      </c>
      <c r="F57" s="40"/>
      <c r="G57" s="58" t="e">
        <f>MAX((_xlfn.IFS(G$44&gt;$C$7, 0, G$44&lt;$C$7, $H$11*($C$12*H56+(1-$C$12)*H58), G$44=$C$7, MAX(0, G29-$C$4))))</f>
        <v>#DIV/0!</v>
      </c>
      <c r="H57" s="40"/>
      <c r="I57" s="58" t="e">
        <f>MAX((_xlfn.IFS(I$44&gt;$C$7, 0, I$44&lt;$C$7, $H$11*($C$12*J56+(1-$C$12)*J58), I$44=$C$7, MAX(0, I29-$C$4))))</f>
        <v>#DIV/0!</v>
      </c>
      <c r="J57" s="40"/>
      <c r="K57" s="58" t="e">
        <f>MAX((_xlfn.IFS(K$44&gt;$C$7, 0, K$44&lt;$C$7, $H$11*($C$12*L56+(1-$C$12)*L58), K$44=$C$7, MAX(0, K29-$C$4))))</f>
        <v>#DIV/0!</v>
      </c>
      <c r="L57" s="40"/>
    </row>
    <row r="58" spans="2:12">
      <c r="B58" s="58" t="e">
        <f>MAX((_xlfn.IFS(B$44&gt;$C$7, 0, B$44&lt;$C$7, $H$11*($C$12*C57+(1-$C$12)*C59), B$44=$C$7, MAX(0, B30-$C$4))))</f>
        <v>#DIV/0!</v>
      </c>
      <c r="C58" s="40"/>
      <c r="D58" s="58" t="e">
        <f>MAX((_xlfn.IFS(D$44&gt;$C$7, 0, D$44&lt;$C$7, $H$11*($C$12*E57+(1-$C$12)*E59), D$44=$C$7, MAX(0, D30-$C$4))))</f>
        <v>#DIV/0!</v>
      </c>
      <c r="E58" s="40"/>
      <c r="F58" s="58" t="e">
        <f>MAX((_xlfn.IFS(F$44&gt;$C$7, 0, F$44&lt;$C$7, $H$11*($C$12*G57+(1-$C$12)*G59), F$44=$C$7, MAX(0, F30-$C$4))))</f>
        <v>#DIV/0!</v>
      </c>
      <c r="G58" s="40"/>
      <c r="H58" s="58" t="e">
        <f>MAX((_xlfn.IFS(H$44&gt;$C$7, 0, H$44&lt;$C$7, $H$11*($C$12*I57+(1-$C$12)*I59), H$44=$C$7, MAX(0, H30-$C$4))))</f>
        <v>#DIV/0!</v>
      </c>
      <c r="I58" s="40"/>
      <c r="J58" s="58" t="e">
        <f>MAX((_xlfn.IFS(J$44&gt;$C$7, 0, J$44&lt;$C$7, $H$11*($C$12*K57+(1-$C$12)*K59), J$44=$C$7, MAX(0, J30-$C$4))))</f>
        <v>#DIV/0!</v>
      </c>
      <c r="K58" s="40"/>
      <c r="L58" s="58" t="e">
        <f>MAX((_xlfn.IFS(L$44&gt;$C$7, 0, L$44&lt;$C$7, $H$11*($C$12*M57+(1-$C$12)*M59), L$44=$C$7, MAX(0, L30-$C$4))))</f>
        <v>#DIV/0!</v>
      </c>
    </row>
    <row r="59" spans="2:12">
      <c r="B59" s="40"/>
      <c r="C59" s="58" t="e">
        <f>MAX((_xlfn.IFS(C$44&gt;$C$7, 0, C$44&lt;$C$7, $H$11*($C$12*D58+(1-$C$12)*D60), C$44=$C$7, MAX(0, C31-$C$4))))</f>
        <v>#DIV/0!</v>
      </c>
      <c r="D59" s="40"/>
      <c r="E59" s="58" t="e">
        <f>MAX((_xlfn.IFS(E$44&gt;$C$7, 0, E$44&lt;$C$7, $H$11*($C$12*F58+(1-$C$12)*F60), E$44=$C$7, MAX(0, E31-$C$4))))</f>
        <v>#DIV/0!</v>
      </c>
      <c r="F59" s="40"/>
      <c r="G59" s="58" t="e">
        <f>MAX((_xlfn.IFS(G$44&gt;$C$7, 0, G$44&lt;$C$7, $H$11*($C$12*H58+(1-$C$12)*H60), G$44=$C$7, MAX(0, G31-$C$4))))</f>
        <v>#DIV/0!</v>
      </c>
      <c r="H59" s="40"/>
      <c r="I59" s="58" t="e">
        <f>MAX((_xlfn.IFS(I$44&gt;$C$7, 0, I$44&lt;$C$7, $H$11*($C$12*J58+(1-$C$12)*J60), I$44=$C$7, MAX(0, I31-$C$4))))</f>
        <v>#DIV/0!</v>
      </c>
      <c r="J59" s="40"/>
      <c r="K59" s="58" t="e">
        <f>MAX((_xlfn.IFS(K$44&gt;$C$7, 0, K$44&lt;$C$7, $H$11*($C$12*L58+(1-$C$12)*L60), K$44=$C$7, MAX(0, K31-$C$4))))</f>
        <v>#DIV/0!</v>
      </c>
      <c r="L59" s="40"/>
    </row>
    <row r="60" spans="2:12">
      <c r="B60" s="40"/>
      <c r="C60" s="40"/>
      <c r="D60" s="58" t="e">
        <f>MAX((_xlfn.IFS(D$44&gt;$C$7, 0, D$44&lt;$C$7, $H$11*($C$12*E59+(1-$C$12)*E61), D$44=$C$7, MAX(0, D32-$C$4))))</f>
        <v>#DIV/0!</v>
      </c>
      <c r="E60" s="40"/>
      <c r="F60" s="58" t="e">
        <f>MAX((_xlfn.IFS(F$44&gt;$C$7, 0, F$44&lt;$C$7, $H$11*($C$12*G59+(1-$C$12)*G61), F$44=$C$7, MAX(0, F32-$C$4))))</f>
        <v>#DIV/0!</v>
      </c>
      <c r="G60" s="40"/>
      <c r="H60" s="58" t="e">
        <f>MAX((_xlfn.IFS(H$44&gt;$C$7, 0, H$44&lt;$C$7, $H$11*($C$12*I59+(1-$C$12)*I61), H$44=$C$7, MAX(0, H32-$C$4))))</f>
        <v>#DIV/0!</v>
      </c>
      <c r="I60" s="40"/>
      <c r="J60" s="58" t="e">
        <f>MAX((_xlfn.IFS(J$44&gt;$C$7, 0, J$44&lt;$C$7, $H$11*($C$12*K59+(1-$C$12)*K61), J$44=$C$7, MAX(0, J32-$C$4))))</f>
        <v>#DIV/0!</v>
      </c>
      <c r="K60" s="40"/>
      <c r="L60" s="58" t="e">
        <f>MAX((_xlfn.IFS(L$44&gt;$C$7, 0, L$44&lt;$C$7, $H$11*($C$12*M59+(1-$C$12)*M61), L$44=$C$7, MAX(0, L32-$C$4))))</f>
        <v>#DIV/0!</v>
      </c>
    </row>
    <row r="61" spans="2:12">
      <c r="B61" s="40"/>
      <c r="C61" s="40"/>
      <c r="D61" s="40"/>
      <c r="E61" s="58" t="e">
        <f>MAX((_xlfn.IFS(E$44&gt;$C$7, 0, E$44&lt;$C$7, $H$11*($C$12*F60+(1-$C$12)*F62), E$44=$C$7, MAX(0, E33-$C$4))))</f>
        <v>#DIV/0!</v>
      </c>
      <c r="F61" s="40"/>
      <c r="G61" s="58" t="e">
        <f>MAX((_xlfn.IFS(G$44&gt;$C$7, 0, G$44&lt;$C$7, $H$11*($C$12*H60+(1-$C$12)*H62), G$44=$C$7, MAX(0, G33-$C$4))))</f>
        <v>#DIV/0!</v>
      </c>
      <c r="H61" s="40"/>
      <c r="I61" s="58" t="e">
        <f>MAX((_xlfn.IFS(I$44&gt;$C$7, 0, I$44&lt;$C$7, $H$11*($C$12*J60+(1-$C$12)*J62), I$44=$C$7, MAX(0, I33-$C$4))))</f>
        <v>#DIV/0!</v>
      </c>
      <c r="J61" s="40"/>
      <c r="K61" s="58" t="e">
        <f>MAX((_xlfn.IFS(K$44&gt;$C$7, 0, K$44&lt;$C$7, $H$11*($C$12*L60+(1-$C$12)*L62), K$44=$C$7, MAX(0, K33-$C$4))))</f>
        <v>#DIV/0!</v>
      </c>
      <c r="L61" s="40"/>
    </row>
    <row r="62" spans="2:12">
      <c r="B62" s="40"/>
      <c r="C62" s="40"/>
      <c r="D62" s="40"/>
      <c r="E62" s="40"/>
      <c r="F62" s="58" t="e">
        <f>MAX((_xlfn.IFS(F$44&gt;$C$7, 0, F$44&lt;$C$7, $H$11*($C$12*G61+(1-$C$12)*G63), F$44=$C$7, MAX(0, F34-$C$4))))</f>
        <v>#DIV/0!</v>
      </c>
      <c r="G62" s="40"/>
      <c r="H62" s="58" t="e">
        <f>MAX((_xlfn.IFS(H$44&gt;$C$7, 0, H$44&lt;$C$7, $H$11*($C$12*I61+(1-$C$12)*I63), H$44=$C$7, MAX(0, H34-$C$4))))</f>
        <v>#DIV/0!</v>
      </c>
      <c r="I62" s="40"/>
      <c r="J62" s="58" t="e">
        <f>MAX((_xlfn.IFS(J$44&gt;$C$7, 0, J$44&lt;$C$7, $H$11*($C$12*K61+(1-$C$12)*K63), J$44=$C$7, MAX(0, J34-$C$4))))</f>
        <v>#DIV/0!</v>
      </c>
      <c r="K62" s="40"/>
      <c r="L62" s="58" t="e">
        <f>MAX((_xlfn.IFS(L$44&gt;$C$7, 0, L$44&lt;$C$7, $H$11*($C$12*M61+(1-$C$12)*M63), L$44=$C$7, MAX(0, L34-$C$4))))</f>
        <v>#DIV/0!</v>
      </c>
    </row>
    <row r="63" spans="2:12">
      <c r="B63" s="40"/>
      <c r="C63" s="40"/>
      <c r="D63" s="40"/>
      <c r="E63" s="40"/>
      <c r="F63" s="40"/>
      <c r="G63" s="58" t="e">
        <f>MAX((_xlfn.IFS(G$44&gt;$C$7, 0, G$44&lt;$C$7, $H$11*($C$12*H62+(1-$C$12)*H64), G$44=$C$7, MAX(0, G35-$C$4))))</f>
        <v>#DIV/0!</v>
      </c>
      <c r="H63" s="40"/>
      <c r="I63" s="58" t="e">
        <f>MAX((_xlfn.IFS(I$44&gt;$C$7, 0, I$44&lt;$C$7, $H$11*($C$12*J62+(1-$C$12)*J64), I$44=$C$7, MAX(0, I35-$C$4))))</f>
        <v>#DIV/0!</v>
      </c>
      <c r="J63" s="40"/>
      <c r="K63" s="58" t="e">
        <f>MAX((_xlfn.IFS(K$44&gt;$C$7, 0, K$44&lt;$C$7, $H$11*($C$12*L62+(1-$C$12)*L64), K$44=$C$7, MAX(0, K35-$C$4))))</f>
        <v>#DIV/0!</v>
      </c>
      <c r="L63" s="40"/>
    </row>
    <row r="64" spans="2:12">
      <c r="B64" s="40"/>
      <c r="C64" s="40"/>
      <c r="D64" s="40"/>
      <c r="E64" s="40"/>
      <c r="F64" s="40"/>
      <c r="G64" s="40"/>
      <c r="H64" s="58" t="e">
        <f>MAX((_xlfn.IFS(H$44&gt;$C$7, 0, H$44&lt;$C$7, $H$11*($C$12*I63+(1-$C$12)*I65), H$44=$C$7, MAX(0, H36-$C$4))))</f>
        <v>#DIV/0!</v>
      </c>
      <c r="I64" s="40"/>
      <c r="J64" s="58" t="e">
        <f>MAX((_xlfn.IFS(J$44&gt;$C$7, 0, J$44&lt;$C$7, $C$10*($C$12*K63+(1-$C$12)*K65), J$44=$C$7, MAX(0, J36-$C$4))))</f>
        <v>#DIV/0!</v>
      </c>
      <c r="K64" s="40"/>
      <c r="L64" s="58" t="e">
        <f>MAX((_xlfn.IFS(L$44&gt;$C$7, 0, L$44&lt;$C$7, $H$11*($C$12*M63+(1-$C$12)*M65), L$44=$C$7, MAX(0, L36-$C$4))))</f>
        <v>#DIV/0!</v>
      </c>
    </row>
    <row r="65" spans="2:12">
      <c r="B65" s="40"/>
      <c r="C65" s="40"/>
      <c r="D65" s="40"/>
      <c r="E65" s="40"/>
      <c r="F65" s="40"/>
      <c r="G65" s="40"/>
      <c r="H65" s="40"/>
      <c r="I65" s="58" t="e">
        <f>MAX((_xlfn.IFS(I$44&gt;$C$7, 0, I$44&lt;$C$7, $H$11*($C$12*J64+(1-$C$12)*J66), I$44=$C$7, MAX(0, I37-$C$4))))</f>
        <v>#DIV/0!</v>
      </c>
      <c r="J65" s="40"/>
      <c r="K65" s="58" t="e">
        <f>MAX((_xlfn.IFS(K$44&gt;$C$7, 0, K$44&lt;$C$7, $H$11*($C$12*L64+(1-$C$12)*L66), K$44=$C$7, MAX(0, K37-$C$4))))</f>
        <v>#DIV/0!</v>
      </c>
      <c r="L65" s="40"/>
    </row>
    <row r="66" spans="2:12">
      <c r="B66" s="40"/>
      <c r="C66" s="40"/>
      <c r="D66" s="40"/>
      <c r="E66" s="40"/>
      <c r="F66" s="40"/>
      <c r="G66" s="40"/>
      <c r="H66" s="40"/>
      <c r="I66" s="40"/>
      <c r="J66" s="58" t="e">
        <f>MAX((_xlfn.IFS(J$44&gt;$C$7, 0, J$44&lt;$C$7, $H$11*($C$12*K65+(1-$C$12)*K67), J$44=$C$7, MAX(0, J38-$C$4))))</f>
        <v>#DIV/0!</v>
      </c>
      <c r="K66" s="40"/>
      <c r="L66" s="58" t="e">
        <f>MAX((_xlfn.IFS(L$44&gt;$C$7, 0, L$44&lt;$C$7, $H$11*($C$12*M65+(1-$C$12)*M67), L$44=$C$7, MAX(0, L38-$C$4))))</f>
        <v>#DIV/0!</v>
      </c>
    </row>
    <row r="67" spans="2:12">
      <c r="B67" s="40"/>
      <c r="C67" s="40"/>
      <c r="D67" s="40"/>
      <c r="E67" s="40"/>
      <c r="F67" s="40"/>
      <c r="G67" s="40"/>
      <c r="H67" s="40"/>
      <c r="I67" s="40"/>
      <c r="J67" s="40"/>
      <c r="K67" s="58" t="e">
        <f>MAX((_xlfn.IFS(K$44&gt;$C$7, 0, K$44&lt;$C$7, $H$11*($C$12*L66+(1-$C$12)*L68), K$44=$C$7, MAX(0, K39-$C$4))))</f>
        <v>#DIV/0!</v>
      </c>
      <c r="L67" s="40"/>
    </row>
    <row r="68" spans="2:12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58" t="e">
        <f>MAX((_xlfn.IFS(L$44&gt;$C$7, 0, L$44&lt;$C$7, $H$11*($C$12*M67+(1-$C$12)*M69), L$44=$C$7, MAX(0, L40-$C$4))))</f>
        <v>#DIV/0!</v>
      </c>
    </row>
    <row r="69" spans="2:12" ht="17.100000000000001" thickBot="1">
      <c r="B69" s="1" t="s">
        <v>30</v>
      </c>
    </row>
    <row r="70" spans="2:12" ht="17.100000000000001" thickBot="1">
      <c r="B70" s="47" t="s">
        <v>26</v>
      </c>
    </row>
    <row r="71" spans="2:12" ht="17.100000000000001" thickBot="1">
      <c r="B71" s="46">
        <v>0</v>
      </c>
      <c r="C71" s="46">
        <v>1</v>
      </c>
      <c r="D71" s="46">
        <v>2</v>
      </c>
      <c r="E71" s="46">
        <v>3</v>
      </c>
      <c r="F71" s="46">
        <v>4</v>
      </c>
      <c r="G71" s="46">
        <v>5</v>
      </c>
      <c r="H71" s="46">
        <v>6</v>
      </c>
      <c r="I71" s="46">
        <v>7</v>
      </c>
      <c r="J71" s="46">
        <v>8</v>
      </c>
      <c r="K71" s="46">
        <v>9</v>
      </c>
      <c r="L71" s="46">
        <v>10</v>
      </c>
    </row>
    <row r="75" spans="2:12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58" t="e">
        <f>MAX((_xlfn.IFS(L$71&gt;$C$7, 0, L$71&lt;$C$7, $H$11*($C$12*M74+(1-$C$12)*M76), L$71=$C$7, MAX(0, $C$4-L20))))</f>
        <v>#DIV/0!</v>
      </c>
    </row>
    <row r="76" spans="2:12">
      <c r="B76" s="40"/>
      <c r="C76" s="40"/>
      <c r="D76" s="40"/>
      <c r="E76" s="40"/>
      <c r="F76" s="40"/>
      <c r="G76" s="40"/>
      <c r="H76" s="40"/>
      <c r="I76" s="40"/>
      <c r="J76" s="40"/>
      <c r="K76" s="58" t="e">
        <f>MAX((_xlfn.IFS(K$71&gt;$C$7, 0, K$71&lt;$C$7, $H$11*($C$12*L75+(1-$C$12)*L77), K$71=$C$7, MAX(0, $C$4-K21))))</f>
        <v>#DIV/0!</v>
      </c>
      <c r="L76" s="40"/>
    </row>
    <row r="77" spans="2:12">
      <c r="B77" s="40"/>
      <c r="C77" s="40"/>
      <c r="D77" s="40"/>
      <c r="E77" s="40"/>
      <c r="F77" s="40"/>
      <c r="G77" s="40"/>
      <c r="H77" s="40"/>
      <c r="I77" s="40"/>
      <c r="J77" s="58" t="e">
        <f>MAX((_xlfn.IFS(J$71&gt;$C$7, 0, J$71&lt;$C$7, $H$11*($C$12*K76+(1-$C$12)*K78), J$71=$C$7, MAX(0, $C$4-J22))))</f>
        <v>#DIV/0!</v>
      </c>
      <c r="K77" s="40"/>
      <c r="L77" s="58" t="e">
        <f>MAX((_xlfn.IFS(L$71&gt;$C$7, 0, L$71&lt;$C$7, $H$11*($C$12*M76+(1-$C$12)*M78), L$71=$C$7, MAX(0, $C$4-L22))))</f>
        <v>#DIV/0!</v>
      </c>
    </row>
    <row r="78" spans="2:12">
      <c r="B78" s="40"/>
      <c r="C78" s="40"/>
      <c r="D78" s="40"/>
      <c r="E78" s="40"/>
      <c r="F78" s="40"/>
      <c r="G78" s="40"/>
      <c r="H78" s="40"/>
      <c r="I78" s="58" t="e">
        <f>MAX((_xlfn.IFS(I$71&gt;$C$7, 0, I$71&lt;$C$7, $C$10*($C$12*J77+(1-$C$12)*J79), I$71=$C$7, MAX(0, $C$4-I23))))</f>
        <v>#DIV/0!</v>
      </c>
      <c r="J78" s="40"/>
      <c r="K78" s="58" t="e">
        <f>MAX((_xlfn.IFS(K$71&gt;$C$7, 0, K$71&lt;$C$7, $H$11*($C$12*L77+(1-$C$12)*L79), K$71=$C$7, MAX(0, $C$4-K23))))</f>
        <v>#DIV/0!</v>
      </c>
      <c r="L78" s="40"/>
    </row>
    <row r="79" spans="2:12">
      <c r="B79" s="40"/>
      <c r="C79" s="40"/>
      <c r="D79" s="40"/>
      <c r="E79" s="40"/>
      <c r="F79" s="40"/>
      <c r="G79" s="40"/>
      <c r="H79" s="58" t="e">
        <f>MAX((_xlfn.IFS(H$71&gt;$C$7, 0, H$71&lt;$C$7, $C$10*($C$12*I78+(1-$C$12)*I80), H$71=$C$7, MAX(0, $C$4-H24))))</f>
        <v>#DIV/0!</v>
      </c>
      <c r="I79" s="40"/>
      <c r="J79" s="58" t="e">
        <f>MAX((_xlfn.IFS(J$71&gt;$C$7, 0, J$71&lt;$C$7, $H$11*($C$12*K78+(1-$C$12)*K80), J$71=$C$7, MAX(0, $C$4-J24))))</f>
        <v>#DIV/0!</v>
      </c>
      <c r="K79" s="40"/>
      <c r="L79" s="58" t="e">
        <f>MAX((_xlfn.IFS(L$71&gt;$C$7, 0, L$71&lt;$C$7, $H$11*($C$12*M78+(1-$C$12)*M80), L$71=$C$7, MAX(0, $C$4-L24))))</f>
        <v>#DIV/0!</v>
      </c>
    </row>
    <row r="80" spans="2:12">
      <c r="B80" s="40"/>
      <c r="C80" s="40"/>
      <c r="D80" s="40"/>
      <c r="E80" s="40"/>
      <c r="F80" s="40"/>
      <c r="G80" s="58" t="e">
        <f>MAX((_xlfn.IFS(G$71&gt;$C$7, 0, G$71&lt;$C$7, $C$10*($C$12*H79+(1-$C$12)*H81), G$71=$C$7, MAX(0, $C$4-G25))))</f>
        <v>#DIV/0!</v>
      </c>
      <c r="H80" s="40"/>
      <c r="I80" s="58" t="e">
        <f>MAX((_xlfn.IFS(I$71&gt;$C$7, 0, I$71&lt;$C$7, $C$10*($C$12*J79+(1-$C$12)*J81), I$71=$C$7, MAX(0, $C$4-I25))))</f>
        <v>#DIV/0!</v>
      </c>
      <c r="J80" s="40"/>
      <c r="K80" s="58" t="e">
        <f>MAX((_xlfn.IFS(K$71&gt;$C$7, 0, K$71&lt;$C$7, $H$11*($C$12*L79+(1-$C$12)*L81), K$71=$C$7, MAX(0, $C$4-K25))))</f>
        <v>#DIV/0!</v>
      </c>
      <c r="L80" s="40"/>
    </row>
    <row r="81" spans="2:12">
      <c r="B81" s="40"/>
      <c r="C81" s="40"/>
      <c r="D81" s="40"/>
      <c r="E81" s="40"/>
      <c r="F81" s="58" t="e">
        <f>MAX((_xlfn.IFS(F$71&gt;$C$7, 0, F$71&lt;$C$7, $C$10*($C$12*G80+(1-$C$12)*G82), F$71=$C$7, MAX(0, $C$4-F26))))</f>
        <v>#DIV/0!</v>
      </c>
      <c r="G81" s="40"/>
      <c r="H81" s="58" t="e">
        <f>MAX((_xlfn.IFS(H$71&gt;$C$7, 0, H$71&lt;$C$7, $C$10*($C$12*I80+(1-$C$12)*I82), H$71=$C$7, MAX(0, $C$4-H26))))</f>
        <v>#DIV/0!</v>
      </c>
      <c r="I81" s="40"/>
      <c r="J81" s="58" t="e">
        <f>MAX((_xlfn.IFS(J$71&gt;$C$7, 0, J$71&lt;$C$7, $H$11*($C$12*K80+(1-$C$12)*K82), J$71=$C$7, MAX(0, $C$4-J26))))</f>
        <v>#DIV/0!</v>
      </c>
      <c r="K81" s="40"/>
      <c r="L81" s="58" t="e">
        <f>MAX((_xlfn.IFS(L$71&gt;$C$7, 0, L$71&lt;$C$7, $H$11*($C$12*M80+(1-$C$12)*M82), L$71=$C$7, MAX(0, $C$4-L26))))</f>
        <v>#DIV/0!</v>
      </c>
    </row>
    <row r="82" spans="2:12">
      <c r="B82" s="40"/>
      <c r="C82" s="40"/>
      <c r="D82" s="40"/>
      <c r="E82" s="58" t="e">
        <f>MAX((_xlfn.IFS(E$71&gt;$C$7, 0, E$71&lt;$C$7, $H$11*($C$12*F81+(1-$C$12)*F83), E$71=$C$7, MAX(0, $C$4-E27))))</f>
        <v>#DIV/0!</v>
      </c>
      <c r="F82" s="40"/>
      <c r="G82" s="58" t="e">
        <f>MAX((_xlfn.IFS(G$71&gt;$C$7, 0, G$71&lt;$C$7, $C$10*($C$12*H81+(1-$C$12)*H83), G$71=$C$7, MAX(0, $C$4-G27))))</f>
        <v>#DIV/0!</v>
      </c>
      <c r="H82" s="40"/>
      <c r="I82" s="58" t="e">
        <f>MAX((_xlfn.IFS(I$71&gt;$C$7, 0, I$71&lt;$C$7, $C$10*($C$12*J81+(1-$C$12)*J83), I$71=$C$7, MAX(0, $C$4-I27))))</f>
        <v>#DIV/0!</v>
      </c>
      <c r="J82" s="40"/>
      <c r="K82" s="58" t="e">
        <f>MAX((_xlfn.IFS(K$71&gt;$C$7, 0, K$71&lt;$C$7, $H$11*($C$12*L81+(1-$C$12)*L83), K$71=$C$7, MAX(0, $C$4-K27))))</f>
        <v>#DIV/0!</v>
      </c>
      <c r="L82" s="40"/>
    </row>
    <row r="83" spans="2:12">
      <c r="B83" s="40"/>
      <c r="C83" s="40"/>
      <c r="D83" s="58" t="e">
        <f>MAX((_xlfn.IFS(D$71&gt;$C$7, 0, D$71&lt;$C$7, $H$11*($C$12*E82+(1-$C$12)*E84), D$71=$C$7, MAX(0, $C$4-D28))))</f>
        <v>#DIV/0!</v>
      </c>
      <c r="E83" s="40"/>
      <c r="F83" s="58" t="e">
        <f>MAX((_xlfn.IFS(F$71&gt;$C$7, 0, F$71&lt;$C$7, $H$11*($C$12*G82+(1-$C$12)*G84), F$71=$C$7, MAX(0, $C$4-F28))))</f>
        <v>#DIV/0!</v>
      </c>
      <c r="G83" s="40"/>
      <c r="H83" s="58" t="e">
        <f>MAX((_xlfn.IFS(H$71&gt;$C$7, 0, H$71&lt;$C$7, $C$10*($C$12*I82+(1-$C$12)*I84), H$71=$C$7, MAX(0, $C$4-H28))))</f>
        <v>#DIV/0!</v>
      </c>
      <c r="I83" s="40"/>
      <c r="J83" s="58" t="e">
        <f>MAX((_xlfn.IFS(J$71&gt;$C$7, 0, J$71&lt;$C$7, $H$11*($C$12*K82+(1-$C$12)*K84), J$71=$C$7, MAX(0, $C$4-J28))))</f>
        <v>#DIV/0!</v>
      </c>
      <c r="K83" s="40"/>
      <c r="L83" s="58" t="e">
        <f>MAX((_xlfn.IFS(L$71&gt;$C$7, 0, L$71&lt;$C$7, $H$11*($C$12*M82+(1-$C$12)*M84), L$71=$C$7, MAX(0, $C$4-L28))))</f>
        <v>#DIV/0!</v>
      </c>
    </row>
    <row r="84" spans="2:12">
      <c r="B84" s="40"/>
      <c r="C84" s="58" t="e">
        <f>MAX((_xlfn.IFS(C$71&gt;$C$7, 0, C$71&lt;$C$7, $H$11*($C$12*D83+(1-$C$12)*D85), C$71=$C$7, MAX(0, $C$4-C29))))</f>
        <v>#DIV/0!</v>
      </c>
      <c r="D84" s="40"/>
      <c r="E84" s="58" t="e">
        <f>MAX((_xlfn.IFS(E$71&gt;$C$7, 0, E$71&lt;$C$7, $H$11*($C$12*F83+(1-$C$12)*F85), E$71=$C$7, MAX(0, $C$4-E29))))</f>
        <v>#DIV/0!</v>
      </c>
      <c r="F84" s="40"/>
      <c r="G84" s="58" t="e">
        <f>MAX((_xlfn.IFS(G$71&gt;$C$7, 0, G$71&lt;$C$7, $H$11*($C$12*H83+(1-$C$12)*H85), G$71=$C$7, MAX(0, $C$4-G29))))</f>
        <v>#DIV/0!</v>
      </c>
      <c r="H84" s="40"/>
      <c r="I84" s="58" t="e">
        <f>MAX((_xlfn.IFS(I$71&gt;$C$7, 0, I$71&lt;$C$7, $C$10*($C$12*J83+(1-$C$12)*J85), I$71=$C$7, MAX(0, $C$4-I29))))</f>
        <v>#DIV/0!</v>
      </c>
      <c r="J84" s="40"/>
      <c r="K84" s="58" t="e">
        <f>MAX((_xlfn.IFS(K$71&gt;$C$7, 0, K$71&lt;$C$7, $H$11*($C$12*L83+(1-$C$12)*L85), K$71=$C$7, MAX(0, $C$4-K29))))</f>
        <v>#DIV/0!</v>
      </c>
      <c r="L84" s="40"/>
    </row>
    <row r="85" spans="2:12">
      <c r="B85" s="58" t="e">
        <f>MAX((_xlfn.IFS(B$71&gt;$C$7, 0, B$71&lt;$C$7, $H$11*($C$12*C84+(1-$C$12)*C86), B$71=$C$7, MAX(0, $C$4-B30))))</f>
        <v>#DIV/0!</v>
      </c>
      <c r="C85" s="40"/>
      <c r="D85" s="58" t="e">
        <f>MAX((_xlfn.IFS(D$71&gt;$C$7, 0, D$71&lt;$C$7, $H$11*($C$12*E84+(1-$C$12)*E86), D$71=$C$7, MAX(0, $C$4-D30))))</f>
        <v>#DIV/0!</v>
      </c>
      <c r="E85" s="40"/>
      <c r="F85" s="58" t="e">
        <f>MAX((_xlfn.IFS(F$71&gt;$C$7, 0, F$71&lt;$C$7, $H$11*($C$12*G84+(1-$C$12)*G86), F$71=$C$7, MAX(0, $C$4-F30))))</f>
        <v>#DIV/0!</v>
      </c>
      <c r="G85" s="40"/>
      <c r="H85" s="58" t="e">
        <f>MAX((_xlfn.IFS(H$71&gt;$C$7, 0, H$71&lt;$C$7, $H$11*($C$12*I84+(1-$C$12)*I86), H$71=$C$7, MAX(0, $C$4-H30))))</f>
        <v>#DIV/0!</v>
      </c>
      <c r="I85" s="40"/>
      <c r="J85" s="58" t="e">
        <f>MAX((_xlfn.IFS(J$71&gt;$C$7, 0, J$71&lt;$C$7, $H$11*($C$12*K84+(1-$C$12)*K86), J$71=$C$7, MAX(0, $C$4-J30))))</f>
        <v>#DIV/0!</v>
      </c>
      <c r="K85" s="40"/>
      <c r="L85" s="58" t="e">
        <f>MAX((_xlfn.IFS(L$71&gt;$C$7, 0, L$71&lt;$C$7, $H$11*($C$12*M84+(1-$C$12)*M86), L$71=$C$7, MAX(0, $C$4-L30))))</f>
        <v>#DIV/0!</v>
      </c>
    </row>
    <row r="86" spans="2:12">
      <c r="B86" s="40"/>
      <c r="C86" s="58" t="e">
        <f>MAX((_xlfn.IFS(C$71&gt;$C$7, 0, C$71&lt;$C$7, $H$11*($C$12*D85+(1-$C$12)*D87), C$71=$C$7, MAX(0, $C$4-C31))))</f>
        <v>#DIV/0!</v>
      </c>
      <c r="D86" s="40"/>
      <c r="E86" s="58" t="e">
        <f>MAX((_xlfn.IFS(E$71&gt;$C$7, 0, E$71&lt;$C$7, $H$11*($C$12*F85+(1-$C$12)*F87), E$71=$C$7, MAX(0, $C$4-E31))))</f>
        <v>#DIV/0!</v>
      </c>
      <c r="F86" s="40"/>
      <c r="G86" s="58" t="e">
        <f>MAX((_xlfn.IFS(G$71&gt;$C$7, 0, G$71&lt;$C$7, $H$11*($C$12*H85+(1-$C$12)*H87), G$71=$C$7, MAX(0, $C$4-G31))))</f>
        <v>#DIV/0!</v>
      </c>
      <c r="H86" s="40"/>
      <c r="I86" s="58" t="e">
        <f>MAX((_xlfn.IFS(I$71&gt;$C$7, 0, I$71&lt;$C$7, $H$11*($C$12*J85+(1-$C$12)*J87), I$71=$C$7, MAX(0, $C$4-I31))))</f>
        <v>#DIV/0!</v>
      </c>
      <c r="J86" s="40"/>
      <c r="K86" s="58" t="e">
        <f>MAX((_xlfn.IFS(K$71&gt;$C$7, 0, K$71&lt;$C$7, $H$11*($C$12*L85+(1-$C$12)*L87), K$71=$C$7, MAX(0, $C$4-K31))))</f>
        <v>#DIV/0!</v>
      </c>
      <c r="L86" s="40"/>
    </row>
    <row r="87" spans="2:12">
      <c r="B87" s="40"/>
      <c r="C87" s="40"/>
      <c r="D87" s="58" t="e">
        <f>MAX((_xlfn.IFS(D$71&gt;$C$7, 0, D$71&lt;$C$7, $H$11*($C$12*E86+(1-$C$12)*E88), D$71=$C$7, MAX(0, $C$4-D32))))</f>
        <v>#DIV/0!</v>
      </c>
      <c r="E87" s="40"/>
      <c r="F87" s="58" t="e">
        <f>MAX((_xlfn.IFS(F$71&gt;$C$7, 0, F$71&lt;$C$7, $H$11*($C$12*G86+(1-$C$12)*G88), F$71=$C$7, MAX(0, $C$4-F32))))</f>
        <v>#DIV/0!</v>
      </c>
      <c r="G87" s="40"/>
      <c r="H87" s="58" t="e">
        <f>MAX((_xlfn.IFS(H$71&gt;$C$7, 0, H$71&lt;$C$7, $H$11*($C$12*I86+(1-$C$12)*I88), H$71=$C$7, MAX(0, $C$4-H32))))</f>
        <v>#DIV/0!</v>
      </c>
      <c r="I87" s="40"/>
      <c r="J87" s="58" t="e">
        <f>MAX((_xlfn.IFS(J$71&gt;$C$7, 0, J$71&lt;$C$7, $H$11*($C$12*K86+(1-$C$12)*K88), J$71=$C$7, MAX(0, $C$4-J32))))</f>
        <v>#DIV/0!</v>
      </c>
      <c r="K87" s="40"/>
      <c r="L87" s="58" t="e">
        <f>MAX((_xlfn.IFS(L$71&gt;$C$7, 0, L$71&lt;$C$7, $H$11*($C$12*M86+(1-$C$12)*M88), L$71=$C$7, MAX(0, $C$4-L32))))</f>
        <v>#DIV/0!</v>
      </c>
    </row>
    <row r="88" spans="2:12">
      <c r="B88" s="40"/>
      <c r="C88" s="40"/>
      <c r="D88" s="40"/>
      <c r="E88" s="58" t="e">
        <f>MAX((_xlfn.IFS(E$71&gt;$C$7, 0, E$71&lt;$C$7, $H$11*($C$12*F87+(1-$C$12)*F89), E$71=$C$7, MAX(0, $C$4-E33))))</f>
        <v>#DIV/0!</v>
      </c>
      <c r="F88" s="40"/>
      <c r="G88" s="58" t="e">
        <f>MAX((_xlfn.IFS(G$71&gt;$C$7, 0, G$71&lt;$C$7, $H$11*($C$12*H87+(1-$C$12)*H89), G$71=$C$7, MAX(0, $C$4-G33))))</f>
        <v>#DIV/0!</v>
      </c>
      <c r="H88" s="40"/>
      <c r="I88" s="58" t="e">
        <f>MAX((_xlfn.IFS(I$71&gt;$C$7, 0, I$71&lt;$C$7, $H$11*($C$12*J87+(1-$C$12)*J89), I$71=$C$7, MAX(0, $C$4-I33))))</f>
        <v>#DIV/0!</v>
      </c>
      <c r="J88" s="40"/>
      <c r="K88" s="58" t="e">
        <f>MAX((_xlfn.IFS(K$71&gt;$C$7, 0, K$71&lt;$C$7, $H$11*($C$12*L87+(1-$C$12)*L89), K$71=$C$7, MAX(0, $C$4-K33))))</f>
        <v>#DIV/0!</v>
      </c>
      <c r="L88" s="40"/>
    </row>
    <row r="89" spans="2:12">
      <c r="B89" s="40"/>
      <c r="C89" s="40"/>
      <c r="D89" s="40"/>
      <c r="E89" s="40"/>
      <c r="F89" s="58" t="e">
        <f>MAX((_xlfn.IFS(F$71&gt;$C$7, 0, F$71&lt;$C$7, $H$11*($C$12*G88+(1-$C$12)*G90), F$71=$C$7, MAX(0, $C$4-F34))))</f>
        <v>#DIV/0!</v>
      </c>
      <c r="G89" s="40"/>
      <c r="H89" s="58" t="e">
        <f>MAX((_xlfn.IFS(H$71&gt;$C$7, 0, H$71&lt;$C$7, $H$11*($C$12*I88+(1-$C$12)*I90), H$71=$C$7, MAX(0, $C$4-H34))))</f>
        <v>#DIV/0!</v>
      </c>
      <c r="I89" s="40"/>
      <c r="J89" s="58" t="e">
        <f>MAX((_xlfn.IFS(J$71&gt;$C$7, 0, J$71&lt;$C$7, $H$11*($C$12*K88+(1-$C$12)*K90), J$71=$C$7, MAX(0, $C$4-J34))))</f>
        <v>#DIV/0!</v>
      </c>
      <c r="K89" s="40"/>
      <c r="L89" s="58" t="e">
        <f>MAX((_xlfn.IFS(L$71&gt;$C$7, 0, L$71&lt;$C$7, $H$11*($C$12*M88+(1-$C$12)*M90), L$71=$C$7, MAX(0, $C$4-L34))))</f>
        <v>#DIV/0!</v>
      </c>
    </row>
    <row r="90" spans="2:12">
      <c r="B90" s="40"/>
      <c r="C90" s="40"/>
      <c r="D90" s="40"/>
      <c r="E90" s="40"/>
      <c r="F90" s="40"/>
      <c r="G90" s="58" t="e">
        <f>MAX((_xlfn.IFS(G$71&gt;$C$7, 0, G$71&lt;$C$7, $H$11*($C$12*H89+(1-$C$12)*H91), G$71=$C$7, MAX(0, $C$4-G35))))</f>
        <v>#DIV/0!</v>
      </c>
      <c r="H90" s="40"/>
      <c r="I90" s="58" t="e">
        <f>MAX((_xlfn.IFS(I$71&gt;$C$7, 0, I$71&lt;$C$7, $H$11*($C$12*J89+(1-$C$12)*J91), I$71=$C$7, MAX(0, $C$4-I35))))</f>
        <v>#DIV/0!</v>
      </c>
      <c r="J90" s="40"/>
      <c r="K90" s="58" t="e">
        <f>MAX((_xlfn.IFS(K$71&gt;$C$7, 0, K$71&lt;$C$7, $H$11*($C$12*L89+(1-$C$12)*L91), K$71=$C$7, MAX(0, $C$4-K35))))</f>
        <v>#DIV/0!</v>
      </c>
      <c r="L90" s="40"/>
    </row>
    <row r="91" spans="2:12">
      <c r="B91" s="40"/>
      <c r="C91" s="40"/>
      <c r="D91" s="40"/>
      <c r="E91" s="40"/>
      <c r="F91" s="40"/>
      <c r="G91" s="40"/>
      <c r="H91" s="58" t="e">
        <f>MAX((_xlfn.IFS(H$71&gt;$C$7, 0, H$71&lt;$C$7, $H$11*($C$12*I90+(1-$C$12)*I92), H$71=$C$7, MAX(0, $C$4-H36))))</f>
        <v>#DIV/0!</v>
      </c>
      <c r="I91" s="40"/>
      <c r="J91" s="58" t="e">
        <f>MAX((_xlfn.IFS(J$71&gt;$C$7, 0, J$71&lt;$C$7, $H$11*($C$12*K90+(1-$C$12)*K92), J$71=$C$7, MAX(0, $C$4-J36))))</f>
        <v>#DIV/0!</v>
      </c>
      <c r="K91" s="40"/>
      <c r="L91" s="58" t="e">
        <f>MAX((_xlfn.IFS(L$71&gt;$C$7, 0, L$71&lt;$C$7, $H$11*($C$12*M90+(1-$C$12)*M92), L$71=$C$7, MAX(0, $C$4-L36))))</f>
        <v>#DIV/0!</v>
      </c>
    </row>
    <row r="92" spans="2:12">
      <c r="B92" s="40"/>
      <c r="C92" s="40"/>
      <c r="D92" s="40"/>
      <c r="E92" s="40"/>
      <c r="F92" s="40"/>
      <c r="G92" s="40"/>
      <c r="H92" s="40"/>
      <c r="I92" s="58" t="e">
        <f>MAX((_xlfn.IFS(I$71&gt;$C$7, 0, I$71&lt;$C$7, $H$11*($C$12*J91+(1-$C$12)*J93), I$71=$C$7, MAX(0, $C$4-I37))))</f>
        <v>#DIV/0!</v>
      </c>
      <c r="J92" s="40"/>
      <c r="K92" s="58" t="e">
        <f>MAX((_xlfn.IFS(K$71&gt;$C$7, 0, K$71&lt;$C$7, $H$11*($C$12*L91+(1-$C$12)*L93), K$71=$C$7, MAX(0, $C$4-K37))))</f>
        <v>#DIV/0!</v>
      </c>
      <c r="L92" s="40"/>
    </row>
    <row r="93" spans="2:12">
      <c r="B93" s="40"/>
      <c r="C93" s="40"/>
      <c r="D93" s="40"/>
      <c r="E93" s="40"/>
      <c r="F93" s="40"/>
      <c r="G93" s="40"/>
      <c r="H93" s="40"/>
      <c r="I93" s="40"/>
      <c r="J93" s="58" t="e">
        <f>MAX((_xlfn.IFS(J$71&gt;$C$7, 0, J$71&lt;$C$7, $H$11*($C$12*K92+(1-$C$12)*K94), J$71=$C$7, MAX(0, $C$4-J38))))</f>
        <v>#DIV/0!</v>
      </c>
      <c r="K93" s="40"/>
      <c r="L93" s="58" t="e">
        <f>MAX((_xlfn.IFS(L$71&gt;$C$7, 0, L$71&lt;$C$7, $H$11*($C$12*M92+(1-$C$12)*M94), L$71=$C$7, MAX(0, $C$4-L38))))</f>
        <v>#DIV/0!</v>
      </c>
    </row>
    <row r="94" spans="2:12">
      <c r="B94" s="40"/>
      <c r="C94" s="40"/>
      <c r="D94" s="40"/>
      <c r="E94" s="40"/>
      <c r="F94" s="40"/>
      <c r="G94" s="40"/>
      <c r="H94" s="40"/>
      <c r="I94" s="40"/>
      <c r="J94" s="40"/>
      <c r="K94" s="58" t="e">
        <f>MAX((_xlfn.IFS(K$71&gt;$C$7, 0, K$71&lt;$C$7, $H$11*($C$12*L93+(1-$C$12)*L95), K$71=$C$7, MAX(0, $C$4-K39))))</f>
        <v>#DIV/0!</v>
      </c>
      <c r="L94" s="40"/>
    </row>
    <row r="95" spans="2:12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58" t="e">
        <f>MAX((_xlfn.IFS(L$71&gt;$C$7, 0, L$71&lt;$C$7, $H$11*($C$12*M94+(1-$C$12)*M96), L$71=$C$7, MAX(0, $C$4-L40))))</f>
        <v>#DIV/0!</v>
      </c>
    </row>
    <row r="96" spans="2:12" ht="17.100000000000001" thickBot="1">
      <c r="B96" s="1" t="s">
        <v>31</v>
      </c>
    </row>
    <row r="97" spans="2:12" ht="17.100000000000001" thickBot="1">
      <c r="B97" s="47" t="s">
        <v>26</v>
      </c>
    </row>
    <row r="98" spans="2:12" ht="17.100000000000001" thickBot="1">
      <c r="B98" s="46">
        <v>0</v>
      </c>
      <c r="C98" s="46">
        <v>1</v>
      </c>
      <c r="D98" s="46">
        <v>2</v>
      </c>
      <c r="E98" s="46">
        <v>3</v>
      </c>
      <c r="F98" s="46">
        <v>4</v>
      </c>
      <c r="G98" s="46">
        <v>5</v>
      </c>
      <c r="H98" s="46">
        <v>6</v>
      </c>
      <c r="I98" s="46">
        <v>7</v>
      </c>
      <c r="J98" s="46">
        <v>8</v>
      </c>
      <c r="K98" s="46">
        <v>9</v>
      </c>
      <c r="L98" s="46">
        <v>10</v>
      </c>
    </row>
    <row r="99" spans="2:12"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</row>
    <row r="100" spans="2:12"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</row>
    <row r="102" spans="2:12"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58" t="e">
        <f>MAX((_xlfn.IFS(L$98&gt;$C$7, 0, L$98&lt;$C$7, $H$11*($C$12*M101+(1-$C$12)*M103), L$98=$C$7, MAX(0, L20-$C$4))))</f>
        <v>#DIV/0!</v>
      </c>
    </row>
    <row r="103" spans="2:12">
      <c r="B103" s="40"/>
      <c r="C103" s="40"/>
      <c r="D103" s="40"/>
      <c r="E103" s="40"/>
      <c r="F103" s="40"/>
      <c r="G103" s="40"/>
      <c r="H103" s="40"/>
      <c r="I103" s="40"/>
      <c r="J103" s="40"/>
      <c r="K103" s="58" t="e">
        <f>MAX((_xlfn.IFS(K$98&gt;$C$7, 0, K$98&lt;$C$7, $H$11*($C$12*L102+(1-$C$12)*L104), K$98=$C$7, MAX(0, K21-$C$4))))</f>
        <v>#DIV/0!</v>
      </c>
      <c r="L103" s="40"/>
    </row>
    <row r="104" spans="2:12">
      <c r="B104" s="40"/>
      <c r="C104" s="40"/>
      <c r="D104" s="40"/>
      <c r="E104" s="40"/>
      <c r="F104" s="40"/>
      <c r="G104" s="40"/>
      <c r="H104" s="40"/>
      <c r="I104" s="40"/>
      <c r="J104" s="58" t="e">
        <f>MAX((_xlfn.IFS(J$98&gt;$C$7, 0, J$98&lt;$C$7, $H$11*($C$12*K103+(1-$C$12)*K105), J$98=$C$7, MAX(0, J22-$C$4))))</f>
        <v>#DIV/0!</v>
      </c>
      <c r="K104" s="40"/>
      <c r="L104" s="58" t="e">
        <f>MAX((_xlfn.IFS(L$98&gt;$C$7, 0, L$98&lt;$C$7, $H$11*($C$12*M103+(1-$C$12)*M105), L$98=$C$7, MAX(0, L22-$C$4))))</f>
        <v>#DIV/0!</v>
      </c>
    </row>
    <row r="105" spans="2:12">
      <c r="B105" s="40"/>
      <c r="C105" s="40"/>
      <c r="D105" s="40"/>
      <c r="E105" s="40"/>
      <c r="F105" s="40"/>
      <c r="G105" s="40"/>
      <c r="H105" s="40"/>
      <c r="I105" s="58" t="e">
        <f>MAX((_xlfn.IFS(I$98&gt;$C$7, 0, I$98&lt;$C$7, $H$11*($C$12*J104+(1-$C$12)*J106), I$98=$C$7, MAX(0, I23-$C$4))))</f>
        <v>#DIV/0!</v>
      </c>
      <c r="J105" s="40"/>
      <c r="K105" s="58" t="e">
        <f>MAX((_xlfn.IFS(K$98&gt;$C$7, 0, K$98&lt;$C$7, $H$11*($C$12*L104+(1-$C$12)*L106), K$98=$C$7, MAX(0, K23-$C$4))))</f>
        <v>#DIV/0!</v>
      </c>
      <c r="L105" s="40"/>
    </row>
    <row r="106" spans="2:12">
      <c r="B106" s="40"/>
      <c r="C106" s="40"/>
      <c r="D106" s="40"/>
      <c r="E106" s="40"/>
      <c r="F106" s="40"/>
      <c r="G106" s="40"/>
      <c r="H106" s="58" t="e">
        <f>MAX((_xlfn.IFS(H$98&gt;$C$7, 0, H$98&lt;$C$7, $H$11*($C$12*I105+(1-$C$12)*I107), H$98=$C$7, MAX(0, H24-$C$4))))</f>
        <v>#DIV/0!</v>
      </c>
      <c r="I106" s="40"/>
      <c r="J106" s="58" t="e">
        <f>MAX((_xlfn.IFS(J$98&gt;$C$7, 0, J$98&lt;$C$7, $H$11*($C$12*K105+(1-$C$12)*K107), J$98=$C$7, MAX(0, J24-$C$4))))</f>
        <v>#DIV/0!</v>
      </c>
      <c r="K106" s="40"/>
      <c r="L106" s="58" t="e">
        <f>MAX((_xlfn.IFS(L$98&gt;$C$7, 0, L$98&lt;$C$7, $H$11*($C$12*M105+(1-$C$12)*M107), L$98=$C$7, MAX(0, L24-$C$4))))</f>
        <v>#DIV/0!</v>
      </c>
    </row>
    <row r="107" spans="2:12">
      <c r="B107" s="40"/>
      <c r="C107" s="40"/>
      <c r="D107" s="40"/>
      <c r="E107" s="40"/>
      <c r="F107" s="40"/>
      <c r="G107" s="58" t="e">
        <f>MAX((_xlfn.IFS(G$98&gt;$C$7, 0, G$98&lt;$C$7, $H$11*($C$12*H106+(1-$C$12)*H108), G$98=$C$7, MAX(0, G25-$C$4))))</f>
        <v>#DIV/0!</v>
      </c>
      <c r="H107" s="40"/>
      <c r="I107" s="58" t="e">
        <f>MAX((_xlfn.IFS(I$98&gt;$C$7, 0, I$98&lt;$C$7, $H$11*($C$12*J106+(1-$C$12)*J108), I$98=$C$7, MAX(0, I25-$C$4))))</f>
        <v>#DIV/0!</v>
      </c>
      <c r="J107" s="40"/>
      <c r="K107" s="58" t="e">
        <f>MAX((_xlfn.IFS(K$98&gt;$C$7, 0, K$98&lt;$C$7, $H$11*($C$12*L106+(1-$C$12)*L108), K$98=$C$7, MAX(0, K25-$C$4))))</f>
        <v>#DIV/0!</v>
      </c>
      <c r="L107" s="40"/>
    </row>
    <row r="108" spans="2:12">
      <c r="B108" s="40"/>
      <c r="C108" s="40"/>
      <c r="D108" s="40"/>
      <c r="E108" s="40"/>
      <c r="F108" s="58" t="e">
        <f>MAX((_xlfn.IFS(F$98&gt;$C$7, 0, F$98&lt;$C$7, $H$11*($C$12*G107+(1-$C$12)*G109), F$98=$C$7, MAX(0, F26-$C$4))))</f>
        <v>#DIV/0!</v>
      </c>
      <c r="G108" s="40"/>
      <c r="H108" s="58" t="e">
        <f>MAX((_xlfn.IFS(H$98&gt;$C$7, 0, H$98&lt;$C$7, $H$11*($C$12*I107+(1-$C$12)*I109), H$98=$C$7, MAX(0, H26-$C$4))))</f>
        <v>#DIV/0!</v>
      </c>
      <c r="I108" s="40"/>
      <c r="J108" s="58" t="e">
        <f>MAX((_xlfn.IFS(J$98&gt;$C$7, 0, J$98&lt;$C$7, $H$11*($C$12*K107+(1-$C$12)*K109), J$98=$C$7, MAX(0, J26-$C$4))))</f>
        <v>#DIV/0!</v>
      </c>
      <c r="K108" s="40"/>
      <c r="L108" s="58" t="e">
        <f>MAX((_xlfn.IFS(L$98&gt;$C$7, 0, L$98&lt;$C$7, $H$11*($C$12*M107+(1-$C$12)*M109), L$98=$C$7, MAX(0, L26-$C$4))))</f>
        <v>#DIV/0!</v>
      </c>
    </row>
    <row r="109" spans="2:12">
      <c r="B109" s="40"/>
      <c r="C109" s="40"/>
      <c r="D109" s="40"/>
      <c r="E109" s="58" t="e">
        <f>MAX((_xlfn.IFS(E$98&gt;$C$7, 0, E$98&lt;$C$7, $H$11*($C$12*F108+(1-$C$12)*F110), E$98=$C$7, MAX(0, E27-$C$4))))</f>
        <v>#DIV/0!</v>
      </c>
      <c r="F109" s="40"/>
      <c r="G109" s="58" t="e">
        <f>MAX((_xlfn.IFS(G$98&gt;$C$7, 0, G$98&lt;$C$7, $H$11*($C$12*H108+(1-$C$12)*H110), G$98=$C$7, MAX(0, G27-$C$4))))</f>
        <v>#DIV/0!</v>
      </c>
      <c r="H109" s="40"/>
      <c r="I109" s="58" t="e">
        <f>MAX((_xlfn.IFS(I$98&gt;$C$7, 0, I$98&lt;$C$7, $H$11*($C$12*J108+(1-$C$12)*J110), I$98=$C$7, MAX(0, I27-$C$4))))</f>
        <v>#DIV/0!</v>
      </c>
      <c r="J109" s="40"/>
      <c r="K109" s="58" t="e">
        <f>MAX((_xlfn.IFS(K$98&gt;$C$7, 0, K$98&lt;$C$7, $H$11*($C$12*L108+(1-$C$12)*L110), K$98=$C$7, MAX(0, K27-$C$4))))</f>
        <v>#DIV/0!</v>
      </c>
      <c r="L109" s="40"/>
    </row>
    <row r="110" spans="2:12">
      <c r="B110" s="40"/>
      <c r="C110" s="40"/>
      <c r="D110" s="58" t="e">
        <f>MAX((_xlfn.IFS(D$98&gt;$C$7, 0, D$98&lt;$C$7, $H$11*($C$12*E109+(1-$C$12)*E111), D$98=$C$7, MAX(0, D28-$C$4))))</f>
        <v>#DIV/0!</v>
      </c>
      <c r="E110" s="40"/>
      <c r="F110" s="58" t="e">
        <f>MAX((_xlfn.IFS(F$98&gt;$C$7, 0, F$98&lt;$C$7, $H$11*($C$12*G109+(1-$C$12)*G111), F$98=$C$7, MAX(0, F28-$C$4))))</f>
        <v>#DIV/0!</v>
      </c>
      <c r="G110" s="40"/>
      <c r="H110" s="58" t="e">
        <f>MAX((_xlfn.IFS(H$98&gt;$C$7, 0, H$98&lt;$C$7, $H$11*($C$12*I109+(1-$C$12)*I111), H$98=$C$7, MAX(0, H28-$C$4))))</f>
        <v>#DIV/0!</v>
      </c>
      <c r="I110" s="40"/>
      <c r="J110" s="58" t="e">
        <f>MAX((_xlfn.IFS(J$98&gt;$C$7, 0, J$98&lt;$C$7, $H$11*($C$12*K109+(1-$C$12)*K111), J$98=$C$7, MAX(0, J28-$C$4))))</f>
        <v>#DIV/0!</v>
      </c>
      <c r="K110" s="40"/>
      <c r="L110" s="58" t="e">
        <f>MAX((_xlfn.IFS(L$98&gt;$C$7, 0, L$98&lt;$C$7, $H$11*($C$12*M109+(1-$C$12)*M111), L$98=$C$7, MAX(0, L28-$C$4))))</f>
        <v>#DIV/0!</v>
      </c>
    </row>
    <row r="111" spans="2:12">
      <c r="B111" s="40"/>
      <c r="C111" s="58" t="e">
        <f>MAX((_xlfn.IFS(C$98&gt;$C$7, 0, C$98&lt;$C$7, $H$11*($C$12*D110+(1-$C$12)*D112), C$98=$C$7, MAX(0, C29-$C$4))))</f>
        <v>#DIV/0!</v>
      </c>
      <c r="D111" s="40"/>
      <c r="E111" s="58" t="e">
        <f>MAX((_xlfn.IFS(E$98&gt;$C$7, 0, E$98&lt;$C$7, $H$11*($C$12*F110+(1-$C$12)*F112), E$98=$C$7, MAX(0, E29-$C$4))))</f>
        <v>#DIV/0!</v>
      </c>
      <c r="F111" s="40"/>
      <c r="G111" s="58" t="e">
        <f>MAX((_xlfn.IFS(G$98&gt;$C$7, 0, G$98&lt;$C$7, $H$11*($C$12*H110+(1-$C$12)*H112), G$98=$C$7, MAX(0, G29-$C$4))))</f>
        <v>#DIV/0!</v>
      </c>
      <c r="H111" s="40"/>
      <c r="I111" s="58" t="e">
        <f>MAX((_xlfn.IFS(I$98&gt;$C$7, 0, I$98&lt;$C$7, $H$11*($C$12*J110+(1-$C$12)*J112), I$98=$C$7, MAX(0, I29-$C$4))))</f>
        <v>#DIV/0!</v>
      </c>
      <c r="J111" s="40"/>
      <c r="K111" s="58" t="e">
        <f>MAX((_xlfn.IFS(K$98&gt;$C$7, 0, K$98&lt;$C$7, $H$11*($C$12*L110+(1-$C$12)*L112), K$98=$C$7, MAX(0, K29-$C$4))))</f>
        <v>#DIV/0!</v>
      </c>
      <c r="L111" s="40"/>
    </row>
    <row r="112" spans="2:12">
      <c r="B112" s="58" t="e">
        <f>MAX((_xlfn.IFS(B$98&gt;$C$7, 0, B$98&lt;$C$7, $H$11*($C$12*C111+(1-$C$12)*C113), B$98=$C$7, MAX(0, B30-$C$4))))</f>
        <v>#DIV/0!</v>
      </c>
      <c r="C112" s="40"/>
      <c r="D112" s="58" t="e">
        <f>MAX((_xlfn.IFS(D$98&gt;$C$7, 0, D$98&lt;$C$7, $H$11*($C$12*E111+(1-$C$12)*E113), D$98=$C$7, MAX(0, D30-$C$4))))</f>
        <v>#DIV/0!</v>
      </c>
      <c r="E112" s="40"/>
      <c r="F112" s="58" t="e">
        <f>MAX((_xlfn.IFS(F$98&gt;$C$7, 0, F$98&lt;$C$7, $H$11*($C$12*G111+(1-$C$12)*G113), F$98=$C$7, MAX(0, F30-$C$4))))</f>
        <v>#DIV/0!</v>
      </c>
      <c r="G112" s="40"/>
      <c r="H112" s="58" t="e">
        <f>MAX((_xlfn.IFS(H$98&gt;$C$7, 0, H$98&lt;$C$7, $H$11*($C$12*I111+(1-$C$12)*I113), H$98=$C$7, MAX(0, H30-$C$4))))</f>
        <v>#DIV/0!</v>
      </c>
      <c r="I112" s="40"/>
      <c r="J112" s="58" t="e">
        <f>MAX((_xlfn.IFS(J$98&gt;$C$7, 0, J$98&lt;$C$7, $H$11*($C$12*K111+(1-$C$12)*K113), J$98=$C$7, MAX(0, J30-$C$4))))</f>
        <v>#DIV/0!</v>
      </c>
      <c r="K112" s="40"/>
      <c r="L112" s="58" t="e">
        <f>MAX((_xlfn.IFS(L$98&gt;$C$7, 0, L$98&lt;$C$7, $H$11*($C$12*M111+(1-$C$12)*M113), L$98=$C$7, MAX(0, L30-$C$4))))</f>
        <v>#DIV/0!</v>
      </c>
    </row>
    <row r="113" spans="2:25">
      <c r="B113" s="40"/>
      <c r="C113" s="58" t="e">
        <f>MAX((_xlfn.IFS(C$98&gt;$C$7, 0, C$98&lt;$C$7, $H$11*($C$12*D112+(1-$C$12)*D114), C$98=$C$7, MAX(0, C31-$C$4))))</f>
        <v>#DIV/0!</v>
      </c>
      <c r="D113" s="40"/>
      <c r="E113" s="58" t="e">
        <f>MAX((_xlfn.IFS(E$98&gt;$C$7, 0, E$98&lt;$C$7, $H$11*($C$12*F112+(1-$C$12)*F114), E$98=$C$7, MAX(0, E31-$C$4))))</f>
        <v>#DIV/0!</v>
      </c>
      <c r="F113" s="40"/>
      <c r="G113" s="58" t="e">
        <f>MAX((_xlfn.IFS(G$98&gt;$C$7, 0, G$98&lt;$C$7, $H$11*($C$12*H112+(1-$C$12)*H114), G$98=$C$7, MAX(0, G31-$C$4))))</f>
        <v>#DIV/0!</v>
      </c>
      <c r="H113" s="40"/>
      <c r="I113" s="58" t="e">
        <f>MAX((_xlfn.IFS(I$98&gt;$C$7, 0, I$98&lt;$C$7, $H$11*($C$12*J112+(1-$C$12)*J114), I$98=$C$7, MAX(0, I31-$C$4))))</f>
        <v>#DIV/0!</v>
      </c>
      <c r="J113" s="40"/>
      <c r="K113" s="58" t="e">
        <f>MAX((_xlfn.IFS(K$98&gt;$C$7, 0, K$98&lt;$C$7, $H$11*($C$12*L112+(1-$C$12)*L114), K$98=$C$7, MAX(0, K31-$C$4))))</f>
        <v>#DIV/0!</v>
      </c>
      <c r="L113" s="40"/>
    </row>
    <row r="114" spans="2:25">
      <c r="B114" s="40"/>
      <c r="C114" s="40"/>
      <c r="D114" s="58" t="e">
        <f>MAX((_xlfn.IFS(D$98&gt;$C$7, 0, D$98&lt;$C$7, $H$11*($C$12*E113+(1-$C$12)*E115), D$98=$C$7, MAX(0, D32-$C$4))))</f>
        <v>#DIV/0!</v>
      </c>
      <c r="E114" s="40"/>
      <c r="F114" s="58" t="e">
        <f>MAX((_xlfn.IFS(F$98&gt;$C$7, 0, F$98&lt;$C$7, $H$11*($C$12*G113+(1-$C$12)*G115), F$98=$C$7, MAX(0, F32-$C$4))))</f>
        <v>#DIV/0!</v>
      </c>
      <c r="G114" s="40"/>
      <c r="H114" s="58" t="e">
        <f>MAX((_xlfn.IFS(H$98&gt;$C$7, 0, H$98&lt;$C$7, $H$11*($C$12*I113+(1-$C$12)*I115), H$98=$C$7, MAX(0, H32-$C$4))))</f>
        <v>#DIV/0!</v>
      </c>
      <c r="I114" s="40"/>
      <c r="J114" s="58" t="e">
        <f>MAX((_xlfn.IFS(J$98&gt;$C$7, 0, J$98&lt;$C$7, $H$11*($C$12*K113+(1-$C$12)*K115), J$98=$C$7, MAX(0, J32-$C$4))))</f>
        <v>#DIV/0!</v>
      </c>
      <c r="K114" s="40"/>
      <c r="L114" s="58" t="e">
        <f>MAX((_xlfn.IFS(L$98&gt;$C$7, 0, L$98&lt;$C$7, $H$11*($C$12*M113+(1-$C$12)*M115), L$98=$C$7, MAX(0, L32-$C$4))))</f>
        <v>#DIV/0!</v>
      </c>
    </row>
    <row r="115" spans="2:25">
      <c r="B115" s="40"/>
      <c r="C115" s="40"/>
      <c r="D115" s="40"/>
      <c r="E115" s="58" t="e">
        <f>MAX((_xlfn.IFS(E$98&gt;$C$7, 0, E$98&lt;$C$7, $H$11*($C$12*F114+(1-$C$12)*F116), E$98=$C$7, MAX(0, E33-$C$4))))</f>
        <v>#DIV/0!</v>
      </c>
      <c r="F115" s="40"/>
      <c r="G115" s="58" t="e">
        <f>MAX((_xlfn.IFS(G$98&gt;$C$7, 0, G$98&lt;$C$7, $H$11*($C$12*H114+(1-$C$12)*H116), G$98=$C$7, MAX(0, G33-$C$4))))</f>
        <v>#DIV/0!</v>
      </c>
      <c r="H115" s="40"/>
      <c r="I115" s="58" t="e">
        <f>MAX((_xlfn.IFS(I$98&gt;$C$7, 0, I$98&lt;$C$7, $H$11*($C$12*J114+(1-$C$12)*J116), I$98=$C$7, MAX(0, I33-$C$4))))</f>
        <v>#DIV/0!</v>
      </c>
      <c r="J115" s="40"/>
      <c r="K115" s="58" t="e">
        <f>MAX((_xlfn.IFS(K$98&gt;$C$7, 0, K$98&lt;$C$7, $H$11*($C$12*L114+(1-$C$12)*L116), K$98=$C$7, MAX(0, K33-$C$4))))</f>
        <v>#DIV/0!</v>
      </c>
      <c r="L115" s="40"/>
    </row>
    <row r="116" spans="2:25">
      <c r="B116" s="40"/>
      <c r="C116" s="40"/>
      <c r="D116" s="40"/>
      <c r="E116" s="40"/>
      <c r="F116" s="58" t="e">
        <f>MAX((_xlfn.IFS(F$98&gt;$C$7, 0, F$98&lt;$C$7, $H$11*($C$12*G115+(1-$C$12)*G117), F$98=$C$7, MAX(0, F34-$C$4))))</f>
        <v>#DIV/0!</v>
      </c>
      <c r="G116" s="40"/>
      <c r="H116" s="58" t="e">
        <f>MAX((_xlfn.IFS(H$98&gt;$C$7, 0, H$98&lt;$C$7, $H$11*($C$12*I115+(1-$C$12)*I117), H$98=$C$7, MAX(0, H34-$C$4))))</f>
        <v>#DIV/0!</v>
      </c>
      <c r="I116" s="40"/>
      <c r="J116" s="58" t="e">
        <f>MAX((_xlfn.IFS(J$98&gt;$C$7, 0, J$98&lt;$C$7, $H$11*($C$12*K115+(1-$C$12)*K117), J$98=$C$7, MAX(0, J34-$C$4))))</f>
        <v>#DIV/0!</v>
      </c>
      <c r="K116" s="40"/>
      <c r="L116" s="58" t="e">
        <f>MAX((_xlfn.IFS(L$98&gt;$C$7, 0, L$98&lt;$C$7, $H$11*($C$12*M115+(1-$C$12)*M117), L$98=$C$7, MAX(0, L34-$C$4))))</f>
        <v>#DIV/0!</v>
      </c>
    </row>
    <row r="117" spans="2:25">
      <c r="B117" s="40"/>
      <c r="C117" s="40"/>
      <c r="D117" s="40"/>
      <c r="E117" s="40"/>
      <c r="F117" s="40"/>
      <c r="G117" s="58" t="e">
        <f>MAX((_xlfn.IFS(G$98&gt;$C$7, 0, G$98&lt;$C$7, $H$11*($C$12*H116+(1-$C$12)*H118), G$98=$C$7, MAX(0, G35-$C$4))))</f>
        <v>#DIV/0!</v>
      </c>
      <c r="H117" s="40"/>
      <c r="I117" s="58" t="e">
        <f>MAX((_xlfn.IFS(I$98&gt;$C$7, 0, I$98&lt;$C$7, $H$11*($C$12*J116+(1-$C$12)*J118), I$98=$C$7, MAX(0, I35-$C$4))))</f>
        <v>#DIV/0!</v>
      </c>
      <c r="J117" s="40"/>
      <c r="K117" s="58" t="e">
        <f>MAX((_xlfn.IFS(K$98&gt;$C$7, 0, K$98&lt;$C$7, $H$11*($C$12*L116+(1-$C$12)*L118), K$98=$C$7, MAX(0, K35-$C$4))))</f>
        <v>#DIV/0!</v>
      </c>
      <c r="L117" s="40"/>
    </row>
    <row r="118" spans="2:25">
      <c r="B118" s="40"/>
      <c r="C118" s="40"/>
      <c r="D118" s="40"/>
      <c r="E118" s="40"/>
      <c r="F118" s="40"/>
      <c r="G118" s="40"/>
      <c r="H118" s="58" t="e">
        <f>MAX((_xlfn.IFS(H$98&gt;$C$7, 0, H$98&lt;$C$7, $H$11*($C$12*I117+(1-$C$12)*I119), H$98=$C$7, MAX(0, H36-$C$4))))</f>
        <v>#DIV/0!</v>
      </c>
      <c r="I118" s="40"/>
      <c r="J118" s="58" t="e">
        <f>MAX((_xlfn.IFS(J$98&gt;$C$7, 0, J$98&lt;$C$7, $H$11*($C$12*K117+(1-$C$12)*K119), J$98=$C$7, MAX(0, J36-$C$4))))</f>
        <v>#DIV/0!</v>
      </c>
      <c r="K118" s="40"/>
      <c r="L118" s="58" t="e">
        <f>MAX((_xlfn.IFS(L$98&gt;$C$7, 0, L$98&lt;$C$7, $H$11*($C$12*M117+(1-$C$12)*M119), L$98=$C$7, MAX(0, L36-$C$4))))</f>
        <v>#DIV/0!</v>
      </c>
    </row>
    <row r="119" spans="2:25">
      <c r="B119" s="40"/>
      <c r="C119" s="40"/>
      <c r="D119" s="40"/>
      <c r="E119" s="40"/>
      <c r="F119" s="40"/>
      <c r="G119" s="40"/>
      <c r="H119" s="40"/>
      <c r="I119" s="58" t="e">
        <f>MAX((_xlfn.IFS(I$98&gt;$C$7, 0, I$98&lt;$C$7, $H$11*($C$12*J118+(1-$C$12)*J120), I$98=$C$7, MAX(0, I37-$C$4))))</f>
        <v>#DIV/0!</v>
      </c>
      <c r="J119" s="40"/>
      <c r="K119" s="58" t="e">
        <f>MAX((_xlfn.IFS(K$98&gt;$C$7, 0, K$98&lt;$C$7, $H$11*($C$12*L118+(1-$C$12)*L120), K$98=$C$7, MAX(0, K37-$C$4))))</f>
        <v>#DIV/0!</v>
      </c>
      <c r="L119" s="40"/>
    </row>
    <row r="120" spans="2:25">
      <c r="B120" s="40"/>
      <c r="C120" s="40"/>
      <c r="D120" s="40"/>
      <c r="E120" s="40"/>
      <c r="F120" s="40"/>
      <c r="G120" s="40"/>
      <c r="H120" s="40"/>
      <c r="I120" s="40"/>
      <c r="J120" s="58" t="e">
        <f>MAX((_xlfn.IFS(J$98&gt;$C$7, 0, J$98&lt;$C$7, $H$11*($C$12*K119+(1-$C$12)*K121), J$98=$C$7, MAX(0, J38-$C$4))))</f>
        <v>#DIV/0!</v>
      </c>
      <c r="K120" s="40"/>
      <c r="L120" s="58" t="e">
        <f>MAX((_xlfn.IFS(L$98&gt;$C$7, 0, L$98&lt;$C$7, $H$11*($C$12*M119+(1-$C$12)*M121), L$98=$C$7, MAX(0, L38-$C$4))))</f>
        <v>#DIV/0!</v>
      </c>
    </row>
    <row r="121" spans="2:25">
      <c r="B121" s="40"/>
      <c r="C121" s="40"/>
      <c r="D121" s="40"/>
      <c r="E121" s="40"/>
      <c r="F121" s="40"/>
      <c r="G121" s="40"/>
      <c r="H121" s="40"/>
      <c r="I121" s="40"/>
      <c r="J121" s="40"/>
      <c r="K121" s="58" t="e">
        <f>MAX((_xlfn.IFS(K$98&gt;$C$7, 0, K$98&lt;$C$7, $H$11*($C$12*L120+(1-$C$12)*L122), K$98=$C$7, MAX(0, K39-$C$4))))</f>
        <v>#DIV/0!</v>
      </c>
      <c r="L121" s="40"/>
    </row>
    <row r="122" spans="2:25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58" t="e">
        <f>MAX((_xlfn.IFS(L$98&gt;$C$7, 0, L$98&lt;$C$7, $H$11*($C$12*M121+(1-$C$12)*M123), L$98=$C$7, MAX(0, L40-$C$4))))</f>
        <v>#DIV/0!</v>
      </c>
    </row>
    <row r="123" spans="2:25" ht="17.100000000000001" thickBot="1">
      <c r="B123" s="49" t="s">
        <v>32</v>
      </c>
      <c r="C123" s="49"/>
      <c r="D123" s="48"/>
      <c r="E123" s="48"/>
      <c r="F123" s="48"/>
      <c r="G123" s="48"/>
      <c r="H123" s="48"/>
      <c r="I123" s="48"/>
      <c r="J123" s="48"/>
      <c r="K123" s="48"/>
      <c r="L123" s="48"/>
      <c r="O123" s="49" t="s">
        <v>33</v>
      </c>
      <c r="P123" s="49"/>
      <c r="Q123" s="48"/>
      <c r="R123" s="48"/>
      <c r="S123" s="48"/>
      <c r="T123" s="48"/>
      <c r="U123" s="48"/>
      <c r="V123" s="48"/>
      <c r="W123" s="48"/>
      <c r="X123" s="48"/>
      <c r="Y123" s="48"/>
    </row>
    <row r="124" spans="2:25" ht="17.100000000000001" thickBot="1">
      <c r="B124" s="50" t="s">
        <v>26</v>
      </c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O124" s="50" t="s">
        <v>26</v>
      </c>
      <c r="P124" s="48"/>
      <c r="Q124" s="48"/>
      <c r="R124" s="48"/>
      <c r="S124" s="48"/>
      <c r="T124" s="48"/>
      <c r="U124" s="48"/>
      <c r="V124" s="48"/>
      <c r="W124" s="48"/>
      <c r="X124" s="48"/>
      <c r="Y124" s="48"/>
    </row>
    <row r="125" spans="2:25" ht="17.100000000000001" thickBot="1">
      <c r="B125" s="51">
        <v>0</v>
      </c>
      <c r="C125" s="52">
        <v>1</v>
      </c>
      <c r="D125" s="52">
        <v>2</v>
      </c>
      <c r="E125" s="52">
        <v>3</v>
      </c>
      <c r="F125" s="52">
        <v>4</v>
      </c>
      <c r="G125" s="52">
        <v>5</v>
      </c>
      <c r="H125" s="52">
        <v>6</v>
      </c>
      <c r="I125" s="52">
        <v>7</v>
      </c>
      <c r="J125" s="52">
        <v>8</v>
      </c>
      <c r="K125" s="52">
        <v>9</v>
      </c>
      <c r="L125" s="52">
        <v>10</v>
      </c>
      <c r="O125" s="51">
        <v>0</v>
      </c>
      <c r="P125" s="52">
        <v>1</v>
      </c>
      <c r="Q125" s="52">
        <v>2</v>
      </c>
      <c r="R125" s="52">
        <v>3</v>
      </c>
      <c r="S125" s="52">
        <v>4</v>
      </c>
      <c r="T125" s="52">
        <v>5</v>
      </c>
      <c r="U125" s="52">
        <v>6</v>
      </c>
      <c r="V125" s="52">
        <v>7</v>
      </c>
      <c r="W125" s="52">
        <v>8</v>
      </c>
      <c r="X125" s="52">
        <v>9</v>
      </c>
      <c r="Y125" s="52">
        <v>10</v>
      </c>
    </row>
    <row r="126" spans="2:25"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</row>
    <row r="127" spans="2:25"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</row>
    <row r="129" spans="2:25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58" t="e">
        <f>IF(L20&gt;0, MAX((_xlfn.IFS(L$125&gt;$C$7, 0, L$125&lt;$C$7, $H$11*(M128*$C$12+(1-$C$12)*M130), L$125=$C$7, MAX(0,($C$4-L20)))), ($C$4-L20)),0)</f>
        <v>#DIV/0!</v>
      </c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58" t="e">
        <f>IF((MAX(L129-($C$12*M128+(1-$C$12)*M130),0))&gt;0, L129, 0)</f>
        <v>#DIV/0!</v>
      </c>
    </row>
    <row r="130" spans="2:25">
      <c r="B130" s="40"/>
      <c r="C130" s="40"/>
      <c r="D130" s="40"/>
      <c r="E130" s="40"/>
      <c r="F130" s="40"/>
      <c r="G130" s="40"/>
      <c r="H130" s="40"/>
      <c r="I130" s="40"/>
      <c r="J130" s="40"/>
      <c r="K130" s="58" t="e">
        <f>IF(K21&gt;0, MAX((_xlfn.IFS(K$125&gt;$C$7, 0, K$125&lt;$C$7, $H$11*(L129*$C$12+(1-$C$12)*L131), K$125=$C$7, MAX(0,($C$4-K21)))), ($C$4-K21)),0)</f>
        <v>#DIV/0!</v>
      </c>
      <c r="L130" s="40"/>
      <c r="O130" s="40"/>
      <c r="P130" s="40"/>
      <c r="Q130" s="40"/>
      <c r="R130" s="40"/>
      <c r="S130" s="40"/>
      <c r="T130" s="40"/>
      <c r="U130" s="40"/>
      <c r="V130" s="40"/>
      <c r="W130" s="40"/>
      <c r="X130" s="58" t="e">
        <f>IF((MAX(K130-($C$12*L129+(1-$C$12)*L131),0))&gt;0, K130, 0)</f>
        <v>#DIV/0!</v>
      </c>
      <c r="Y130" s="40"/>
    </row>
    <row r="131" spans="2:25">
      <c r="B131" s="40"/>
      <c r="C131" s="40"/>
      <c r="D131" s="40"/>
      <c r="E131" s="40"/>
      <c r="F131" s="40"/>
      <c r="G131" s="40"/>
      <c r="H131" s="40"/>
      <c r="I131" s="40"/>
      <c r="J131" s="58" t="e">
        <f>IF(J22&gt;0, MAX((_xlfn.IFS(J$125&gt;$C$7, 0, J$125&lt;$C$7, $H$11*(K130*$C$12+(1-$C$12)*K132), J$125=$C$7, MAX(0,($C$4-J22)))), ($C$4-J22)),0)</f>
        <v>#DIV/0!</v>
      </c>
      <c r="K131" s="40"/>
      <c r="L131" s="58" t="e">
        <f>IF(L22&gt;0, MAX((_xlfn.IFS(L$125&gt;$C$7, 0, L$125&lt;$C$7, $H$11*(M130*$C$12+(1-$C$12)*M132), L$125=$C$7, MAX(0,($C$4-L22)))), ($C$4-L22)),0)</f>
        <v>#DIV/0!</v>
      </c>
      <c r="O131" s="40"/>
      <c r="P131" s="40"/>
      <c r="Q131" s="40"/>
      <c r="R131" s="40"/>
      <c r="S131" s="40"/>
      <c r="T131" s="40"/>
      <c r="U131" s="40"/>
      <c r="V131" s="40"/>
      <c r="W131" s="58" t="e">
        <f>IF((MAX(J131-($C$12*K130+(1-$C$12)*K132),0))&gt;0, J131, 0)</f>
        <v>#DIV/0!</v>
      </c>
      <c r="X131" s="40"/>
      <c r="Y131" s="58" t="e">
        <f>IF((MAX(L131-($C$12*M130+(1-$C$12)*M132),0))&gt;0, L131, 0)</f>
        <v>#DIV/0!</v>
      </c>
    </row>
    <row r="132" spans="2:25">
      <c r="B132" s="40"/>
      <c r="C132" s="40"/>
      <c r="D132" s="40"/>
      <c r="E132" s="40"/>
      <c r="F132" s="40"/>
      <c r="G132" s="40"/>
      <c r="H132" s="40"/>
      <c r="I132" s="58" t="e">
        <f>IF(I23&gt;0, MAX((_xlfn.IFS(I$125&gt;$C$7, 0, I$125&lt;$C$7, $H$11*(J131*$C$12+(1-$C$12)*J133), I$125=$C$7, MAX(0,($C$4-I23)))), ($C$4-I23)),0)</f>
        <v>#DIV/0!</v>
      </c>
      <c r="J132" s="40"/>
      <c r="K132" s="58" t="e">
        <f>IF(K23&gt;0, MAX((_xlfn.IFS(K$125&gt;$C$7, 0, K$125&lt;$C$7, $H$11*(L131*$C$12+(1-$C$12)*L133), K$125=$C$7, MAX(0,($C$4-K23)))), ($C$4-K23)),0)</f>
        <v>#DIV/0!</v>
      </c>
      <c r="L132" s="40"/>
      <c r="O132" s="40"/>
      <c r="P132" s="40"/>
      <c r="Q132" s="40"/>
      <c r="R132" s="40"/>
      <c r="S132" s="40"/>
      <c r="T132" s="40"/>
      <c r="U132" s="40"/>
      <c r="V132" s="58" t="e">
        <f>IF((MAX(I132-($C$12*J131+(1-$C$12)*J133),0))&gt;0, I132, 0)</f>
        <v>#DIV/0!</v>
      </c>
      <c r="W132" s="40"/>
      <c r="X132" s="58" t="e">
        <f>IF((MAX(K132-($C$12*L131+(1-$C$12)*L133),0))&gt;0, K132, 0)</f>
        <v>#DIV/0!</v>
      </c>
      <c r="Y132" s="40"/>
    </row>
    <row r="133" spans="2:25">
      <c r="B133" s="40"/>
      <c r="C133" s="40"/>
      <c r="D133" s="40"/>
      <c r="E133" s="40"/>
      <c r="F133" s="40"/>
      <c r="G133" s="40"/>
      <c r="H133" s="58" t="e">
        <f>IF(H24&gt;0, MAX((_xlfn.IFS(H$125&gt;$C$7, 0, H$125&lt;$C$7, $H$11*(I132*$C$12+(1-$C$12)*I134), H$125=$C$7, MAX(0,($C$4-H24)))), ($C$4-H24)),0)</f>
        <v>#DIV/0!</v>
      </c>
      <c r="I133" s="40"/>
      <c r="J133" s="58" t="e">
        <f>IF(J24&gt;0, MAX((_xlfn.IFS(J$125&gt;$C$7, 0, J$125&lt;$C$7, $H$11*(K132*$C$12+(1-$C$12)*K134), J$125=$C$7, MAX(0,($C$4-J24)))), ($C$4-J24)),0)</f>
        <v>#DIV/0!</v>
      </c>
      <c r="K133" s="40"/>
      <c r="L133" s="58" t="e">
        <f>IF(L24&gt;0, MAX((_xlfn.IFS(L$125&gt;$C$7, 0, L$125&lt;$C$7, $H$11*(M132*$C$12+(1-$C$12)*M134), L$125=$C$7, MAX(0,($C$4-L24)))), ($C$4-L24)),0)</f>
        <v>#DIV/0!</v>
      </c>
      <c r="O133" s="40"/>
      <c r="P133" s="40"/>
      <c r="Q133" s="40"/>
      <c r="R133" s="40"/>
      <c r="S133" s="40"/>
      <c r="T133" s="40"/>
      <c r="U133" s="58" t="e">
        <f>IF((MAX(H133-($C$12*I132+(1-$C$12)*I134),0))&gt;0, H133, 0)</f>
        <v>#DIV/0!</v>
      </c>
      <c r="V133" s="40"/>
      <c r="W133" s="58" t="e">
        <f>IF((MAX(J133-($C$12*K132+(1-$C$12)*K134),0))&gt;0, J133, 0)</f>
        <v>#DIV/0!</v>
      </c>
      <c r="X133" s="40"/>
      <c r="Y133" s="58" t="e">
        <f>IF((MAX(L133-($C$12*M132+(1-$C$12)*M134),0))&gt;0, L133, 0)</f>
        <v>#DIV/0!</v>
      </c>
    </row>
    <row r="134" spans="2:25">
      <c r="B134" s="40"/>
      <c r="C134" s="40"/>
      <c r="D134" s="40"/>
      <c r="E134" s="40"/>
      <c r="F134" s="40"/>
      <c r="G134" s="58" t="e">
        <f>IF(G25&gt;0, MAX((_xlfn.IFS(G$125&gt;$C$7, 0, G$125&lt;$C$7, $H$11*(H133*$C$12+(1-$C$12)*H135), G$125=$C$7, MAX(0,($C$4-G25)))), ($C$4-G25)),0)</f>
        <v>#DIV/0!</v>
      </c>
      <c r="H134" s="40"/>
      <c r="I134" s="58" t="e">
        <f>IF(I25&gt;0, MAX((_xlfn.IFS(I$125&gt;$C$7, 0, I$125&lt;$C$7, $H$11*(J133*$C$12+(1-$C$12)*J135), I$125=$C$7, MAX(0,($C$4-I25)))), ($C$4-I25)),0)</f>
        <v>#DIV/0!</v>
      </c>
      <c r="J134" s="40"/>
      <c r="K134" s="58" t="e">
        <f>IF(K25&gt;0, MAX((_xlfn.IFS(K$125&gt;$C$7, 0, K$125&lt;$C$7, $H$11*(L133*$C$12+(1-$C$12)*L135), K$125=$C$7, MAX(0,($C$4-K25)))), ($C$4-K25)),0)</f>
        <v>#DIV/0!</v>
      </c>
      <c r="L134" s="40"/>
      <c r="O134" s="40"/>
      <c r="P134" s="40"/>
      <c r="Q134" s="40"/>
      <c r="R134" s="40"/>
      <c r="S134" s="40"/>
      <c r="T134" s="58" t="e">
        <f>IF((MAX(G134-($C$12*H133+(1-$C$12)*H135),0))&gt;0, G134, 0)</f>
        <v>#DIV/0!</v>
      </c>
      <c r="U134" s="40"/>
      <c r="V134" s="58" t="e">
        <f>IF((MAX(I134-($C$12*J133+(1-$C$12)*J135),0))&gt;0, I134, 0)</f>
        <v>#DIV/0!</v>
      </c>
      <c r="W134" s="40"/>
      <c r="X134" s="58" t="e">
        <f>IF((MAX(K134-($C$12*L133+(1-$C$12)*L135),0))&gt;0, K134, 0)</f>
        <v>#DIV/0!</v>
      </c>
      <c r="Y134" s="40"/>
    </row>
    <row r="135" spans="2:25">
      <c r="B135" s="40"/>
      <c r="C135" s="40"/>
      <c r="D135" s="40"/>
      <c r="E135" s="40"/>
      <c r="F135" s="58" t="e">
        <f>IF(F26&gt;0, MAX((_xlfn.IFS(F$125&gt;$C$7, 0, F$125&lt;$C$7, $H$11*(G134*$C$12+(1-$C$12)*G136), F$125=$C$7, MAX(0,($C$4-F26)))), ($C$4-F26)),0)</f>
        <v>#DIV/0!</v>
      </c>
      <c r="G135" s="40"/>
      <c r="H135" s="58" t="e">
        <f>IF(H26&gt;0, MAX((_xlfn.IFS(H$125&gt;$C$7, 0, H$125&lt;$C$7, $H$11*(I134*$C$12+(1-$C$12)*I136), H$125=$C$7, MAX(0,($C$4-H26)))), ($C$4-H26)),0)</f>
        <v>#DIV/0!</v>
      </c>
      <c r="I135" s="40"/>
      <c r="J135" s="58" t="e">
        <f>IF(J26&gt;0, MAX((_xlfn.IFS(J$125&gt;$C$7, 0, J$125&lt;$C$7, $H$11*(K134*$C$12+(1-$C$12)*K136), J$125=$C$7, MAX(0,($C$4-J26)))), ($C$4-J26)),0)</f>
        <v>#DIV/0!</v>
      </c>
      <c r="K135" s="40"/>
      <c r="L135" s="58" t="e">
        <f>IF(L26&lt;0, MAX((_xlfn.IFS(L$125&gt;$C$7, 0, L$125&lt;$C$7, $H$11*(M134*$C$12+(1-$C$12)*M136), L$125=$C$7, MAX(0,($C$4-L26)))), ($C$4-L26)),0)</f>
        <v>#DIV/0!</v>
      </c>
      <c r="O135" s="40"/>
      <c r="P135" s="40"/>
      <c r="Q135" s="40"/>
      <c r="R135" s="40"/>
      <c r="S135" s="58" t="e">
        <f>IF((MAX(F135-($C$12*G134+(1-$C$12)*G136),0))&gt;0, F135, 0)</f>
        <v>#DIV/0!</v>
      </c>
      <c r="T135" s="40"/>
      <c r="U135" s="58" t="e">
        <f>IF((MAX(H135-($C$12*I134+(1-$C$12)*I136),0))&gt;0, H135, 0)</f>
        <v>#DIV/0!</v>
      </c>
      <c r="V135" s="40"/>
      <c r="W135" s="58" t="e">
        <f>IF((MAX(J135-($C$12*K134+(1-$C$12)*K136),0))&gt;0, J135, 0)</f>
        <v>#DIV/0!</v>
      </c>
      <c r="X135" s="40"/>
      <c r="Y135" s="58" t="e">
        <f>IF((MAX(L135-($C$12*M134+(1-$C$12)*M136),0))&gt;0, L135, 0)</f>
        <v>#DIV/0!</v>
      </c>
    </row>
    <row r="136" spans="2:25">
      <c r="B136" s="40"/>
      <c r="C136" s="40"/>
      <c r="D136" s="40"/>
      <c r="E136" s="58" t="e">
        <f>IF(E27&gt;0, MAX((_xlfn.IFS(E$125&gt;$C$7, 0, E$125&lt;$C$7, $H$11*(F135*$C$12+(1-$C$12)*F137), E$125=$C$7, MAX(0,($C$4-E27)))), ($C$4-E27)),0)</f>
        <v>#DIV/0!</v>
      </c>
      <c r="F136" s="40"/>
      <c r="G136" s="58" t="e">
        <f>IF(G27&gt;0, MAX((_xlfn.IFS(G$125&gt;$C$7, 0, G$125&lt;$C$7, $H$11*(H135*$C$12+(1-$C$12)*H137), G$125=$C$7, MAX(0,($C$4-G27)))), ($C$4-G27)),0)</f>
        <v>#DIV/0!</v>
      </c>
      <c r="H136" s="40"/>
      <c r="I136" s="58" t="e">
        <f>IF(I27&gt;0, MAX((_xlfn.IFS(I$125&gt;$C$7, 0, I$125&lt;$C$7, $H$11*(J135*$C$12+(1-$C$12)*J137), I$125=$C$7, MAX(0,($C$4-I27)))), ($C$4-I27)),0)</f>
        <v>#DIV/0!</v>
      </c>
      <c r="J136" s="40"/>
      <c r="K136" s="58" t="e">
        <f>IF(K27&gt;0, MAX((_xlfn.IFS(K$125&gt;$C$7, 0, K$125&lt;$C$7, $H$11*(L135*$C$12+(1-$C$12)*L137), K$125=$C$7, MAX(0,($C$4-K27)))), ($C$4-K27)),0)</f>
        <v>#DIV/0!</v>
      </c>
      <c r="L136" s="40"/>
      <c r="O136" s="40"/>
      <c r="P136" s="40"/>
      <c r="Q136" s="40"/>
      <c r="R136" s="58" t="e">
        <f>IF((MAX(E136-($C$12*F135+(1-$C$12)*F137),0))&gt;0, E136, 0)</f>
        <v>#DIV/0!</v>
      </c>
      <c r="S136" s="40"/>
      <c r="T136" s="58" t="e">
        <f>IF((MAX(G136-($C$12*H135+(1-$C$12)*H137),0))&gt;0, G136, 0)</f>
        <v>#DIV/0!</v>
      </c>
      <c r="U136" s="40"/>
      <c r="V136" s="58" t="e">
        <f>IF((MAX(I136-($C$12*J135+(1-$C$12)*J137),0))&gt;0, I136, 0)</f>
        <v>#DIV/0!</v>
      </c>
      <c r="W136" s="40"/>
      <c r="X136" s="58" t="e">
        <f>IF((MAX(K136-($C$12*L135+(1-$C$12)*L137),0))&gt;0, K136, 0)</f>
        <v>#DIV/0!</v>
      </c>
      <c r="Y136" s="40"/>
    </row>
    <row r="137" spans="2:25">
      <c r="B137" s="40"/>
      <c r="C137" s="40"/>
      <c r="D137" s="58" t="e">
        <f>IF(D28&gt;0, MAX((_xlfn.IFS(D$125&gt;$C$7, 0, D$125&lt;$C$7, $H$11*(E136*$C$12+(1-$C$12)*E138), D$125=$C$7, MAX(0,($C$4-D28)))), ($C$4-D28)),0)</f>
        <v>#DIV/0!</v>
      </c>
      <c r="E137" s="40"/>
      <c r="F137" s="58" t="e">
        <f>IF(F28&gt;0, MAX((_xlfn.IFS(F$125&gt;$C$7, 0, F$125&lt;$C$7, $H$11*(G136*$C$12+(1-$C$12)*G138), F$125=$C$7, MAX(0,($C$4-F28)))), ($C$4-F28)),0)</f>
        <v>#DIV/0!</v>
      </c>
      <c r="G137" s="40"/>
      <c r="H137" s="58" t="e">
        <f>IF(H28&gt;0, MAX((_xlfn.IFS(H$125&gt;$C$7, 0, H$125&lt;$C$7, $H$11*(I136*$C$12+(1-$C$12)*I138), H$125=$C$7, MAX(0,($C$4-H28)))), ($C$4-H28)),0)</f>
        <v>#DIV/0!</v>
      </c>
      <c r="I137" s="40"/>
      <c r="J137" s="58" t="e">
        <f>IF(J28&gt;0, MAX((_xlfn.IFS(J$125&gt;$C$7, 0, J$125&lt;$C$7, $H$11*(K136*$C$12+(1-$C$12)*K138), J$125=$C$7, MAX(0,($C$4-J28)))), ($C$4-J28)),0)</f>
        <v>#DIV/0!</v>
      </c>
      <c r="K137" s="40"/>
      <c r="L137" s="58" t="e">
        <f>IF(L28&gt;0, MAX((_xlfn.IFS(L$125&gt;$C$7, 0, L$125&lt;$C$7, $H$11*(M136*$C$12+(1-$C$12)*M138), L$125=$C$7, MAX(0,($C$4-L28)))), ($C$4-L28)),0)</f>
        <v>#DIV/0!</v>
      </c>
      <c r="O137" s="40"/>
      <c r="P137" s="40"/>
      <c r="Q137" s="58" t="e">
        <f>IF((MAX(D137-($C$12*E136+(1-$C$12)*E138),0))&gt;0, D137, 0)</f>
        <v>#DIV/0!</v>
      </c>
      <c r="R137" s="40"/>
      <c r="S137" s="58" t="e">
        <f>IF((MAX(F137-($C$12*G136+(1-$C$12)*G138),0))&gt;0, F137, 0)</f>
        <v>#DIV/0!</v>
      </c>
      <c r="T137" s="40"/>
      <c r="U137" s="58" t="e">
        <f>IF((MAX(H137-($C$12*I136+(1-$C$12)*I138),0))&gt;0, H137, 0)</f>
        <v>#DIV/0!</v>
      </c>
      <c r="V137" s="40"/>
      <c r="W137" s="58" t="e">
        <f>IF((MAX(J137-($C$12*K136+(1-$C$12)*K138),0))&gt;0, J137, 0)</f>
        <v>#DIV/0!</v>
      </c>
      <c r="X137" s="40"/>
      <c r="Y137" s="58" t="e">
        <f>IF((MAX(L137-($C$12*M136+(1-$C$12)*M138),0))&gt;0, L137, 0)</f>
        <v>#DIV/0!</v>
      </c>
    </row>
    <row r="138" spans="2:25">
      <c r="B138" s="40"/>
      <c r="C138" s="58" t="e">
        <f>IF(C29&gt;0, MAX((_xlfn.IFS(C$125&gt;$C$7, 0, C$125&lt;$C$7, $H$11*(D137*$C$12+(1-$C$12)*D139), C$125=$C$7, MAX(0,($C$4-C29)))), ($C$4-C29)),0)</f>
        <v>#DIV/0!</v>
      </c>
      <c r="D138" s="40"/>
      <c r="E138" s="58" t="e">
        <f>IF(E29&gt;0, MAX((_xlfn.IFS(E$125&gt;$C$7, 0, E$125&lt;$C$7, $H$11*(F137*$C$12+(1-$C$12)*F139), E$125=$C$7, MAX(0,($C$4-E29)))), ($C$4-E29)),0)</f>
        <v>#DIV/0!</v>
      </c>
      <c r="F138" s="40"/>
      <c r="G138" s="58" t="e">
        <f>IF(G29&gt;0, MAX((_xlfn.IFS(G$125&gt;$C$7, 0, G$125&lt;$C$7, $H$11*(H137*$C$12+(1-$C$12)*H139), G$125=$C$7, MAX(0,($C$4-G29)))), ($C$4-G29)),0)</f>
        <v>#DIV/0!</v>
      </c>
      <c r="H138" s="40"/>
      <c r="I138" s="58" t="e">
        <f>IF(I29&gt;0, MAX((_xlfn.IFS(I$125&gt;$C$7, 0, I$125&lt;$C$7, $H$11*(J137*$C$12+(1-$C$12)*J139), I$125=$C$7, MAX(0,($C$4-I29)))), ($C$4-I29)),0)</f>
        <v>#DIV/0!</v>
      </c>
      <c r="J138" s="40"/>
      <c r="K138" s="58" t="e">
        <f>IF(K29&gt;0, MAX((_xlfn.IFS(K$125&gt;$C$7, 0, K$125&lt;$C$7, $H$11*(L137*$C$12+(1-$C$12)*L139), K$125=$C$7, MAX(0,($C$4-K29)))), ($C$4-K29)),0)</f>
        <v>#DIV/0!</v>
      </c>
      <c r="L138" s="40"/>
      <c r="O138" s="40"/>
      <c r="P138" s="58" t="e">
        <f>IF((MAX(C138-($C$12*D137+(1-$C$12)*D139),0))&gt;0, C138, 0)</f>
        <v>#DIV/0!</v>
      </c>
      <c r="Q138" s="40"/>
      <c r="R138" s="58" t="e">
        <f>IF((MAX(E138-($C$12*F137+(1-$C$12)*F139),0))&gt;0, E138, 0)</f>
        <v>#DIV/0!</v>
      </c>
      <c r="S138" s="40"/>
      <c r="T138" s="58" t="e">
        <f>IF((MAX(G138-($C$12*H137+(1-$C$12)*H139),0))&gt;0, G138, 0)</f>
        <v>#DIV/0!</v>
      </c>
      <c r="U138" s="40"/>
      <c r="V138" s="58" t="e">
        <f>IF((MAX(I138-($C$12*J137+(1-$C$12)*J139),0))&gt;0, I138, 0)</f>
        <v>#DIV/0!</v>
      </c>
      <c r="W138" s="40"/>
      <c r="X138" s="58" t="e">
        <f>IF((MAX(K138-($C$12*L137+(1-$C$12)*L139),0))&gt;0, K138, 0)</f>
        <v>#DIV/0!</v>
      </c>
      <c r="Y138" s="40"/>
    </row>
    <row r="139" spans="2:25">
      <c r="B139" s="58">
        <f>IF(B30&gt;0, MAX((_xlfn.IFS(B$125&gt;$C$7, 0, B$125&lt;$C$7, $H$11*(C138*$C$12+(1-$C$12)*C140), B$125=$C$7, MAX(0,($C$4-B30)))), ($C$4-B30)),0)</f>
        <v>0</v>
      </c>
      <c r="C139" s="40"/>
      <c r="D139" s="58" t="e">
        <f>IF(D30&gt;0, MAX((_xlfn.IFS(D$125&gt;$C$7, 0, D$125&lt;$C$7, $H$11*(E138*$C$12+(1-$C$12)*E140), D$125=$C$7, MAX(0,($C$4-D30)))), ($C$4-D30)),0)</f>
        <v>#DIV/0!</v>
      </c>
      <c r="E139" s="40"/>
      <c r="F139" s="58" t="e">
        <f>IF(F30&gt;0, MAX((_xlfn.IFS(F$125&gt;$C$7, 0, F$125&lt;$C$7, $H$11*(G138*$C$12+(1-$C$12)*G140), F$125=$C$7, MAX(0,($C$4-F30)))), ($C$4-F30)),0)</f>
        <v>#DIV/0!</v>
      </c>
      <c r="G139" s="40"/>
      <c r="H139" s="58" t="e">
        <f>IF(H30&gt;0, MAX((_xlfn.IFS(H$125&gt;$C$7, 0, H$125&lt;$C$7, $H$11*(I138*$C$12+(1-$C$12)*I140), H$125=$C$7, MAX(0,($C$4-H30)))), ($C$4-H30)),0)</f>
        <v>#DIV/0!</v>
      </c>
      <c r="I139" s="40"/>
      <c r="J139" s="58" t="e">
        <f>IF(J30&gt;0, MAX((_xlfn.IFS(J$125&gt;$C$7, 0, J$125&lt;$C$7, $H$11*(K138*$C$12+(1-$C$12)*K140), J$125=$C$7, MAX(0,($C$4-J30)))), ($C$4-J30)),0)</f>
        <v>#DIV/0!</v>
      </c>
      <c r="K139" s="40"/>
      <c r="L139" s="58" t="e">
        <f>IF(L30&gt;0, MAX((_xlfn.IFS(L$125&gt;$C$7, 0, L$125&lt;$C$7, $H$11*(M138*$C$12+(1-$C$12)*M140), L$125=$C$7, MAX(0,($C$4-L30)))), ($C$4-L30)),0)</f>
        <v>#DIV/0!</v>
      </c>
      <c r="O139" s="58" t="e">
        <f>IF((MAX(B139-($C$12*C138+(1-$C$12)*C140),0))&gt;0, B139, 0)</f>
        <v>#DIV/0!</v>
      </c>
      <c r="P139" s="40"/>
      <c r="Q139" s="58" t="e">
        <f>IF((MAX(D139-($C$12*E138+(1-$C$12)*E140),0))&gt;0, D139, 0)</f>
        <v>#DIV/0!</v>
      </c>
      <c r="R139" s="40"/>
      <c r="S139" s="58" t="e">
        <f>IF((MAX(F139-($C$12*G138+(1-$C$12)*G140),0))&gt;0, F139, 0)</f>
        <v>#DIV/0!</v>
      </c>
      <c r="T139" s="40"/>
      <c r="U139" s="58" t="e">
        <f>IF((MAX(H139-($C$12*I138+(1-$C$12)*I140),0))&gt;0, H139, 0)</f>
        <v>#DIV/0!</v>
      </c>
      <c r="V139" s="40"/>
      <c r="W139" s="58" t="e">
        <f>IF((MAX(J139-($C$12*K138+(1-$C$12)*K140),0))&gt;0, J139, 0)</f>
        <v>#DIV/0!</v>
      </c>
      <c r="X139" s="40"/>
      <c r="Y139" s="58" t="e">
        <f>IF((MAX(L139-($C$12*M138+(1-$C$12)*M140),0))&gt;0, L139, 0)</f>
        <v>#DIV/0!</v>
      </c>
    </row>
    <row r="140" spans="2:25">
      <c r="B140" s="40"/>
      <c r="C140" s="58" t="e">
        <f>IF(C31&gt;0, MAX((_xlfn.IFS(C$125&gt;$C$7, 0, C$125&lt;$C$7, $H$11*(D139*$C$12+(1-$C$12)*D141), C$125=$C$7, MAX(0,($C$4-C31)))), ($C$4-C31)),0)</f>
        <v>#DIV/0!</v>
      </c>
      <c r="D140" s="40"/>
      <c r="E140" s="58" t="e">
        <f>IF(E31&gt;0, MAX((_xlfn.IFS(E$125&gt;$C$7, 0, E$125&lt;$C$7, $H$11*(F139*$C$12+(1-$C$12)*F141), E$125=$C$7, MAX(0,($C$4-E31)))), ($C$4-E31)),0)</f>
        <v>#DIV/0!</v>
      </c>
      <c r="F140" s="40"/>
      <c r="G140" s="58" t="e">
        <f>IF(G31&gt;0, MAX((_xlfn.IFS(G$125&gt;$C$7, 0, G$125&lt;$C$7, $H$11*(H139*$C$12+(1-$C$12)*H141), G$125=$C$7, MAX(0,($C$4-G31)))), ($C$4-G31)),0)</f>
        <v>#DIV/0!</v>
      </c>
      <c r="H140" s="40"/>
      <c r="I140" s="58" t="e">
        <f>IF(I31&gt;0, MAX((_xlfn.IFS(I$125&gt;$C$7, 0, I$125&lt;$C$7, $H$11*(J139*$C$12+(1-$C$12)*J141), I$125=$C$7, MAX(0,($C$4-I31)))), ($C$4-I31)),0)</f>
        <v>#DIV/0!</v>
      </c>
      <c r="J140" s="40"/>
      <c r="K140" s="58" t="e">
        <f>IF(K31&gt;0, MAX((_xlfn.IFS(K$125&gt;$C$7, 0, K$125&lt;$C$7, $H$11*(L139*$C$12+(1-$C$12)*L141), K$125=$C$7, MAX(0,($C$4-K31)))), ($C$4-K31)),0)</f>
        <v>#DIV/0!</v>
      </c>
      <c r="L140" s="40"/>
      <c r="O140" s="40"/>
      <c r="P140" s="58" t="e">
        <f>IF((MAX(C140-($C$12*D139+(1-$C$12)*D141),0))&gt;0, C140, 0)</f>
        <v>#DIV/0!</v>
      </c>
      <c r="Q140" s="40"/>
      <c r="R140" s="58" t="e">
        <f>IF((MAX(E140-($C$12*F139+(1-$C$12)*F141),0))&gt;0, E140, 0)</f>
        <v>#DIV/0!</v>
      </c>
      <c r="S140" s="40"/>
      <c r="T140" s="58">
        <v>0</v>
      </c>
      <c r="U140" s="40"/>
      <c r="V140" s="58" t="e">
        <f>IF((MAX(I140-($C$12*J139+(1-$C$12)*J141),0))&gt;0, I140, 0)</f>
        <v>#DIV/0!</v>
      </c>
      <c r="W140" s="40"/>
      <c r="X140" s="58" t="e">
        <f>IF((MAX(K140-($C$12*L139+(1-$C$12)*L141),0))&gt;0, K140, 0)</f>
        <v>#DIV/0!</v>
      </c>
      <c r="Y140" s="40"/>
    </row>
    <row r="141" spans="2:25">
      <c r="B141" s="40"/>
      <c r="C141" s="40"/>
      <c r="D141" s="58" t="e">
        <f>IF(D32&gt;0, MAX((_xlfn.IFS(D$125&gt;$C$7, 0, D$125&lt;$C$7, $H$11*(E140*$C$12+(1-$C$12)*E142), D$125=$C$7, MAX(0,($C$4-D32)))), ($C$4-D32)),0)</f>
        <v>#DIV/0!</v>
      </c>
      <c r="E141" s="40"/>
      <c r="F141" s="58" t="e">
        <f>IF(F32&gt;0, MAX((_xlfn.IFS(F$125&gt;$C$7, 0, F$125&lt;$C$7, $H$11*(G140*$C$12+(1-$C$12)*G142), F$125=$C$7, MAX(0,($C$4-F32)))), ($C$4-F32)),0)</f>
        <v>#DIV/0!</v>
      </c>
      <c r="G141" s="40"/>
      <c r="H141" s="58" t="e">
        <f>IF(H32&gt;0, MAX((_xlfn.IFS(H$125&gt;$C$7, 0, H$125&lt;$C$7, $H$11*(I140*$C$12+(1-$C$12)*I142), H$125=$C$7, MAX(0,($C$4-H32)))), ($C$4-H32)),0)</f>
        <v>#DIV/0!</v>
      </c>
      <c r="I141" s="40"/>
      <c r="J141" s="58" t="e">
        <f>IF(J32&gt;0, MAX((_xlfn.IFS(J$125&gt;$C$7, 0, J$125&lt;$C$7, $H$11*(K140*$C$12+(1-$C$12)*K142), J$125=$C$7, MAX(0,($C$4-J32)))), ($C$4-J32)),0)</f>
        <v>#DIV/0!</v>
      </c>
      <c r="K141" s="40"/>
      <c r="L141" s="58" t="e">
        <f>IF(L32&gt;0, MAX((_xlfn.IFS(L$125&gt;$C$7, 0, L$125&lt;$C$7, $H$11*(M140*$C$12+(1-$C$12)*M142), L$125=$C$7, MAX(0,($C$4-L32)))), ($C$4-L32)),0)</f>
        <v>#DIV/0!</v>
      </c>
      <c r="O141" s="40"/>
      <c r="P141" s="40"/>
      <c r="Q141" s="58" t="e">
        <f>IF((MAX(D141-($C$12*E140+(1-$C$12)*E142),0))&gt;0, D141, 0)</f>
        <v>#DIV/0!</v>
      </c>
      <c r="R141" s="40"/>
      <c r="S141" s="58" t="e">
        <f>IF((MAX(F141-($C$12*G140+(1-$C$12)*G142),0))&gt;0, F141, 0)</f>
        <v>#DIV/0!</v>
      </c>
      <c r="T141" s="40"/>
      <c r="U141" s="58" t="e">
        <f>IF((MAX(H141-($C$12*I140+(1-$C$12)*I142),0))&gt;0, H141, 0)</f>
        <v>#DIV/0!</v>
      </c>
      <c r="V141" s="40"/>
      <c r="W141" s="58" t="e">
        <f>IF((MAX(J141-($C$12*K140+(1-$C$12)*K142),0))&gt;0, J141, 0)</f>
        <v>#DIV/0!</v>
      </c>
      <c r="X141" s="40"/>
      <c r="Y141" s="58" t="e">
        <f>IF((MAX(L141-($C$12*M140+(1-$C$12)*M142),0))&gt;0, L141, 0)</f>
        <v>#DIV/0!</v>
      </c>
    </row>
    <row r="142" spans="2:25">
      <c r="B142" s="40"/>
      <c r="C142" s="40"/>
      <c r="D142" s="40"/>
      <c r="E142" s="58" t="e">
        <f>IF(E33&gt;0, MAX((_xlfn.IFS(E$125&gt;$C$7, 0, E$125&lt;$C$7, $H$11*(F141*$C$12+(1-$C$12)*F143), E$125=$C$7, MAX(0,($C$4-E33)))), ($C$4-E33)),0)</f>
        <v>#DIV/0!</v>
      </c>
      <c r="F142" s="40"/>
      <c r="G142" s="58" t="e">
        <f>IF(G33&gt;0, MAX((_xlfn.IFS(G$125&gt;$C$7, 0, G$125&lt;$C$7, $H$11*(H141*$C$12+(1-$C$12)*H143), G$125=$C$7, MAX(0,($C$4-G33)))), ($C$4-G33)),0)</f>
        <v>#DIV/0!</v>
      </c>
      <c r="H142" s="40"/>
      <c r="I142" s="58" t="e">
        <f>IF(I33&gt;0, MAX((_xlfn.IFS(I$125&gt;$C$7, 0, I$125&lt;$C$7, $H$11*(J141*$C$12+(1-$C$12)*J143), I$125=$C$7, MAX(0,($C$4-I33)))), ($C$4-I33)),0)</f>
        <v>#DIV/0!</v>
      </c>
      <c r="J142" s="40"/>
      <c r="K142" s="58" t="e">
        <f>IF(K33&gt;0, MAX((_xlfn.IFS(K$125&gt;$C$7, 0, K$125&lt;$C$7, $H$11*(L141*$C$12+(1-$C$12)*L143), K$125=$C$7, MAX(0,($C$4-K33)))), ($C$4-K33)),0)</f>
        <v>#DIV/0!</v>
      </c>
      <c r="L142" s="40"/>
      <c r="O142" s="40"/>
      <c r="P142" s="40"/>
      <c r="Q142" s="40"/>
      <c r="R142" s="58" t="e">
        <f>IF((MAX(E142-($C$12*F141+(1-$C$12)*F143),0))&gt;0, E142, 0)</f>
        <v>#DIV/0!</v>
      </c>
      <c r="S142" s="40"/>
      <c r="T142" s="58" t="e">
        <f>IF((MAX(G142-($C$12*H141+(1-$C$12)*H143),0))&gt;0, G142, 0)</f>
        <v>#DIV/0!</v>
      </c>
      <c r="U142" s="40"/>
      <c r="V142" s="58" t="e">
        <f>IF((MAX(I142-($C$12*J141+(1-$C$12)*J143),0))&gt;0, I142, 0)</f>
        <v>#DIV/0!</v>
      </c>
      <c r="W142" s="40"/>
      <c r="X142" s="58" t="e">
        <f>IF((MAX(K142-($C$12*L141+(1-$C$12)*L143),0))&gt;0, K142, 0)</f>
        <v>#DIV/0!</v>
      </c>
      <c r="Y142" s="40"/>
    </row>
    <row r="143" spans="2:25">
      <c r="B143" s="40"/>
      <c r="C143" s="40"/>
      <c r="D143" s="40"/>
      <c r="E143" s="40"/>
      <c r="F143" s="58" t="e">
        <f>IF(F34&gt;0, MAX((_xlfn.IFS(F$125&gt;$C$7, 0, F$125&lt;$C$7, $H$11*(G142*$C$12+(1-$C$12)*G144), F$125=$C$7, MAX(0,($C$4-F34)))), ($C$4-F34)),0)</f>
        <v>#DIV/0!</v>
      </c>
      <c r="G143" s="40"/>
      <c r="H143" s="58" t="e">
        <f>IF(H34&gt;0, MAX((_xlfn.IFS(H$125&gt;$C$7, 0, H$125&lt;$C$7, $H$11*(I142*$C$12+(1-$C$12)*I144), H$125=$C$7, MAX(0,($C$4-H34)))), ($C$4-H34)),0)</f>
        <v>#DIV/0!</v>
      </c>
      <c r="I143" s="40"/>
      <c r="J143" s="58" t="e">
        <f>IF(J34&gt;0, MAX((_xlfn.IFS(J$125&gt;$C$7, 0, J$125&lt;$C$7, $H$11*(K142*$C$12+(1-$C$12)*K144), J$125=$C$7, MAX(0,($C$4-J34)))), ($C$4-J34)),0)</f>
        <v>#DIV/0!</v>
      </c>
      <c r="K143" s="40"/>
      <c r="L143" s="58" t="e">
        <f>IF(L34&gt;0, MAX((_xlfn.IFS(L$125&gt;$C$7, 0, L$125&lt;$C$7, $H$11*(M142*$C$12+(1-$C$12)*M144), L$125=$C$7, MAX(0,($C$4-L34)))), ($C$4-L34)),0)</f>
        <v>#DIV/0!</v>
      </c>
      <c r="O143" s="40"/>
      <c r="P143" s="40"/>
      <c r="Q143" s="40"/>
      <c r="R143" s="40"/>
      <c r="S143" s="58" t="e">
        <f>IF((MAX(F143-($C$12*G142+(1-$C$12)*G144),0))&gt;0, F143, 0)</f>
        <v>#DIV/0!</v>
      </c>
      <c r="T143" s="40"/>
      <c r="U143" s="58" t="e">
        <f>IF((MAX(H143-($C$12*I142+(1-$C$12)*I144),0))&gt;0, H143, 0)</f>
        <v>#DIV/0!</v>
      </c>
      <c r="V143" s="40"/>
      <c r="W143" s="58" t="e">
        <f>IF((MAX(J143-($C$12*K142+(1-$C$12)*K144),0))&gt;0, J143, 0)</f>
        <v>#DIV/0!</v>
      </c>
      <c r="X143" s="40"/>
      <c r="Y143" s="58" t="e">
        <f>IF((MAX(L143-($C$12*M142+(1-$C$12)*M144),0))&gt;0, L143, 0)</f>
        <v>#DIV/0!</v>
      </c>
    </row>
    <row r="144" spans="2:25">
      <c r="B144" s="40"/>
      <c r="C144" s="40"/>
      <c r="D144" s="40"/>
      <c r="E144" s="40"/>
      <c r="F144" s="40"/>
      <c r="G144" s="58" t="e">
        <f>IF(G35&gt;0, MAX((_xlfn.IFS(G$125&gt;$C$7, 0, G$125&lt;$C$7, $H$11*(H143*$C$12+(1-$C$12)*H145), G$125=$C$7, MAX(0,($C$4-G35)))), ($C$4-G35)),0)</f>
        <v>#DIV/0!</v>
      </c>
      <c r="H144" s="40"/>
      <c r="I144" s="58" t="e">
        <f>IF(I35&gt;0, MAX((_xlfn.IFS(I$125&gt;$C$7, 0, I$125&lt;$C$7, $H$11*(J143*$C$12+(1-$C$12)*J145), I$125=$C$7, MAX(0,($C$4-I35)))), ($C$4-I35)),0)</f>
        <v>#DIV/0!</v>
      </c>
      <c r="J144" s="40"/>
      <c r="K144" s="58" t="e">
        <f>IF(K35&gt;0, MAX((_xlfn.IFS(K$125&gt;$C$7, 0, K$125&lt;$C$7, $H$11*(L143*$C$12+(1-$C$12)*L145), K$125=$C$7, MAX(0,($C$4-K35)))), ($C$4-K35)),0)</f>
        <v>#DIV/0!</v>
      </c>
      <c r="L144" s="40"/>
      <c r="O144" s="40"/>
      <c r="P144" s="40"/>
      <c r="Q144" s="40"/>
      <c r="R144" s="40"/>
      <c r="S144" s="40"/>
      <c r="T144" s="58" t="e">
        <f>IF((MAX(G144-($C$12*H143+(1-$C$12)*H145),0))&gt;0, G144, 0)</f>
        <v>#DIV/0!</v>
      </c>
      <c r="U144" s="40"/>
      <c r="V144" s="58" t="e">
        <f>IF((MAX(I144-($C$12*J143+(1-$C$12)*J145),0))&gt;0, I144, 0)</f>
        <v>#DIV/0!</v>
      </c>
      <c r="W144" s="40"/>
      <c r="X144" s="58" t="e">
        <f>IF((MAX(K144-($C$12*L143+(1-$C$12)*L145),0))&gt;0, K144, 0)</f>
        <v>#DIV/0!</v>
      </c>
      <c r="Y144" s="40"/>
    </row>
    <row r="145" spans="2:25">
      <c r="B145" s="40"/>
      <c r="C145" s="40"/>
      <c r="D145" s="40"/>
      <c r="E145" s="40"/>
      <c r="F145" s="40"/>
      <c r="G145" s="40"/>
      <c r="H145" s="58" t="e">
        <f>IF(H36&gt;0, MAX((_xlfn.IFS(H$125&gt;$C$7, 0, H$125&lt;$C$7, $H$11*(I144*$C$12+(1-$C$12)*I146), H$125=$C$7, MAX(0,($C$4-H36)))), ($C$4-H36)),0)</f>
        <v>#DIV/0!</v>
      </c>
      <c r="I145" s="40"/>
      <c r="J145" s="58" t="e">
        <f>IF(J36&gt;0, MAX((_xlfn.IFS(J$125&gt;$C$7, 0, J$125&lt;$C$7, $H$11*(K144*$C$12+(1-$C$12)*K146), J$125=$C$7, MAX(0,($C$4-J36)))), ($C$4-J36)),0)</f>
        <v>#DIV/0!</v>
      </c>
      <c r="K145" s="40"/>
      <c r="L145" s="58" t="e">
        <f>IF(L36&gt;0, MAX((_xlfn.IFS(L$125&gt;$C$7, 0, L$125&lt;$C$7, $H$11*(M144*$C$12+(1-$C$12)*M146), L$125=$C$7, MAX(0,($C$4-L36)))), ($C$4-L36)),0)</f>
        <v>#DIV/0!</v>
      </c>
      <c r="O145" s="40"/>
      <c r="P145" s="40"/>
      <c r="Q145" s="40"/>
      <c r="R145" s="40"/>
      <c r="S145" s="40"/>
      <c r="T145" s="40"/>
      <c r="U145" s="58" t="e">
        <f>IF((MAX(H145-($C$12*I144+(1-$C$12)*I146),0))&gt;0, H145, 0)</f>
        <v>#DIV/0!</v>
      </c>
      <c r="V145" s="40"/>
      <c r="W145" s="58" t="e">
        <f>IF((MAX(J145-($C$12*K144+(1-$C$12)*K146),0))&gt;0, J145, 0)</f>
        <v>#DIV/0!</v>
      </c>
      <c r="X145" s="40"/>
      <c r="Y145" s="58" t="e">
        <f>IF((MAX(L145-($C$12*M144+(1-$C$12)*M146),0))&gt;0, L145, 0)</f>
        <v>#DIV/0!</v>
      </c>
    </row>
    <row r="146" spans="2:25">
      <c r="B146" s="40"/>
      <c r="C146" s="40"/>
      <c r="D146" s="40"/>
      <c r="E146" s="40"/>
      <c r="F146" s="40"/>
      <c r="G146" s="40"/>
      <c r="H146" s="40"/>
      <c r="I146" s="58" t="e">
        <f>IF(I37&gt;0, MAX((_xlfn.IFS(I$125&gt;$C$7, 0, I$125&lt;$C$7, $H$11*(J145*$C$12+(1-$C$12)*J147), I$125=$C$7, MAX(0,($C$4-I37)))), ($C$4-I37)),0)</f>
        <v>#DIV/0!</v>
      </c>
      <c r="J146" s="40"/>
      <c r="K146" s="58" t="e">
        <f>IF(K37&gt;0, MAX((_xlfn.IFS(K$125&gt;$C$7, 0, K$125&lt;$C$7, $H$11*(L145*$C$12+(1-$C$12)*L147), K$125=$C$7, MAX(0,($C$4-K37)))), ($C$4-K37)),0)</f>
        <v>#DIV/0!</v>
      </c>
      <c r="L146" s="40"/>
      <c r="O146" s="40"/>
      <c r="P146" s="40"/>
      <c r="Q146" s="40"/>
      <c r="R146" s="40"/>
      <c r="S146" s="40"/>
      <c r="T146" s="40"/>
      <c r="U146" s="40"/>
      <c r="V146" s="58" t="e">
        <f>IF((MAX(I146-($C$12*J145+(1-$C$12)*J147),0))&gt;0, I146, 0)</f>
        <v>#DIV/0!</v>
      </c>
      <c r="W146" s="40"/>
      <c r="X146" s="58" t="e">
        <f>IF((MAX(K146-($C$12*L145+(1-$C$12)*L147),0))&gt;0, K146, 0)</f>
        <v>#DIV/0!</v>
      </c>
      <c r="Y146" s="40"/>
    </row>
    <row r="147" spans="2:25">
      <c r="B147" s="40"/>
      <c r="C147" s="40"/>
      <c r="D147" s="40"/>
      <c r="E147" s="40"/>
      <c r="F147" s="40"/>
      <c r="G147" s="40"/>
      <c r="H147" s="40"/>
      <c r="I147" s="40"/>
      <c r="J147" s="58" t="e">
        <f>IF(J38&gt;0, MAX((_xlfn.IFS(J$125&gt;$C$7, 0, J$125&lt;$C$7, $H$11*(K146*$C$12+(1-$C$12)*K148), J$125=$C$7, MAX(0,($C$4-J38)))), ($C$4-J38)),0)</f>
        <v>#DIV/0!</v>
      </c>
      <c r="K147" s="40"/>
      <c r="L147" s="58" t="e">
        <f>IF(L38&gt;0, MAX((_xlfn.IFS(L$125&gt;$C$7, 0, L$125&lt;$C$7, $H$11*(M146*$C$12+(1-$C$12)*M148), L$125=$C$7, MAX(0,($C$4-L38)))), ($C$4-L38)),0)</f>
        <v>#DIV/0!</v>
      </c>
      <c r="O147" s="40"/>
      <c r="P147" s="40"/>
      <c r="Q147" s="40"/>
      <c r="R147" s="40"/>
      <c r="S147" s="40"/>
      <c r="T147" s="40"/>
      <c r="U147" s="40"/>
      <c r="V147" s="40"/>
      <c r="W147" s="58" t="e">
        <f>IF((MAX(J147-($C$12*K146+(1-$C$12)*K148),0))&gt;0, J147, 0)</f>
        <v>#DIV/0!</v>
      </c>
      <c r="X147" s="40"/>
      <c r="Y147" s="58" t="e">
        <f>IF((MAX(L147-($C$12*M146+(1-$C$12)*M148),0))&gt;0, L147, 0)</f>
        <v>#DIV/0!</v>
      </c>
    </row>
    <row r="148" spans="2:25">
      <c r="B148" s="40"/>
      <c r="C148" s="40"/>
      <c r="D148" s="40"/>
      <c r="E148" s="40"/>
      <c r="F148" s="40"/>
      <c r="G148" s="40"/>
      <c r="H148" s="40"/>
      <c r="I148" s="40"/>
      <c r="J148" s="40"/>
      <c r="K148" s="58" t="e">
        <f>IF(K39&gt;0, MAX((_xlfn.IFS(K$125&gt;$C$7, 0, K$125&lt;$C$7, $H$11*(L147*$C$12+(1-$C$12)*L149), K$125=$C$7, MAX(0,($C$4-K39)))), ($C$4-K39)),0)</f>
        <v>#DIV/0!</v>
      </c>
      <c r="L148" s="40"/>
      <c r="O148" s="40"/>
      <c r="P148" s="40"/>
      <c r="Q148" s="40"/>
      <c r="R148" s="40"/>
      <c r="S148" s="40"/>
      <c r="T148" s="40"/>
      <c r="U148" s="40"/>
      <c r="V148" s="40"/>
      <c r="W148" s="40"/>
      <c r="X148" s="58" t="e">
        <f>IF((MAX(K148-($C$12*L147+(1-$C$12)*L149),0))&gt;0, K148, 0)</f>
        <v>#DIV/0!</v>
      </c>
      <c r="Y148" s="40"/>
    </row>
    <row r="149" spans="2:25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58" t="e">
        <f>IF(L40&gt;0, MAX((_xlfn.IFS(L$125&gt;$C$7, 0, L$125&lt;$C$7, $H$11*(M148*$C$12+(1-$C$12)*M150), L$125=$C$7, MAX(0,($C$4-L40)))), ($C$4-L40)),0)</f>
        <v>#DIV/0!</v>
      </c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58" t="e">
        <f>IF((MAX(L149-($C$12*M148+(1-$C$12)*M150),0))&gt;0, L149, 0)</f>
        <v>#DIV/0!</v>
      </c>
    </row>
    <row r="150" spans="2:25">
      <c r="B150" s="53"/>
      <c r="C150" s="49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2:25">
      <c r="B151" s="54"/>
      <c r="C151" s="48"/>
      <c r="D151" s="48"/>
      <c r="E151" s="48"/>
      <c r="F151" s="48"/>
      <c r="G151" s="48"/>
      <c r="H151" s="48"/>
      <c r="I151" s="48"/>
      <c r="J151" s="48"/>
      <c r="K151" s="48"/>
      <c r="L151" s="48"/>
    </row>
  </sheetData>
  <mergeCells count="2">
    <mergeCell ref="H2:I2"/>
    <mergeCell ref="H3:I3"/>
  </mergeCells>
  <dataValidations count="1">
    <dataValidation type="list" allowBlank="1" showInputMessage="1" showErrorMessage="1" sqref="H3:I3" xr:uid="{0CC8D2E6-B852-DD4B-999E-EAFFAD22E81B}">
      <formula1>"European Call, European Put, American Call, American Put"</formula1>
    </dataValidation>
  </dataValidations>
  <pageMargins left="0.7" right="0.7" top="0.75" bottom="0.75" header="0.3" footer="0.3"/>
  <pageSetup orientation="portrait" horizontalDpi="0" verticalDpi="0"/>
  <ignoredErrors>
    <ignoredError sqref="I27 L40 L21 K22 L24 C31 D29:D30 D32 E33 E31 E28 F30 F32 K39 J38 I37 H36 G35 F34 F27 G26 G29 G31 G33 H34 H32 H30 H28:I28 H25 I24 I29 I31 I33 I35 J36 J34 J32 J30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3DFA-2D10-FD4C-93D5-5E2125ED47A5}">
  <sheetPr codeName="Sheet2"/>
  <dimension ref="B1:R16"/>
  <sheetViews>
    <sheetView showGridLines="0" zoomScale="107" workbookViewId="0">
      <selection activeCell="C4" sqref="C4"/>
    </sheetView>
  </sheetViews>
  <sheetFormatPr defaultColWidth="11" defaultRowHeight="15.95"/>
  <cols>
    <col min="1" max="1" width="13" bestFit="1" customWidth="1"/>
    <col min="2" max="2" width="13.125" bestFit="1" customWidth="1"/>
    <col min="3" max="3" width="10.625" bestFit="1" customWidth="1"/>
  </cols>
  <sheetData>
    <row r="1" spans="2:18" ht="17.100000000000001" thickBot="1"/>
    <row r="2" spans="2:18">
      <c r="B2" s="2" t="s">
        <v>9</v>
      </c>
      <c r="C2" s="13" t="s">
        <v>10</v>
      </c>
    </row>
    <row r="3" spans="2:18" ht="17.100000000000001" thickBot="1">
      <c r="B3" s="11" t="s">
        <v>12</v>
      </c>
      <c r="C3" s="19">
        <f>Data!C66</f>
        <v>0</v>
      </c>
    </row>
    <row r="4" spans="2:18">
      <c r="B4" s="4" t="s">
        <v>15</v>
      </c>
      <c r="C4" s="29">
        <v>42</v>
      </c>
      <c r="E4" s="10"/>
      <c r="F4" s="25"/>
      <c r="G4" s="25"/>
      <c r="H4" s="26" t="e">
        <f>G6*C8</f>
        <v>#DIV/0!</v>
      </c>
      <c r="J4" s="10"/>
      <c r="K4" s="25"/>
      <c r="L4" s="25"/>
      <c r="M4" s="26" t="e">
        <f>MAX(H4-$C$4, 0)</f>
        <v>#DIV/0!</v>
      </c>
      <c r="O4" s="10"/>
      <c r="P4" s="25"/>
      <c r="Q4" s="25"/>
      <c r="R4" s="26" t="e">
        <f>MAX($C$4-H4, 0)</f>
        <v>#DIV/0!</v>
      </c>
    </row>
    <row r="5" spans="2:18">
      <c r="B5" s="11" t="s">
        <v>5</v>
      </c>
      <c r="C5" s="18" t="e">
        <f>Data!G4</f>
        <v>#DIV/0!</v>
      </c>
      <c r="E5" s="4"/>
      <c r="F5" s="31" t="s">
        <v>34</v>
      </c>
      <c r="H5" s="5"/>
      <c r="J5" s="4"/>
      <c r="K5" s="31" t="s">
        <v>35</v>
      </c>
      <c r="M5" s="5"/>
      <c r="O5" s="4"/>
      <c r="P5" s="31" t="s">
        <v>36</v>
      </c>
      <c r="R5" s="5"/>
    </row>
    <row r="6" spans="2:18">
      <c r="B6" s="4" t="s">
        <v>19</v>
      </c>
      <c r="C6" s="30">
        <f>0.75</f>
        <v>0.75</v>
      </c>
      <c r="E6" s="4" t="s">
        <v>37</v>
      </c>
      <c r="G6" s="27">
        <f>C3</f>
        <v>0</v>
      </c>
      <c r="H6" s="5"/>
      <c r="J6" s="4" t="s">
        <v>38</v>
      </c>
      <c r="L6" s="27" t="e">
        <f>((C10*M4) + ((1-C10)*M8))/((1+C7)^C6)</f>
        <v>#DIV/0!</v>
      </c>
      <c r="M6" s="5"/>
      <c r="O6" s="4" t="s">
        <v>39</v>
      </c>
      <c r="Q6" s="27" t="e">
        <f>(($C$10*R4) + ((1-$C$10)*R8))/((1+$C$7)^$C$6)</f>
        <v>#DIV/0!</v>
      </c>
      <c r="R6" s="5"/>
    </row>
    <row r="7" spans="2:18">
      <c r="B7" s="4" t="s">
        <v>20</v>
      </c>
      <c r="C7" s="23">
        <v>4.0399999999999998E-2</v>
      </c>
      <c r="E7" s="4"/>
      <c r="F7" s="31" t="s">
        <v>40</v>
      </c>
      <c r="H7" s="5"/>
      <c r="J7" s="4"/>
      <c r="K7" s="31" t="s">
        <v>41</v>
      </c>
      <c r="M7" s="5"/>
      <c r="O7" s="4"/>
      <c r="P7" s="31" t="s">
        <v>42</v>
      </c>
      <c r="R7" s="5"/>
    </row>
    <row r="8" spans="2:18" ht="17.100000000000001" thickBot="1">
      <c r="B8" s="4" t="s">
        <v>21</v>
      </c>
      <c r="C8" s="20" t="e">
        <f>EXP(C5*SQRT(C6))</f>
        <v>#DIV/0!</v>
      </c>
      <c r="E8" s="7"/>
      <c r="F8" s="8"/>
      <c r="G8" s="8"/>
      <c r="H8" s="28" t="e">
        <f>G6*C9</f>
        <v>#DIV/0!</v>
      </c>
      <c r="J8" s="7"/>
      <c r="K8" s="8"/>
      <c r="L8" s="8"/>
      <c r="M8" s="28" t="e">
        <f>MAX(H8-$C$4, 0)</f>
        <v>#DIV/0!</v>
      </c>
      <c r="O8" s="7"/>
      <c r="P8" s="8"/>
      <c r="Q8" s="8"/>
      <c r="R8" s="28" t="e">
        <f>MAX($C$4-H8, 0)</f>
        <v>#DIV/0!</v>
      </c>
    </row>
    <row r="9" spans="2:18">
      <c r="B9" s="4" t="s">
        <v>22</v>
      </c>
      <c r="C9" s="21" t="e">
        <f>1/C8</f>
        <v>#DIV/0!</v>
      </c>
    </row>
    <row r="10" spans="2:18" ht="17.100000000000001" thickBot="1">
      <c r="B10" s="7" t="s">
        <v>24</v>
      </c>
      <c r="C10" s="22" t="e">
        <f>(((1+C7)^C6) - C9) / (C8 - C9)</f>
        <v>#DIV/0!</v>
      </c>
    </row>
    <row r="12" spans="2:18" ht="17.100000000000001" thickBot="1"/>
    <row r="13" spans="2:18">
      <c r="B13" s="2" t="s">
        <v>43</v>
      </c>
      <c r="C13" s="3"/>
    </row>
    <row r="14" spans="2:18">
      <c r="B14" s="4" t="s">
        <v>44</v>
      </c>
      <c r="C14" s="32" t="e">
        <f>(L6+C4)/((1+C7)^C6)</f>
        <v>#DIV/0!</v>
      </c>
    </row>
    <row r="15" spans="2:18">
      <c r="B15" s="4" t="s">
        <v>45</v>
      </c>
      <c r="C15" s="32" t="e">
        <f>Q6+C3</f>
        <v>#DIV/0!</v>
      </c>
    </row>
    <row r="16" spans="2:18" ht="17.100000000000001" thickBot="1">
      <c r="B16" s="7" t="s">
        <v>46</v>
      </c>
      <c r="C16" s="28" t="e">
        <f>C14-C15</f>
        <v>#DIV/0!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D260-687A-484B-94D0-92CEF2A40FB9}">
  <sheetPr codeName="Sheet3"/>
  <dimension ref="B1:F35"/>
  <sheetViews>
    <sheetView showGridLines="0" workbookViewId="0">
      <selection activeCell="F11" sqref="F11"/>
    </sheetView>
  </sheetViews>
  <sheetFormatPr defaultColWidth="11" defaultRowHeight="15.95"/>
  <cols>
    <col min="5" max="5" width="13.125" bestFit="1" customWidth="1"/>
  </cols>
  <sheetData>
    <row r="1" spans="2:6" ht="17.100000000000001" thickBot="1"/>
    <row r="2" spans="2:6">
      <c r="B2" s="2" t="s">
        <v>9</v>
      </c>
      <c r="C2" s="13" t="s">
        <v>10</v>
      </c>
      <c r="E2" s="2" t="s">
        <v>47</v>
      </c>
      <c r="F2" s="3"/>
    </row>
    <row r="3" spans="2:6">
      <c r="B3" s="11" t="s">
        <v>12</v>
      </c>
      <c r="C3" s="19">
        <f>Data!C66</f>
        <v>0</v>
      </c>
      <c r="E3" s="4" t="s">
        <v>44</v>
      </c>
      <c r="F3" s="32" t="e">
        <f>B25+C4/(1+C7)^C6</f>
        <v>#DIV/0!</v>
      </c>
    </row>
    <row r="4" spans="2:6">
      <c r="B4" s="4" t="s">
        <v>15</v>
      </c>
      <c r="C4" s="29">
        <v>375</v>
      </c>
      <c r="E4" s="4" t="s">
        <v>45</v>
      </c>
      <c r="F4" s="32" t="e">
        <f>B33+C3</f>
        <v>#DIV/0!</v>
      </c>
    </row>
    <row r="5" spans="2:6" ht="17.100000000000001" thickBot="1">
      <c r="B5" s="11" t="s">
        <v>5</v>
      </c>
      <c r="C5" s="18" t="e">
        <f>Data!G4</f>
        <v>#DIV/0!</v>
      </c>
      <c r="E5" s="7" t="s">
        <v>46</v>
      </c>
      <c r="F5" s="39" t="e">
        <f>F3-F4</f>
        <v>#DIV/0!</v>
      </c>
    </row>
    <row r="6" spans="2:6">
      <c r="B6" s="4" t="s">
        <v>19</v>
      </c>
      <c r="C6" s="30">
        <f>0.75</f>
        <v>0.75</v>
      </c>
    </row>
    <row r="7" spans="2:6">
      <c r="B7" s="4" t="s">
        <v>20</v>
      </c>
      <c r="C7" s="23">
        <v>4.0399999999999998E-2</v>
      </c>
      <c r="F7" s="33"/>
    </row>
    <row r="8" spans="2:6">
      <c r="B8" s="4" t="s">
        <v>21</v>
      </c>
      <c r="C8" s="20" t="e">
        <f>EXP(C5*SQRT(C6))</f>
        <v>#DIV/0!</v>
      </c>
    </row>
    <row r="9" spans="2:6">
      <c r="B9" s="4" t="s">
        <v>22</v>
      </c>
      <c r="C9" s="21" t="e">
        <f>1/C8</f>
        <v>#DIV/0!</v>
      </c>
    </row>
    <row r="10" spans="2:6" ht="17.100000000000001" thickBot="1">
      <c r="B10" s="7" t="s">
        <v>24</v>
      </c>
      <c r="C10" s="22" t="e">
        <f>(((1+C7)^C6) - C9) / (C8 - C9)</f>
        <v>#DIV/0!</v>
      </c>
    </row>
    <row r="14" spans="2:6" ht="17.100000000000001" thickBot="1">
      <c r="B14" s="1" t="s">
        <v>48</v>
      </c>
    </row>
    <row r="15" spans="2:6">
      <c r="B15" s="10"/>
      <c r="C15" s="25"/>
      <c r="D15" s="35" t="e">
        <f>C16*C8</f>
        <v>#DIV/0!</v>
      </c>
    </row>
    <row r="16" spans="2:6">
      <c r="B16" s="4"/>
      <c r="C16" s="34" t="e">
        <f>B17*C8</f>
        <v>#DIV/0!</v>
      </c>
      <c r="D16" s="5"/>
    </row>
    <row r="17" spans="2:4">
      <c r="B17" s="38">
        <f>C3</f>
        <v>0</v>
      </c>
      <c r="D17" s="36" t="e">
        <f>C16*C9</f>
        <v>#DIV/0!</v>
      </c>
    </row>
    <row r="18" spans="2:4">
      <c r="B18" s="4"/>
      <c r="C18" s="34" t="e">
        <f>B17*C9</f>
        <v>#DIV/0!</v>
      </c>
      <c r="D18" s="5"/>
    </row>
    <row r="19" spans="2:4" ht="17.100000000000001" thickBot="1">
      <c r="B19" s="7"/>
      <c r="C19" s="8"/>
      <c r="D19" s="37" t="e">
        <f>C18*C9</f>
        <v>#DIV/0!</v>
      </c>
    </row>
    <row r="22" spans="2:4" ht="17.100000000000001" thickBot="1">
      <c r="B22" s="1" t="s">
        <v>49</v>
      </c>
    </row>
    <row r="23" spans="2:4">
      <c r="B23" s="10"/>
      <c r="C23" s="25"/>
      <c r="D23" s="35" t="e">
        <f>MAX(D15-$C$4, 0)</f>
        <v>#DIV/0!</v>
      </c>
    </row>
    <row r="24" spans="2:4">
      <c r="B24" s="4"/>
      <c r="C24" s="34" t="e">
        <f>(($C$10*D23)+((1-$C$10)*D25))/((1+$C$7)^$C$6)</f>
        <v>#DIV/0!</v>
      </c>
      <c r="D24" s="5"/>
    </row>
    <row r="25" spans="2:4">
      <c r="B25" s="38" t="e">
        <f>(($C$10*C24)+((1-$C$10)*C26))/((1+$C$7)^$C$6)</f>
        <v>#DIV/0!</v>
      </c>
      <c r="D25" s="36" t="e">
        <f>MAX(D17-$C$4, 0)</f>
        <v>#DIV/0!</v>
      </c>
    </row>
    <row r="26" spans="2:4">
      <c r="B26" s="4"/>
      <c r="C26" s="34" t="e">
        <f>((C10*D25)+((1-C10)*D27))/(1+C7)^C6</f>
        <v>#DIV/0!</v>
      </c>
      <c r="D26" s="5"/>
    </row>
    <row r="27" spans="2:4" ht="17.100000000000001" thickBot="1">
      <c r="B27" s="7"/>
      <c r="C27" s="8"/>
      <c r="D27" s="37" t="e">
        <f>MAX(D19-$C$4, 0)</f>
        <v>#DIV/0!</v>
      </c>
    </row>
    <row r="30" spans="2:4" ht="17.100000000000001" thickBot="1">
      <c r="B30" s="1" t="s">
        <v>50</v>
      </c>
    </row>
    <row r="31" spans="2:4">
      <c r="B31" s="10"/>
      <c r="C31" s="25"/>
      <c r="D31" s="35" t="e">
        <f>MAX($C$4-D15, 0)</f>
        <v>#DIV/0!</v>
      </c>
    </row>
    <row r="32" spans="2:4">
      <c r="B32" s="4"/>
      <c r="C32" s="34" t="e">
        <f>((D31*$C$10)+((1-$C$10)*D33))/((1+$C$7)^$C$6)</f>
        <v>#DIV/0!</v>
      </c>
      <c r="D32" s="5"/>
    </row>
    <row r="33" spans="2:4">
      <c r="B33" s="38" t="e">
        <f>((C32*$C$10)+((1-$C$10)*C34))/((1+$C$7)^$C$6)</f>
        <v>#DIV/0!</v>
      </c>
      <c r="D33" s="36" t="e">
        <f>MAX($C$4-D17, 0)</f>
        <v>#DIV/0!</v>
      </c>
    </row>
    <row r="34" spans="2:4">
      <c r="B34" s="4"/>
      <c r="C34" s="34" t="e">
        <f>((D33*$C$10)+((1-$C$10)*D35))/((1+$C$7)^$C$6)</f>
        <v>#DIV/0!</v>
      </c>
      <c r="D34" s="5"/>
    </row>
    <row r="35" spans="2:4" ht="17.100000000000001" thickBot="1">
      <c r="B35" s="7"/>
      <c r="C35" s="8"/>
      <c r="D35" s="37" t="e">
        <f>MAX($C$4-D19, 0)</f>
        <v>#DIV/0!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2025-11-26T04:27:47Z</dcterms:created>
  <dcterms:modified xsi:type="dcterms:W3CDTF">2025-12-01T22:23:21Z</dcterms:modified>
  <cp:category/>
  <cp:contentStatus/>
</cp:coreProperties>
</file>